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19" documentId="13_ncr:1_{D015934C-5C8D-463B-9777-448ADC1EE7B3}" xr6:coauthVersionLast="47" xr6:coauthVersionMax="47" xr10:uidLastSave="{234D4A76-43EE-4E75-A037-5BF187D02F16}"/>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26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<sst xmlns="http://schemas.openxmlformats.org/spreadsheetml/2006/main" count="6715" uniqueCount="1722">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</sst>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1">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0" xfId="0" applyAlignment="1">
      <alignment horizontal="left"/>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6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24"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h="1" x="9"/>
        <item h="1" x="10"/>
        <item h="1" x="11"/>
        <item h="1" m="1" x="14"/>
        <item h="1" m="1" x="15"/>
        <item h="1" m="1" x="16"/>
        <item h="1" m="1" x="17"/>
        <item h="1" m="1" x="18"/>
        <item h="1" x="12"/>
        <item h="1" x="13"/>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8">
    <i>
      <x v="82"/>
    </i>
    <i>
      <x v="104"/>
    </i>
    <i>
      <x v="135"/>
    </i>
    <i>
      <x v="40"/>
    </i>
    <i>
      <x v="68"/>
    </i>
    <i>
      <x v="134"/>
    </i>
    <i>
      <x v="121"/>
    </i>
    <i>
      <x v="19"/>
    </i>
    <i>
      <x v="35"/>
    </i>
    <i>
      <x v="105"/>
    </i>
    <i>
      <x v="71"/>
    </i>
    <i>
      <x v="116"/>
    </i>
    <i>
      <x v="6"/>
    </i>
    <i>
      <x v="126"/>
    </i>
    <i>
      <x v="2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6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28" headerRowBorderDxfId="26" tableBorderDxfId="27" totalsRowBorderDxfId="25">
  <autoFilter ref="A1:Y490" xr:uid="{00000000-0009-0000-0100-000001000000}">
    <filterColumn colId="8">
      <filters>
        <filter val="University of the WItwatersrand"/>
      </filters>
    </filterColumn>
    <filterColumn colId="9">
      <filters>
        <filter val="University of the WItwatersrand"/>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abSelected="1" topLeftCell="A142" zoomScale="83" zoomScaleNormal="83" workbookViewId="0">
      <selection activeCell="L385" sqref="L385"/>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t="1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60"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t="15" hidden="1">
      <c r="A479" s="3">
        <v>479</v>
      </c>
      <c r="B479" s="17" t="s">
        <v>1661</v>
      </c>
      <c r="C479" s="3" t="s">
        <v>1662</v>
      </c>
      <c r="D479" s="3" t="s">
        <v>1663</v>
      </c>
      <c r="E479" s="3" t="s">
        <v>1664</v>
      </c>
      <c r="F479" s="3" t="s">
        <v>1553</v>
      </c>
      <c r="G479" s="3" t="s">
        <v>61</v>
      </c>
      <c r="H479" s="58">
        <f>VALUE(MID(LEFT(Table1[[#This Row],[Unique ID]], FIND("/", Table1[[#This Row],[Unique ID]]) - 1), 2, LEN(Table1[[#This Row],[Unique ID]])))</f>
        <v>11</v>
      </c>
      <c r="I479" s="58" t="s">
        <v>37</v>
      </c>
      <c r="J479" s="58" t="s">
        <v>37</v>
      </c>
      <c r="K479" s="58" t="s">
        <v>56</v>
      </c>
      <c r="L479" s="58" t="s">
        <v>1665</v>
      </c>
      <c r="M479" s="58">
        <v>50000</v>
      </c>
      <c r="N479" s="58" t="s">
        <v>1666</v>
      </c>
      <c r="O479" s="58">
        <v>12</v>
      </c>
      <c r="P479" s="58" t="s">
        <v>56</v>
      </c>
      <c r="Q479" s="17">
        <v>2025</v>
      </c>
      <c r="R479" s="58" t="s">
        <v>1667</v>
      </c>
      <c r="S479" s="17" t="s">
        <v>43</v>
      </c>
      <c r="T479" s="14">
        <v>45901</v>
      </c>
      <c r="U479" s="58" t="s">
        <v>1105</v>
      </c>
      <c r="V479" s="58"/>
      <c r="W479" s="58"/>
      <c r="X479" s="4" t="s">
        <v>1668</v>
      </c>
      <c r="Y479" s="4"/>
    </row>
    <row r="480" spans="1:25" ht="15" hidden="1">
      <c r="A480" s="3">
        <v>480</v>
      </c>
      <c r="B480" s="17" t="s">
        <v>1661</v>
      </c>
      <c r="C480" s="17" t="s">
        <v>1669</v>
      </c>
      <c r="D480" s="17" t="s">
        <v>1670</v>
      </c>
      <c r="E480" s="17" t="s">
        <v>1206</v>
      </c>
      <c r="F480" s="17" t="s">
        <v>1671</v>
      </c>
      <c r="G480" s="17" t="s">
        <v>61</v>
      </c>
      <c r="H480" s="58">
        <f>VALUE(MID(LEFT(Table1[[#This Row],[Unique ID]], FIND("/", Table1[[#This Row],[Unique ID]]) - 1), 2, LEN(Table1[[#This Row],[Unique ID]])))</f>
        <v>11</v>
      </c>
      <c r="I480" s="58" t="s">
        <v>86</v>
      </c>
      <c r="J480" s="58" t="s">
        <v>86</v>
      </c>
      <c r="K480" s="58" t="s">
        <v>160</v>
      </c>
      <c r="L480" s="58" t="s">
        <v>1672</v>
      </c>
      <c r="M480" s="58">
        <v>7500</v>
      </c>
      <c r="N480" s="58" t="s">
        <v>1673</v>
      </c>
      <c r="O480" s="58">
        <v>12</v>
      </c>
      <c r="P480" s="58" t="s">
        <v>160</v>
      </c>
      <c r="Q480" s="17">
        <v>2025</v>
      </c>
      <c r="R480" s="58"/>
      <c r="S480" s="17" t="s">
        <v>43</v>
      </c>
      <c r="T480" s="14">
        <v>45905</v>
      </c>
      <c r="U480" s="58"/>
      <c r="V480" s="58"/>
      <c r="W480" s="58"/>
      <c r="X480" s="58"/>
      <c r="Y480" s="18"/>
    </row>
    <row r="481" spans="1:25" ht="1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t="1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t="1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t="1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t="1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t="1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t="1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t="1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t="1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t="1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3" spans="1:25" ht="15"/>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1714</v>
      </c>
    </row>
    <row r="2" spans="1:4">
      <c r="A2" s="5" t="s">
        <v>18</v>
      </c>
      <c r="B2" s="57">
        <v>2025</v>
      </c>
    </row>
    <row r="3" spans="1:4">
      <c r="A3" s="5" t="s">
        <v>20</v>
      </c>
      <c r="B3" t="s">
        <v>507</v>
      </c>
    </row>
    <row r="4" spans="1:4">
      <c r="B4"/>
    </row>
    <row r="5" spans="1:4">
      <c r="A5" s="5" t="s">
        <v>1715</v>
      </c>
      <c r="B5" s="5" t="s">
        <v>8</v>
      </c>
    </row>
    <row r="6" spans="1:4">
      <c r="A6" s="5" t="s">
        <v>4</v>
      </c>
      <c r="B6" t="s">
        <v>61</v>
      </c>
      <c r="C6" t="s">
        <v>35</v>
      </c>
      <c r="D6" t="s">
        <v>1716</v>
      </c>
    </row>
    <row r="7" spans="1:4">
      <c r="A7" t="s">
        <v>89</v>
      </c>
      <c r="B7" s="13">
        <v>229000</v>
      </c>
      <c r="C7" s="13"/>
      <c r="D7" s="13">
        <v>229000</v>
      </c>
    </row>
    <row r="8" spans="1:4">
      <c r="A8" t="s">
        <v>549</v>
      </c>
      <c r="B8" s="13">
        <v>200827</v>
      </c>
      <c r="C8" s="13"/>
      <c r="D8" s="13">
        <v>200827</v>
      </c>
    </row>
    <row r="9" spans="1:4">
      <c r="A9" t="s">
        <v>1588</v>
      </c>
      <c r="B9" s="13">
        <v>200000</v>
      </c>
      <c r="C9" s="13"/>
      <c r="D9" s="13">
        <v>200000</v>
      </c>
    </row>
    <row r="10" spans="1:4">
      <c r="A10" t="s">
        <v>303</v>
      </c>
      <c r="B10" s="13"/>
      <c r="C10" s="13">
        <v>155000</v>
      </c>
      <c r="D10" s="13">
        <v>155000</v>
      </c>
    </row>
    <row r="11" spans="1:4">
      <c r="A11" t="s">
        <v>287</v>
      </c>
      <c r="B11" s="13"/>
      <c r="C11" s="13">
        <v>143180</v>
      </c>
      <c r="D11" s="13">
        <v>143180</v>
      </c>
    </row>
    <row r="12" spans="1:4">
      <c r="A12" t="s">
        <v>1601</v>
      </c>
      <c r="B12" s="13"/>
      <c r="C12" s="13">
        <v>85000</v>
      </c>
      <c r="D12" s="13">
        <v>85000</v>
      </c>
    </row>
    <row r="13" spans="1:4">
      <c r="A13" t="s">
        <v>641</v>
      </c>
      <c r="B13" s="13">
        <v>73690</v>
      </c>
      <c r="C13" s="13"/>
      <c r="D13" s="13">
        <v>73690</v>
      </c>
    </row>
    <row r="14" spans="1:4">
      <c r="A14" t="s">
        <v>774</v>
      </c>
      <c r="B14" s="13">
        <v>27754</v>
      </c>
      <c r="C14" s="13"/>
      <c r="D14" s="13">
        <v>27754</v>
      </c>
    </row>
    <row r="15" spans="1:4">
      <c r="A15" t="s">
        <v>1482</v>
      </c>
      <c r="B15" s="13">
        <v>22000</v>
      </c>
      <c r="C15" s="13"/>
      <c r="D15" s="13">
        <v>22000</v>
      </c>
    </row>
    <row r="16" spans="1:4">
      <c r="A16" t="s">
        <v>1174</v>
      </c>
      <c r="B16" s="13">
        <v>15000</v>
      </c>
      <c r="C16" s="13"/>
      <c r="D16" s="13">
        <v>15000</v>
      </c>
    </row>
    <row r="17" spans="1:4">
      <c r="A17" t="s">
        <v>347</v>
      </c>
      <c r="B17" s="13"/>
      <c r="C17" s="13">
        <v>13425</v>
      </c>
      <c r="D17" s="13">
        <v>13425</v>
      </c>
    </row>
    <row r="18" spans="1:4">
      <c r="A18" t="s">
        <v>863</v>
      </c>
      <c r="B18" s="13"/>
      <c r="C18" s="13">
        <v>5000</v>
      </c>
      <c r="D18" s="13">
        <v>5000</v>
      </c>
    </row>
    <row r="19" spans="1:4">
      <c r="A19" t="s">
        <v>1043</v>
      </c>
      <c r="B19" s="13"/>
      <c r="C19" s="13">
        <v>5000</v>
      </c>
      <c r="D19" s="13">
        <v>5000</v>
      </c>
    </row>
    <row r="20" spans="1:4">
      <c r="A20" t="s">
        <v>659</v>
      </c>
      <c r="B20" s="13">
        <v>4500</v>
      </c>
      <c r="C20" s="13"/>
      <c r="D20" s="13">
        <v>4500</v>
      </c>
    </row>
    <row r="21" spans="1:4">
      <c r="A21" t="s">
        <v>716</v>
      </c>
      <c r="B21" s="13">
        <v>2000</v>
      </c>
      <c r="C21" s="13"/>
      <c r="D21" s="13">
        <v>2000</v>
      </c>
    </row>
    <row r="22" spans="1:4">
      <c r="A22" t="s">
        <v>631</v>
      </c>
      <c r="B22" s="13">
        <v>2000</v>
      </c>
      <c r="C22" s="13"/>
      <c r="D22" s="13">
        <v>2000</v>
      </c>
    </row>
    <row r="23" spans="1:4">
      <c r="A23" t="s">
        <v>1576</v>
      </c>
      <c r="B23" s="13">
        <v>157</v>
      </c>
      <c r="C23" s="13"/>
      <c r="D23" s="13">
        <v>157</v>
      </c>
    </row>
    <row r="24" spans="1:4">
      <c r="A24" t="s">
        <v>1716</v>
      </c>
      <c r="B24" s="13">
        <v>776928</v>
      </c>
      <c r="C24" s="13">
        <v>406605</v>
      </c>
      <c r="D24" s="13">
        <v>1183533</v>
      </c>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1717</v>
      </c>
      <c r="C1" t="s">
        <v>1718</v>
      </c>
    </row>
    <row r="2" spans="1:5">
      <c r="A2" s="5" t="s">
        <v>20</v>
      </c>
      <c r="B2" t="s">
        <v>1717</v>
      </c>
    </row>
    <row r="3" spans="1:5">
      <c r="A3" s="5" t="s">
        <v>12</v>
      </c>
      <c r="B3" t="s">
        <v>1717</v>
      </c>
    </row>
    <row r="4" spans="1:5">
      <c r="A4" s="5" t="s">
        <v>3</v>
      </c>
      <c r="B4" t="s">
        <v>1717</v>
      </c>
    </row>
    <row r="6" spans="1:5">
      <c r="A6" s="5" t="s">
        <v>1715</v>
      </c>
      <c r="B6" s="5" t="s">
        <v>8</v>
      </c>
    </row>
    <row r="7" spans="1:5">
      <c r="A7" s="5" t="s">
        <v>18</v>
      </c>
      <c r="B7" t="s">
        <v>61</v>
      </c>
      <c r="C7" t="s">
        <v>35</v>
      </c>
      <c r="D7" t="s">
        <v>29</v>
      </c>
      <c r="E7" t="s">
        <v>1716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1716</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1717</v>
      </c>
    </row>
    <row r="27" spans="1:5">
      <c r="B27" s="5" t="s">
        <v>8</v>
      </c>
    </row>
    <row r="28" spans="1:5">
      <c r="B28" t="s">
        <v>61</v>
      </c>
      <c r="C28" t="s">
        <v>35</v>
      </c>
      <c r="D28" t="s">
        <v>29</v>
      </c>
      <c r="E28" t="s">
        <v>1716</v>
      </c>
    </row>
    <row r="29" spans="1:5">
      <c r="A29" t="s">
        <v>1715</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1719</v>
      </c>
    </row>
    <row r="51" spans="1:5">
      <c r="A51" s="10" t="s">
        <v>9</v>
      </c>
      <c r="B51" s="11" t="s">
        <v>1717</v>
      </c>
      <c r="C51" s="11"/>
      <c r="D51" s="11"/>
      <c r="E51" s="11"/>
    </row>
    <row r="52" spans="1:5">
      <c r="A52" s="10" t="s">
        <v>20</v>
      </c>
      <c r="B52" s="11" t="s">
        <v>1717</v>
      </c>
      <c r="C52" s="11"/>
      <c r="D52" s="11"/>
      <c r="E52" s="11" t="s">
        <v>1718</v>
      </c>
    </row>
    <row r="53" spans="1:5">
      <c r="A53" s="10" t="s">
        <v>12</v>
      </c>
      <c r="B53" s="11" t="s">
        <v>1717</v>
      </c>
      <c r="C53" s="11"/>
      <c r="D53" s="11"/>
      <c r="E53" s="11"/>
    </row>
    <row r="54" spans="1:5">
      <c r="A54" s="11"/>
      <c r="B54" s="11"/>
      <c r="C54" s="11"/>
      <c r="D54" s="11"/>
      <c r="E54" s="11"/>
    </row>
    <row r="55" spans="1:5">
      <c r="A55" s="10" t="s">
        <v>1720</v>
      </c>
      <c r="B55" s="10" t="s">
        <v>8</v>
      </c>
      <c r="C55" s="11"/>
      <c r="D55" s="11"/>
      <c r="E55" s="11"/>
    </row>
    <row r="56" spans="1:5">
      <c r="A56" s="10" t="s">
        <v>18</v>
      </c>
      <c r="B56" s="11" t="s">
        <v>61</v>
      </c>
      <c r="C56" s="11" t="s">
        <v>35</v>
      </c>
      <c r="D56" s="11" t="s">
        <v>29</v>
      </c>
      <c r="E56" s="11" t="s">
        <v>1716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1716</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1714</v>
      </c>
    </row>
    <row r="78" spans="1:5">
      <c r="A78" s="10" t="s">
        <v>12</v>
      </c>
      <c r="B78" s="11" t="s">
        <v>1717</v>
      </c>
      <c r="C78" s="11"/>
      <c r="D78" s="11"/>
    </row>
    <row r="79" spans="1:5">
      <c r="A79" s="10" t="s">
        <v>9</v>
      </c>
      <c r="B79" s="11" t="s">
        <v>1717</v>
      </c>
      <c r="C79" s="11"/>
      <c r="D79" s="11"/>
    </row>
    <row r="80" spans="1:5">
      <c r="A80" s="10" t="s">
        <v>20</v>
      </c>
      <c r="B80" s="11" t="s">
        <v>1717</v>
      </c>
      <c r="C80" s="11"/>
      <c r="D80" s="11"/>
    </row>
    <row r="81" spans="1:4">
      <c r="A81" s="11"/>
      <c r="B81" s="11"/>
      <c r="C81" s="11"/>
      <c r="D81" s="11"/>
    </row>
    <row r="82" spans="1:4">
      <c r="A82" s="10" t="s">
        <v>4</v>
      </c>
      <c r="B82" s="11" t="s">
        <v>1715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1716</v>
      </c>
      <c r="B134" s="11">
        <v>12225605.810000001</v>
      </c>
    </row>
    <row r="135" spans="1:5">
      <c r="A135" s="11"/>
      <c r="B135" s="11"/>
    </row>
    <row r="136" spans="1:5">
      <c r="A136" s="11"/>
      <c r="B136" s="11"/>
    </row>
    <row r="137" spans="1:5">
      <c r="A137" s="11"/>
      <c r="B137" s="11"/>
    </row>
    <row r="139" spans="1:5">
      <c r="A139" s="5" t="s">
        <v>17</v>
      </c>
      <c r="B139" t="s">
        <v>1717</v>
      </c>
    </row>
    <row r="141" spans="1:5">
      <c r="A141" s="5" t="s">
        <v>1715</v>
      </c>
      <c r="B141" s="5" t="s">
        <v>8</v>
      </c>
    </row>
    <row r="142" spans="1:5">
      <c r="A142" s="5" t="s">
        <v>9</v>
      </c>
      <c r="B142" t="s">
        <v>61</v>
      </c>
      <c r="C142" t="s">
        <v>35</v>
      </c>
      <c r="D142" t="s">
        <v>29</v>
      </c>
      <c r="E142" t="s">
        <v>1716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1721</v>
      </c>
      <c r="B153" s="13">
        <v>0</v>
      </c>
      <c r="C153" s="13">
        <v>0</v>
      </c>
      <c r="D153" s="13">
        <v>5227040</v>
      </c>
      <c r="E153" s="13">
        <v>5227040</v>
      </c>
    </row>
    <row r="154" spans="1:5">
      <c r="A154">
        <v>11</v>
      </c>
      <c r="B154" s="13">
        <v>57500</v>
      </c>
      <c r="C154" s="13">
        <v>0</v>
      </c>
      <c r="D154" s="13">
        <v>0</v>
      </c>
      <c r="E154" s="13">
        <v>57500</v>
      </c>
    </row>
    <row r="155" spans="1:5">
      <c r="A155" t="s">
        <v>1716</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1717</v>
      </c>
    </row>
    <row r="3" spans="2:6">
      <c r="B3" s="5" t="s">
        <v>3</v>
      </c>
      <c r="C3" t="s">
        <v>1714</v>
      </c>
      <c r="F3" t="s">
        <v>1718</v>
      </c>
    </row>
    <row r="4" spans="2:6">
      <c r="B4" s="5" t="s">
        <v>20</v>
      </c>
      <c r="C4" t="s">
        <v>1717</v>
      </c>
    </row>
    <row r="5" spans="2:6">
      <c r="B5" s="5" t="s">
        <v>12</v>
      </c>
      <c r="C5" t="s">
        <v>1717</v>
      </c>
    </row>
    <row r="7" spans="2:6">
      <c r="B7" s="5" t="s">
        <v>1720</v>
      </c>
      <c r="C7" s="5" t="s">
        <v>8</v>
      </c>
    </row>
    <row r="8" spans="2:6">
      <c r="B8" s="5" t="s">
        <v>18</v>
      </c>
      <c r="C8" t="s">
        <v>61</v>
      </c>
      <c r="D8" t="s">
        <v>35</v>
      </c>
      <c r="E8" t="s">
        <v>1716</v>
      </c>
    </row>
    <row r="9" spans="2:6">
      <c r="B9">
        <v>2024</v>
      </c>
      <c r="C9" s="13">
        <v>13</v>
      </c>
      <c r="D9" s="13">
        <v>4</v>
      </c>
      <c r="E9" s="13">
        <v>17</v>
      </c>
    </row>
    <row r="10" spans="2:6">
      <c r="B10">
        <v>2025</v>
      </c>
      <c r="C10" s="13">
        <v>9</v>
      </c>
      <c r="D10" s="13">
        <v>6</v>
      </c>
      <c r="E10" s="13">
        <v>15</v>
      </c>
    </row>
    <row r="11" spans="2:6">
      <c r="B11" t="s">
        <v>1716</v>
      </c>
      <c r="C11" s="13">
        <v>22</v>
      </c>
      <c r="D11" s="13">
        <v>10</v>
      </c>
      <c r="E11" s="13">
        <v>32</v>
      </c>
    </row>
    <row r="23" spans="2:6">
      <c r="B23" s="5" t="s">
        <v>9</v>
      </c>
      <c r="C23" t="s">
        <v>1717</v>
      </c>
    </row>
    <row r="24" spans="2:6">
      <c r="B24" s="5" t="s">
        <v>3</v>
      </c>
      <c r="C24" t="s">
        <v>1717</v>
      </c>
      <c r="F24" t="s">
        <v>1718</v>
      </c>
    </row>
    <row r="25" spans="2:6">
      <c r="B25" s="5" t="s">
        <v>20</v>
      </c>
      <c r="C25" t="s">
        <v>43</v>
      </c>
    </row>
    <row r="26" spans="2:6">
      <c r="B26" s="5" t="s">
        <v>12</v>
      </c>
      <c r="C26" t="s">
        <v>1717</v>
      </c>
    </row>
    <row r="28" spans="2:6">
      <c r="B28" s="5" t="s">
        <v>1715</v>
      </c>
      <c r="C28" s="5" t="s">
        <v>8</v>
      </c>
    </row>
    <row r="29" spans="2:6">
      <c r="B29" s="5" t="s">
        <v>18</v>
      </c>
      <c r="C29" t="s">
        <v>61</v>
      </c>
      <c r="D29" t="s">
        <v>35</v>
      </c>
      <c r="E29" t="s">
        <v>1716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1716</v>
      </c>
      <c r="C39" s="13">
        <v>8322893.290000001</v>
      </c>
      <c r="D39" s="13">
        <v>5135579.33</v>
      </c>
      <c r="E39" s="13">
        <v>13458472.619999997</v>
      </c>
    </row>
    <row r="45" spans="2:6">
      <c r="B45" s="5" t="s">
        <v>9</v>
      </c>
      <c r="C45" t="s">
        <v>1717</v>
      </c>
    </row>
    <row r="46" spans="2:6">
      <c r="B46" s="5" t="s">
        <v>3</v>
      </c>
      <c r="C46" t="s">
        <v>1717</v>
      </c>
      <c r="F46" t="s">
        <v>1718</v>
      </c>
    </row>
    <row r="47" spans="2:6">
      <c r="B47" s="5" t="s">
        <v>20</v>
      </c>
      <c r="C47" t="s">
        <v>1717</v>
      </c>
    </row>
    <row r="48" spans="2:6">
      <c r="B48" s="5" t="s">
        <v>12</v>
      </c>
      <c r="C48" t="s">
        <v>1717</v>
      </c>
    </row>
    <row r="50" spans="2:6">
      <c r="B50" s="5" t="s">
        <v>1715</v>
      </c>
      <c r="C50" s="5" t="s">
        <v>8</v>
      </c>
    </row>
    <row r="51" spans="2:6">
      <c r="B51" s="5" t="s">
        <v>18</v>
      </c>
      <c r="C51" t="s">
        <v>61</v>
      </c>
      <c r="D51" t="s">
        <v>35</v>
      </c>
      <c r="E51" t="s">
        <v>29</v>
      </c>
      <c r="F51" t="s">
        <v>1716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1716</v>
      </c>
      <c r="C62" s="13">
        <v>20271428.52</v>
      </c>
      <c r="D62" s="13">
        <v>20833378.639999997</v>
      </c>
      <c r="E62" s="13">
        <v>5227040</v>
      </c>
      <c r="F62" s="13">
        <v>46331847.159999996</v>
      </c>
    </row>
    <row r="69" spans="2:6">
      <c r="B69" s="5" t="s">
        <v>9</v>
      </c>
      <c r="C69" t="s">
        <v>1717</v>
      </c>
    </row>
    <row r="70" spans="2:6">
      <c r="B70" s="5" t="s">
        <v>3</v>
      </c>
      <c r="C70" t="s">
        <v>1717</v>
      </c>
      <c r="F70" t="s">
        <v>1718</v>
      </c>
    </row>
    <row r="71" spans="2:6">
      <c r="B71" s="5" t="s">
        <v>20</v>
      </c>
      <c r="C71" t="s">
        <v>1717</v>
      </c>
    </row>
    <row r="72" spans="2:6">
      <c r="B72" s="5" t="s">
        <v>12</v>
      </c>
      <c r="C72" t="s">
        <v>1717</v>
      </c>
    </row>
    <row r="74" spans="2:6">
      <c r="B74" s="5" t="s">
        <v>8</v>
      </c>
      <c r="C74" t="s">
        <v>1715</v>
      </c>
    </row>
    <row r="75" spans="2:6">
      <c r="B75" t="s">
        <v>61</v>
      </c>
      <c r="C75" s="13">
        <v>20271428.520000003</v>
      </c>
    </row>
    <row r="76" spans="2:6">
      <c r="B76" t="s">
        <v>35</v>
      </c>
      <c r="C76" s="13">
        <v>20833378.639999997</v>
      </c>
    </row>
    <row r="77" spans="2:6">
      <c r="B77" t="s">
        <v>29</v>
      </c>
      <c r="C77" s="13">
        <v>5227040</v>
      </c>
    </row>
    <row r="78" spans="2:6">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1717</v>
      </c>
    </row>
    <row r="5" spans="2:6">
      <c r="B5" s="5" t="s">
        <v>1715</v>
      </c>
      <c r="C5" s="5" t="s">
        <v>8</v>
      </c>
    </row>
    <row r="6" spans="2:6">
      <c r="B6" s="5" t="s">
        <v>3</v>
      </c>
      <c r="C6" t="s">
        <v>61</v>
      </c>
      <c r="D6" t="s">
        <v>35</v>
      </c>
      <c r="E6" t="s">
        <v>29</v>
      </c>
      <c r="F6" t="s">
        <v>1716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413718.6</v>
      </c>
      <c r="D36" s="13">
        <v>1462088.52</v>
      </c>
      <c r="E36" s="13">
        <v>0</v>
      </c>
      <c r="F36" s="13">
        <v>1875807.12</v>
      </c>
    </row>
    <row r="37" spans="2:6">
      <c r="B37" t="s">
        <v>1661</v>
      </c>
      <c r="C37" s="13">
        <v>384796.39</v>
      </c>
      <c r="D37" s="13">
        <v>197180</v>
      </c>
      <c r="E37" s="13">
        <v>0</v>
      </c>
      <c r="F37" s="13">
        <v>581976.39</v>
      </c>
    </row>
    <row r="38" spans="2:6">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2026-02-20T09:06:21Z</dcterms:modified>
  <cp:category/>
  <cp:contentStatus/>
</cp:coreProperties>
</file>
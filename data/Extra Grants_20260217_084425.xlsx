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codeName="ThisWorkbook" hidePivotFieldList="1"/>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277" documentId="13_ncr:1_{D015934C-5C8D-463B-9777-448ADC1EE7B3}" xr6:coauthVersionLast="47" xr6:coauthVersionMax="47" xr10:uidLastSave="{28BA8D29-74AF-4DCA-96CF-7528E1E12BF7}"/>
  <bookViews>
    <workbookView xWindow="-110" yWindow="-110" windowWidth="19420" windowHeight="10300" firstSheet="3" activeTab="1" xr2:uid="{00000000-000D-0000-FFFF-FFFF00000000}"/>
  </bookViews>
  <sheets>
    <sheet name="Dashboard" sheetId="12" r:id="rId1"/>
    <sheet name="Extra Grants" sheetId="1" r:id="rId2"/>
    <sheet name="Per fellow" sheetId="16" r:id="rId3"/>
    <sheet name="Analysis" sheetId="7" r:id="rId4"/>
    <sheet name="Sheet1" sheetId="17" r:id="rId5"/>
    <sheet name="Year" sheetId="15" r:id="rId6"/>
    <sheet name="Period" sheetId="14" r:id="rId7"/>
  </sheets>
  <definedNames>
    <definedName name="_xlnm._FilterDatabase" localSheetId="1" hidden="1">'Extra Grants'!$A$1:$T$491</definedName>
  </definedNames>
  <calcPr calcId="191028"/>
  <pivotCaches>
    <pivotCache cacheId="4555"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alcChain>
</file>

<file path=xl/sharedStrings.xml><?xml version="1.0" encoding="utf-8"?>
<sst xmlns="http://schemas.openxmlformats.org/spreadsheetml/2006/main" count="6713" uniqueCount="1724">
  <si>
    <t>Amount of grants (USD) raised by CARTA fellows</t>
  </si>
  <si>
    <t>Number of grants raised by CARTA fellows</t>
  </si>
  <si>
    <t>No.</t>
  </si>
  <si>
    <t>Reporting Period</t>
  </si>
  <si>
    <t>Unique ID</t>
  </si>
  <si>
    <t>Surname</t>
  </si>
  <si>
    <t>Middle name</t>
  </si>
  <si>
    <t>First Name</t>
  </si>
  <si>
    <t>Sex</t>
  </si>
  <si>
    <t>Cohort Number</t>
  </si>
  <si>
    <t xml:space="preserve">Institution of employment at registration </t>
  </si>
  <si>
    <t xml:space="preserve">Institution of PhD Registration </t>
  </si>
  <si>
    <t xml:space="preserve">Type of Achievement Award </t>
  </si>
  <si>
    <t>Name of Grant Awarded</t>
  </si>
  <si>
    <t>Total amount in $</t>
  </si>
  <si>
    <t>Name of Funder</t>
  </si>
  <si>
    <t>Duration of Funding (in months)</t>
  </si>
  <si>
    <t>Type of Grant</t>
  </si>
  <si>
    <t>Year</t>
  </si>
  <si>
    <t>Research title</t>
  </si>
  <si>
    <t>Grant type</t>
  </si>
  <si>
    <t>Award date</t>
  </si>
  <si>
    <t>Role in research grants</t>
  </si>
  <si>
    <t>CARTA fellows collaborating</t>
  </si>
  <si>
    <t>Quotes if any</t>
  </si>
  <si>
    <t>Please, give a brief description of the award and tell us why you were selected for the award?</t>
  </si>
  <si>
    <t>Column1</t>
  </si>
  <si>
    <t>Upto 2016</t>
  </si>
  <si>
    <t>CARTA</t>
  </si>
  <si>
    <t>upto 2016</t>
  </si>
  <si>
    <t>Period 1 - 2017</t>
  </si>
  <si>
    <t>C4/001</t>
  </si>
  <si>
    <t>Alonge</t>
  </si>
  <si>
    <t>John</t>
  </si>
  <si>
    <t>Ayodele</t>
  </si>
  <si>
    <t>Male</t>
  </si>
  <si>
    <t>University of Ibadan</t>
  </si>
  <si>
    <t>University of Nairobi</t>
  </si>
  <si>
    <t>Conference Grant</t>
  </si>
  <si>
    <t>International Communication Association (ICA) Travel Grant</t>
  </si>
  <si>
    <t>International Communication Association (ICA)</t>
  </si>
  <si>
    <t>7 days</t>
  </si>
  <si>
    <t>Conference grant</t>
  </si>
  <si>
    <t>PhD</t>
  </si>
  <si>
    <t>Period 2 - 2018</t>
  </si>
  <si>
    <t>C4/002</t>
  </si>
  <si>
    <t>Chikandiwa</t>
  </si>
  <si>
    <t>Takuranhamo</t>
  </si>
  <si>
    <t>Admire</t>
  </si>
  <si>
    <t>University of the WItwatersrand</t>
  </si>
  <si>
    <t>Scholarship Grant</t>
  </si>
  <si>
    <t>Part-time doctoral scholarship</t>
  </si>
  <si>
    <t>National Research Foundation</t>
  </si>
  <si>
    <t>Scholarship</t>
  </si>
  <si>
    <t>Travel Award</t>
  </si>
  <si>
    <t>International AIDS Society (IAS)</t>
  </si>
  <si>
    <t>Research grant</t>
  </si>
  <si>
    <t>C7/001</t>
  </si>
  <si>
    <t>Dreyer</t>
  </si>
  <si>
    <t>Ruth</t>
  </si>
  <si>
    <t>Abigail</t>
  </si>
  <si>
    <t>Female</t>
  </si>
  <si>
    <t>Research Grant</t>
  </si>
  <si>
    <t>NRF Funding for Thuthuka</t>
  </si>
  <si>
    <t>3 years</t>
  </si>
  <si>
    <t>Period 2 - 2017</t>
  </si>
  <si>
    <t>NRF Thuthuka Funding Programme</t>
  </si>
  <si>
    <t>Natinoal Research Fund</t>
  </si>
  <si>
    <t>Period 1 - 2018</t>
  </si>
  <si>
    <t>Abigail Ruth Dreyer</t>
  </si>
  <si>
    <t>National Research Fund</t>
  </si>
  <si>
    <t>National Research Foundation (NRF)</t>
  </si>
  <si>
    <t>C7/002</t>
  </si>
  <si>
    <t>Kagaha</t>
  </si>
  <si>
    <t>-</t>
  </si>
  <si>
    <t>Alexander</t>
  </si>
  <si>
    <t>Makerere University</t>
  </si>
  <si>
    <t>African Doctoral Dissertation Research Fellowship (ADDRF)</t>
  </si>
  <si>
    <t>African Population and Health Research Centre (APHRC)</t>
  </si>
  <si>
    <t>Period 2_2019</t>
  </si>
  <si>
    <t xml:space="preserve">African Doctoral Dissertation Research Fellowship (ADDRF) </t>
  </si>
  <si>
    <t>APHRC</t>
  </si>
  <si>
    <t>C7/003</t>
  </si>
  <si>
    <t>Komolafe</t>
  </si>
  <si>
    <t>Olubusola</t>
  </si>
  <si>
    <t>Abiola</t>
  </si>
  <si>
    <t>Obafemi Awolowo University</t>
  </si>
  <si>
    <t xml:space="preserve">Academyhealth LMIC schorlarship </t>
  </si>
  <si>
    <t>Academyhealth</t>
  </si>
  <si>
    <t>C7/004</t>
  </si>
  <si>
    <t>Kaunda-Khangamwa</t>
  </si>
  <si>
    <t>Nyasilia</t>
  </si>
  <si>
    <t>Blessings</t>
  </si>
  <si>
    <t>University of Malawi</t>
  </si>
  <si>
    <t>Majete Malaria Programme_KAP Survey Grant</t>
  </si>
  <si>
    <t>Majete Malaria Project</t>
  </si>
  <si>
    <t>1 year</t>
  </si>
  <si>
    <t>Research and Publication</t>
  </si>
  <si>
    <t>Research and Publications Committee (RPC)</t>
  </si>
  <si>
    <t>1 month</t>
  </si>
  <si>
    <t>C6/001</t>
  </si>
  <si>
    <t>Maina</t>
  </si>
  <si>
    <t>Waitherero</t>
  </si>
  <si>
    <t>Beatrice</t>
  </si>
  <si>
    <t>The gendered socialization of very young adolescents in schools and sexual and reproductive health</t>
  </si>
  <si>
    <t>Canada's International Development Research Centre (IDRC)</t>
  </si>
  <si>
    <t>36 months</t>
  </si>
  <si>
    <t>C7/005</t>
  </si>
  <si>
    <t>Banamawa</t>
  </si>
  <si>
    <t>Celestin</t>
  </si>
  <si>
    <t>University of Rwanda</t>
  </si>
  <si>
    <t>In-Region Scholarship for the PhD programme at CARTA.</t>
  </si>
  <si>
    <t>DAAD</t>
  </si>
  <si>
    <t>Period 1_2019</t>
  </si>
  <si>
    <t>C6/003</t>
  </si>
  <si>
    <t>Kwanjo-Banda</t>
  </si>
  <si>
    <t>Chikoko</t>
  </si>
  <si>
    <t>Chimwemwe</t>
  </si>
  <si>
    <t>DELTAS Scientific conference</t>
  </si>
  <si>
    <t>African Acadamey of Sciences</t>
  </si>
  <si>
    <t>C5/001</t>
  </si>
  <si>
    <t>Faye</t>
  </si>
  <si>
    <t>Cheikh Mbacké</t>
  </si>
  <si>
    <t>Strengthening analysis and evidence for reproductive, maternal, newborn, child and adolescent health and nutrition in Eastern and Southern Africa</t>
  </si>
  <si>
    <t>US Fund (UNICEF USA)</t>
  </si>
  <si>
    <t>12 months</t>
  </si>
  <si>
    <t>RESEARCH DESIGN, SCIENTIFIC WRITING AND PROJECT MANAGEMENT WORKSHOP</t>
  </si>
  <si>
    <t>ERSC through King College London</t>
  </si>
  <si>
    <t>Orphans and Vulnerable Children Data Quality Assessment in Kenya</t>
  </si>
  <si>
    <t>Palladium Group</t>
  </si>
  <si>
    <t>Health facility Data Analysis</t>
  </si>
  <si>
    <t>WHO</t>
  </si>
  <si>
    <t>ASRHR evidence generation in 10 African countries</t>
  </si>
  <si>
    <t>CanWach - University of Manitoba</t>
  </si>
  <si>
    <t>C4/006</t>
  </si>
  <si>
    <t>Mayora</t>
  </si>
  <si>
    <t>Chrispus</t>
  </si>
  <si>
    <t>World Bank Operations Research in Uganda(Feasibility of Results Based Financing in Uganda)</t>
  </si>
  <si>
    <t xml:space="preserve">World Bank </t>
  </si>
  <si>
    <t xml:space="preserve">Establishing a Knowledge Management and Evidence Response Unit </t>
  </si>
  <si>
    <t xml:space="preserve">Government of Uganda Research Innovation Fund </t>
  </si>
  <si>
    <t>C7/006</t>
  </si>
  <si>
    <t>Musyoka</t>
  </si>
  <si>
    <t>Mawia</t>
  </si>
  <si>
    <t>Catherine</t>
  </si>
  <si>
    <t>DAAD SCHOLARSHIP</t>
  </si>
  <si>
    <t>DAAD In-Country/In-Region Scholarship for the PhD programme at CARTA.</t>
  </si>
  <si>
    <t>IN COUNTRY/IN REGION SCHOLARSHIP</t>
  </si>
  <si>
    <t xml:space="preserve">DAAD </t>
  </si>
  <si>
    <t>In-Country/In-Region Programme CARTA, 2017</t>
  </si>
  <si>
    <t>DAAD Incountry/Inregion award</t>
  </si>
  <si>
    <t>C7/007</t>
  </si>
  <si>
    <t>Cadmus</t>
  </si>
  <si>
    <t>Olubukola</t>
  </si>
  <si>
    <t>Eniola</t>
  </si>
  <si>
    <t>Institutional Conference support grant</t>
  </si>
  <si>
    <t>The Education  Trust Fund (TETFUND) conference support grant</t>
  </si>
  <si>
    <t>5 days</t>
  </si>
  <si>
    <t>Not Applicable</t>
  </si>
  <si>
    <t>The Union</t>
  </si>
  <si>
    <t>Travel grant</t>
  </si>
  <si>
    <t>Conference sponsorship</t>
  </si>
  <si>
    <t>Bursary (ticket and conference registration</t>
  </si>
  <si>
    <t xml:space="preserve">International Epidemiological Association </t>
  </si>
  <si>
    <t>Travel Grant</t>
  </si>
  <si>
    <t>Funding to attend Expert Meeting on Violence Against Older Women</t>
  </si>
  <si>
    <t>World Health Organization</t>
  </si>
  <si>
    <t>Dave Omokaro Foundation</t>
  </si>
  <si>
    <t>University of Ibadan Medical Education Partnership Initiative Junior Faculty Research Training Programme (UI-MEPI-J)</t>
  </si>
  <si>
    <t xml:space="preserve"> National Institute of Health (NIH), United States of America</t>
  </si>
  <si>
    <t>Travel , conference fee and accomodation</t>
  </si>
  <si>
    <t>University of Global Health Equity</t>
  </si>
  <si>
    <t>C4/008</t>
  </si>
  <si>
    <t>Hartmann</t>
  </si>
  <si>
    <t>Dieter</t>
  </si>
  <si>
    <t xml:space="preserve">Other </t>
  </si>
  <si>
    <t>Winner of Vice Chancellor's Transformation Award (in the team category) at the University of the Witwatersrand</t>
  </si>
  <si>
    <t>University of the Witwatersrand Vice Chancellor and Transformation office</t>
  </si>
  <si>
    <t>Other</t>
  </si>
  <si>
    <t>C6/004</t>
  </si>
  <si>
    <t>Somefun</t>
  </si>
  <si>
    <t>Dolapo</t>
  </si>
  <si>
    <t>Oluwaseyi</t>
  </si>
  <si>
    <t>Comparative Research Programme on Poverty (CROP)</t>
  </si>
  <si>
    <t>Population Reference Bureau</t>
  </si>
  <si>
    <t>C5/004</t>
  </si>
  <si>
    <t>Kolisa</t>
  </si>
  <si>
    <t>Malele</t>
  </si>
  <si>
    <t>Yolanda</t>
  </si>
  <si>
    <t>Pameijer Fellowship award</t>
  </si>
  <si>
    <t>International Association of Dental Research -SA Division</t>
  </si>
  <si>
    <t>once off</t>
  </si>
  <si>
    <t>C4/009</t>
  </si>
  <si>
    <t>Mutai</t>
  </si>
  <si>
    <t>Chepkurui</t>
  </si>
  <si>
    <t>Winnie</t>
  </si>
  <si>
    <t>Nation Research Fund</t>
  </si>
  <si>
    <t>Kenyan Government</t>
  </si>
  <si>
    <t>3years</t>
  </si>
  <si>
    <t>C5/005</t>
  </si>
  <si>
    <t>Obembe</t>
  </si>
  <si>
    <t>Akinyode</t>
  </si>
  <si>
    <t>Taiwo</t>
  </si>
  <si>
    <t>Fellow of the Royal Society for Public Health</t>
  </si>
  <si>
    <t>Royal Society for Public Health</t>
  </si>
  <si>
    <t>C5/006</t>
  </si>
  <si>
    <t>Kaindoa</t>
  </si>
  <si>
    <t>Wilson</t>
  </si>
  <si>
    <t>Emmanuel</t>
  </si>
  <si>
    <t>Ifakara Health Institute</t>
  </si>
  <si>
    <t>Howard Hughes Medical Institute-Gates International Scholar: Eliminating dominant malaria vectors in rural Tanzanian villages</t>
  </si>
  <si>
    <t>Bill &amp; Melinda Gates Foundation</t>
  </si>
  <si>
    <t>5 years</t>
  </si>
  <si>
    <t>C5/007</t>
  </si>
  <si>
    <t>Karumi</t>
  </si>
  <si>
    <t>Wamuyu</t>
  </si>
  <si>
    <t>Esther</t>
  </si>
  <si>
    <t>DAAD In-country/ In-Region scholarship</t>
  </si>
  <si>
    <t>C5/008</t>
  </si>
  <si>
    <t>Balogun</t>
  </si>
  <si>
    <t>Mubowale</t>
  </si>
  <si>
    <t>Folusho</t>
  </si>
  <si>
    <t xml:space="preserve">Bill &amp; Melinda Gates Grand Challenge Exploration award </t>
  </si>
  <si>
    <t>Bill &amp; Melinda Gates</t>
  </si>
  <si>
    <t>Carnegie Corporation of New York</t>
  </si>
  <si>
    <t>C7/011</t>
  </si>
  <si>
    <t>Cherop</t>
  </si>
  <si>
    <t>Jepkosgei</t>
  </si>
  <si>
    <t>Felishana</t>
  </si>
  <si>
    <t>Moi University</t>
  </si>
  <si>
    <t>PhD Programme at CARTA</t>
  </si>
  <si>
    <t xml:space="preserve">1 year </t>
  </si>
  <si>
    <t>PhD Scholarship</t>
  </si>
  <si>
    <t>In-Country/In-Region Programme CARTA, 2017 (57376090)</t>
  </si>
  <si>
    <t>DAAD (PhD) Scholarship extension</t>
  </si>
  <si>
    <t>C5/009</t>
  </si>
  <si>
    <t>Khuluza</t>
  </si>
  <si>
    <t>Felix</t>
  </si>
  <si>
    <t>A survey on affordability and availability of medicines in Malawi</t>
  </si>
  <si>
    <t>Action Medeor Germany</t>
  </si>
  <si>
    <t>6 months</t>
  </si>
  <si>
    <t>Works Contract</t>
  </si>
  <si>
    <t>University of Tuebingen-Germany</t>
  </si>
  <si>
    <t>July-December 2017</t>
  </si>
  <si>
    <t>Consultancy award: EXPANSION OF PHARMACY ASSISTANT PROGRAMME</t>
  </si>
  <si>
    <t>Global Fund through Ministry of Health-Malawi</t>
  </si>
  <si>
    <t>2 years</t>
  </si>
  <si>
    <t>Medicine Quality and Public Health</t>
  </si>
  <si>
    <t>University of Oxford</t>
  </si>
  <si>
    <t>C7/012</t>
  </si>
  <si>
    <t>Lawal</t>
  </si>
  <si>
    <t>Barakat</t>
  </si>
  <si>
    <t>Folake</t>
  </si>
  <si>
    <t>Tetfund institutional research grant</t>
  </si>
  <si>
    <t>Tertiary Education Trust Fund Nigeria</t>
  </si>
  <si>
    <t>One year</t>
  </si>
  <si>
    <t>Borrow Travel Grant</t>
  </si>
  <si>
    <t>Borrow Foundation</t>
  </si>
  <si>
    <t>C5/010</t>
  </si>
  <si>
    <t>Maniragaba</t>
  </si>
  <si>
    <t>Fred</t>
  </si>
  <si>
    <t>Tuition fees waiver</t>
  </si>
  <si>
    <t>one year</t>
  </si>
  <si>
    <t>C4/011</t>
  </si>
  <si>
    <t>Matovu</t>
  </si>
  <si>
    <t>Kiweewa</t>
  </si>
  <si>
    <t>Flavia</t>
  </si>
  <si>
    <t xml:space="preserve"> Phase IV Open Label Study to Assess Bone Mineral Density in a Cohort of African Women on Depoprovera and Tenofovir Disoproxil Fumurate Switched to Tenofovir Alafenamide Fumarate based ART Anti-Retroviral Therapy</t>
  </si>
  <si>
    <t>Gilead Sciences Inc.</t>
  </si>
  <si>
    <t>C6/007</t>
  </si>
  <si>
    <t>Moroe</t>
  </si>
  <si>
    <t>Nzuza</t>
  </si>
  <si>
    <t>Nomfundo</t>
  </si>
  <si>
    <t>DST-NRF Research Development Grants for Next Generation Academics Programme (nGAP) Scholars 2017</t>
  </si>
  <si>
    <t>DST-NRF</t>
  </si>
  <si>
    <t>2016 Jan - 2017 Dec</t>
  </si>
  <si>
    <t>NRF: Thuthuka</t>
  </si>
  <si>
    <t xml:space="preserve">National Research Fund </t>
  </si>
  <si>
    <t>C7/013</t>
  </si>
  <si>
    <t>Oyinlola</t>
  </si>
  <si>
    <t>Folasade</t>
  </si>
  <si>
    <t>Funmilola</t>
  </si>
  <si>
    <t>NEEDS ASSESSMENT ACADEMIC STAFF TRAINING AND DEVELOPMENT</t>
  </si>
  <si>
    <t>TETFUND</t>
  </si>
  <si>
    <t>RESEARCH GRANT</t>
  </si>
  <si>
    <t>TETFUND/NEEDS</t>
  </si>
  <si>
    <t>1YEAR</t>
  </si>
  <si>
    <t>C6/008</t>
  </si>
  <si>
    <t>Anywar</t>
  </si>
  <si>
    <t>Godwin</t>
  </si>
  <si>
    <t>Short Term Research Scholarship</t>
  </si>
  <si>
    <t>Travel grant for workshop</t>
  </si>
  <si>
    <t>Max Planck Society, African Health Research Institute (AHRI), the Sub-Saharan African Network for TB/HIV Research Excellence (SANTHE), Victor Daitz Foundation.</t>
  </si>
  <si>
    <t>Research Recognotion: Young Investigator Fellowship</t>
  </si>
  <si>
    <t xml:space="preserve">International Society for Ethnopharmacology </t>
  </si>
  <si>
    <t xml:space="preserve">Access and Benefit Sharing - Sustainable Use of Biodiversity (ABSbio) project </t>
  </si>
  <si>
    <t>C5/011</t>
  </si>
  <si>
    <t>Jepngetich</t>
  </si>
  <si>
    <t>Hellen</t>
  </si>
  <si>
    <t>Moi University Partial Scholarship</t>
  </si>
  <si>
    <t>to supplement tuition fees for my PhD training</t>
  </si>
  <si>
    <t>Global Bioethics training program: Online  training in Master in Global Bioethics  program</t>
  </si>
  <si>
    <t>Anahuac university, Mexico</t>
  </si>
  <si>
    <t>C4/013</t>
  </si>
  <si>
    <t>Zakumumpa</t>
  </si>
  <si>
    <t>Henry</t>
  </si>
  <si>
    <t xml:space="preserve">Research Grant </t>
  </si>
  <si>
    <t>Facilitators and Barriers to HIV workforce transition from PEPFAR and Government of Uganda ownership</t>
  </si>
  <si>
    <t>USAID</t>
  </si>
  <si>
    <t>Travel award</t>
  </si>
  <si>
    <t>UNITAID</t>
  </si>
  <si>
    <t>Travel grant to attend 22nd International AIDS Conference in Amsterdam, the Netherlands</t>
  </si>
  <si>
    <t>Grant for study entitled: Facilitators and barrier to HIV workforce transition from PEPFAR support to Government of Uganda service</t>
  </si>
  <si>
    <t>USAID PEPFAR</t>
  </si>
  <si>
    <t>C5/014</t>
  </si>
  <si>
    <t>Bukenya</t>
  </si>
  <si>
    <t>Nnakate</t>
  </si>
  <si>
    <t>Justine</t>
  </si>
  <si>
    <t>Travel support</t>
  </si>
  <si>
    <t>International Union for the Scientific Study of Population (IUSSP)</t>
  </si>
  <si>
    <t>4 days</t>
  </si>
  <si>
    <t>C5/016</t>
  </si>
  <si>
    <t>Kiplagat</t>
  </si>
  <si>
    <t>Jepchirchir</t>
  </si>
  <si>
    <t>Building capacity for preventing and managing research misconduct</t>
  </si>
  <si>
    <t>NIH: Fogarty International Centre</t>
  </si>
  <si>
    <t>C6/011</t>
  </si>
  <si>
    <t>Mutyoba</t>
  </si>
  <si>
    <t>Nankya</t>
  </si>
  <si>
    <t>Joan</t>
  </si>
  <si>
    <t>Junior Investigator Travel Award</t>
  </si>
  <si>
    <t>U54 Consortium</t>
  </si>
  <si>
    <t>3 days</t>
  </si>
  <si>
    <t>Hepatitis C Among blood donors in Uganda: Identification of infected donors for micro-elimination</t>
  </si>
  <si>
    <t>Gilead</t>
  </si>
  <si>
    <t>18 months</t>
  </si>
  <si>
    <t>C4/016</t>
  </si>
  <si>
    <t>Sitienei</t>
  </si>
  <si>
    <t>Chepchirchir</t>
  </si>
  <si>
    <t>Jackline</t>
  </si>
  <si>
    <t>Young Researchers Grant</t>
  </si>
  <si>
    <t>FSH</t>
  </si>
  <si>
    <t>12 Months</t>
  </si>
  <si>
    <t>SCHOLARSHIP FOR CONFRENCE</t>
  </si>
  <si>
    <t>cugh</t>
  </si>
  <si>
    <t>5 DAYS</t>
  </si>
  <si>
    <t>Elsivier</t>
  </si>
  <si>
    <t>C6/012</t>
  </si>
  <si>
    <t>Adebayo</t>
  </si>
  <si>
    <t>Oluwatoyin</t>
  </si>
  <si>
    <t>Kudus</t>
  </si>
  <si>
    <t>IFRA travel grant for conference presentation</t>
  </si>
  <si>
    <t>The French Institute for Research in Africa (IFRA-Nigeria)</t>
  </si>
  <si>
    <t>June 28 - July 1, 2017</t>
  </si>
  <si>
    <t>Accommodation, registration and conference lunches</t>
  </si>
  <si>
    <t>Research Network of African Studies Centres in Europe (AEGIS)</t>
  </si>
  <si>
    <t>Conference Travel Grant</t>
  </si>
  <si>
    <t>University of Dar es Salaam (UDSM, Tanzania) and the Association for Asian Studies in Africa (A-Asia, Accra, Ghana) and the International Convention of Asia Scholars (ICAS, Leiden, the Netherlands)</t>
  </si>
  <si>
    <t>The Association for Asian Studies in Africa (A-Asia) and International Convention of Asia Scholars (ICAS)</t>
  </si>
  <si>
    <t>CODESRIA</t>
  </si>
  <si>
    <t>Central European University</t>
  </si>
  <si>
    <t>C6/013</t>
  </si>
  <si>
    <t>Aliyu</t>
  </si>
  <si>
    <t>Kolawole</t>
  </si>
  <si>
    <t>Taofeek</t>
  </si>
  <si>
    <t>6 th WCRI Travel Grantto attend the 6 th World  Conference on Research Integrity (6 th WCRI)</t>
  </si>
  <si>
    <t>World Research COnference on Research Integrity</t>
  </si>
  <si>
    <t>C7/016</t>
  </si>
  <si>
    <t>Karimi</t>
  </si>
  <si>
    <t>Joyce</t>
  </si>
  <si>
    <t>Kellen</t>
  </si>
  <si>
    <t>In-Country/In-Region Programme CARTA, 2018</t>
  </si>
  <si>
    <t>C5/018</t>
  </si>
  <si>
    <t>Kapanda</t>
  </si>
  <si>
    <t>Lester</t>
  </si>
  <si>
    <t>Research Dissemination Conference attendance fee</t>
  </si>
  <si>
    <t>Africa Centre of Excellence in Public Health and Herbal Medicine (ACEPHEM) - College of Medicine, University of Malawi</t>
  </si>
  <si>
    <t>Two full conference days</t>
  </si>
  <si>
    <t>International AIDS Society (IAS) conference attendance Scholarship (Registration and Air ticket)</t>
  </si>
  <si>
    <t>International AIDS Society</t>
  </si>
  <si>
    <t>International AIDS Society (IAS) Conference Scholarship</t>
  </si>
  <si>
    <t>C7/017</t>
  </si>
  <si>
    <t>Finda</t>
  </si>
  <si>
    <t>Francis</t>
  </si>
  <si>
    <t>Marceline</t>
  </si>
  <si>
    <t>Novel Transgenic technology &amp; Inherited symbionts to Vector Control (ANTI-VeC) Pump-Priming Grant</t>
  </si>
  <si>
    <t>University of Glasgow</t>
  </si>
  <si>
    <t>Anti-Vec - Pump priming grant</t>
  </si>
  <si>
    <t xml:space="preserve">Application of Novel Transgenic technology &amp; Inherited symbionts to Vector Control </t>
  </si>
  <si>
    <t>C6/016</t>
  </si>
  <si>
    <t>Ijadunola</t>
  </si>
  <si>
    <t>Yinyinade</t>
  </si>
  <si>
    <t>Macellina</t>
  </si>
  <si>
    <t xml:space="preserve">Tertiary Education Trust Fund (TETFund) Conference Grant </t>
  </si>
  <si>
    <t>C7/018</t>
  </si>
  <si>
    <t>Makwero</t>
  </si>
  <si>
    <t>Kabudula</t>
  </si>
  <si>
    <t>Martha</t>
  </si>
  <si>
    <t xml:space="preserve">Addressing	Non-Communicable	Disease	through	Primary	Care	in	Malawi.	 	</t>
  </si>
  <si>
    <t>Michigan State university  through Alliance for African partenerships</t>
  </si>
  <si>
    <t>Project Title: Building Heart, Lung, Blood and Sleep Diseases and Disorders Late-Stage Translation Phase 4 Research Capacity in Malawi</t>
  </si>
  <si>
    <t>National Institute of Health</t>
  </si>
  <si>
    <t>4 years ( 2017-2020)</t>
  </si>
  <si>
    <t>travel grant</t>
  </si>
  <si>
    <t>World congress of Family physicians ( WONCA)</t>
  </si>
  <si>
    <t xml:space="preserve"> conference attendance grant</t>
  </si>
  <si>
    <t>Royal college of GP's international office</t>
  </si>
  <si>
    <t xml:space="preserve">Primafammed / Gent univ </t>
  </si>
  <si>
    <t>Primafammed</t>
  </si>
  <si>
    <t>C4/020</t>
  </si>
  <si>
    <t>Mutua</t>
  </si>
  <si>
    <t>Michael</t>
  </si>
  <si>
    <t>Mbithi</t>
  </si>
  <si>
    <t>Evaluation of an existing program on reducing teenage pregnancy</t>
  </si>
  <si>
    <t>C7/020</t>
  </si>
  <si>
    <t>NISHIMWE</t>
  </si>
  <si>
    <t>Aurore</t>
  </si>
  <si>
    <t>One Health Fellowship</t>
  </si>
  <si>
    <t>Cummings Foundation_Tufts University(USA)</t>
  </si>
  <si>
    <t>C6/019</t>
  </si>
  <si>
    <t>Khoza</t>
  </si>
  <si>
    <t>Nomhle</t>
  </si>
  <si>
    <t>Makhosazane</t>
  </si>
  <si>
    <t>Conference scholarship</t>
  </si>
  <si>
    <t>AIDS Impact</t>
  </si>
  <si>
    <t>4 Days</t>
  </si>
  <si>
    <t>C4/023</t>
  </si>
  <si>
    <t>Mukungu</t>
  </si>
  <si>
    <t>Ayuma</t>
  </si>
  <si>
    <t>Nilian</t>
  </si>
  <si>
    <t>Small grant for theses and dissertation</t>
  </si>
  <si>
    <t>Association of African universities</t>
  </si>
  <si>
    <t>C7/021</t>
  </si>
  <si>
    <t>Adetutu</t>
  </si>
  <si>
    <t>Mayowa</t>
  </si>
  <si>
    <t>Olufemi</t>
  </si>
  <si>
    <t>NEEDS ASSESSMENT ACADEMIC AWARD</t>
  </si>
  <si>
    <t>OBAFEMI AWOLOWO UNIVERSITY</t>
  </si>
  <si>
    <t>3 YEARS</t>
  </si>
  <si>
    <t>ACADEMIC NEEDS ASSESSMENT</t>
  </si>
  <si>
    <t>OBAFEMI AWOLOWO UNIVERSITY, NIGERIA</t>
  </si>
  <si>
    <t>2 YEARS</t>
  </si>
  <si>
    <t>C5/021</t>
  </si>
  <si>
    <t>Morakinyo</t>
  </si>
  <si>
    <t>Oyewale</t>
  </si>
  <si>
    <t xml:space="preserve">Conference </t>
  </si>
  <si>
    <t>Regional water and Environmental and sanitation centre, Kumasi</t>
  </si>
  <si>
    <t>A week</t>
  </si>
  <si>
    <t>Travel grant award</t>
  </si>
  <si>
    <t>International Society for Environmental Epidemiology</t>
  </si>
  <si>
    <t>C7/022</t>
  </si>
  <si>
    <t>Ogun</t>
  </si>
  <si>
    <t>Onabanjo</t>
  </si>
  <si>
    <t>Olufunmilola</t>
  </si>
  <si>
    <t>Commonwealth Eye Health Consortium, Long-term Clinical Fellowship in Paediatric Ophthalmology and Strabismus surgery</t>
  </si>
  <si>
    <t>Full scholarship</t>
  </si>
  <si>
    <t>Commonwealth Eye Health Consortium</t>
  </si>
  <si>
    <t>C7/023</t>
  </si>
  <si>
    <t>Okunola</t>
  </si>
  <si>
    <t>Ademola</t>
  </si>
  <si>
    <t>Oluseye</t>
  </si>
  <si>
    <t>RECOGNITION OF ABSTRACT PRESENTATION AT INTERNATIONAL FESTIVAL OF PUBLIC HEALTH UK 2017</t>
  </si>
  <si>
    <t>MANCHESTER UNIVERSITY UK</t>
  </si>
  <si>
    <t>C6/020</t>
  </si>
  <si>
    <t>Olajubu</t>
  </si>
  <si>
    <t>Omobolanle</t>
  </si>
  <si>
    <t>Aanuoluwapo</t>
  </si>
  <si>
    <t>2014/2015 Needs Assessment Academic Staff Training</t>
  </si>
  <si>
    <t>Tertiary Education Training Fund</t>
  </si>
  <si>
    <t>C7/024</t>
  </si>
  <si>
    <t>Olawoye</t>
  </si>
  <si>
    <t>Oluyinka</t>
  </si>
  <si>
    <t>Olusola</t>
  </si>
  <si>
    <t>Co-investigator in NIH grant</t>
  </si>
  <si>
    <t>NIH</t>
  </si>
  <si>
    <t>Glaucoma research society travel grant</t>
  </si>
  <si>
    <t>Glaucoma research society</t>
  </si>
  <si>
    <t>C6/021</t>
  </si>
  <si>
    <t>Osiro</t>
  </si>
  <si>
    <t>Millicent Awino</t>
  </si>
  <si>
    <t>Olivia</t>
  </si>
  <si>
    <t>Kenya National Research Fund</t>
  </si>
  <si>
    <t>Government of Kenya</t>
  </si>
  <si>
    <t>2017 to 2019 financial years</t>
  </si>
  <si>
    <t>DAAD In-country scholarship extension</t>
  </si>
  <si>
    <t>Sept 2017 to Aug 2018</t>
  </si>
  <si>
    <t>DAAD Scholarship extension for 2017/2018</t>
  </si>
  <si>
    <t>September 2017 to August 2018</t>
  </si>
  <si>
    <t>DAAD Short research visit award</t>
  </si>
  <si>
    <t>C6/023</t>
  </si>
  <si>
    <t>Molete</t>
  </si>
  <si>
    <t>Primrose</t>
  </si>
  <si>
    <t>Mpho</t>
  </si>
  <si>
    <t>Faculty of Research Committee Individual Research Grants</t>
  </si>
  <si>
    <t>Wits Faculty Research Office</t>
  </si>
  <si>
    <t>3 months</t>
  </si>
  <si>
    <t>Health &amp; Welfare Sector Education &amp; Training Authority</t>
  </si>
  <si>
    <t>HWSETA -Government</t>
  </si>
  <si>
    <t>PhD Track</t>
  </si>
  <si>
    <t>Thuthuka</t>
  </si>
  <si>
    <t>Q4_2019</t>
  </si>
  <si>
    <t>C1/017</t>
  </si>
  <si>
    <t>Opiyo</t>
  </si>
  <si>
    <t>Okoyo</t>
  </si>
  <si>
    <t>Rose</t>
  </si>
  <si>
    <t>EAKI/ADB Conference Accomodation and Registration</t>
  </si>
  <si>
    <t>EAKI/ADB</t>
  </si>
  <si>
    <t>Graduate</t>
  </si>
  <si>
    <t>C7/025</t>
  </si>
  <si>
    <t>Kisaka</t>
  </si>
  <si>
    <t>M.B</t>
  </si>
  <si>
    <t>Stevens</t>
  </si>
  <si>
    <t>Deutscher Akademischer Austauschdienst /</t>
  </si>
  <si>
    <t>Enhancing Academic Qualifications in Teaching and Research in Public Health</t>
  </si>
  <si>
    <t>German Academic Exchange Service (DAAD)</t>
  </si>
  <si>
    <t>C3/022</t>
  </si>
  <si>
    <t>Kumwenda</t>
  </si>
  <si>
    <t>Save</t>
  </si>
  <si>
    <t>Sanitation and Hygiene Applied Research for Equity (SHARE Fellow)</t>
  </si>
  <si>
    <t>SHARE</t>
  </si>
  <si>
    <t>C4/027</t>
  </si>
  <si>
    <t>Nieuwoudt</t>
  </si>
  <si>
    <t>Jewett</t>
  </si>
  <si>
    <t>Sara</t>
  </si>
  <si>
    <t>Best Student Poster Presentation</t>
  </si>
  <si>
    <t>Faculty of Health Sciences</t>
  </si>
  <si>
    <t>C7/026</t>
  </si>
  <si>
    <t>Pilusa</t>
  </si>
  <si>
    <t>Imogene</t>
  </si>
  <si>
    <t>Sonti</t>
  </si>
  <si>
    <t>Early Career Academic staff (ECAD) Programme</t>
  </si>
  <si>
    <t>Dept of Higher Education and TRaining in collaboration with WITS Postgrauate research office</t>
  </si>
  <si>
    <t>FACULTY RESEARCH COMMITTEE INDIVIDUAL RESEARCH GRANTS</t>
  </si>
  <si>
    <t xml:space="preserve">WITS </t>
  </si>
  <si>
    <t xml:space="preserve">THUTHUKA NRF GRANT </t>
  </si>
  <si>
    <t xml:space="preserve">NATIONAL RESEARCH FOUNDATAION </t>
  </si>
  <si>
    <t>EARLY CAREER DEVELOPMENT PROGRAMME</t>
  </si>
  <si>
    <t>C6/024</t>
  </si>
  <si>
    <t>Mzee</t>
  </si>
  <si>
    <t>Said</t>
  </si>
  <si>
    <t>Tutu</t>
  </si>
  <si>
    <t>University of Dar es Salaam</t>
  </si>
  <si>
    <t>Directors Research and Innovation Fund</t>
  </si>
  <si>
    <t>C8/004</t>
  </si>
  <si>
    <t>Murererehe</t>
  </si>
  <si>
    <t>Julienne</t>
  </si>
  <si>
    <t>Harvard Fogarty Research ethics</t>
  </si>
  <si>
    <t>Harvard Fogarty Research ethics program</t>
  </si>
  <si>
    <t>NIH (forgaty ) grant</t>
  </si>
  <si>
    <t>C8/008</t>
  </si>
  <si>
    <t>Mbindyo</t>
  </si>
  <si>
    <t>Minoo</t>
  </si>
  <si>
    <t>Christine</t>
  </si>
  <si>
    <t>European Educational Programme in Epidemiology (EEPE) fellowship</t>
  </si>
  <si>
    <t xml:space="preserve">European Educational Programme in Epidemiology (EEPE) </t>
  </si>
  <si>
    <t>C8/011</t>
  </si>
  <si>
    <t>Musewa</t>
  </si>
  <si>
    <t>Angella</t>
  </si>
  <si>
    <t>Academy of Science of South Africa</t>
  </si>
  <si>
    <t>Centers for Disease Control and Prevention</t>
  </si>
  <si>
    <t>C8/013</t>
  </si>
  <si>
    <t>Peter</t>
  </si>
  <si>
    <t>Shepelo</t>
  </si>
  <si>
    <t>Getrude</t>
  </si>
  <si>
    <t>DAAD-scholarship</t>
  </si>
  <si>
    <t>C8/015</t>
  </si>
  <si>
    <t>Esan</t>
  </si>
  <si>
    <t>Oluwaseun</t>
  </si>
  <si>
    <t>Appointment as Hall Fellow_ Clinical Hostel: Responsibility Allowance per month</t>
  </si>
  <si>
    <t>Management of the Obafemi Awolowo University, Ile-Ife</t>
  </si>
  <si>
    <t>Waiver for the 5th Biennial Global Implementation conference 2019 registration fees</t>
  </si>
  <si>
    <t>Global Implementation Society</t>
  </si>
  <si>
    <t>Learned Conference Grant</t>
  </si>
  <si>
    <t>Obafemi Awolowo University, Ile-Ife, Nigeria</t>
  </si>
  <si>
    <t>C8/017</t>
  </si>
  <si>
    <t>Maseko</t>
  </si>
  <si>
    <t>Johanna</t>
  </si>
  <si>
    <t>Lebogang</t>
  </si>
  <si>
    <t>Early Career Academic Programme, DHET-ECAD 2019</t>
  </si>
  <si>
    <t>Department of Higher Education and Training</t>
  </si>
  <si>
    <t>Early Career Academic Programme</t>
  </si>
  <si>
    <t>ECAD</t>
  </si>
  <si>
    <t>C8/019</t>
  </si>
  <si>
    <t>OYELADE</t>
  </si>
  <si>
    <t>OLAJUMOKE</t>
  </si>
  <si>
    <t>OYEYEMI</t>
  </si>
  <si>
    <t>Faculty Research Grant</t>
  </si>
  <si>
    <t>Faculty Research Grant, Wits</t>
  </si>
  <si>
    <t>Faculty of Health Science Research Grant</t>
  </si>
  <si>
    <t>University of the Witwatersrand</t>
  </si>
  <si>
    <t>C8/020</t>
  </si>
  <si>
    <t>Ntirenganya</t>
  </si>
  <si>
    <t>.</t>
  </si>
  <si>
    <t>Faustin</t>
  </si>
  <si>
    <t>Eddie Reed Exchange Fellowship Program</t>
  </si>
  <si>
    <t>Massachusetts General Hospital and</t>
  </si>
  <si>
    <t xml:space="preserve">Wound dressings </t>
  </si>
  <si>
    <t>NIHR, UK</t>
  </si>
  <si>
    <t>C8/021</t>
  </si>
  <si>
    <t>Atiba</t>
  </si>
  <si>
    <t>Ayobami</t>
  </si>
  <si>
    <t>Foluso</t>
  </si>
  <si>
    <t>Trialect-Cellular &amp; Molecular Mechanisms of Cell Death- Cancers and Neurosciences Traineeship, Liverpool</t>
  </si>
  <si>
    <t>Trialect</t>
  </si>
  <si>
    <t>Trialect/University of Liverpool</t>
  </si>
  <si>
    <t>Cellular &amp; Molecular Mechanisms of Cell Death - Cancers and Neurosciences Traineeship, Liverpool</t>
  </si>
  <si>
    <t>Needs Assessment Fund</t>
  </si>
  <si>
    <t>Tertiary Educational Trust FUND (TETFUND) Nigeria</t>
  </si>
  <si>
    <t>C8/022</t>
  </si>
  <si>
    <t>Masamba</t>
  </si>
  <si>
    <t>Peter Lockie</t>
  </si>
  <si>
    <t>Leo</t>
  </si>
  <si>
    <t>GCSRT</t>
  </si>
  <si>
    <t>Harvard GCSRT</t>
  </si>
  <si>
    <t>Scottish Partnership</t>
  </si>
  <si>
    <t>Conference funding</t>
  </si>
  <si>
    <t>International Prevention Research Institute</t>
  </si>
  <si>
    <t>MLW PhD TopUp funding</t>
  </si>
  <si>
    <t>Wellcome Trust</t>
  </si>
  <si>
    <t>C8/024</t>
  </si>
  <si>
    <t>Popoola</t>
  </si>
  <si>
    <t>Akinyele</t>
  </si>
  <si>
    <t>Oluwafemi</t>
  </si>
  <si>
    <t>oanna Briggs Institute LMIC Clinical Fellowship 2018 Program</t>
  </si>
  <si>
    <t>oanna Briggs InstituteFaculty of Health and Medical Sciences The University of Adelaide SA 5005, AUSTRALIA</t>
  </si>
  <si>
    <t>C9/002</t>
  </si>
  <si>
    <t>Arije</t>
  </si>
  <si>
    <t>Olusesan</t>
  </si>
  <si>
    <t>Olujide</t>
  </si>
  <si>
    <t>Formative Audience Research to Inform Radio Serial Drama for Social and Behavior Change in Nigeria</t>
  </si>
  <si>
    <t>Population Media Centre</t>
  </si>
  <si>
    <t>C9/003</t>
  </si>
  <si>
    <t>Adams</t>
  </si>
  <si>
    <t>Nandi</t>
  </si>
  <si>
    <t>Skye</t>
  </si>
  <si>
    <t>Early Career Academic Development Programme</t>
  </si>
  <si>
    <t>CLTD</t>
  </si>
  <si>
    <t>C9/004</t>
  </si>
  <si>
    <t>Korukire</t>
  </si>
  <si>
    <t>Noel</t>
  </si>
  <si>
    <t>One Health for central and eastern Africa (OHCEA))</t>
  </si>
  <si>
    <t>C9/006</t>
  </si>
  <si>
    <t>Njagi</t>
  </si>
  <si>
    <t>Nkirote</t>
  </si>
  <si>
    <t>Lilian</t>
  </si>
  <si>
    <t>Africa centre of Excellence in Materials, Product Development and Nanotechnology</t>
  </si>
  <si>
    <t>C9/008</t>
  </si>
  <si>
    <t>Ssemugabo</t>
  </si>
  <si>
    <t xml:space="preserve">Charles </t>
  </si>
  <si>
    <t>UJMT fogarty global health fellowship program</t>
  </si>
  <si>
    <t>National Institute of Health and Fogarty International Center</t>
  </si>
  <si>
    <t>Emerging voices for global health residence program</t>
  </si>
  <si>
    <t xml:space="preserve">Institute of Tropical Medicine </t>
  </si>
  <si>
    <t>Preventing childhood injuries in Uganda - development of a child safety kit; preparation for a cluster randomised controlled trial</t>
  </si>
  <si>
    <t xml:space="preserve">Medical Research Council </t>
  </si>
  <si>
    <t>Preventing childhood injuries in Uganda - development of a child safety kit; preparation for a intervention study</t>
  </si>
  <si>
    <t xml:space="preserve">University of Oxford </t>
  </si>
  <si>
    <t>DGD scholarship: Short course in Qualitative and Mixed Methods in International Health Research</t>
  </si>
  <si>
    <t xml:space="preserve">Institute of tropical Medicine, Antwerp, Belgium </t>
  </si>
  <si>
    <t>C9/016</t>
  </si>
  <si>
    <t>Silaule</t>
  </si>
  <si>
    <t>Mkhonto</t>
  </si>
  <si>
    <t>Olindah</t>
  </si>
  <si>
    <t>Early Career Development Programme Start-up Grant</t>
  </si>
  <si>
    <t>C9/018</t>
  </si>
  <si>
    <t>OBIMAKINDE</t>
  </si>
  <si>
    <t>MARGARET</t>
  </si>
  <si>
    <t>ABIMBOLA</t>
  </si>
  <si>
    <t>U.I MEPI J award: Sponsorship to attend 3rd AFREHEALTH Conference</t>
  </si>
  <si>
    <t>NIH D43 grant</t>
  </si>
  <si>
    <t>C9/022</t>
  </si>
  <si>
    <t>MZEMBE</t>
  </si>
  <si>
    <t>GLORY</t>
  </si>
  <si>
    <t xml:space="preserve">AFRICA CENTRE OF EXCELLENCE IN PUBLIC HEALTH AND HERBAL MEDICINE (ACEPHEM) </t>
  </si>
  <si>
    <t>period 1 - 2018</t>
  </si>
  <si>
    <t>C3/020</t>
  </si>
  <si>
    <t>Philbert</t>
  </si>
  <si>
    <t>Byabato</t>
  </si>
  <si>
    <t>Anitha</t>
  </si>
  <si>
    <t>Competitive Research and Publication grant of the University of Dar es Salaam</t>
  </si>
  <si>
    <t>C3/015</t>
  </si>
  <si>
    <t>Agunbiade</t>
  </si>
  <si>
    <t>Melvin</t>
  </si>
  <si>
    <t>Ojo</t>
  </si>
  <si>
    <t>Lee Scholar Support</t>
  </si>
  <si>
    <t>Society for the Study of Social Problems</t>
  </si>
  <si>
    <t>period 1 - 2017</t>
  </si>
  <si>
    <t>C2/006</t>
  </si>
  <si>
    <t>Wandera</t>
  </si>
  <si>
    <t>Ojiambo</t>
  </si>
  <si>
    <t>Stephen</t>
  </si>
  <si>
    <t>Small Grant</t>
  </si>
  <si>
    <t>Measure Evaluation</t>
  </si>
  <si>
    <t>DIES/CREST Online Training Course for Supervisors of Doctoral Candidates at African Universities</t>
  </si>
  <si>
    <t>period 2 - 2018</t>
  </si>
  <si>
    <t xml:space="preserve">Travel Grant </t>
  </si>
  <si>
    <t xml:space="preserve">Travel Grant as a Guest Lecturer at the Royal University of Groningen, The Netherlands </t>
  </si>
  <si>
    <t xml:space="preserve">Royal University of Groningen, The Netherlands </t>
  </si>
  <si>
    <t>C3/013</t>
  </si>
  <si>
    <t>Faronbi</t>
  </si>
  <si>
    <t>Olayiwola</t>
  </si>
  <si>
    <t>Joel</t>
  </si>
  <si>
    <t>University of Gothenburg Research Centre</t>
  </si>
  <si>
    <t>2 days</t>
  </si>
  <si>
    <t>C2/002</t>
  </si>
  <si>
    <t>Nyondo-Mipando</t>
  </si>
  <si>
    <t>Linda</t>
  </si>
  <si>
    <t>Alinane</t>
  </si>
  <si>
    <t>IDRC</t>
  </si>
  <si>
    <t>Dynamics of Health care Utilization in the context of RTSs Vaccine</t>
  </si>
  <si>
    <t>PATH</t>
  </si>
  <si>
    <t>C4/004</t>
  </si>
  <si>
    <t>Mapayi</t>
  </si>
  <si>
    <t>Moyosore</t>
  </si>
  <si>
    <t>Boladale</t>
  </si>
  <si>
    <t>Travel</t>
  </si>
  <si>
    <t>C3/014</t>
  </si>
  <si>
    <t>Mangeni</t>
  </si>
  <si>
    <t>Nekesa</t>
  </si>
  <si>
    <t>Judith</t>
  </si>
  <si>
    <t>Spatial scales of Plasmodium falciparum generations; implications for elimination</t>
  </si>
  <si>
    <t xml:space="preserve">Grant-A sub award grant,P.I is Dr. Ailsa Holloway from South Africa,local P.I is Dr. Diana Menya and I'm co-P.I on the projectDisaster Risk Reduction </t>
  </si>
  <si>
    <t>C1/019</t>
  </si>
  <si>
    <t>Adedokun</t>
  </si>
  <si>
    <t>Sulaimon</t>
  </si>
  <si>
    <t>Carnegie Fund for Conference Attendance</t>
  </si>
  <si>
    <t>Institute of International Education</t>
  </si>
  <si>
    <t xml:space="preserve">For the conference </t>
  </si>
  <si>
    <t>PAA 2017 Conference Travel Award</t>
  </si>
  <si>
    <t>Population Association of America</t>
  </si>
  <si>
    <t>For the conference</t>
  </si>
  <si>
    <t>C2/007</t>
  </si>
  <si>
    <t>FAGBAMIGBE</t>
  </si>
  <si>
    <t>FRANCIS</t>
  </si>
  <si>
    <t>ADENIYI</t>
  </si>
  <si>
    <t>28th International Population Conference in Cape Town, South Africa</t>
  </si>
  <si>
    <t>Statistics, South Africa</t>
  </si>
  <si>
    <t>ICFP travel grant</t>
  </si>
  <si>
    <t>The Gates Institute</t>
  </si>
  <si>
    <t>Africa Oxford (AfOx) Travel Grant</t>
  </si>
  <si>
    <t>African Oxford Initiatives</t>
  </si>
  <si>
    <t>C3/005</t>
  </si>
  <si>
    <t>Kato</t>
  </si>
  <si>
    <t>Drago</t>
  </si>
  <si>
    <t>Charles</t>
  </si>
  <si>
    <t>SIDA small grant</t>
  </si>
  <si>
    <t>SIDA</t>
  </si>
  <si>
    <t>C3/004</t>
  </si>
  <si>
    <t>Olumide</t>
  </si>
  <si>
    <t>Oluwafunmilola</t>
  </si>
  <si>
    <t>Adesola</t>
  </si>
  <si>
    <t>Grant awarded to the Centre for Population and Reproductive Health, Univ of Ibadan to serve as collaborating partner to MLE tocarryout an evaluation (qualitative) of a reproductive health project in three states in Nigeria</t>
  </si>
  <si>
    <t>Measurement, Learning and Evaluation</t>
  </si>
  <si>
    <t>Conference support</t>
  </si>
  <si>
    <t>Feasibility Study Youth Power Action Adolescents Living with HIV Study (Nigeria)</t>
  </si>
  <si>
    <t>FHI 360</t>
  </si>
  <si>
    <t>Local Research Partner for the Qualitative Evaluation of the Nigerian Urban Reproductive Health Initiative (NURHI) in Three Cities in Nigeria01/12/2021: Consultancy awarded to the Center for Population and Reproductive Health to serve as In-country implementer of an MLE-sponsored evaluation</t>
  </si>
  <si>
    <t>Measurement Learning and Evaluation</t>
  </si>
  <si>
    <t>INSPIRE Dissemination Funding</t>
  </si>
  <si>
    <t>Ignite Philanthropy and New Venture Fund</t>
  </si>
  <si>
    <t>C3/003</t>
  </si>
  <si>
    <t>Khisa</t>
  </si>
  <si>
    <t>Majuma</t>
  </si>
  <si>
    <t>Anne</t>
  </si>
  <si>
    <t xml:space="preserve"> 	Improving Evaluation Practice for Research Capacity Strengthening Project</t>
  </si>
  <si>
    <t>DFID through Liverpool School of Tropical Medicine</t>
  </si>
  <si>
    <t>C1/010</t>
  </si>
  <si>
    <t>Niragire</t>
  </si>
  <si>
    <t>François</t>
  </si>
  <si>
    <t>BIARI  GRANT for Travel and participation in BIARI 2018: Social Change and Health in Africa, at APHRC, Nairobi, Kenya,3-9 June 2018</t>
  </si>
  <si>
    <t>APHRC and Brown Univerity International Advanced Research Institutes (BIARI).</t>
  </si>
  <si>
    <t>McGoldrick Professional Development Program in Public Health</t>
  </si>
  <si>
    <t>ARISE Network</t>
  </si>
  <si>
    <t>Q1_2019</t>
  </si>
  <si>
    <t>C3/001</t>
  </si>
  <si>
    <t>Adefolarin</t>
  </si>
  <si>
    <t>BOTNAR award</t>
  </si>
  <si>
    <t>BOTNAR Foundation</t>
  </si>
  <si>
    <t>Adesoa</t>
  </si>
  <si>
    <t xml:space="preserve">Africa Epidemiology Association </t>
  </si>
  <si>
    <t>Q2_2019</t>
  </si>
  <si>
    <t>Conference travel grant</t>
  </si>
  <si>
    <t xml:space="preserve">International Epidemiology Association/ Africa Epidemiology Association </t>
  </si>
  <si>
    <t xml:space="preserve">The African Academy of Sciences (The AAS) in partnership with the Malaria Research Capacity Development in West and Central Africa (MARCAD), Developing Excellence in Leadership and Genetic Training for Malaria Elimination in Sub Saharan Africa (DELGEME) and Afrique One African Science Partnership for Intervention Research Excellence (Afrique One-ASPIRE) </t>
  </si>
  <si>
    <t>Q3_2019</t>
  </si>
  <si>
    <t xml:space="preserve">DELTAS Africa CPE Seed Fund Round 1 </t>
  </si>
  <si>
    <t xml:space="preserve">The African Academy of Sciences (The AAS) </t>
  </si>
  <si>
    <t>African Academy of Science</t>
  </si>
  <si>
    <t>AAS</t>
  </si>
  <si>
    <t>Clinical Validation of Novel Stage Diagnostic Bio-markers Among Trypanosoma brucei rhodesiense Sleeping Sickness Patients in Uganda</t>
  </si>
  <si>
    <t>MUII-Plus</t>
  </si>
  <si>
    <t>C1/004</t>
  </si>
  <si>
    <t>Dieudonne</t>
  </si>
  <si>
    <t>Uwizeye</t>
  </si>
  <si>
    <t xml:space="preserve">ICUH2019 Scholarship </t>
  </si>
  <si>
    <t xml:space="preserve"> The International Society for Urban Health</t>
  </si>
  <si>
    <t>ICFP 2018 travel award</t>
  </si>
  <si>
    <t>Gates and Belinder</t>
  </si>
  <si>
    <t>A FEASABILITY STUDY OF INTRAPARTUM GROUP B STREPTOCOCCUS (GBS) TESTING TO GUIDE ANTIBIOTIC PROPHYLAXIS IN MALAWI</t>
  </si>
  <si>
    <t>INGSA Research Associate Grant</t>
  </si>
  <si>
    <t>International Development Research Centre(IDRC)</t>
  </si>
  <si>
    <t>INGSA 2019 Research Associates Grant</t>
  </si>
  <si>
    <t>IDRC Canada</t>
  </si>
  <si>
    <t>C5/002</t>
  </si>
  <si>
    <t>Ndikumana</t>
  </si>
  <si>
    <t>INSTITUTIONALIZATIOONF C ARTAI NNOVATIONS</t>
  </si>
  <si>
    <t>AFRICAN POPULATION AND HEALTH RESEARCH CENTRE-CARTA</t>
  </si>
  <si>
    <t>Travel grant to HELINA conference in Bujumbura / Burundi</t>
  </si>
  <si>
    <t>Open Clinic Foundation</t>
  </si>
  <si>
    <t>Hepatitis C in Uganda: Identification of infected donors for Micro-elimination</t>
  </si>
  <si>
    <t>National Institutes of Health</t>
  </si>
  <si>
    <t>Cytokines as novel therapeutic agents in the management of late stage Trypanosoma brucei rhodesiense sleeping sickness: a preclinical trial</t>
  </si>
  <si>
    <t>C2/004</t>
  </si>
  <si>
    <t>Diana</t>
  </si>
  <si>
    <t>Menya</t>
  </si>
  <si>
    <t xml:space="preserve">National Research Fund &amp; Medical Research Council </t>
  </si>
  <si>
    <t>Post doc award- SOPH-UWC</t>
  </si>
  <si>
    <t>Belgian Cooperation</t>
  </si>
  <si>
    <t>C4/024</t>
  </si>
  <si>
    <t>Damian</t>
  </si>
  <si>
    <t>Shumbusho</t>
  </si>
  <si>
    <t>Respicius</t>
  </si>
  <si>
    <t>DELTAS Africa Community and Public Engagement Seed Fund</t>
  </si>
  <si>
    <t>African Academy of Sciences (AAS)</t>
  </si>
  <si>
    <t>Wellcome Trust Training Fellowship</t>
  </si>
  <si>
    <t>Q1_2020</t>
  </si>
  <si>
    <t>DELTAS Africa CPE Seed Fund Award</t>
  </si>
  <si>
    <t xml:space="preserve">Floweret </t>
  </si>
  <si>
    <t>THUTHUKA FUNDING INSTRUMENT</t>
  </si>
  <si>
    <t>Ordinary Research Grant</t>
  </si>
  <si>
    <t>Sida through UR-Sweden programmme</t>
  </si>
  <si>
    <t>24 months</t>
  </si>
  <si>
    <t>Post Doctoral Research Fellow (PDRF) research grant of the University of the Western Cape in South Africa.</t>
  </si>
  <si>
    <t>Belgian Development Cooperation</t>
  </si>
  <si>
    <t>C4/022</t>
  </si>
  <si>
    <t>Dube</t>
  </si>
  <si>
    <t>Nkosiyazi</t>
  </si>
  <si>
    <t xml:space="preserve">Early Career Academic Development </t>
  </si>
  <si>
    <t xml:space="preserve">Wits Research and Centre for Learning and Teaching Development Offices </t>
  </si>
  <si>
    <t>Travel Grant and Dependent Care Grant  to participate in Population Association of America Conference 2020.</t>
  </si>
  <si>
    <t>PAA</t>
  </si>
  <si>
    <t>period 1 _2020</t>
  </si>
  <si>
    <t xml:space="preserve"> -</t>
  </si>
  <si>
    <t xml:space="preserve"> ESTABLISHING A KNOWLEDGE MANAGEMENT AND EVIDENCE RESPONSE UNIT (KERU) by Makerere Research and Innovation Grant (MAKRIF); .</t>
  </si>
  <si>
    <t xml:space="preserve">Government of Uganda </t>
  </si>
  <si>
    <t>In-region in Country PhD fellowship</t>
  </si>
  <si>
    <t>University of Ibadan Mentorship Training Programme for Junior Faculty (UI-MEPI-J))</t>
  </si>
  <si>
    <t>African conversations about gene drives for malaria elimination</t>
  </si>
  <si>
    <t>Foundation for NIH</t>
  </si>
  <si>
    <t>Travel and conference attendance</t>
  </si>
  <si>
    <t xml:space="preserve">American Acadamy of family physicians </t>
  </si>
  <si>
    <t xml:space="preserve">Medical Research Council and </t>
  </si>
  <si>
    <t>NRF Thuthuka award</t>
  </si>
  <si>
    <t>RIF-Special COVID Call</t>
  </si>
  <si>
    <t>Government of Uganda</t>
  </si>
  <si>
    <t xml:space="preserve">THUTHUKA </t>
  </si>
  <si>
    <t xml:space="preserve">National Research fund </t>
  </si>
  <si>
    <t>Doctoral National research Fund (NRF)</t>
  </si>
  <si>
    <t>National Research Fund (NRF)</t>
  </si>
  <si>
    <t>Tertiary Educational Trust Fund (TETF)</t>
  </si>
  <si>
    <t>TETFund Nigeria</t>
  </si>
  <si>
    <t>Welcome Trust PhD topup funding</t>
  </si>
  <si>
    <t>Welcome Trust</t>
  </si>
  <si>
    <t>C9/001</t>
  </si>
  <si>
    <t>Moya</t>
  </si>
  <si>
    <t>Yamie</t>
  </si>
  <si>
    <t>Ernest</t>
  </si>
  <si>
    <t>ACEPHEM Grant</t>
  </si>
  <si>
    <t>World Bank</t>
  </si>
  <si>
    <t xml:space="preserve">Research grant </t>
  </si>
  <si>
    <t xml:space="preserve">SIDA research grant </t>
  </si>
  <si>
    <t>University of Rwanda -Directorate of Research in collaboration with SIDA</t>
  </si>
  <si>
    <t xml:space="preserve">Makerere University Research and Innovation Fund </t>
  </si>
  <si>
    <t>C10/013</t>
  </si>
  <si>
    <t>Sekome</t>
  </si>
  <si>
    <t>Kganetso</t>
  </si>
  <si>
    <t>Scholarship grant</t>
  </si>
  <si>
    <t>Joint PhD scholarship</t>
  </si>
  <si>
    <t>University Staff Doctoral Program (USDP)</t>
  </si>
  <si>
    <t>C10/018</t>
  </si>
  <si>
    <t>Olorunmoteni</t>
  </si>
  <si>
    <t>Eunice</t>
  </si>
  <si>
    <t>Oluwatosin</t>
  </si>
  <si>
    <t>Cerebral palsy and Developmental disabilities Early Screening and Treatment(CDEST) Project</t>
  </si>
  <si>
    <t>American Academy of Paediatrics</t>
  </si>
  <si>
    <t>C10/001</t>
  </si>
  <si>
    <t>Muhayimana</t>
  </si>
  <si>
    <t>Alice</t>
  </si>
  <si>
    <t>Promoting Respectful maternity care</t>
  </si>
  <si>
    <t>Q2_2020</t>
  </si>
  <si>
    <t>Bacteriophage-based control of transmission and emergency of carbapenem resistant pathotypes of Escherichia coli and Klebsiella pneumoniae in Uganda.</t>
  </si>
  <si>
    <t>WHO/TDR</t>
  </si>
  <si>
    <t>Research and Innovations Fund at Makerere University</t>
  </si>
  <si>
    <t>African Humanities Program</t>
  </si>
  <si>
    <t>American Council of Learned Societies (ACLS)</t>
  </si>
  <si>
    <t>Period 2_2020</t>
  </si>
  <si>
    <t>Ministry of Education Malawi</t>
  </si>
  <si>
    <t>Assessing the preparedness of the primary health care system to deliver diabetes mellitus prevention and control in Blantyre district, Malawi</t>
  </si>
  <si>
    <t>Q3_2020</t>
  </si>
  <si>
    <t>C4/003</t>
  </si>
  <si>
    <t>Andrew</t>
  </si>
  <si>
    <t>Tamale</t>
  </si>
  <si>
    <t>Post doctoral research grant</t>
  </si>
  <si>
    <t>SECA-Makerere University</t>
  </si>
  <si>
    <t>Operatinalize the Application of phages fr management of Bacterial diseases in fish hatcheries</t>
  </si>
  <si>
    <t>Period 1 _2020</t>
  </si>
  <si>
    <t>C8/023</t>
  </si>
  <si>
    <t xml:space="preserve">Florence </t>
  </si>
  <si>
    <t>Basiimwa</t>
  </si>
  <si>
    <t>Tushemerirwe</t>
  </si>
  <si>
    <t>Use Media monitoring data to explore the extent and nature of food and beverage advertising to children in Uganda.</t>
  </si>
  <si>
    <t>Global Effort on COVID-19 (GECO) Health Research</t>
  </si>
  <si>
    <t>UKRI MRC</t>
  </si>
  <si>
    <t>ACE_DS Research Grant</t>
  </si>
  <si>
    <t>African Centre of Excellence in Data Science</t>
  </si>
  <si>
    <t>Early career pharmacovigilance grant</t>
  </si>
  <si>
    <t>Uppsala Monitoring Centre and CARTA</t>
  </si>
  <si>
    <t>Engineering and Physical Sciences Research Council (EPSRC)</t>
  </si>
  <si>
    <t>Tetfund</t>
  </si>
  <si>
    <t>Tertiary Education Trust Fund</t>
  </si>
  <si>
    <t>C7/009</t>
  </si>
  <si>
    <t>Chisati</t>
  </si>
  <si>
    <t>Enock</t>
  </si>
  <si>
    <t>Madalitso</t>
  </si>
  <si>
    <t>Mentored research small grant</t>
  </si>
  <si>
    <t>NCD BRITE</t>
  </si>
  <si>
    <t>HIV-ASSOCIATED MALIGNANCIES IN LMICS</t>
  </si>
  <si>
    <t>NIH-NATIONA;L CANCER INSTITUTE</t>
  </si>
  <si>
    <t xml:space="preserve">Primary health care research consortium </t>
  </si>
  <si>
    <t>The gorge Washington Institute of Global Health</t>
  </si>
  <si>
    <t xml:space="preserve">Award number 70324: Strengthening Health Systems through Primary Care leaders Education </t>
  </si>
  <si>
    <t>NORAD</t>
  </si>
  <si>
    <t>C8/001</t>
  </si>
  <si>
    <t>Farlane</t>
  </si>
  <si>
    <t>Lindiwe</t>
  </si>
  <si>
    <t>Conference Scholarship</t>
  </si>
  <si>
    <t>International Aids Society</t>
  </si>
  <si>
    <t>Global Research Grant_STOP Spillover will enhance the capacity of institutions in countries across Africa and Asia to understand factors that contribute to the risk of disease spread from animals to humans</t>
  </si>
  <si>
    <t>In-Country/In-Region DAAD Scholarship</t>
  </si>
  <si>
    <t>Impact of COVID-19 on surgical system</t>
  </si>
  <si>
    <t>National council for Science and Technology, Rwanda</t>
  </si>
  <si>
    <t>Florence</t>
  </si>
  <si>
    <t>Makerere University Research and Innovation Fund Phase -2 (MakRIF 2)</t>
  </si>
  <si>
    <t>The Government of Uganda</t>
  </si>
  <si>
    <t>SHCD Ad Hoc Catalytic Publication Award (R 10 000)</t>
  </si>
  <si>
    <t>SCHD</t>
  </si>
  <si>
    <t xml:space="preserve">ASHA Sponsorship for SASLHA Virtual Conference Registration </t>
  </si>
  <si>
    <t>ASHA</t>
  </si>
  <si>
    <t xml:space="preserve">Faculty of Humanities Research Promotion Grant </t>
  </si>
  <si>
    <t xml:space="preserve">Faculty Humanities University of Witwatersrand </t>
  </si>
  <si>
    <t>C9/007</t>
  </si>
  <si>
    <t>Banamwana</t>
  </si>
  <si>
    <t>G.</t>
  </si>
  <si>
    <t>Leonidas</t>
  </si>
  <si>
    <t>ACE-DS</t>
  </si>
  <si>
    <t>C9/012</t>
  </si>
  <si>
    <t>Van Stormbroek</t>
  </si>
  <si>
    <t>Kirsty</t>
  </si>
  <si>
    <t xml:space="preserve">Mentoring award </t>
  </si>
  <si>
    <t>School of Therapeutic Sciences, University of the Witwatersrand</t>
  </si>
  <si>
    <t xml:space="preserve">ECAD Start-up Grant </t>
  </si>
  <si>
    <t>C9/019</t>
  </si>
  <si>
    <t>Tonui</t>
  </si>
  <si>
    <t>Kibet</t>
  </si>
  <si>
    <t>Ronald</t>
  </si>
  <si>
    <t>Determining biological and viral factors associated with clinical progression of cervical dysplasia in HIV-infected women</t>
  </si>
  <si>
    <t>National Cancer Institute</t>
  </si>
  <si>
    <t>C10/011</t>
  </si>
  <si>
    <t>Kang'ethe</t>
  </si>
  <si>
    <t>Mburu</t>
  </si>
  <si>
    <t>James</t>
  </si>
  <si>
    <t>INTEREST 2020</t>
  </si>
  <si>
    <t>NIH Fogarty</t>
  </si>
  <si>
    <t>International workshop on HIV and Pediatrics 2020 conference scholarship</t>
  </si>
  <si>
    <t>Virology education</t>
  </si>
  <si>
    <t>6th workshop on children and adolescent HIV- exposed and uninfected (AIDS Cipher team) conference scholarship</t>
  </si>
  <si>
    <t>Cipher</t>
  </si>
  <si>
    <t>AIDS 2020</t>
  </si>
  <si>
    <t>C10/012</t>
  </si>
  <si>
    <t>Muleme</t>
  </si>
  <si>
    <t>Strengthening Zoonotic Disease management and Biosecurity in High risk Ecosystems of Uganda</t>
  </si>
  <si>
    <t>Makerere University Research and Innovation Fund -With support from Government of Uganda</t>
  </si>
  <si>
    <t>Thuthuka Grant</t>
  </si>
  <si>
    <t>Effects of Modification in Lifestyle and Daily Routine on Blood Pressure Among Hypertensive Rural</t>
  </si>
  <si>
    <t>Blended Teaching and Learning in Nursing and Midwifery Education in Rwanda</t>
  </si>
  <si>
    <t>UNFPA</t>
  </si>
  <si>
    <t>Q4_2020</t>
  </si>
  <si>
    <t xml:space="preserve">Digital Records Curation Programme Award </t>
  </si>
  <si>
    <t>National Digital Stewardship Alliance.</t>
  </si>
  <si>
    <t>Establishment of a Biomarker research facility to first track the development of COVID19 novel diagnostics and treatment alternatives in Uganda</t>
  </si>
  <si>
    <t>Presidential Scientific Initiative on epidemics</t>
  </si>
  <si>
    <t>Developing a peer-support model for promoting patient reporting of ADRs</t>
  </si>
  <si>
    <t>World Health Organization TDR</t>
  </si>
  <si>
    <t xml:space="preserve">Developing a peer-support model for promoting patient involvement in Adverse Drug Reactions(ADRs) reporting </t>
  </si>
  <si>
    <t>Rahamon Bello Best PhD Thesis in African &amp; Diaspora Studies Award</t>
  </si>
  <si>
    <t>Institute of African and Diaspora Studies, University of Lagos, Nigeria</t>
  </si>
  <si>
    <t>TetFund</t>
  </si>
  <si>
    <t>Assessment of well-being and vulnerability of orphans in Orphanage and Family Settings in Nigeria</t>
  </si>
  <si>
    <t>COVID-19 Grant Fund</t>
  </si>
  <si>
    <t>Socio-Cultural Dynamics in the Transmission of COVID-19 and Experience of Intimate Partner Violence amongst Women in Urban and Rural Communities in South West Nigeria.</t>
  </si>
  <si>
    <t>Horizon 2020 European Union Funding for research and Innovation</t>
  </si>
  <si>
    <t>The European and Developing Countries Clinical Trials Partnership Association implementing EDCTP2</t>
  </si>
  <si>
    <t>Countering the prevalence of substandard and falsified medicines in Malawi - COPSMEDS</t>
  </si>
  <si>
    <t>Q1_2021</t>
  </si>
  <si>
    <t>Grant has not yet been awarded</t>
  </si>
  <si>
    <t>WHO Alliance for Health Policy and Systems Research</t>
  </si>
  <si>
    <t>Effective health service coverage in Uganda following donor transition.</t>
  </si>
  <si>
    <t>University of Dar es Salaam 3rd competitive research grant</t>
  </si>
  <si>
    <t>Directorate of research, University of Dar es Salaam</t>
  </si>
  <si>
    <t>Investigation of larvicidal, adulticidal and repellent action of Dioscorea 	sansibarensis plant extract against dengue 	vectors (Aedes aegypti</t>
  </si>
  <si>
    <t xml:space="preserve">Jepchirchir </t>
  </si>
  <si>
    <t>Fogarty Fellowship</t>
  </si>
  <si>
    <t>National Institute of Health - Fogarty International Center</t>
  </si>
  <si>
    <t>Integrating Hypertension and Diabetes Screening and Management with HIV care Services for Older Adults: Feasibility Study</t>
  </si>
  <si>
    <t>Period 1_2021</t>
  </si>
  <si>
    <t>C4/010</t>
  </si>
  <si>
    <t>Malenga</t>
  </si>
  <si>
    <t>Chiseko</t>
  </si>
  <si>
    <t>Tumaini</t>
  </si>
  <si>
    <t>Young African Leadership Programme</t>
  </si>
  <si>
    <t xml:space="preserve">European University Institute </t>
  </si>
  <si>
    <t xml:space="preserve">THUTHUKA FUNDING </t>
  </si>
  <si>
    <t xml:space="preserve">national research foundation </t>
  </si>
  <si>
    <t xml:space="preserve">Impact of health promotion intervention on the managment of bladder and bowel problems in people with spinal cord injury </t>
  </si>
  <si>
    <t>C8/003</t>
  </si>
  <si>
    <t>Habimana</t>
  </si>
  <si>
    <t>Jean de Dieu</t>
  </si>
  <si>
    <t>Nestle study grant</t>
  </si>
  <si>
    <t>Nestle foundation</t>
  </si>
  <si>
    <t>PREVALENCE AND ASSOCIATED FACTORS WITH STUNTING AMONG POOR HOUSEHOLDS OF CHILDREN AGED 6-23 MONTHS IN RWANDA</t>
  </si>
  <si>
    <t>Reproductive Health Division of the Federal Ministry of Health Nigeria</t>
  </si>
  <si>
    <t>Marie Stopes Nigeria</t>
  </si>
  <si>
    <t>DDD &amp; PC Charitable Trust</t>
  </si>
  <si>
    <t>Educational expense support</t>
  </si>
  <si>
    <t>TB Research Training Center Junior Investigator Award</t>
  </si>
  <si>
    <t xml:space="preserve">Internationa Conference on Urban Health scholarship award </t>
  </si>
  <si>
    <t>International Society of Urban Health</t>
  </si>
  <si>
    <t>C9/011</t>
  </si>
  <si>
    <t>Eneku</t>
  </si>
  <si>
    <t>Wilfred</t>
  </si>
  <si>
    <t>Tuition Waiver</t>
  </si>
  <si>
    <t>National Research Foundation (SA)</t>
  </si>
  <si>
    <t>N/A</t>
  </si>
  <si>
    <t>C10/003</t>
  </si>
  <si>
    <t>Ingabire</t>
  </si>
  <si>
    <t>Allen</t>
  </si>
  <si>
    <t>Jean de la Croix</t>
  </si>
  <si>
    <t>CHEETAH TRIAL</t>
  </si>
  <si>
    <t>NIHR</t>
  </si>
  <si>
    <t xml:space="preserve">ClustEr randomisEd Trial of sterile glove And instrument change at the time of wound closure to reduce surgical site infection (CHEETAH TRIAL) </t>
  </si>
  <si>
    <t>C10/010</t>
  </si>
  <si>
    <t>Oporia</t>
  </si>
  <si>
    <t xml:space="preserve">Frederick </t>
  </si>
  <si>
    <t>Seed Research Funds</t>
  </si>
  <si>
    <t>Makerere University School of Public Health</t>
  </si>
  <si>
    <t>How effective are they in preventing drowning? Seaworthiness of lifejackets used by boaters on Lake Albert, Uganda.</t>
  </si>
  <si>
    <t>It is grant in the project where my PhD is nested</t>
  </si>
  <si>
    <t xml:space="preserve">Bloomberg Philanthropies </t>
  </si>
  <si>
    <t>Improving use of seaworthy life jackets among boaters on Lake Albert, Uganda. A cluster randomized trial</t>
  </si>
  <si>
    <t>IAS 2021 conference scholarship</t>
  </si>
  <si>
    <t>Q2_2021</t>
  </si>
  <si>
    <t>The award is to participate in a multi-country collaborative study to assess the construct validity of a new sexual health-related survey instrument within the general population using cognitive interviews</t>
  </si>
  <si>
    <t>WHO-HRP</t>
  </si>
  <si>
    <t>A multi-country collaborative study to assess the construct validity of a new sexual health-related survey instrument within the general population using cognitive interviews</t>
  </si>
  <si>
    <t>The award was competitively won among many groups of academics across all universities in Nigeria. A multidisciplinary approach was used that combined scientists, social researchers, and clinicians.</t>
  </si>
  <si>
    <t>A VIRTUAL LEARNING MODEL FOR CLINICAL STUDENTS DURING THE COVID-19 LOCKDOWN AND BEYOND</t>
  </si>
  <si>
    <t>Developing a mosquito monitoring tool for lower development countries</t>
  </si>
  <si>
    <t>Bill and Melinda Gates Foundation</t>
  </si>
  <si>
    <t>HUMBUG: Developing a mosquito monitoring tool for lower development countries</t>
  </si>
  <si>
    <t>Period 2_2021</t>
  </si>
  <si>
    <t xml:space="preserve">Postgraduate merit award </t>
  </si>
  <si>
    <t>The UKRI GCRF Accelerating Achievement for Africa’s Adolescents Hub.</t>
  </si>
  <si>
    <t>The UKRI GCRF Accelerating Achievement for Africa’s Adolescents Hub. UWC is a research partner in the Hub, which is led by Oxford University.</t>
  </si>
  <si>
    <t>Q4_2021</t>
  </si>
  <si>
    <t>Postdoctoral Fellowship</t>
  </si>
  <si>
    <t>African Centre for Migration and Society (ACMS), University of the Witwatersrand</t>
  </si>
  <si>
    <t>Q3_2021</t>
  </si>
  <si>
    <t>Faculty Exchange program at the University of Tennessee, funded by the United State Department of Agriculture</t>
  </si>
  <si>
    <t>United State Department of Agriculture</t>
  </si>
  <si>
    <t>Nigeria</t>
  </si>
  <si>
    <t xml:space="preserve"> 2020 Tertiary Education Trust Fund (TETFUND) National Research Fund to the tune of 10,348,000.00 Naira (US$26,119.47).</t>
  </si>
  <si>
    <t xml:space="preserve">Federal Government of Nigeria </t>
  </si>
  <si>
    <t>Use of Learning Platforms and Ethical Behaviour of Library and Information Science Undergraduates in Nigeria</t>
  </si>
  <si>
    <t>"The skills and knowledge I acquired from the CARTA PhD fellowship have positioned me with the capacity to add value to the team which emerged winner out of the many others that applied for this highly competitive grant, " Alonge said.</t>
  </si>
  <si>
    <t>Uganda</t>
  </si>
  <si>
    <t>RIF 3</t>
  </si>
  <si>
    <t>Uganda Government</t>
  </si>
  <si>
    <t>Theme 2: Achieving Sustainable health as a means to sustainable development    The high frequency of epidemics and pandemic threats calls for robust approaches to epidemic  intelligence, forecasting, response and control as well as one-health approaches to emerging threats  (especially RNA viruses). New biotechnology products for early characterization, diagnosis and preemptive screening for deadly threats as well as just-in-time vaccine development capacity for new disease  strains are necessary. Tools and approaches for better surveillance and improved public health response  to emergencies are pertinent.  Summary  There exist evidence-based gaps in Health and Agriculture sector strategic plans in terms of preparedness  and response to zoonotic epidemics of pandemic potential (ZoEOPP) [1]. Prediction models are a  potential resource that bridge gaps where insufficient data are likely [2]. Such zoonoses of pandemic  potential include Rift Valley Fever, SARS-H1N12009, Yellow fever, Avian Influenzas H5N1&amp;H7N9, West  Nile virus, MERS-COV.  The overarching objective of this project is to skill local personnel that handle data at respective sectors in  building Artificial Intelligence (AI)-enabled &amp; statistical models for better, quick and precise prediction of  Zoonotic epidemics of pandemic potential so that we don't fall in a trap exactly like for COVID-19.  Ultimately, this project shall create a new breed of biostatisticians that we may call "One Health  Statisticians (OHS)" who will be better suited to guide Animal and human health related sector strategic  plan development platforms.</t>
  </si>
  <si>
    <t>Postdoctoral Fellowship: ARUA/Carnegie Early Career Research Fellowship</t>
  </si>
  <si>
    <t>African Research Universities Alliance (ARUA)</t>
  </si>
  <si>
    <t>"This Early-Career Research Fellowship is being initiated by the African Research Universities Alliance (ARUA), with support from the Carnegie Corporation of New York, to support a total of thirteen (13) Early-Career Research Fellows to undertake globally competitive research at the ARUA Centres of Excellence (CoEs).    The goal is to strengthen the capacity of early-career researchers at African universities by giving them time away from teaching responsibilities at their home institutions while working with very senior and accomplished researchers. Each  CoE is expected to host one research fellow from a country other than where the CoE is located."</t>
  </si>
  <si>
    <t>C6/002</t>
  </si>
  <si>
    <t>Mwiti</t>
  </si>
  <si>
    <t>Betty</t>
  </si>
  <si>
    <t>Kenya</t>
  </si>
  <si>
    <t>Community Building through Political Cartoons</t>
  </si>
  <si>
    <t>Project led by University of Leicester (United Kingdom) and funded by the University's Global Challenges Research Fund (GCRF)</t>
  </si>
  <si>
    <t>Guided by the Design Thinking Methodology, my research team conducted a focus group discussion and thereafter  a co-design workshop in one of the Social Halls, Kosovo, within Mathare Valley to engage the young persons (18- 24 years) in a community-building initiative to enlighten them on the role of political cartooning in  targeted messaging towards their peers and the wider community.    Through caricature and cartoons, my research team used participatory research to engage the youth in how one's social class and ethnic affiliation should look at each other, with no judgement. We discouraged any use of a particular political character but used social satire in drawing cartoons with a message of promoting  peaceful and inclusive societies for sustainable developments, as defined by Sustainable Development Goal  (SDG) 16.    I applied for the grant and successfully won it, mainly becasue of my involvement with community-led research and the interest in the methodology I use.</t>
  </si>
  <si>
    <t xml:space="preserve">Enock </t>
  </si>
  <si>
    <t>Malawi</t>
  </si>
  <si>
    <t>FIFA Award</t>
  </si>
  <si>
    <t>"A community-based task-sharing approach to improve best Sports and Exercise Medicine practice in female football in low and middle-income settings."</t>
  </si>
  <si>
    <t>RIF3 Grant Award</t>
  </si>
  <si>
    <t>MAKERERE UNIVRSITY RESEARCH AND INNOVATION FUND</t>
  </si>
  <si>
    <t>Feasibility and cost effectiveness of promoting horizontal integration of diabetes and retinopathy screening services in commercial eye-care centres of Kampala</t>
  </si>
  <si>
    <t>Principal Investigator</t>
  </si>
  <si>
    <t>Short-term scholarship for a professional course at Antwerp University - Belgium</t>
  </si>
  <si>
    <t>VLIRUOS Scholarship</t>
  </si>
  <si>
    <t>C8/005</t>
  </si>
  <si>
    <t>Mobolaji</t>
  </si>
  <si>
    <t>Wale</t>
  </si>
  <si>
    <t>Jacob</t>
  </si>
  <si>
    <t>Conference registration fee</t>
  </si>
  <si>
    <t>International Union for Scientific Study of Population</t>
  </si>
  <si>
    <t>Makerere University Research and Innovation Grant - Phase 3</t>
  </si>
  <si>
    <t>Using the Internet to Incentivize Healthy Lifestyle Choices in Uganda</t>
  </si>
  <si>
    <t>Co-investigator</t>
  </si>
  <si>
    <t>UR Sweeden collaboration</t>
  </si>
  <si>
    <t>UR(University of Rwanda)</t>
  </si>
  <si>
    <t>ACE-DS Research Support grant</t>
  </si>
  <si>
    <t>ACE-DS supported by the World Bank</t>
  </si>
  <si>
    <t>Spatial analysis of sexual behavours of never-married youths (15-24) in Rwanda</t>
  </si>
  <si>
    <t>NRF Thuthuka</t>
  </si>
  <si>
    <t>Contextually responsive support and development strategies for generalist occupational therapists delivering hand-injury care in the South African public sector</t>
  </si>
  <si>
    <t>Faculty of Health Science Individual Research Grant</t>
  </si>
  <si>
    <t xml:space="preserve">Wits Faculty of Health Sciences </t>
  </si>
  <si>
    <t>Developing guidelines for alleviating caregiver burden amongst informal caregivers of persons with severe mental disorders in Bushbuckridge, Mpumalanga province(Study 1 scoping review)</t>
  </si>
  <si>
    <t>Open Grant under the UR-Sweden collaboration</t>
  </si>
  <si>
    <t>National Institute for Health Research (NIHR) Global Health Research Unit on Global Surgery Ghana Hub</t>
  </si>
  <si>
    <t>Socioeconomic impact of long term disability arising from Road Traffic Injuries in Rwanda</t>
  </si>
  <si>
    <t>Avi Sadeh Memorial International Trainee Travel Award</t>
  </si>
  <si>
    <t>Pediatric Sleep Meeting Virtual Conference, Brown Alpert Medical School</t>
  </si>
  <si>
    <t>C10/022</t>
  </si>
  <si>
    <t>Vermaak</t>
  </si>
  <si>
    <t>Stefanie</t>
  </si>
  <si>
    <t>FACULTY RESEARCH COMMITTEE INDIVIDUAL RESEARCH GRANTS 2021</t>
  </si>
  <si>
    <t>FRC Individual Grants Task Group</t>
  </si>
  <si>
    <t>Feasibility and acceptability of digital consent to improve comprehension of study procedures for biomedical research among young people: A study in Soweto, South Africa</t>
  </si>
  <si>
    <t>Open research  grant</t>
  </si>
  <si>
    <t>UR-Sweden collaboration</t>
  </si>
  <si>
    <t>Respectful maternity care provision during the covid 19 pandemic in Rwandan health facilities</t>
  </si>
  <si>
    <t>Grant in Reproductive Health</t>
  </si>
  <si>
    <t>King Faisal Hospital</t>
  </si>
  <si>
    <t xml:space="preserve">MALE PARTNERS' PHYSICAL INVOLVEMENT IN THE LABOR AND DELIVERY INFLUENCE ON THE INITIATION OF FAMILY PLANNING AND POST DELIVERY CARE AMONG RWANDAN COUPLES  </t>
  </si>
  <si>
    <t>WTO's Chairs Programme, Phase 3.</t>
  </si>
  <si>
    <t>World Trade Organization (WTO)</t>
  </si>
  <si>
    <t>HIV policy Lab Research Grant</t>
  </si>
  <si>
    <t>UNAIDS</t>
  </si>
  <si>
    <t>Assessing the policy adoption of differentiated HIV treatment services in Eastern and Southern Africa</t>
  </si>
  <si>
    <t>National Research Funds in South Africa</t>
  </si>
  <si>
    <t>C3/007</t>
  </si>
  <si>
    <t>Thomas</t>
  </si>
  <si>
    <t>Olusegun</t>
  </si>
  <si>
    <t>COIMBRA visiting scholarship</t>
  </si>
  <si>
    <t>COIMBRA</t>
  </si>
  <si>
    <t>Assessment of micronuclei frequency and global DNA methylation inducible by selected azo-based food/drug additives</t>
  </si>
  <si>
    <t>University of Rwanda Open Research Grant</t>
  </si>
  <si>
    <t>Factors affecting performance in English language in higher learning institutions in Rwanda.</t>
  </si>
  <si>
    <t>Policy Engagement</t>
  </si>
  <si>
    <t>The PACE project, United States Agency for International Development (USAID)</t>
  </si>
  <si>
    <t>C9/023</t>
  </si>
  <si>
    <t>Temitope</t>
  </si>
  <si>
    <t>Ilori</t>
  </si>
  <si>
    <t>African Research Universities Alliance Centre of Excellence</t>
  </si>
  <si>
    <t>Effect of Motivational Interviews on Salt Intake Among Patients with Hypertension in Nigeria and Ugand</t>
  </si>
  <si>
    <t>Period 1_2022</t>
  </si>
  <si>
    <t>Postdoctoral fellowship grant to Manchester University</t>
  </si>
  <si>
    <t xml:space="preserve">Africa Research Excellence Fund </t>
  </si>
  <si>
    <t>Acquiring Skills and Knowledge for Developing Interventions to Promote Hearing Conservation Behaviours.</t>
  </si>
  <si>
    <t>I believe I put the post graduate research grant writing skills to good use. I am forever indebted to CARTA for laying the foundation. The fellowship is worth 40 000 pounds and I will be based at Manchester University for 9 months Sep 2022-April 2023.</t>
  </si>
  <si>
    <t>Nishimwe</t>
  </si>
  <si>
    <t>Distinguished Science and Technology Award</t>
  </si>
  <si>
    <t>National Council of Science and Technology in Rwanda</t>
  </si>
  <si>
    <t>Status disclosure, Birth preparednes plan and prevalence of HIV  infection among pregnant women living with HIV</t>
  </si>
  <si>
    <t>C8/010</t>
  </si>
  <si>
    <t>Akinwaare</t>
  </si>
  <si>
    <t>Omowaleola</t>
  </si>
  <si>
    <t>Margaret</t>
  </si>
  <si>
    <t>UI_MEPI_J fellowship grant</t>
  </si>
  <si>
    <t>National Institutes of Health (Fogarty International Center/National Institute of Mental Health) training grant (D43TW010140)</t>
  </si>
  <si>
    <t>Association of Commonwealth University</t>
  </si>
  <si>
    <t>FALF</t>
  </si>
  <si>
    <t>Female Academic Leaders Fellowship</t>
  </si>
  <si>
    <t xml:space="preserve">Development of an Integrated Model to Promote Access to Sexual and Reproductive Health Services among People with Disabilities in Rwanda. </t>
  </si>
  <si>
    <t>C9/005</t>
  </si>
  <si>
    <t>Musabirema</t>
  </si>
  <si>
    <t>Priscille</t>
  </si>
  <si>
    <t>seed grant for family planning and comprehensive abortion care</t>
  </si>
  <si>
    <t xml:space="preserve">The Center of International Reproductive Health Training at the University of MICHIGAN </t>
  </si>
  <si>
    <t>Isoniazid for latent TB:Novel methods for treatment monitoring</t>
  </si>
  <si>
    <t>I collaborated with Noel Korukire and his co-investigator in this project.</t>
  </si>
  <si>
    <t>Support for purchase of research reagents for PhD</t>
  </si>
  <si>
    <t>Dr Videlis Nduba (Supervisor)</t>
  </si>
  <si>
    <t>Identification of Highly Hazardous Pesticides Responsible for Poisoning and Death in Uganda</t>
  </si>
  <si>
    <t xml:space="preserve">Centre for Poisoning Suicide Prevention small grant </t>
  </si>
  <si>
    <t>University of Edinburgh</t>
  </si>
  <si>
    <t>Hepatocellular Carcinoma (HCC) in Western Kenya: Risk Factors, Early Diagnosis and Surgical Management (HepWeK)</t>
  </si>
  <si>
    <t>Solidarity Fund for Innovative Projects (French Ministry of Foreign Affairs)</t>
  </si>
  <si>
    <t>BOFAS-Principles of Foot &amp; Ankle Surgery Course</t>
  </si>
  <si>
    <t>BOFAS</t>
  </si>
  <si>
    <t>Utilization of cervical cancer screening integrated within HIV services among Kenyan women living with HIV receiving care at a large national referral hospital- Mixed method study</t>
  </si>
  <si>
    <t>CFAR Trainee Support grant for completed research results publication</t>
  </si>
  <si>
    <t>University of Washington</t>
  </si>
  <si>
    <t>C10/016</t>
  </si>
  <si>
    <t>Majamanda</t>
  </si>
  <si>
    <t>Daisy</t>
  </si>
  <si>
    <t>Maureen</t>
  </si>
  <si>
    <t>CPE grant</t>
  </si>
  <si>
    <t>Community outreach grant</t>
  </si>
  <si>
    <t>Thomson and Barbara Mpinganjira Foundation</t>
  </si>
  <si>
    <t xml:space="preserve">Improving Knowledge On Sexual Reproductive Health And Rights Using Mass Open Online Course   Among University Of Rwanda Students </t>
  </si>
  <si>
    <t>Seed grant</t>
  </si>
  <si>
    <t>University of Michigan-CIRHT</t>
  </si>
  <si>
    <t>improving quality of maternity care</t>
  </si>
  <si>
    <t>16/4/2022</t>
  </si>
  <si>
    <t>Aline Uwase: Co-PI  Emmanuel Nzabonimana: Co-PI  Allen Jean de la Croix Ingabire: Co-PI</t>
  </si>
  <si>
    <t>NIHR Global Health</t>
  </si>
  <si>
    <t>Award for travel for acceptance of oral presentation at ICASA2021</t>
  </si>
  <si>
    <t>ICASA</t>
  </si>
  <si>
    <t>Establishment of Virtual Reference Services at the University of Dar es Salaam and Constituent College Libraries: A Baseline Survey</t>
  </si>
  <si>
    <t>C4/019</t>
  </si>
  <si>
    <t>Ally</t>
  </si>
  <si>
    <t>Kassim</t>
  </si>
  <si>
    <t>Mohamed</t>
  </si>
  <si>
    <t>UDSM COMPETITIVE RESEARCH AND INNOVATION GRANTS 2021/2022</t>
  </si>
  <si>
    <t>Postdoc Research Grant</t>
  </si>
  <si>
    <t>University of The Witwatersrand</t>
  </si>
  <si>
    <t>ACHIEVE  Global Training Program</t>
  </si>
  <si>
    <t> NIH Fogarty International Center’s flagship global research training program</t>
  </si>
  <si>
    <t>A User-Centred Mhealth App To Provide On-Demand Mental Health Literacy For The Prevention And Management Of Substance Abuse To Adolescents In A Resource-Limited Setting; Kibra &amp; Eastleigh, Nairobi County, Kenya</t>
  </si>
  <si>
    <t>Trainee under the mentorship of the PI</t>
  </si>
  <si>
    <t>Yes, being a  CARTA fellow was very instrumental in my writing a proposal which won this grant. The CARTA fellowship is a comprehensive training and it forms a research foundation which is an anchor for success in the research field. I look forward to writing and winning an NIH R43 grant by the end of this mentorship period and launching my career in the research arena. I am grateful to CARTA and I look forward to continued mentorship and support from CARTA, as an alumnus.</t>
  </si>
  <si>
    <t>The TB and HIV coinfection Training Program in Kenya (TBH)</t>
  </si>
  <si>
    <t>The TB and HIV coinfection Training Program in Kenya (TBHTP), a partnership between the University of Nairobi, Kenya Medical Research Institute (KEMRI), and the University of Washington (UW), through a grant from the US National Institutes of Health</t>
  </si>
  <si>
    <t>tuberculosis-HIV co-infection</t>
  </si>
  <si>
    <t>Yes, Being a CARTA fellow and having progressed in a timely manner increased my chances of being considered for this position. This is because the admitting committee was confident of my ability to follow through to the end. The fact that I have extensive experience in TB/HIV, and that my doctoral work supported by CARTA is in the same field contributed significantly to my winning the gra</t>
  </si>
  <si>
    <t>Understanding Ugandan native plant species’ role in innovative sustainable landscapes. </t>
  </si>
  <si>
    <t>Darwin Initiative Grant</t>
  </si>
  <si>
    <t>I will serve as the Co-investigator &amp; Project leader for Makerere University - The role of Makerere University in the project will be mainly to identify and select promising wild food plants for value addition through by conducting nutritional analyses.</t>
  </si>
  <si>
    <t>No</t>
  </si>
  <si>
    <t>Institutional Breastfeeding Support at Wits: An Exploratory Qualitative Study</t>
  </si>
  <si>
    <t>Faculty Seed funding</t>
  </si>
  <si>
    <t>Period 2_2022</t>
  </si>
  <si>
    <t>Flemish funding (VLIR-UOS)</t>
  </si>
  <si>
    <t>Belgium, Flemish funding (VLIR-UOS)</t>
  </si>
  <si>
    <t>piloting a novel, scalable, eHealth technology for the control and management of elevated blood pressure in Rwanda</t>
  </si>
  <si>
    <t> UR-Sweden </t>
  </si>
  <si>
    <t>UR-Sweden program </t>
  </si>
  <si>
    <t>Modelling tooth wear risk factors and assessing Oral Health Related Quality of Life among HIV/AIDS patients in Rwanda</t>
  </si>
  <si>
    <t>Prof. Francois Niragire and Babatunde Adedokun</t>
  </si>
  <si>
    <t> Being a CARTA fellow contributed to this achievement because I gained various research skills through CARTA JASes training including research writing skills, Research methodology and literature searching. The CARTA program also empowered me to improve my confidence and critical thinking ability. As a CARTA  fellow, I have the opportunity to network with CARTA graduates who challenge, encourage, mentor and support me in different ways. </t>
  </si>
  <si>
    <t>3088.40 </t>
  </si>
  <si>
    <t>La Trobe Sport and Exercise Medicine Research Centre</t>
  </si>
  <si>
    <t>Understanding barriers, enablers, and potential adaptations to facilitate implementation of the GLAD program in low and middle-income settings: training outcomes and stakeholder perspectives in Malawi'</t>
  </si>
  <si>
    <t>Yes. I participated in JAS1 and JAS 4 where research proposal writing skills were attained (JAS 1) and some grant writing skills were introduced (JAS 4). These skills were helpful in my contributions towards the project. I also learnt networking skills through the CARTA JASes and CARTA meetings which helped me coordinate and work with the team that won this grant.</t>
  </si>
  <si>
    <t>Erasmus+ International Credit Mobility project (2020-1-UK01- KA107-078102)</t>
  </si>
  <si>
    <t>Erasmus + credit</t>
  </si>
  <si>
    <t>C6/010</t>
  </si>
  <si>
    <t>Kumala</t>
  </si>
  <si>
    <t>Justin</t>
  </si>
  <si>
    <t>Malawi ICEMR: Entomology Special Project</t>
  </si>
  <si>
    <t>NIH - through the ICEMR Malawi project</t>
  </si>
  <si>
    <t>Characterization of breeding habitats and larval ecology of Anopheles funestus Giles in Machinga and Balaka districts</t>
  </si>
  <si>
    <t>training grant</t>
  </si>
  <si>
    <t xml:space="preserve">Providence health international </t>
  </si>
  <si>
    <t>Point  of care Ultrasound scan  training grant</t>
  </si>
  <si>
    <t xml:space="preserve">Interdisciplinary grant </t>
  </si>
  <si>
    <t>UR-Sweden collaboration program</t>
  </si>
  <si>
    <t>Modelling tooth wear risk factors and assessing  Oral Health Related Quality of LIfe in HIV/ AIDS patients in Rwanda</t>
  </si>
  <si>
    <t>Demographic and Health Surveys 2023 Fellow. The award includes travel grants but the stated amount will be given for research expenses Program. The formal letter of award is still being awaited.</t>
  </si>
  <si>
    <t>The United States Agency for International Development (USAID)</t>
  </si>
  <si>
    <t>Yes</t>
  </si>
  <si>
    <t xml:space="preserve">I am collaborating with Dr Francois Niragire as co-investigator. I would like to highlight the  mentorship role of Dr Babatunde Adodekun during my application even though it was not allowed to include people from outside University of Rwanda as a co-investigator   </t>
  </si>
  <si>
    <t>ISN Travel Grant</t>
  </si>
  <si>
    <t>International Society for Neurochemistry (ISN) and the Asian-Pacific Society for Neurochemistry (APSN)</t>
  </si>
  <si>
    <t>UKRI GCRF and Newton Fund Consolidation Awards</t>
  </si>
  <si>
    <t xml:space="preserve">Preventing childhoood Injuries in Uganda - development of a child safety Kit; preparation for a randomised controled trial </t>
  </si>
  <si>
    <t>OPEN RESEARCH GRANTS</t>
  </si>
  <si>
    <t>SIDA/UR</t>
  </si>
  <si>
    <t>Effect of Honey versus conventional dressing in the management of open fractures wounds</t>
  </si>
  <si>
    <t>International workshop of HIV paediatrics conference travel grant</t>
  </si>
  <si>
    <t>Virology eduacation</t>
  </si>
  <si>
    <t>Prof Faustin NTIRENGANYA, Co-PI</t>
  </si>
  <si>
    <t>World Sleep Academy Scholarship</t>
  </si>
  <si>
    <t xml:space="preserve"> -World Sleep Society</t>
  </si>
  <si>
    <t>The use of Sexual and Reproductive Health Services among adolescents in Rwanda</t>
  </si>
  <si>
    <t>University of Michigan-CIRHT in collaboration with UR</t>
  </si>
  <si>
    <t>Consultancy</t>
  </si>
  <si>
    <t>To initiate a dialogue on maternal mental health policy in Nigeria</t>
  </si>
  <si>
    <t>JHPIEGO</t>
  </si>
  <si>
    <t>I invited Adesola Olumide, a CARTA graduate as one of the resource persons during the dialogue.</t>
  </si>
  <si>
    <t>Considering the huge burden of perinatal mental disorders in Nigeria, our constraint in human resources for mental health, very few specialists, poorly funded healthcare sector with a large treatment gap of almost 90%, it becomes essential to raise awareness of maternal mental disorders public health burden in Nigeria so that evidence-based initiatives can be developed and implemented to ensure better mental health for women of reproductive age in Nigeria.   The aim of this consultative work was to plan and execute a national dialogue on maternal mental health policy in Nigeria. This work took place between August and November 2022.   I was chosen because of my expertise in the field and my extensive experience with working with several agencies within and outside the country to promote women's mental health.</t>
  </si>
  <si>
    <t>Workshop on Ageing and health of older persons in Sub- Saharan Africa</t>
  </si>
  <si>
    <t>Volkswagen Foundation, Germany</t>
  </si>
  <si>
    <t>To organize a workshop on health and ageing among older persons in SSA, 19-23 February 2023</t>
  </si>
  <si>
    <t>COVID-19 economic and health impacts and the resilience of last-mile populations in artisanal/small-scale mining settlements in Sub-Saharan Africa</t>
  </si>
  <si>
    <t>Alzheimer's Association Brain Ageing and Dementia Symposium 2022 Travel grant</t>
  </si>
  <si>
    <t>Alzheimer's Association</t>
  </si>
  <si>
    <t xml:space="preserve">LMIC participant and presented a poster on Cognitive Stimulation Therapy for older people with Dementia in Africa: A Scoping Review </t>
  </si>
  <si>
    <t>CREST TRAINING COURSE FOR DOCTORAL SUPERVISORS AT AFRICAN UNIVERSITIES</t>
  </si>
  <si>
    <t xml:space="preserve">Alumni Networking Meeting at Stellenbosch University for Doctoral Supervision in African Universities </t>
  </si>
  <si>
    <t>Faculty Seed Funding</t>
  </si>
  <si>
    <t>Faculty of Health Sciences Research Office</t>
  </si>
  <si>
    <t>My proposal was deemed to be relevant for the seed funding call. Please see attached letter.</t>
  </si>
  <si>
    <t>NRF</t>
  </si>
  <si>
    <t>DEVELOPING A VIRTUAL MODEL TO   TRAIN AND ASSESS CLINICAL STUDENTS   (VTRACS) IN THE COVID-19 ERA AND   BEYOND</t>
  </si>
  <si>
    <t>Okunola Oluseye, Agunbiade Melvin, Komolafe Abiola, Ijarotimi Tade. They are all part of the project team.</t>
  </si>
  <si>
    <t>The project is about the development of a technology used in teaching medical students during the COVID-19 pandemic. I was selected as an expert in designing survey, sampling and data analysis.</t>
  </si>
  <si>
    <t xml:space="preserve">Malenga </t>
  </si>
  <si>
    <t xml:space="preserve">Tumaini </t>
  </si>
  <si>
    <t>AFIDEP</t>
  </si>
  <si>
    <t>African Population Cohorts Consortium</t>
  </si>
  <si>
    <t xml:space="preserve">Wellcome Trust </t>
  </si>
  <si>
    <t>Collaboration for the Establishment of an African Population Cohort Consortium (APCC)</t>
  </si>
  <si>
    <t>Post Doc Fellow</t>
  </si>
  <si>
    <t xml:space="preserve">I was part of the team applying for this grant. It has several thematic areas and I am the lead on the stakeholder engagement arm. </t>
  </si>
  <si>
    <t>Eron</t>
  </si>
  <si>
    <t>Research Scholars in Global Health</t>
  </si>
  <si>
    <t>GILEAD</t>
  </si>
  <si>
    <t>Models to link and retain hepatitis B infected persons into integrated HIV/HBV care in a high burden hepatitis B  region of Uganda</t>
  </si>
  <si>
    <t>The Award is a Research Scholars In Global Health which will focus on approaches to strengthen care and prevention of hepatitis B in a high burden region of Uganda</t>
  </si>
  <si>
    <t xml:space="preserve">Anywar </t>
  </si>
  <si>
    <t>Upoki</t>
  </si>
  <si>
    <t>Research Innovation Fund</t>
  </si>
  <si>
    <t>Establishment of a Research Ethics Committees (REC) and Institutional Animal Care and Use Committees (IACUCs) at the College of  Natural Sciences (CoNAS) Makerere University</t>
  </si>
  <si>
    <t xml:space="preserve">To help in establishing a Research Ethics Committees (REC) and Institutional Animal Care and Use Committees (IACUCs) at the College of  Natural Sciences (CoNAS) Makerere University </t>
  </si>
  <si>
    <t>Darwin Initiative Fund: Darwin Initiative Innovation</t>
  </si>
  <si>
    <t xml:space="preserve">Darwin Initiative </t>
  </si>
  <si>
    <t>Understanding Ugandan native plant species' role in innovative sustainable landscapes</t>
  </si>
  <si>
    <t>Nutritional analysis and new product developments with Makerere University as the lead partner</t>
  </si>
  <si>
    <t>African Conversations about Gene Drives Phase II</t>
  </si>
  <si>
    <t>Foundation for the Naional Institute of Health</t>
  </si>
  <si>
    <t>African Conversations about gene drive technologies for malaria control and elimination</t>
  </si>
  <si>
    <t>Blessings Kaunda, a country coordinator for Malawi</t>
  </si>
  <si>
    <t xml:space="preserve">This is a continuation of the project we had done two years prior, to facilitate dialogues about gene drive technologies among African stakeholders, in order to raise up concerns and expectations of Africans on how these technologies should be designed and packaged to best benefit Africa.     I received this grant due to the great success of the first phase which highlighted major gaps that this second phase is attempting to fill. </t>
  </si>
  <si>
    <t>Borrow Foundation Travel Grant</t>
  </si>
  <si>
    <t>A travel grant to attend the 26th EADPH conference in France</t>
  </si>
  <si>
    <t>Period 1_2023</t>
  </si>
  <si>
    <t>Infectious Disease - Discretionary Award</t>
  </si>
  <si>
    <t>Using novel technologies for real time monitoring of the risk of mosquito -borne diseases in the context of climate and land use changes</t>
  </si>
  <si>
    <t> Yes, CARTA has made a profound impact on my professional development and provided me with valuable training and experiences that helped me secure substantial grant awards</t>
  </si>
  <si>
    <t>To investigate associations between climate, land-use and mosquito-borne disease risk at the local scale in southeastern Tanzania.</t>
  </si>
  <si>
    <t>TET Fund</t>
  </si>
  <si>
    <t>Exposure to particulate matter and associated neurocognitive effects among school-age children in Urban and rural communities in Oyo State</t>
  </si>
  <si>
    <t>Yes, Francis Adeniyi</t>
  </si>
  <si>
    <t>MRC Public Health Intervention Development (PHIND)</t>
  </si>
  <si>
    <t>Medical Research Council (MRC)</t>
  </si>
  <si>
    <t>Designing a multifaceted, community-driven, behavioural change intervention to improve first response to childhood burns (Cool-Burn20)</t>
  </si>
  <si>
    <t>IMPACT OF MALARIA ON SHAPING IMMUNITY TO EBV AND ENDEMIC BURKITT LYMPHOMA</t>
  </si>
  <si>
    <t>USA National Institutes of Health (NIH), National Cancer Institute (NCI)</t>
  </si>
  <si>
    <t>CHUK SMALL GRANT</t>
  </si>
  <si>
    <t>UNIVERSITY TEACHING HOSPITAL OF KIGALI</t>
  </si>
  <si>
    <t>Randomised Controlled Trial testing Disposable versus Reusable drApes and Gowns for green OperatiNg theatres (DRAGON Trial)</t>
  </si>
  <si>
    <t>Prof Faustin Ntirenganya</t>
  </si>
  <si>
    <t>Scholarship to attend the Global Injury Prevention course at the Johns Hopkins Bloomberg School of Public Health</t>
  </si>
  <si>
    <t>INTEREST 2023 conference grant</t>
  </si>
  <si>
    <t>Fulbright Specialist Award (awarded to my co-supervisor Prof Chenneville)</t>
  </si>
  <si>
    <t>Fulbright</t>
  </si>
  <si>
    <t>C10/023</t>
  </si>
  <si>
    <t>Bakuwa</t>
  </si>
  <si>
    <t>Connis</t>
  </si>
  <si>
    <t>Takondwa</t>
  </si>
  <si>
    <t>Bergen Summer Research School -Full funding</t>
  </si>
  <si>
    <t>Bergen Univerisy</t>
  </si>
  <si>
    <t>BSRS2023_Visa_inviation letter_general_South Africa.pdf</t>
  </si>
  <si>
    <t>MSKCC Grant to attend a conference</t>
  </si>
  <si>
    <t>MSKCC</t>
  </si>
  <si>
    <t>I am presenting a paper titled: Pilot Testing of an Empathic Communication Skills Training Intervention to Reduce Lung Cancer Stigma in Nigeria at the 24th World Congress of Psycho-Oncology 2023, which will be held in Milano, Italy, from 31st August to 3rd September 2023.</t>
  </si>
  <si>
    <t>Lee Scholar Travel Award</t>
  </si>
  <si>
    <t>Travel support to attend the annual meeting of the Society for the Study of Social Problems</t>
  </si>
  <si>
    <t xml:space="preserve">CIVIS application for a Jean Monnet Network on External Policy: EU-Africa  </t>
  </si>
  <si>
    <t>ERASMUS-JMO-2023-NETWORKS-HEI-NON-EU-AFRICA</t>
  </si>
  <si>
    <t xml:space="preserve">Team Member at Makerere University </t>
  </si>
  <si>
    <t xml:space="preserve">Proposed Focus   The proposed network would focus on "Confronting the Polycrisis", i.e. how different major societal  crises and challenges are occurring simultaneously and interfere with each other, most often with an  amplifying effect.     The network would approach this topic from 5 clusters of issues closely affected by the polycrisis, all of  which are connected to one or more of the Sustainable Development Goals defined by the United  Nations, and the European Commission Priorities for 2019-2024.   These 5 clusters would be centred on:   1. Well-Being (including health, the fight against poverty and hunger)  2. Energy (including affordable and clean energy, climate action)  3. Equality (i.e. the fight against inequalities and poverty)  4. Cities (including technological innovation)  5. Democracy (including the rule of law, democratic processes) </t>
  </si>
  <si>
    <t>Organizers of Ageing and Health Workshop in Sub-Saharan Africa</t>
  </si>
  <si>
    <t>Global Young Academy</t>
  </si>
  <si>
    <t>It was a travel award to cover my participation in the Global Young Academy AGM &amp; conference in Kigali Rwanda</t>
  </si>
  <si>
    <t>Carnegie Corporation of New York (CCNY) Fellow at the American Studies Association (ASA), Two-year ASA and Emerging Scholars Network Memberships</t>
  </si>
  <si>
    <t xml:space="preserve">Carnegie Corporation of New York </t>
  </si>
  <si>
    <t>The award makes me a the Carnegie Corporation of New York (CCNY) fellow with a fully paid two-year membership to the African Studies Association (ASA) and Emerging Scholars Network Memberships in California. I will also present a paper of my scientific work</t>
  </si>
  <si>
    <t xml:space="preserve">Nandi </t>
  </si>
  <si>
    <t xml:space="preserve">SCHD Certificate of Excellence (Research) </t>
  </si>
  <si>
    <t xml:space="preserve">SCHD Certificate of Excellence (Research) for the school. </t>
  </si>
  <si>
    <t>Aim of the grant is for early career investigators to grow into research independence</t>
  </si>
  <si>
    <t>A political economy analysis of health taxes in Uganda</t>
  </si>
  <si>
    <t>WHO/ Alliance for Health Policy and Systems Research</t>
  </si>
  <si>
    <t>This was a competitive award announced globally by the  WHO in early 2022. Six countries were awarded a grant around the theme of new taxes such as on sugar-sweetened beverages.</t>
  </si>
  <si>
    <t>Strengthening Institutional Support for postdoctoral researchers in a bid to reposition Makerere University as a research-led university</t>
  </si>
  <si>
    <t>WONCA world travel grant</t>
  </si>
  <si>
    <t>Royal college of GPs Australia</t>
  </si>
  <si>
    <t>23/10/2023</t>
  </si>
  <si>
    <t>Period 2_2023</t>
  </si>
  <si>
    <t>IADR</t>
  </si>
  <si>
    <t>24/06/2023</t>
  </si>
  <si>
    <t>Conference attendance</t>
  </si>
  <si>
    <t>21/08/2023</t>
  </si>
  <si>
    <t xml:space="preserve">AFREhealth Small Grant </t>
  </si>
  <si>
    <t>African Association for Health Professions Education and Research (AFREhealth) NIH award</t>
  </si>
  <si>
    <t>Priscille Musa, Cohort 9  Co-investigator</t>
  </si>
  <si>
    <t xml:space="preserve">8th African Caribbean Consortium Conference (AC3) travel grant </t>
  </si>
  <si>
    <t>AC3</t>
  </si>
  <si>
    <t>International AIDS Society (IAS) conference travel grant</t>
  </si>
  <si>
    <t>IAS</t>
  </si>
  <si>
    <t>23/07/2023</t>
  </si>
  <si>
    <t>PhD Stipend</t>
  </si>
  <si>
    <t xml:space="preserve">DSI/USAID </t>
  </si>
  <si>
    <t>International Developmental Paediatrics Association Congress 2023 registration</t>
  </si>
  <si>
    <t>International Developmental Paediatrics Association</t>
  </si>
  <si>
    <t>To attend FiGO conference</t>
  </si>
  <si>
    <t xml:space="preserve">Continuous Professional Development Training </t>
  </si>
  <si>
    <t>Joan van Albada Archivist Training Fund (JvAATF),</t>
  </si>
  <si>
    <t>The Ubbo Emmius Fund at the University of Groningen in The Netherlands.</t>
  </si>
  <si>
    <t xml:space="preserve">The  grant facilitates my participation in specialized courses centered on Digital Records Curation and Recordkeeping Informatics at the University of Amsterdam, alongside an internship at the University of Groningen Library in the Netherlands. This extensive program will span six months, commencing in September 2023.    The primary aim of the JvAATF is to provide financial assistance and training to promising and motivated scholars with backgrounds from Africa, the Arab world, Asia, the Caribbean, or the Pacific. </t>
  </si>
  <si>
    <t xml:space="preserve">A grant to attend the 2023 World Congress of the international Psycho-Oncology Society. </t>
  </si>
  <si>
    <t>Memorial Sloan Kettering Cancer Center</t>
  </si>
  <si>
    <t>31/08/2023</t>
  </si>
  <si>
    <t xml:space="preserve">The PI was invited to participate in the 2023 World Congress of the International Psycho-Oncology Society. The conference took place at Università degli Studi di Milano in Milan, Italy between the 31st of August and the 3rd of September 2023. The conference aimed to bring together professionals in diverse fields from around the globe to dialogue about improving cancer care on an international level and develop strategies to add psychosocial issues to all aspects of cancer control. She made an oral presentation at the meeting titled 'Pilot Testing of an Empathic Communication Skills Training Intervention to Reduce Lung Cancer Stigma in Nigeria'. </t>
  </si>
  <si>
    <t>C3/012</t>
  </si>
  <si>
    <t>Okaka</t>
  </si>
  <si>
    <t>Okoth</t>
  </si>
  <si>
    <t>Fredrick</t>
  </si>
  <si>
    <t>Moi University Africa Cluster Centre Award</t>
  </si>
  <si>
    <t>German Research Foundation, through Moi University Africa Cluster Centre</t>
  </si>
  <si>
    <t>The award focused on African studies on mobility. My proposal adequately addressed the grant theme and the research questions</t>
  </si>
  <si>
    <t>FACULTY OF HUMANITIES EXAM MARKING BUY OUT GRANT 2023</t>
  </si>
  <si>
    <t xml:space="preserve">Wits Faculty Of Humanities </t>
  </si>
  <si>
    <t>To complete a paper that I am writing.</t>
  </si>
  <si>
    <t>Matlakale</t>
  </si>
  <si>
    <t>Wits Enabling Grant</t>
  </si>
  <si>
    <t>Wits Carnegie Enabling Grant</t>
  </si>
  <si>
    <t>Its a grant that aims to develop and capacitate early and midcareer academics for academic leadership.</t>
  </si>
  <si>
    <t>PAMCA WIVC Travel Grant</t>
  </si>
  <si>
    <t>Pan African Malaria Control Association</t>
  </si>
  <si>
    <t>17/09/2023</t>
  </si>
  <si>
    <t>I received the travel award as part of capacity-building efforts in vector control in Africa and my unwavering support to the Women in Vector Control Mentorship Programme.</t>
  </si>
  <si>
    <t>H3 Africa grant to attend the Annual Society for Human Genetics</t>
  </si>
  <si>
    <t>H3 Africa</t>
  </si>
  <si>
    <t>l submitted an abstract and it was accepted by the scientific committee for presentation</t>
  </si>
  <si>
    <t xml:space="preserve">The Swiss National Science Foundation </t>
  </si>
  <si>
    <t>B</t>
  </si>
  <si>
    <t>Colgate EADPH Travel Grant</t>
  </si>
  <si>
    <t>Colgate</t>
  </si>
  <si>
    <t>14/09/2023</t>
  </si>
  <si>
    <t xml:space="preserve">I submitted one of research findings (abstract from the CARTA-RE-ENTRY research grant to the European Association of Dental Public Health Conference travel award. My abstract was assessed and rated as one of the very few abstracts that were selected for the award.  </t>
  </si>
  <si>
    <t>FRC Conference Support</t>
  </si>
  <si>
    <t xml:space="preserve">Wits </t>
  </si>
  <si>
    <t>TRANSFORM small poultry pack</t>
  </si>
  <si>
    <t>18/09/2023</t>
  </si>
  <si>
    <t xml:space="preserve">We had written a winning proposal used skill learned in CARTA. </t>
  </si>
  <si>
    <t>Period 1_2024</t>
  </si>
  <si>
    <t>Allen Ingabire</t>
  </si>
  <si>
    <t>Green Surgery</t>
  </si>
  <si>
    <t>NIHR-University of Birmingham</t>
  </si>
  <si>
    <t xml:space="preserve">UK Department of Health and Social Care, the Global Health Workforce Programme (GHWP) </t>
  </si>
  <si>
    <t xml:space="preserve"> UK Department of Health and Social Care, through Tropical Health and Education Trust</t>
  </si>
  <si>
    <t>Professors Boladale Mapayi and Marcelina Ijadunola. They are members of the project's advisory board.</t>
  </si>
  <si>
    <t>RO1</t>
  </si>
  <si>
    <t> ‘Real-World Impact of Next Generation Insecticidal Nets for Malaria Control in Rural Western Kenya’</t>
  </si>
  <si>
    <t>Institution based Tetfund grant</t>
  </si>
  <si>
    <t>Sexual harassment among sexual minority individuals in Obafemi Awolowo University, Nigeria</t>
  </si>
  <si>
    <t> </t>
  </si>
  <si>
    <t xml:space="preserve">CARTA Institutionalization Grant </t>
  </si>
  <si>
    <t>African Population and Health Research Centre</t>
  </si>
  <si>
    <t>Moi University Institutionalization of Graduate Grant Writing Workshop Project</t>
  </si>
  <si>
    <t>Co-applicant</t>
  </si>
  <si>
    <t>Building the capacity of PhD graduates and early career scholars at Moi University with competencies to write competitive research grant proposals</t>
  </si>
  <si>
    <t>C4/014</t>
  </si>
  <si>
    <t>MOSHI</t>
  </si>
  <si>
    <t>RICHARD</t>
  </si>
  <si>
    <t>IRENE</t>
  </si>
  <si>
    <t>Writing Grant</t>
  </si>
  <si>
    <t>International Writing Workshop grant 2023</t>
  </si>
  <si>
    <t>The British Academy</t>
  </si>
  <si>
    <t xml:space="preserve">This is an International Writing Grant which provide an opportunity scientists/scholars to collaborate with scholars from UK and provide training to the needy especially in social science.   The application was short and straight forward and we had included people with good tracking record that could be very beneficial to the expected beneficiaries.   I think it was selected because it will provide significant opportunity for carreer growth among scientists from different institutions. </t>
  </si>
  <si>
    <t xml:space="preserve">RSTMH </t>
  </si>
  <si>
    <t>Royal Society for Tropican Medicine and Hygiene</t>
  </si>
  <si>
    <t xml:space="preserve">An intervention on Parent-adolescent sexual communication </t>
  </si>
  <si>
    <t xml:space="preserve">Parent-adolescent sexual communication is considered a taboo in our context. Many parents desires the need to speak with their adolescents on SRH issues but lack the knowledge of the appropriate content, hence the need to educate the parents on the adequate age specific SRH needed for their children. </t>
  </si>
  <si>
    <t>AFROHUN transition award</t>
  </si>
  <si>
    <t>Africa One Health Universities Network</t>
  </si>
  <si>
    <t>Enhancing rabies awareness among teachers and primary school learners in Machakos County, Kenya</t>
  </si>
  <si>
    <t>The award was on country small grants under zoonosis and One Health our proposal was selected because it had a strong justification and was had a potential impact on the most vulnerable groups.</t>
  </si>
  <si>
    <t>C4/007</t>
  </si>
  <si>
    <t>Sawe</t>
  </si>
  <si>
    <t>Jepkoech</t>
  </si>
  <si>
    <t xml:space="preserve">Caroline </t>
  </si>
  <si>
    <t>SSHRC Connection grant</t>
  </si>
  <si>
    <t xml:space="preserve">University of Toronto </t>
  </si>
  <si>
    <t>Integrating climate and environmental change educational content into global health curricula: a series of collaborative catalyst events</t>
  </si>
  <si>
    <t>20/05/2024</t>
  </si>
  <si>
    <t>Fellowship Fund, the Female Academic Leaders Fellowship (FALF)</t>
  </si>
  <si>
    <t xml:space="preserve">Managing feeding difficulties for children with autism </t>
  </si>
  <si>
    <t xml:space="preserve">AFROHUN Transition Award Professional Development [TAPROD] Program </t>
  </si>
  <si>
    <t>AFROHUN _USAID</t>
  </si>
  <si>
    <t>Enhancing Rabies awareness in Machakos County, Kenya</t>
  </si>
  <si>
    <t xml:space="preserve">It is an early career award for learning skills on one health- I wrote this award with a CARTA fellow  We had best proposal  and the synerstigic effort also help us,Mentorship from CARTA especially through the CARTA graduate workshop </t>
  </si>
  <si>
    <t>Improving milk and chicken meat quality and safety in the Kenyan food sector and Antimicrobial resistance (QUALIFOOD)</t>
  </si>
  <si>
    <t>DANIDA</t>
  </si>
  <si>
    <t xml:space="preserve">Improving milk and chicken meat quality and safety in the Kenyan food sector and Antimicrobial resistance (QUALIFOOD)- This a grant on improvong food safety and reduction of AMR in Kenya using One health approach- </t>
  </si>
  <si>
    <t xml:space="preserve">Obimakinde </t>
  </si>
  <si>
    <t xml:space="preserve">Margaret </t>
  </si>
  <si>
    <t xml:space="preserve">Abimbola </t>
  </si>
  <si>
    <t>AFREHealth small grant supported by NIH-forgaty</t>
  </si>
  <si>
    <t>Africa Forum for Research and Education in Health</t>
  </si>
  <si>
    <t>MOTIVATIONAL INTERVIEWING SKILLS TRAINING OF CLINICAL STUDENTS AND EARLY CAREER HEALTHCARE WORKERS FOR PRIMARY CARE MANAGEMENT OF NDCs IN LMICS IN AFRICA (MIST-NCDs)</t>
  </si>
  <si>
    <t xml:space="preserve">GOHIRN </t>
  </si>
  <si>
    <t xml:space="preserve">IADR </t>
  </si>
  <si>
    <t>Start-up Emerging Researcher Award (SERA)</t>
  </si>
  <si>
    <t xml:space="preserve">University of Cape Town Faculty of Health Sciences </t>
  </si>
  <si>
    <t>CARTA equipped me with research writing skills that enabled me to write a competitive grant application which led to the success in this grant.</t>
  </si>
  <si>
    <t>Gilead's Global Public Health Awards Program</t>
  </si>
  <si>
    <t xml:space="preserve">Imbedding Comprehensive Geriatrics Assessment for Older Adults Living with HIV at AMPATH HIV Clinics in western Kenya </t>
  </si>
  <si>
    <t>Pricipal investigator</t>
  </si>
  <si>
    <t>C8/007</t>
  </si>
  <si>
    <t>Samuel</t>
  </si>
  <si>
    <t>Mwaniki</t>
  </si>
  <si>
    <t>Integrated Networks of Scholars in Global Health Research Training (INSIGHT)</t>
  </si>
  <si>
    <t>Preferences for HIV pre-exposure prophylaxis options among young gay, bisexual and other men who have sex with men and young transgender women in Kenya: a discrete choice experiment</t>
  </si>
  <si>
    <t>The Royal Society of Tropical Medicine and Hygeine</t>
  </si>
  <si>
    <t>Co-designed health promotion intervention toreduce non-communicable diseases and mental disorder of young people living with HIV in health facilities, Ile-Ife, Osun State</t>
  </si>
  <si>
    <t xml:space="preserve">Fredrick </t>
  </si>
  <si>
    <t>Establishment of an Emerging and Re-emerging Infectious Diseases (TERID) Research Hub in East Africa</t>
  </si>
  <si>
    <t>SFC/APHRC</t>
  </si>
  <si>
    <t>Establishment of a Biomarker research facility to first track the development of COVID-19 novel diagnostics and treatment alternatives in Uganda</t>
  </si>
  <si>
    <t>Strengthening Surveillance of Leishmaniasis in Uganda and Kenya through a Collaborative Multisectoral One Health Capacity Building Approach in Endemic foci</t>
  </si>
  <si>
    <t>Developing a National Network of STI Excellence as a foundry for Accelerated Transformative STI Human Capital Development</t>
  </si>
  <si>
    <t>Co-Investigator</t>
  </si>
  <si>
    <t>Innovation for Sustainability and Societal relevance: Partnerships in evidence-based higher education on food systems and climate change</t>
  </si>
  <si>
    <t>Erasmus-EU</t>
  </si>
  <si>
    <t>Development and Evaluation of Recombinant SARS-CoV-2 Spike and Membrane recombinant Protein as potential Sub-Unit Vaccines</t>
  </si>
  <si>
    <t>Clinical Validation of Novel Stage Diagnostic Biomarkers Among Trypanosoma brucei rhodesiense Sleeping Sickness Patients in Uganda</t>
  </si>
  <si>
    <t>EDCTP-EU</t>
  </si>
  <si>
    <t>Identification of Novel Stage Diagnostic Biomarkers Among Trypanosoma brucei rhodesiense Sleeping Sickness Patients in Uganda</t>
  </si>
  <si>
    <t>Wellcome Trust/UVRI</t>
  </si>
  <si>
    <t>Period 2_2024</t>
  </si>
  <si>
    <t>Africa Research Excellence Fund (AREF)’s Research Development Fellowship Seed Fund</t>
  </si>
  <si>
    <t>AREF</t>
  </si>
  <si>
    <t>The will be evaluating the feasibility, acceptability, and fidelity of a behavior change intervention aimed at promoting consistent utilization of hearing protection devices among mineworkers exposed to occupational noise</t>
  </si>
  <si>
    <t>Global Development Hub Project Accelerator grant</t>
  </si>
  <si>
    <t> International Science Partnerships Fund (ISPF) Global Development Hub Project Accelerator grant.</t>
  </si>
  <si>
    <t>Supplementary grant to the project aimed at designing a Multifaceted, Community-driven, Behavioral Change Intervention to Improve First Response to Childhood Burns,’ which is funded by the Medical Research Council</t>
  </si>
  <si>
    <t>Co-Investigator and Ugandan Lead</t>
  </si>
  <si>
    <t>Ministry of Foreign Affairs of Denmark</t>
  </si>
  <si>
    <t>To explore the extent of climate youth migration and its gendered impact on livelihoods, health and system capacity in secondary cities in Uganda to inform preparedness and response  interrventions to minimize the negative impacts of clim</t>
  </si>
  <si>
    <t>PRIMAFAMMED</t>
  </si>
  <si>
    <t>NORHED PRICE project</t>
  </si>
  <si>
    <t>Person centred care Grant</t>
  </si>
  <si>
    <t>Linköpings universitet (LiU), org.no. 202100-3096, represented by the Department of Health, Medicine and Caring Sciences (HMV), 581 85 Linköping.</t>
  </si>
  <si>
    <t xml:space="preserve">CARTA exposed me to research writing and improved my exposure to the world of grant writing.  </t>
  </si>
  <si>
    <t>AIDS 2024 conference travel award</t>
  </si>
  <si>
    <t>C10/015</t>
  </si>
  <si>
    <t>Ugalahi</t>
  </si>
  <si>
    <t>Ogbenyi</t>
  </si>
  <si>
    <t>Mary</t>
  </si>
  <si>
    <t>Accomodation Support for WCPOS 5</t>
  </si>
  <si>
    <t>World Society of Paediatric Ophthalmology and Strabismus</t>
  </si>
  <si>
    <t xml:space="preserve"> UK Department of Health and Social Care, through Tropical Health and Education Trust now Global Health Partnerships</t>
  </si>
  <si>
    <t>The lessons thought during JAS 4 helped me greatly as I applied for this grant. I have been able to work well with my collaborators through the exposure and training from CARTA.</t>
  </si>
  <si>
    <t>Capacitating One Health in Eastern and Central Africa (COHESA)</t>
  </si>
  <si>
    <t>International Livestock Research Institute</t>
  </si>
  <si>
    <t xml:space="preserve">The research work is to develop a community-centered intervention to reduce antimicrobial use in poultry farms. Our team was selected because the reviewers noted that we had a good idea, targeting a genuine problem and a clear gap </t>
  </si>
  <si>
    <t>Institutional Based Research (IBR)</t>
  </si>
  <si>
    <t>Federal Government of Nigeria through Tertiary Education Trust Fund (TETFUND)</t>
  </si>
  <si>
    <t>The aim of the award is to address local challenges. The proposed project focuses on addressing local problems in the university using innovative approach.</t>
  </si>
  <si>
    <t xml:space="preserve">Cadmus </t>
  </si>
  <si>
    <t xml:space="preserve">Olubukola </t>
  </si>
  <si>
    <t xml:space="preserve">Eniola </t>
  </si>
  <si>
    <t>READ ADDSP Project travel grant</t>
  </si>
  <si>
    <t>Africa Dementia Consortium</t>
  </si>
  <si>
    <t>Return flight from Nigeria to Kenya  Conference Registration  Accomodation</t>
  </si>
  <si>
    <t xml:space="preserve">Research Award </t>
  </si>
  <si>
    <t xml:space="preserve">Young Scientist Award in the category of Phytochemicals &amp; Medicinal Plants, -2024 </t>
  </si>
  <si>
    <t>Society for Plant Research (SPR), in India</t>
  </si>
  <si>
    <t>The prestigious Young Scientist Award in the category of Phytochemicals &amp; Medicinal Plants, -2024 by the Society for Plant Research (SPR), in India</t>
  </si>
  <si>
    <t>Institutional Grant</t>
  </si>
  <si>
    <t xml:space="preserve">Enhancing Doctoral Supervision Capacity at the Obafemi  Awolowo University (EDUCATE OAU) </t>
  </si>
  <si>
    <t xml:space="preserve"> African Population and Health Research Centre (APHRC) and Sida</t>
  </si>
  <si>
    <t xml:space="preserve">The purpose of the award is to co-create and adapt the CARTA doctoral supervision curriculum and improve the quality of doctoral program and research at the Obafemi Awolowo University, with real-time monitoring of the PhD program. </t>
  </si>
  <si>
    <t>C9/013</t>
  </si>
  <si>
    <t>FEHINTOLA</t>
  </si>
  <si>
    <t>OMOLOLA</t>
  </si>
  <si>
    <t>FUNMITO</t>
  </si>
  <si>
    <t>NIL</t>
  </si>
  <si>
    <t>TETFUND Institutional-Based Research (IBR) Grant</t>
  </si>
  <si>
    <t xml:space="preserve"> This research focuses on assessing the CARTA initiative, with an emphasis on its future prospects for Obafemi Awolowo University (OAU). While the primary objective of this study is to evaluate the impact and trajectory of the CARTA grant at OAU, it also includes a component to create a dedicated website for CARTA fellows and activities, hosted on the oauife.edu.ng domain.    </t>
  </si>
  <si>
    <t>van Stormbroek</t>
  </si>
  <si>
    <t>WitsFRC Travel Grant for Local Conference Attendance</t>
  </si>
  <si>
    <t xml:space="preserve">Wits Research Office </t>
  </si>
  <si>
    <t xml:space="preserve">Awarded Conference Grant to present oral presentation at the 53rd Congress of the South African Society of Surgery for the Hand </t>
  </si>
  <si>
    <t>Period 1_2025</t>
  </si>
  <si>
    <t>C1/006</t>
  </si>
  <si>
    <t>Mwakalinga</t>
  </si>
  <si>
    <t>Victoria</t>
  </si>
  <si>
    <t>Ardhi University</t>
  </si>
  <si>
    <t>Young people and relational wellbeing (RWB) in urban and peri-urban environments,</t>
  </si>
  <si>
    <t>The National Research Foundation (NRF), the Fondation Botnar (FB), and the Human Science Research Council (HSRC)</t>
  </si>
  <si>
    <t>Spatial Temporal Modelling of Localized Relational Impacts on Youth Livelihoods Under Changing Climate in Informal Peri-urban Settlements in Dar es Salaam, Tanzania.</t>
  </si>
  <si>
    <t>one-year  postdoctoral fellowship by Harvard University, Boston University, Northwestern University and New Mexico University (HBNU) Global Health Consortium. </t>
  </si>
  <si>
    <t xml:space="preserve">Fogarty International Centre, National Institutes of Health,through Harvard University, Boston University, Northwestern University and New Mexico University (HBNU) Global Health Consortium. </t>
  </si>
  <si>
    <t>Effects of digitalized antenatal education on prevention of mother-to-child transmission among pregnant women and recently-delivered mothers living with HIV in Southwestern Nigeria.</t>
  </si>
  <si>
    <t>Capacitating One Health in Eastern and Southern Africa</t>
  </si>
  <si>
    <t>UK AID</t>
  </si>
  <si>
    <t>Antibiotics are not always the answer: Enhancing biosecurity measures for reduced broiler chicken morbidity and mortality in Kajiado County.</t>
  </si>
  <si>
    <t>C9/021</t>
  </si>
  <si>
    <t xml:space="preserve">Alex </t>
  </si>
  <si>
    <t>Ntamatungiro</t>
  </si>
  <si>
    <t>collegium helveticum fellowship</t>
  </si>
  <si>
    <t>ETH Zurich</t>
  </si>
  <si>
    <t>Adapting Sequencing Approaches for Cost-Effective HIV Drug Resistance Monitoring in Tanzania</t>
  </si>
  <si>
    <t>Early-Career Fellow</t>
  </si>
  <si>
    <t xml:space="preserve">Conference grant
</t>
  </si>
  <si>
    <t xml:space="preserve">Conference attendance grant
</t>
  </si>
  <si>
    <t xml:space="preserve">International Society of Pharmacovigilance
</t>
  </si>
  <si>
    <t>I was selected after submiting an abstract. I was competitively selected among hundreds of applicants</t>
  </si>
  <si>
    <t xml:space="preserve">Institutionalizing knowledge systems for health policy and systems research
</t>
  </si>
  <si>
    <t xml:space="preserve">WHO/ Alliance for Health Policy and Systems Research
</t>
  </si>
  <si>
    <t>Using research evidence in increasing domestic financial responsibility for the national HIV response in the context of donor transitions in Uganda</t>
  </si>
  <si>
    <t>It has a strong partnership element with government bodies such as the National Planning Authority, Economic Policy Research Centre and Ministry of Health</t>
  </si>
  <si>
    <t xml:space="preserve">BA/Leverhulme Small Research Grants
</t>
  </si>
  <si>
    <t>British Academy</t>
  </si>
  <si>
    <t>"Everyday Violence" and (Im)mobility Experiences of LGBTQ+ Persons in Nigeria and the UK</t>
  </si>
  <si>
    <t>The BA/Leverhulme Small Research Grants are available to support primary research in the humanities and social sciences. These awards, up to Â£10,000 in value and tenable for up to 24 months, are provided to cover the cost of the expenses arising from a defined research project.</t>
  </si>
  <si>
    <t>Project 14032025 , Population Health In Practice: Towards A Comparative Historical Ethnography Of The Demographic Health Survey- Drs John Nott and Blessings N. Kaunda-Khangamwa- An ODA &amp; British Academy Grant</t>
  </si>
  <si>
    <t>Population Health In Practice: Towards A Comparative Historical Ethnography Of The Demographic Health Survey</t>
  </si>
  <si>
    <t>This study employs a comparative historical ethnography of national Demographic and Health Surveys (DHS) projects in Malawi, Tanzania, and Ghana. It includes ethnographic observations, expert interviews, focus group discussions, and archival research. The research integrates institutional ethnography with critical analysis of public health statistics, combining qualitative and quantitative analyses of DHS publications, academic works, forum discussions, and raw data.  I am a Co-investigator in the study due to my skill set and expertise in medical anthropology and public health-related areas.</t>
  </si>
  <si>
    <t xml:space="preserve">African Health Collaborative </t>
  </si>
  <si>
    <t xml:space="preserve">Master card foundation </t>
  </si>
  <si>
    <t>Building Capacities in Planetary Health and One Health   competencies among primary health workers for health system strengthening in Kenya</t>
  </si>
  <si>
    <t>was competitive application.The research aims at Building Capacities in Planetary Health and One Health   competencies among primary health workers for health system strengthening in Kenya</t>
  </si>
  <si>
    <t>C9/015</t>
  </si>
  <si>
    <t xml:space="preserve">Alamukii </t>
  </si>
  <si>
    <t>Abiket</t>
  </si>
  <si>
    <t xml:space="preserve">Nanfizat </t>
  </si>
  <si>
    <t>Assar Gabrielsson`s Foundation for the Research Grant</t>
  </si>
  <si>
    <t xml:space="preserve">ASSAR GABRIELSSONS FOND </t>
  </si>
  <si>
    <t xml:space="preserve"> Characterization of Cytokines and Microbiota in the Tumour   Micro-environment of Breast Cancer Patients: A Pathway to Targeted Therapeutic Strategies.</t>
  </si>
  <si>
    <t>EU-SARAH Project</t>
  </si>
  <si>
    <t>UNICEF NIGERIA</t>
  </si>
  <si>
    <t>It is a travel grant to attend training of trainer on adolescent Friendly Health Services</t>
  </si>
  <si>
    <t>HCoR Grant Writing and Researcher Leadership Workshop</t>
  </si>
  <si>
    <t>MRC Unit The Gambia</t>
  </si>
  <si>
    <t>To attend Researchers Leadership and Grant writing workshop</t>
  </si>
  <si>
    <t xml:space="preserve">Research grant
</t>
  </si>
  <si>
    <t xml:space="preserve">TETFUND IBR
</t>
  </si>
  <si>
    <t>Ocular Surface Bacteria Culture following instillation of 5% povidone plus moxifloxacillin eye drops versus 5% povidone iodine alone:An RCT</t>
  </si>
  <si>
    <t>The Skills acquired during the grant training received in JAS 4 assisted us in preparing the grant proposal</t>
  </si>
  <si>
    <t xml:space="preserve">Equitable Partnerships Workshops Follow-On Funding programme </t>
  </si>
  <si>
    <t>Fostering Equitable Partnerships: Enhancing Professional Development and Careers for Female Social Scientists in Health Research across Malawi, Kenya and South Africa</t>
  </si>
  <si>
    <t>his proposed workshop is part of a south-to-south initiative aimed at strengthening the professional development planning (PDP) of early career researchers (ECRs) working on health and well-being, particularly female social scientists, medical anthropologists, sociologist, anthropologists, and specialists in development, humanities and public health, in sub-Saharan Africa. We aim to establish a Kenya-Malawi-South Africa research network focusing on writing workshops and PDP programs that will bring together ECRs, alongside professors of interdisciplinary research and seasoned researchers who are well-acquainted with the critical challenges faced by early career scholars in sub-Saharan Africa. Participants will collaborate on framing their PDPs and grant applications and writing and publishing journal articles and policy briefs. Drs Dorine Lugendo and Stephen Okumu from the University of Maseno, Kenya, Dr John Nott the University of Edinburgh, Prof Andries Bezuidehout, University of Fort Hare and Dr. Blessings Kaunda-Khangamwa from Kamuzu University of Health Sciences and the University of Fort Hare, prioritizing the female gender, who are a minority in research, particularly from the global south.</t>
  </si>
  <si>
    <t xml:space="preserve"> Knowledge Interchange &amp; Collaboration </t>
  </si>
  <si>
    <t xml:space="preserve">National Research Foundation </t>
  </si>
  <si>
    <t xml:space="preserve">Funding to attend International Hand surgery/therapy conference - to present oral presentation and represent South Africa at the International Federation of Societies of Hand Therapy Meeting </t>
  </si>
  <si>
    <t>COSECSA Global Surgery Research Mentorship Program Grant, funded by the Intuitive Foundation.</t>
  </si>
  <si>
    <t xml:space="preserve"> Intuitive Foundation</t>
  </si>
  <si>
    <t>The COSECSA Global Surgery Research Mentorship Program Grant, funded by the Intuitive Foundation, supports promising early-career researchers advancing surgical education and practice in sub-Saharan Africa. I was awarded the grant for my project titled "Impact of High-Fidelity Simulation on the Management of Open Fractures for Medical Students in Senior Clerkship", based on my track record in surgical education, prior publications, and leadership in implementing research that addresses key training gaps in Rwanda's healthcare system. CARTA's mentorship and my institutional role as a senior surgical educator further strengthened my candidacy.</t>
  </si>
  <si>
    <t>Seed Grant</t>
  </si>
  <si>
    <t>Afrique Research Support Hub (ARSH) Seed Grant Award</t>
  </si>
  <si>
    <t>African Population and Health Research Center (APHRC) through the Afrique Research Support Hub (ARSH)</t>
  </si>
  <si>
    <t>This Award aims to support the implementation of a research proposal aimed at strengthening the Awardee's capacity to conceptualize, pilot, and scale fundable research ideas.</t>
  </si>
  <si>
    <t>University of Washington/Fred Hutch Center for AIDS Research (CFAR) New Investigator Award (NIA)</t>
  </si>
  <si>
    <t>NIH through University of Washington/Fred Hutch Center for AIDS Research</t>
  </si>
  <si>
    <t>Immunopathogenesis of TB Aerobiology and Infectiousness in HIV Co-infection</t>
  </si>
  <si>
    <t>Based on a good score, the relevance of the topic, strong demonstration of my capabilities, and the exceptional mentorship team</t>
  </si>
  <si>
    <t>Period 2_2025</t>
  </si>
  <si>
    <t>C11/011</t>
  </si>
  <si>
    <t>Kubo</t>
  </si>
  <si>
    <t>Nigandi</t>
  </si>
  <si>
    <t>Quality Improvement Grant Award as part of the Stanford African Scholars in Global Health Program</t>
  </si>
  <si>
    <t>Pfizer</t>
  </si>
  <si>
    <t>Improving pneumococcal vaccine uptake among patients with Chronic Kidney Disease at the Kenyatta National Hospital: A quality improvement project</t>
  </si>
  <si>
    <t>Writing skills taught during CARTA JAS 1 were very helpful when applying for the grant.</t>
  </si>
  <si>
    <t>C11/016</t>
  </si>
  <si>
    <t>Orherhe</t>
  </si>
  <si>
    <t>Ochuko</t>
  </si>
  <si>
    <t>Travel Grant to attend the 2026 ASCPT (American Society for Clinical Pharmacology and Therapeutics) Annual Meeting.</t>
  </si>
  <si>
    <t>American Society of Clinical Pharmacology and Therapeutics (ASCPT)</t>
  </si>
  <si>
    <t>Adeyinka</t>
  </si>
  <si>
    <t>Olufolake</t>
  </si>
  <si>
    <t>Federal Government of Nigeria</t>
  </si>
  <si>
    <t>EFFECT OF WATER, SANITATION HYGIENE, AND NUTRITION ON INTELLIGENCE QUOTIENTS ON SCHOOL CHILDREN IN AYETE COMMUNITY, OYO STATE</t>
  </si>
  <si>
    <t>The persistent high burden of malnutrition in Nigeria and Oyo state is disturbing and have multiple causes.  Poor water, sanitation, and hygiene (WASH) predispose to recurrent infections, and consequently malnutrition. In return, malnutrition impairs both physical and cognitive development, including Intelligence Quotient (IQ) and academic performance. Few studies in Nigeria have documented the consequences of malnutrition on academic performance among school-age children. Understanding the link between WASH and nutrition is crucial for shaping health and academic outcomes for school children, generating local evidence for policy design, and creating an environment conducive to optimal learning for school-age children. This study is designed to determine the impact of WASH and nutrition on the intelligence quotient of school-age children in Ayete community, thereby providing a holistic understanding to inform policy and intervention programmes.</t>
  </si>
  <si>
    <t>Not applicable</t>
  </si>
  <si>
    <t>Research grant for evaluating CDC-supported HIV programming at sub-national level in Uganda</t>
  </si>
  <si>
    <t>Centers for Disease Control</t>
  </si>
  <si>
    <t>I am a co- Principal Investigator and qualitative lead of the research grant</t>
  </si>
  <si>
    <t>The selection was in large part to my pedigree in conducting program evaluations of donor-funded HIV programs.</t>
  </si>
  <si>
    <t>a scholarship for a short course</t>
  </si>
  <si>
    <t>MRC</t>
  </si>
  <si>
    <t xml:space="preserve">I was selected to attend the training competitively from a pool of many applicants. I was the only kenyan. </t>
  </si>
  <si>
    <t xml:space="preserve">Akinwaare </t>
  </si>
  <si>
    <t xml:space="preserve">Omowaleola </t>
  </si>
  <si>
    <t>HBNU research fund</t>
  </si>
  <si>
    <t>Fogarty International Center, NIH</t>
  </si>
  <si>
    <t>Effect of digitalized antenatal education on prevention of mother-to-child transmission among pregnant women living with HIV in Southwestern Nigeria.</t>
  </si>
  <si>
    <t xml:space="preserve">Post-doctoral Travel Grant at the 73 International Congress &amp; AGM of the Society for Medicinal Plant and Natural Product Research (GA) </t>
  </si>
  <si>
    <t xml:space="preserve"> The Society for Medicinal Plant and Natural Product Research (GA) </t>
  </si>
  <si>
    <t>Post-doctoral Travel Grant at the 73 International Congress &amp; AGM of the Society for Medicinal Plant and Natural Product Research (GA) in Naples, Italy, Aug 31-Sept 3/2025 at the Royal Continental Hotel</t>
  </si>
  <si>
    <t xml:space="preserve">TRACEPLANT: Tracing Medical Plants' Origins with Blockchain Solutions German Alliance for Global Health Research (GLOHRA) </t>
  </si>
  <si>
    <t xml:space="preserve">German Alliance for Global Health Research (GLOHRA) </t>
  </si>
  <si>
    <t xml:space="preserve">TRACEPLANT: Tracing Medical Plants' Origins with Blockchain Solutions </t>
  </si>
  <si>
    <t>This study aims to develop an evidence-based policy framework for regulating the medicinal plant and herbal medicine market in Uganda, with a focus on improving quality assurance, traceability, and patient safety. It further seeks to design and assess the feasibility of a blockchain-enabled supply-chain architecture to reduce information asymmetries related to source, quality, and sustainability of medicinal plant products.</t>
  </si>
  <si>
    <t xml:space="preserve">Colistin in one health </t>
  </si>
  <si>
    <t>USA Army</t>
  </si>
  <si>
    <t xml:space="preserve">one-Health Surveillance for Colistin Resistance in Priority Gram-negative bacteria across East Africa"  </t>
  </si>
  <si>
    <t>We were selected due to one health collaboration  and using the skills i learned through doctoral and post doctoral through CARTA</t>
  </si>
  <si>
    <t xml:space="preserve">Global Health Partnerships Extension Grant </t>
  </si>
  <si>
    <t xml:space="preserve">UK Department of Health and Social Care, the Global Health Workforce Programme (GHWP) Extension phase Grant </t>
  </si>
  <si>
    <t xml:space="preserve">To aid the completion of the outstanding project aims from the first phase of the project. I was selected because I was the country director for the first phase of the Early Childhood Development (ECD) project.  </t>
  </si>
  <si>
    <t>Infrastructure grant</t>
  </si>
  <si>
    <t>CFAR International Infrastructure Award</t>
  </si>
  <si>
    <t>University of Washington / Fred Hutch Center for AIDS Research (CFAR)</t>
  </si>
  <si>
    <t>The award is to support the renovation of TB clinics. Each of the proposals was screened through a careful review process conducted by 10 reviewers from CFAR-affiliated institutions, so I was selected based on a competitive application</t>
  </si>
  <si>
    <t>Faculty of Health Sciences URC start-up grant</t>
  </si>
  <si>
    <t>University of Cape Town, Faculty of Health Sciences</t>
  </si>
  <si>
    <t>Evidence map of strategies to alleviate the burden experienced by informal  caregivers of persons with severe mental disorders in developing countries</t>
  </si>
  <si>
    <t xml:space="preserve">This is a university start-up grant aimed at supporting early-career researchers in the first 3 years of appointment. My application was deemed competitive. </t>
  </si>
  <si>
    <t>(Multiple Items)</t>
  </si>
  <si>
    <t>Sum of Total amount in $</t>
  </si>
  <si>
    <t>Grand Total</t>
  </si>
  <si>
    <t>(All)</t>
  </si>
  <si>
    <t>Disclaimer: up to 2016 the avaialable data is not disaggregated by institution, sex or type of grant</t>
  </si>
  <si>
    <t>Number of grants</t>
  </si>
  <si>
    <t>Count of Total amount in $</t>
  </si>
  <si>
    <t>#VALUE!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</si>
</sst>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quot;-&quot;??_-;_-@_-"/>
    <numFmt numFmtId="165" formatCode="m/d;@"/>
    <numFmt numFmtId="166" formatCode="_-* #,##0_-;\-* #,##0_-;_-* &quot;-&quot;??_-;_-@_-"/>
    <numFmt numFmtId="167" formatCode="&quot;$&quot;#,##0.00"/>
  </numFmts>
  <fonts count="11">
    <font>
      <sz val="11"/>
      <color theme="1"/>
      <name val="Calibri"/>
      <family val="2"/>
      <scheme val="minor"/>
    </font>
    <font>
      <b/>
      <sz val="11"/>
      <color theme="1"/>
      <name val="Calibri"/>
      <family val="2"/>
      <scheme val="minor"/>
    </font>
    <font>
      <sz val="10"/>
      <color rgb="FF222222"/>
      <name val="Calibri"/>
      <family val="2"/>
      <scheme val="minor"/>
    </font>
    <font>
      <sz val="11"/>
      <color theme="1"/>
      <name val="Calibri"/>
      <family val="2"/>
      <scheme val="minor"/>
    </font>
    <font>
      <b/>
      <sz val="11"/>
      <color theme="5"/>
      <name val="Calibri"/>
      <family val="2"/>
      <scheme val="minor"/>
    </font>
    <font>
      <sz val="11"/>
      <color theme="5"/>
      <name val="Calibri"/>
      <family val="2"/>
      <scheme val="minor"/>
    </font>
    <font>
      <sz val="11"/>
      <color rgb="FF000000"/>
      <name val="Calibri"/>
      <family val="2"/>
    </font>
    <font>
      <sz val="8"/>
      <name val="Calibri"/>
      <family val="2"/>
      <scheme val="minor"/>
    </font>
    <font>
      <sz val="10"/>
      <name val="Arial"/>
      <family val="2"/>
    </font>
    <font>
      <sz val="11"/>
      <name val="Calibri"/>
      <family val="2"/>
      <scheme val="minor"/>
    </font>
    <font>
      <b/>
      <sz val="11"/>
      <color theme="1"/>
      <name val="Calibri"/>
      <scheme val="minor"/>
    </font>
  </fonts>
  <fills count="3">
    <fill>
      <patternFill patternType="none"/>
    </fill>
    <fill>
      <patternFill patternType="gray125"/>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164" fontId="3" fillId="0" borderId="0" applyFont="0" applyFill="0" applyBorder="0" applyAlignment="0" applyProtection="0"/>
    <xf numFmtId="0" fontId="8" fillId="0" borderId="0"/>
  </cellStyleXfs>
  <cellXfs count="61">
    <xf numFmtId="0" fontId="0" fillId="0" borderId="0" xfId="0"/>
    <xf numFmtId="165" fontId="0" fillId="0" borderId="0" xfId="0" applyNumberFormat="1"/>
    <xf numFmtId="0" fontId="1" fillId="0" borderId="0" xfId="0" applyFont="1"/>
    <xf numFmtId="0" fontId="0" fillId="0" borderId="1" xfId="0" applyBorder="1"/>
    <xf numFmtId="165" fontId="0" fillId="0" borderId="1" xfId="0" applyNumberFormat="1" applyBorder="1"/>
    <xf numFmtId="0" fontId="0" fillId="0" borderId="0" xfId="0" pivotButton="1"/>
    <xf numFmtId="0" fontId="2" fillId="0" borderId="1" xfId="0" applyFont="1" applyBorder="1"/>
    <xf numFmtId="164" fontId="0" fillId="0" borderId="0" xfId="0" applyNumberFormat="1"/>
    <xf numFmtId="0" fontId="1" fillId="0" borderId="2" xfId="0" applyFont="1" applyBorder="1"/>
    <xf numFmtId="0" fontId="1" fillId="0" borderId="3" xfId="0" applyFont="1" applyBorder="1"/>
    <xf numFmtId="1" fontId="0" fillId="0" borderId="0" xfId="0" pivotButton="1" applyNumberFormat="1"/>
    <xf numFmtId="1" fontId="0" fillId="0" borderId="0" xfId="0" applyNumberFormat="1"/>
    <xf numFmtId="167" fontId="0" fillId="0" borderId="1" xfId="0" applyNumberFormat="1" applyBorder="1"/>
    <xf numFmtId="166" fontId="0" fillId="0" borderId="0" xfId="0" applyNumberFormat="1"/>
    <xf numFmtId="14" fontId="0" fillId="0" borderId="1" xfId="0" applyNumberFormat="1" applyBorder="1"/>
    <xf numFmtId="0" fontId="0" fillId="0" borderId="1" xfId="0" applyBorder="1" applyAlignment="1">
      <alignment wrapText="1"/>
    </xf>
    <xf numFmtId="14" fontId="0" fillId="0" borderId="1" xfId="0" applyNumberFormat="1" applyBorder="1" applyAlignment="1">
      <alignment horizontal="right"/>
    </xf>
    <xf numFmtId="0" fontId="0" fillId="0" borderId="5" xfId="0" applyBorder="1"/>
    <xf numFmtId="165" fontId="0" fillId="0" borderId="5" xfId="0" applyNumberFormat="1" applyBorder="1"/>
    <xf numFmtId="167" fontId="0" fillId="0" borderId="5" xfId="0" applyNumberFormat="1" applyBorder="1"/>
    <xf numFmtId="0" fontId="4" fillId="0" borderId="0" xfId="0" applyFont="1"/>
    <xf numFmtId="0" fontId="5" fillId="0" borderId="0" xfId="0" applyFont="1"/>
    <xf numFmtId="2" fontId="1" fillId="0" borderId="3" xfId="0" applyNumberFormat="1" applyFont="1" applyBorder="1"/>
    <xf numFmtId="2" fontId="0" fillId="0" borderId="0" xfId="0" applyNumberFormat="1"/>
    <xf numFmtId="1" fontId="0" fillId="0" borderId="1" xfId="0" applyNumberFormat="1" applyBorder="1"/>
    <xf numFmtId="1" fontId="0" fillId="0" borderId="1" xfId="1" applyNumberFormat="1" applyFont="1" applyBorder="1"/>
    <xf numFmtId="1" fontId="0" fillId="0" borderId="5" xfId="0" applyNumberFormat="1" applyBorder="1"/>
    <xf numFmtId="1" fontId="0" fillId="0" borderId="5" xfId="0" applyNumberFormat="1" applyBorder="1" applyAlignment="1">
      <alignment horizontal="right"/>
    </xf>
    <xf numFmtId="0" fontId="6" fillId="0" borderId="1" xfId="0" applyFont="1" applyBorder="1"/>
    <xf numFmtId="0" fontId="6" fillId="0" borderId="5" xfId="0" applyFont="1" applyBorder="1"/>
    <xf numFmtId="0" fontId="6" fillId="0" borderId="6" xfId="0" applyFont="1" applyBorder="1"/>
    <xf numFmtId="0" fontId="6" fillId="0" borderId="3" xfId="0" applyFont="1" applyBorder="1"/>
    <xf numFmtId="0" fontId="6" fillId="0" borderId="2" xfId="0" applyFont="1" applyBorder="1"/>
    <xf numFmtId="165" fontId="0" fillId="0" borderId="1" xfId="0" applyNumberFormat="1" applyBorder="1" applyAlignment="1">
      <alignment horizontal="right"/>
    </xf>
    <xf numFmtId="165" fontId="0" fillId="0" borderId="0" xfId="0" applyNumberFormat="1" applyAlignment="1">
      <alignment horizontal="right"/>
    </xf>
    <xf numFmtId="166" fontId="0" fillId="0" borderId="0" xfId="1" applyNumberFormat="1" applyFont="1"/>
    <xf numFmtId="165" fontId="1" fillId="0" borderId="4" xfId="0" applyNumberFormat="1" applyFont="1" applyBorder="1" applyAlignment="1">
      <alignment horizontal="left"/>
    </xf>
    <xf numFmtId="0" fontId="1" fillId="0" borderId="3" xfId="0" applyFont="1" applyBorder="1" applyAlignment="1">
      <alignment horizontal="left"/>
    </xf>
    <xf numFmtId="1" fontId="0" fillId="0" borderId="1" xfId="0" applyNumberFormat="1" applyBorder="1" applyAlignment="1">
      <alignment horizontal="right"/>
    </xf>
    <xf numFmtId="165" fontId="0" fillId="0" borderId="5" xfId="0" applyNumberFormat="1" applyBorder="1" applyAlignment="1">
      <alignment horizontal="right"/>
    </xf>
    <xf numFmtId="0" fontId="1" fillId="0" borderId="3" xfId="0" applyFont="1" applyBorder="1" applyAlignment="1">
      <alignment horizontal="right"/>
    </xf>
    <xf numFmtId="0" fontId="0" fillId="0" borderId="1" xfId="0" applyBorder="1" applyAlignment="1">
      <alignment horizontal="right"/>
    </xf>
    <xf numFmtId="0" fontId="0" fillId="0" borderId="5" xfId="0" applyBorder="1" applyAlignment="1">
      <alignment horizontal="right"/>
    </xf>
    <xf numFmtId="0" fontId="6" fillId="0" borderId="5" xfId="0" applyFont="1" applyBorder="1" applyAlignment="1">
      <alignment horizontal="right"/>
    </xf>
    <xf numFmtId="0" fontId="6" fillId="0" borderId="1" xfId="0" applyFont="1" applyBorder="1" applyAlignment="1">
      <alignment horizontal="right"/>
    </xf>
    <xf numFmtId="0" fontId="6" fillId="0" borderId="3" xfId="0" applyFont="1" applyBorder="1" applyAlignment="1">
      <alignment horizontal="right"/>
    </xf>
    <xf numFmtId="0" fontId="0" fillId="0" borderId="0" xfId="0" applyAlignment="1">
      <alignment horizontal="right"/>
    </xf>
    <xf numFmtId="0" fontId="9" fillId="0" borderId="1" xfId="2" applyFont="1" applyBorder="1" applyAlignment="1">
      <alignment vertical="top"/>
    </xf>
    <xf numFmtId="0" fontId="0" fillId="2" borderId="1" xfId="0" applyFill="1" applyBorder="1"/>
    <xf numFmtId="1" fontId="0" fillId="2" borderId="1" xfId="0" applyNumberFormat="1" applyFill="1" applyBorder="1"/>
    <xf numFmtId="0" fontId="0" fillId="2" borderId="1" xfId="0" applyFill="1" applyBorder="1" applyAlignment="1">
      <alignment horizontal="right"/>
    </xf>
    <xf numFmtId="165" fontId="0" fillId="2" borderId="1" xfId="0" applyNumberFormat="1" applyFill="1" applyBorder="1" applyAlignment="1">
      <alignment horizontal="right"/>
    </xf>
    <xf numFmtId="165" fontId="0" fillId="2" borderId="1" xfId="0" applyNumberFormat="1" applyFill="1" applyBorder="1"/>
    <xf numFmtId="165" fontId="0" fillId="2" borderId="3" xfId="0" applyNumberFormat="1" applyFill="1" applyBorder="1"/>
    <xf numFmtId="0" fontId="0" fillId="2" borderId="0" xfId="0" applyFill="1"/>
    <xf numFmtId="0" fontId="6" fillId="0" borderId="0" xfId="0" applyFont="1"/>
    <xf numFmtId="0" fontId="9" fillId="0" borderId="5" xfId="2" applyFont="1" applyBorder="1" applyAlignment="1">
      <alignment vertical="top"/>
    </xf>
    <xf numFmtId="165" fontId="0" fillId="2" borderId="5" xfId="0" applyNumberFormat="1" applyFill="1" applyBorder="1" applyAlignment="1">
      <alignment horizontal="right"/>
    </xf>
    <xf numFmtId="0" fontId="0" fillId="0" borderId="0" xfId="0" applyAlignment="1">
      <alignment horizontal="left"/>
    </xf>
    <xf numFmtId="0" fontId="0" fillId="0" borderId="7" xfId="0" applyBorder="1"/>
    <xf numFmtId="0" fontId="10" fillId="0" borderId="3" xfId="0" applyFont="1" applyBorder="1"/>
  </cellXfs>
  <cellStyles count="3">
    <cellStyle name="Comma" xfId="1" builtinId="3"/>
    <cellStyle name="Normal" xfId="0" builtinId="0"/>
    <cellStyle name="Normal 3" xfId="2" xr:uid="{FAC1AA51-54F3-4413-88F9-D91D865C730C}"/>
  </cellStyles>
  <dxfs count="67">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alignment horizontal="righ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numFmt numFmtId="1" formatCode="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border diagonalUp="0" diagonalDown="0" outline="0">
        <left style="thin">
          <color indexed="64"/>
        </left>
        <right style="thin">
          <color indexed="64"/>
        </right>
        <top/>
        <bottom/>
      </border>
    </dxf>
    <dxf>
      <numFmt numFmtId="164" formatCode="_-* #,##0.00_-;\-* #,##0.00_-;_-* &quot;-&quot;??_-;_-@_-"/>
    </dxf>
    <dxf>
      <numFmt numFmtId="168" formatCode="_-* #,##0.000_-;\-* #,##0.000_-;_-* &quot;-&quot;??_-;_-@_-"/>
    </dxf>
    <dxf>
      <numFmt numFmtId="164" formatCode="_-* #,##0.00_-;\-* #,##0.00_-;_-* &quot;-&quot;??_-;_-@_-"/>
    </dxf>
    <dxf>
      <numFmt numFmtId="169" formatCode="_-* #,##0.0_-;\-* #,##0.0_-;_-* &quot;-&quot;??_-;_-@_-"/>
    </dxf>
    <dxf>
      <numFmt numFmtId="166" formatCode="_-* #,##0_-;\-* #,##0_-;_-* &quot;-&quot;??_-;_-@_-"/>
    </dxf>
    <dxf>
      <numFmt numFmtId="169" formatCode="_-* #,##0.0_-;\-* #,##0.0_-;_-* &quot;-&quot;??_-;_-@_-"/>
    </dxf>
    <dxf>
      <numFmt numFmtId="166" formatCode="_-* #,##0_-;\-* #,##0_-;_-* &quot;-&quot;??_-;_-@_-"/>
    </dxf>
    <dxf>
      <numFmt numFmtId="169" formatCode="_-* #,##0.0_-;\-* #,##0.0_-;_-* &quot;-&quot;??_-;_-@_-"/>
    </dxf>
    <dxf>
      <numFmt numFmtId="166" formatCode="_-* #,##0_-;\-* #,##0_-;_-* &quot;-&quot;??_-;_-@_-"/>
    </dxf>
    <dxf>
      <numFmt numFmtId="169" formatCode="_-* #,##0.0_-;\-* #,##0.0_-;_-* &quot;-&quot;??_-;_-@_-"/>
    </dxf>
    <dxf>
      <numFmt numFmtId="166" formatCode="_-* #,##0_-;\-* #,##0_-;_-* &quot;-&quot;??_-;_-@_-"/>
    </dxf>
    <dxf>
      <numFmt numFmtId="169" formatCode="_-* #,##0.0_-;\-* #,##0.0_-;_-* &quot;-&quot;??_-;_-@_-"/>
    </dxf>
    <dxf>
      <numFmt numFmtId="166" formatCode="_-* #,##0_-;\-* #,##0_-;_-* &quot;-&quot;??_-;_-@_-"/>
    </dxf>
    <dxf>
      <numFmt numFmtId="166" formatCode="_-* #,##0_-;\-* #,##0_-;_-* &quot;-&quot;??_-;_-@_-"/>
    </dxf>
    <dxf>
      <numFmt numFmtId="166" formatCode="_-* #,##0_-;\-* #,##0_-;_-*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9" formatCode="_-* #,##0.0_-;\-* #,##0.0_-;_-* &quot;-&quot;??_-;_-@_-"/>
    </dxf>
    <dxf>
      <numFmt numFmtId="166" formatCode="_-* #,##0_-;\-* #,##0_-;_-*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6" formatCode="_-* #,##0_-;\-* #,##0_-;_-* &quot;-&quot;??_-;_-@_-"/>
    </dxf>
    <dxf>
      <numFmt numFmtId="166" formatCode="_-* #,##0_-;\-* #,##0_-;_-* &quot;-&quot;??_-;_-@_-"/>
    </dxf>
  </dxfs>
  <tableStyles count="0" defaultTableStyle="TableStyleMedium2" defaultPivotStyle="PivotStyleLight16"/>
  <colors>
    <mruColors>
      <color rgb="FFFF99FF"/>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grants.xlsx]Analysis!PivotTable5</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pivotFmt>
    </c:pivotFmts>
    <c:plotArea>
      <c:layout/>
      <c:barChart>
        <c:barDir val="col"/>
        <c:grouping val="stacked"/>
        <c:varyColors val="0"/>
        <c:ser>
          <c:idx val="0"/>
          <c:order val="0"/>
          <c:tx>
            <c:strRef>
              <c:f>Analysis!$B$6:$B$7</c:f>
              <c:strCache>
                <c:ptCount val="1"/>
                <c:pt idx="0">
                  <c:v>Female</c:v>
                </c:pt>
              </c:strCache>
            </c:strRef>
          </c:tx>
          <c:spPr>
            <a:solidFill>
              <a:schemeClr val="accent2">
                <a:lumMod val="60000"/>
                <a:lumOff val="40000"/>
              </a:schemeClr>
            </a:solidFill>
            <a:ln>
              <a:noFill/>
            </a:ln>
            <a:effectLst/>
          </c:spPr>
          <c:invertIfNegative val="0"/>
          <c:cat>
            <c:strRef>
              <c:f>Analysis!$A$8:$A$18</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Analysis!$B$8:$B$18</c:f>
              <c:numCache>
                <c:formatCode>_-* #,##0_-;\-* #,##0_-;_-* "-"??_-;_-@_-</c:formatCode>
                <c:ptCount val="10"/>
                <c:pt idx="0">
                  <c:v>0</c:v>
                </c:pt>
                <c:pt idx="1">
                  <c:v>5661940.9199999999</c:v>
                </c:pt>
                <c:pt idx="2">
                  <c:v>2672381.38</c:v>
                </c:pt>
                <c:pt idx="3">
                  <c:v>1370099.6</c:v>
                </c:pt>
                <c:pt idx="4">
                  <c:v>1211745.7</c:v>
                </c:pt>
                <c:pt idx="5">
                  <c:v>215315.16999999998</c:v>
                </c:pt>
                <c:pt idx="6">
                  <c:v>4319856.8</c:v>
                </c:pt>
                <c:pt idx="7">
                  <c:v>824411.5</c:v>
                </c:pt>
                <c:pt idx="8">
                  <c:v>3074034.06</c:v>
                </c:pt>
                <c:pt idx="9">
                  <c:v>921643.39</c:v>
                </c:pt>
              </c:numCache>
            </c:numRef>
          </c:val>
          <c:extLst>
            <c:ext xmlns:c16="http://schemas.microsoft.com/office/drawing/2014/chart" uri="{C3380CC4-5D6E-409C-BE32-E72D297353CC}">
              <c16:uniqueId val="{00000000-857C-41EC-B078-B8C7A55B6630}"/>
            </c:ext>
          </c:extLst>
        </c:ser>
        <c:ser>
          <c:idx val="1"/>
          <c:order val="1"/>
          <c:tx>
            <c:strRef>
              <c:f>Analysis!$C$6:$C$7</c:f>
              <c:strCache>
                <c:ptCount val="1"/>
                <c:pt idx="0">
                  <c:v>Male</c:v>
                </c:pt>
              </c:strCache>
            </c:strRef>
          </c:tx>
          <c:spPr>
            <a:solidFill>
              <a:schemeClr val="accent2"/>
            </a:solidFill>
            <a:ln>
              <a:noFill/>
            </a:ln>
            <a:effectLst/>
          </c:spPr>
          <c:invertIfNegative val="0"/>
          <c:cat>
            <c:strRef>
              <c:f>Analysis!$A$8:$A$18</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Analysis!$C$8:$C$18</c:f>
              <c:numCache>
                <c:formatCode>_-* #,##0_-;\-* #,##0_-;_-* "-"??_-;_-@_-</c:formatCode>
                <c:ptCount val="10"/>
                <c:pt idx="0">
                  <c:v>108601</c:v>
                </c:pt>
                <c:pt idx="1">
                  <c:v>1927138.72</c:v>
                </c:pt>
                <c:pt idx="2">
                  <c:v>1065465.74</c:v>
                </c:pt>
                <c:pt idx="3">
                  <c:v>1789625.31</c:v>
                </c:pt>
                <c:pt idx="4">
                  <c:v>4566934.17</c:v>
                </c:pt>
                <c:pt idx="5">
                  <c:v>691492.67</c:v>
                </c:pt>
                <c:pt idx="6">
                  <c:v>2010009.76</c:v>
                </c:pt>
                <c:pt idx="7">
                  <c:v>5071327.75</c:v>
                </c:pt>
                <c:pt idx="8">
                  <c:v>3196178.52</c:v>
                </c:pt>
                <c:pt idx="9">
                  <c:v>406605</c:v>
                </c:pt>
              </c:numCache>
            </c:numRef>
          </c:val>
          <c:extLst>
            <c:ext xmlns:c16="http://schemas.microsoft.com/office/drawing/2014/chart" uri="{C3380CC4-5D6E-409C-BE32-E72D297353CC}">
              <c16:uniqueId val="{00000001-857C-41EC-B078-B8C7A55B6630}"/>
            </c:ext>
          </c:extLst>
        </c:ser>
        <c:ser>
          <c:idx val="2"/>
          <c:order val="2"/>
          <c:tx>
            <c:strRef>
              <c:f>Analysis!$D$6:$D$7</c:f>
              <c:strCache>
                <c:ptCount val="1"/>
                <c:pt idx="0">
                  <c:v>upto 2016</c:v>
                </c:pt>
              </c:strCache>
            </c:strRef>
          </c:tx>
          <c:spPr>
            <a:solidFill>
              <a:schemeClr val="accent3"/>
            </a:solidFill>
            <a:ln>
              <a:noFill/>
            </a:ln>
            <a:effectLst/>
          </c:spPr>
          <c:invertIfNegative val="0"/>
          <c:cat>
            <c:strRef>
              <c:f>Analysis!$A$8:$A$18</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Analysis!$D$8:$D$18</c:f>
              <c:numCache>
                <c:formatCode>_-* #,##0_-;\-* #,##0_-;_-* "-"??_-;_-@_-</c:formatCode>
                <c:ptCount val="10"/>
                <c:pt idx="0">
                  <c:v>5227040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570B-42B4-B38D-B02F9FF45147}"/>
            </c:ext>
          </c:extLst>
        </c:ser>
        <c:dLbls>
          <c:showLegendKey val="0"/>
          <c:showVal val="0"/>
          <c:showCatName val="0"/>
          <c:showSerName val="0"/>
          <c:showPercent val="0"/>
          <c:showBubbleSize val="0"/>
        </c:dLbls>
        <c:gapWidth val="70"/>
        <c:overlap val="100"/>
        <c:axId val="442243231"/>
        <c:axId val="975475119"/>
      </c:barChart>
      <c:catAx>
        <c:axId val="44224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75475119"/>
        <c:crosses val="autoZero"/>
        <c:auto val="1"/>
        <c:lblAlgn val="ctr"/>
        <c:lblOffset val="100"/>
        <c:noMultiLvlLbl val="0"/>
      </c:catAx>
      <c:valAx>
        <c:axId val="975475119"/>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42243231"/>
        <c:crosses val="autoZero"/>
        <c:crossBetween val="between"/>
        <c:majorUnit val="2000000"/>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grants.xlsx]Year!PivotTable3</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Year!$C$7:$C$8</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Year!$B$9:$B$11</c:f>
              <c:strCache>
                <c:ptCount val="2"/>
                <c:pt idx="0">
                  <c:v>2024</c:v>
                </c:pt>
                <c:pt idx="1">
                  <c:v>2025</c:v>
                </c:pt>
              </c:strCache>
            </c:strRef>
          </c:cat>
          <c:val>
            <c:numRef>
              <c:f>Year!$C$9:$C$11</c:f>
              <c:numCache>
                <c:formatCode>_-* #,##0_-;\-* #,##0_-;_-* "-"??_-;_-@_-</c:formatCode>
                <c:ptCount val="2"/>
                <c:pt idx="0">
                  <c:v>13</c:v>
                </c:pt>
                <c:pt idx="1">
                  <c:v>9</c:v>
                </c:pt>
              </c:numCache>
            </c:numRef>
          </c:val>
          <c:extLst>
            <c:ext xmlns:c16="http://schemas.microsoft.com/office/drawing/2014/chart" uri="{C3380CC4-5D6E-409C-BE32-E72D297353CC}">
              <c16:uniqueId val="{00000000-FF0C-42F4-80B8-7B9A1AA4FA3D}"/>
            </c:ext>
          </c:extLst>
        </c:ser>
        <c:ser>
          <c:idx val="1"/>
          <c:order val="1"/>
          <c:tx>
            <c:strRef>
              <c:f>Year!$D$7:$D$8</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Year!$B$9:$B$11</c:f>
              <c:strCache>
                <c:ptCount val="2"/>
                <c:pt idx="0">
                  <c:v>2024</c:v>
                </c:pt>
                <c:pt idx="1">
                  <c:v>2025</c:v>
                </c:pt>
              </c:strCache>
            </c:strRef>
          </c:cat>
          <c:val>
            <c:numRef>
              <c:f>Year!$D$9:$D$11</c:f>
              <c:numCache>
                <c:formatCode>_-* #,##0_-;\-* #,##0_-;_-* "-"??_-;_-@_-</c:formatCode>
                <c:ptCount val="2"/>
                <c:pt idx="0">
                  <c:v>4</c:v>
                </c:pt>
                <c:pt idx="1">
                  <c:v>6</c:v>
                </c:pt>
              </c:numCache>
            </c:numRef>
          </c:val>
          <c:extLst>
            <c:ext xmlns:c16="http://schemas.microsoft.com/office/drawing/2014/chart" uri="{C3380CC4-5D6E-409C-BE32-E72D297353CC}">
              <c16:uniqueId val="{00000001-FF0C-42F4-80B8-7B9A1AA4FA3D}"/>
            </c:ext>
          </c:extLst>
        </c:ser>
        <c:dLbls>
          <c:dLblPos val="outEnd"/>
          <c:showLegendKey val="0"/>
          <c:showVal val="1"/>
          <c:showCatName val="0"/>
          <c:showSerName val="0"/>
          <c:showPercent val="0"/>
          <c:showBubbleSize val="0"/>
        </c:dLbls>
        <c:gapWidth val="29"/>
        <c:overlap val="-7"/>
        <c:axId val="1043779919"/>
        <c:axId val="838278543"/>
      </c:barChart>
      <c:catAx>
        <c:axId val="104377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38278543"/>
        <c:crosses val="autoZero"/>
        <c:auto val="1"/>
        <c:lblAlgn val="ctr"/>
        <c:lblOffset val="100"/>
        <c:noMultiLvlLbl val="0"/>
      </c:catAx>
      <c:valAx>
        <c:axId val="838278543"/>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43779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r>
              <a:rPr lang="en-US" b="1">
                <a:solidFill>
                  <a:schemeClr val="accent2"/>
                </a:solidFill>
              </a:rPr>
              <a:t>Amount</a:t>
            </a:r>
            <a:r>
              <a:rPr lang="en-US" b="1" baseline="0">
                <a:solidFill>
                  <a:schemeClr val="accent2"/>
                </a:solidFill>
              </a:rPr>
              <a:t> of grants by home institution</a:t>
            </a:r>
            <a:endParaRPr lang="en-US" b="1">
              <a:solidFill>
                <a:schemeClr val="accent2"/>
              </a:solidFill>
            </a:endParaRPr>
          </a:p>
        </c:rich>
      </c:tx>
      <c:layout>
        <c:manualLayout>
          <c:xMode val="edge"/>
          <c:yMode val="edge"/>
          <c:x val="0.34343259553814404"/>
          <c:y val="1.216982615457187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F99FF"/>
          </a:solidFill>
          <a:ln>
            <a:noFill/>
          </a:ln>
          <a:effectLst/>
        </c:spPr>
        <c:marker>
          <c:symbol val="none"/>
        </c:marker>
      </c:pivotFmt>
    </c:pivotFmts>
    <c:plotArea>
      <c:layout/>
      <c:barChart>
        <c:barDir val="col"/>
        <c:grouping val="clustered"/>
        <c:varyColors val="0"/>
        <c:ser>
          <c:idx val="0"/>
          <c:order val="0"/>
          <c:tx>
            <c:v>Total</c:v>
          </c:tx>
          <c:spPr>
            <a:solidFill>
              <a:srgbClr val="FF99FF"/>
            </a:solidFill>
            <a:ln>
              <a:noFill/>
            </a:ln>
            <a:effectLst/>
          </c:spPr>
          <c:invertIfNegative val="0"/>
          <c:cat>
            <c:strLit>
              <c:ptCount val="13"/>
              <c:pt idx="0">
                <c:v>APHRC</c:v>
              </c:pt>
              <c:pt idx="1">
                <c:v>Ifakara Health Institute</c:v>
              </c:pt>
              <c:pt idx="2">
                <c:v>Makerere University</c:v>
              </c:pt>
              <c:pt idx="3">
                <c:v>Moi University</c:v>
              </c:pt>
              <c:pt idx="4">
                <c:v>Obafemi Awolowo University</c:v>
              </c:pt>
              <c:pt idx="5">
                <c:v>University of Dar es Salaam</c:v>
              </c:pt>
              <c:pt idx="6">
                <c:v>University of Ibadan</c:v>
              </c:pt>
              <c:pt idx="7">
                <c:v>University of Malawi</c:v>
              </c:pt>
              <c:pt idx="8">
                <c:v>University of Nairobi</c:v>
              </c:pt>
              <c:pt idx="9">
                <c:v>University of Rwanda</c:v>
              </c:pt>
              <c:pt idx="10">
                <c:v>University of the WItwatersrand</c:v>
              </c:pt>
              <c:pt idx="11">
                <c:v>upto 2016</c:v>
              </c:pt>
              <c:pt idx="12">
                <c:v>AFIDEP</c:v>
              </c:pt>
            </c:strLit>
          </c:cat>
          <c:val>
            <c:numLit>
              <c:formatCode>General</c:formatCode>
              <c:ptCount val="13"/>
              <c:pt idx="0">
                <c:v>1708612</c:v>
              </c:pt>
              <c:pt idx="1">
                <c:v>4236060.32</c:v>
              </c:pt>
              <c:pt idx="2">
                <c:v>4800161.6499999994</c:v>
              </c:pt>
              <c:pt idx="3">
                <c:v>1884004.71</c:v>
              </c:pt>
              <c:pt idx="4">
                <c:v>522343.44</c:v>
              </c:pt>
              <c:pt idx="5">
                <c:v>45290</c:v>
              </c:pt>
              <c:pt idx="6">
                <c:v>4336225.8100000005</c:v>
              </c:pt>
              <c:pt idx="7">
                <c:v>6859819.7300000004</c:v>
              </c:pt>
              <c:pt idx="8">
                <c:v>241837.89</c:v>
              </c:pt>
              <c:pt idx="9">
                <c:v>669103.61</c:v>
              </c:pt>
              <c:pt idx="10">
                <c:v>414414.77999999997</c:v>
              </c:pt>
              <c:pt idx="11">
                <c:v>5227040</c:v>
              </c:pt>
              <c:pt idx="12">
                <c:v>298011</c:v>
              </c:pt>
            </c:numLit>
          </c:val>
          <c:extLst>
            <c:ext xmlns:c16="http://schemas.microsoft.com/office/drawing/2014/chart" uri="{C3380CC4-5D6E-409C-BE32-E72D297353CC}">
              <c16:uniqueId val="{00000000-9404-4A14-8572-F01965EEDAD5}"/>
            </c:ext>
          </c:extLst>
        </c:ser>
        <c:dLbls>
          <c:showLegendKey val="0"/>
          <c:showVal val="0"/>
          <c:showCatName val="0"/>
          <c:showSerName val="0"/>
          <c:showPercent val="0"/>
          <c:showBubbleSize val="0"/>
        </c:dLbls>
        <c:gapWidth val="59"/>
        <c:overlap val="-27"/>
        <c:axId val="1109720751"/>
        <c:axId val="838292271"/>
      </c:barChart>
      <c:catAx>
        <c:axId val="1109720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38292271"/>
        <c:crosses val="autoZero"/>
        <c:auto val="1"/>
        <c:lblAlgn val="ctr"/>
        <c:lblOffset val="100"/>
        <c:noMultiLvlLbl val="0"/>
      </c:catAx>
      <c:valAx>
        <c:axId val="838292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09720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solidFill>
              </a:rPr>
              <a:t>Amount</a:t>
            </a:r>
            <a:r>
              <a:rPr lang="en-US" b="1" baseline="0">
                <a:solidFill>
                  <a:schemeClr val="accent2"/>
                </a:solidFill>
              </a:rPr>
              <a:t> (USD) of grants raised by gender</a:t>
            </a:r>
            <a:endParaRPr lang="en-US" b="1">
              <a:solidFill>
                <a:schemeClr val="accent2"/>
              </a:solidFill>
            </a:endParaRPr>
          </a:p>
        </c:rich>
      </c:tx>
      <c:layout>
        <c:manualLayout>
          <c:xMode val="edge"/>
          <c:yMode val="edge"/>
          <c:x val="0.26185471313596531"/>
          <c:y val="3.29824725427408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4B58-4BE2-9890-8141AE60D8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B58-4BE2-9890-8141AE60D81B}"/>
              </c:ext>
            </c:extLst>
          </c:dPt>
          <c:dLbls>
            <c:dLbl>
              <c:idx val="1"/>
              <c:layout>
                <c:manualLayout>
                  <c:x val="0.1528269170121116"/>
                  <c:y val="4.201299782878183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58-4BE2-9890-8141AE60D81B}"/>
                </c:ext>
              </c:extLst>
            </c:dLbl>
            <c:numFmt formatCode="[$$-4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Female</c:v>
              </c:pt>
              <c:pt idx="1">
                <c:v>Male</c:v>
              </c:pt>
            </c:strLit>
          </c:cat>
          <c:val>
            <c:numLit>
              <c:formatCode>General</c:formatCode>
              <c:ptCount val="2"/>
              <c:pt idx="0">
                <c:v>15386339.57</c:v>
              </c:pt>
              <c:pt idx="1">
                <c:v>10629545.369999999</c:v>
              </c:pt>
            </c:numLit>
          </c:val>
          <c:extLst>
            <c:ext xmlns:c16="http://schemas.microsoft.com/office/drawing/2014/chart" uri="{C3380CC4-5D6E-409C-BE32-E72D297353CC}">
              <c16:uniqueId val="{00000004-4B58-4BE2-9890-8141AE60D81B}"/>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[Fellows secured extra grants.xlsx]Analysis!PivotTable3</c:name>
    <c:fmtId val="5"/>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Analysis!$B$141:$B$142</c:f>
              <c:strCache>
                <c:ptCount val="1"/>
                <c:pt idx="0">
                  <c:v>Female</c:v>
                </c:pt>
              </c:strCache>
            </c:strRef>
          </c:tx>
          <c:spPr>
            <a:solidFill>
              <a:schemeClr val="accent2"/>
            </a:solidFill>
            <a:ln>
              <a:noFill/>
            </a:ln>
            <a:effectLst/>
          </c:spPr>
          <c:invertIfNegative val="0"/>
          <c:cat>
            <c:strRef>
              <c:f>Analysis!$A$143:$A$155</c:f>
              <c:strCache>
                <c:ptCount val="12"/>
                <c:pt idx="0">
                  <c:v>1</c:v>
                </c:pt>
                <c:pt idx="1">
                  <c:v>2</c:v>
                </c:pt>
                <c:pt idx="2">
                  <c:v>3</c:v>
                </c:pt>
                <c:pt idx="3">
                  <c:v>4</c:v>
                </c:pt>
                <c:pt idx="4">
                  <c:v>5</c:v>
                </c:pt>
                <c:pt idx="5">
                  <c:v>6</c:v>
                </c:pt>
                <c:pt idx="6">
                  <c:v>7</c:v>
                </c:pt>
                <c:pt idx="7">
                  <c:v>8</c:v>
                </c:pt>
                <c:pt idx="8">
                  <c:v>9</c:v>
                </c:pt>
                <c:pt idx="9">
                  <c:v>10</c:v>
                </c:pt>
                <c:pt idx="10">
                  <c:v>#VALUE!</c:v>
                </c:pt>
                <c:pt idx="11">
                  <c:v>11</c:v>
                </c:pt>
              </c:strCache>
            </c:strRef>
          </c:cat>
          <c:val>
            <c:numRef>
              <c:f>Analysis!$B$143:$B$155</c:f>
              <c:numCache>
                <c:formatCode>_-* #,##0_-;\-* #,##0_-;_-* "-"??_-;_-@_-</c:formatCode>
                <c:ptCount val="12"/>
                <c:pt idx="0">
                  <c:v>200820</c:v>
                </c:pt>
                <c:pt idx="1">
                  <c:v>5220000</c:v>
                </c:pt>
                <c:pt idx="2">
                  <c:v>1891542.58</c:v>
                </c:pt>
                <c:pt idx="3">
                  <c:v>1429257.07</c:v>
                </c:pt>
                <c:pt idx="4">
                  <c:v>1099645</c:v>
                </c:pt>
                <c:pt idx="5">
                  <c:v>1305809</c:v>
                </c:pt>
                <c:pt idx="6">
                  <c:v>5890349.79</c:v>
                </c:pt>
                <c:pt idx="7">
                  <c:v>2162709.54</c:v>
                </c:pt>
                <c:pt idx="8">
                  <c:v>333114.94999999995</c:v>
                </c:pt>
                <c:pt idx="9">
                  <c:v>680680.59</c:v>
                </c:pt>
                <c:pt idx="10">
                  <c:v>0</c:v>
                </c:pt>
                <c:pt idx="11">
                  <c:v>57500</c:v>
                </c:pt>
              </c:numCache>
            </c:numRef>
          </c:val>
          <c:extLst>
            <c:ext xmlns:c16="http://schemas.microsoft.com/office/drawing/2014/chart" uri="{C3380CC4-5D6E-409C-BE32-E72D297353CC}">
              <c16:uniqueId val="{00000000-9209-4796-A153-736463B7DC1A}"/>
            </c:ext>
          </c:extLst>
        </c:ser>
        <c:ser>
          <c:idx val="1"/>
          <c:order val="1"/>
          <c:tx>
            <c:strRef>
              <c:f>Analysis!$C$141:$C$142</c:f>
              <c:strCache>
                <c:ptCount val="1"/>
                <c:pt idx="0">
                  <c:v>Male</c:v>
                </c:pt>
              </c:strCache>
            </c:strRef>
          </c:tx>
          <c:spPr>
            <a:solidFill>
              <a:schemeClr val="accent2">
                <a:lumMod val="40000"/>
                <a:lumOff val="60000"/>
              </a:schemeClr>
            </a:solidFill>
            <a:ln>
              <a:noFill/>
            </a:ln>
            <a:effectLst/>
          </c:spPr>
          <c:invertIfNegative val="0"/>
          <c:cat>
            <c:strRef>
              <c:f>Analysis!$A$143:$A$155</c:f>
              <c:strCache>
                <c:ptCount val="12"/>
                <c:pt idx="0">
                  <c:v>1</c:v>
                </c:pt>
                <c:pt idx="1">
                  <c:v>2</c:v>
                </c:pt>
                <c:pt idx="2">
                  <c:v>3</c:v>
                </c:pt>
                <c:pt idx="3">
                  <c:v>4</c:v>
                </c:pt>
                <c:pt idx="4">
                  <c:v>5</c:v>
                </c:pt>
                <c:pt idx="5">
                  <c:v>6</c:v>
                </c:pt>
                <c:pt idx="6">
                  <c:v>7</c:v>
                </c:pt>
                <c:pt idx="7">
                  <c:v>8</c:v>
                </c:pt>
                <c:pt idx="8">
                  <c:v>9</c:v>
                </c:pt>
                <c:pt idx="9">
                  <c:v>10</c:v>
                </c:pt>
                <c:pt idx="10">
                  <c:v>#VALUE!</c:v>
                </c:pt>
                <c:pt idx="11">
                  <c:v>11</c:v>
                </c:pt>
              </c:strCache>
            </c:strRef>
          </c:cat>
          <c:val>
            <c:numRef>
              <c:f>Analysis!$C$143:$C$155</c:f>
              <c:numCache>
                <c:formatCode>_-* #,##0_-;\-* #,##0_-;_-* "-"??_-;_-@_-</c:formatCode>
                <c:ptCount val="12"/>
                <c:pt idx="0">
                  <c:v>252831.77000000002</c:v>
                </c:pt>
                <c:pt idx="1">
                  <c:v>792054</c:v>
                </c:pt>
                <c:pt idx="2">
                  <c:v>6212395.6400000006</c:v>
                </c:pt>
                <c:pt idx="3">
                  <c:v>1199294.73</c:v>
                </c:pt>
                <c:pt idx="4">
                  <c:v>5370609.6200000001</c:v>
                </c:pt>
                <c:pt idx="5">
                  <c:v>1996235.99</c:v>
                </c:pt>
                <c:pt idx="6">
                  <c:v>408432.95</c:v>
                </c:pt>
                <c:pt idx="7">
                  <c:v>204057.72999999998</c:v>
                </c:pt>
                <c:pt idx="8">
                  <c:v>2782008.24</c:v>
                </c:pt>
                <c:pt idx="9">
                  <c:v>1615457.97</c:v>
                </c:pt>
                <c:pt idx="10">
                  <c:v>0</c:v>
                </c:pt>
                <c:pt idx="11">
                  <c:v>0</c:v>
                </c:pt>
              </c:numCache>
            </c:numRef>
          </c:val>
          <c:extLst>
            <c:ext xmlns:c16="http://schemas.microsoft.com/office/drawing/2014/chart" uri="{C3380CC4-5D6E-409C-BE32-E72D297353CC}">
              <c16:uniqueId val="{00000001-9209-4796-A153-736463B7DC1A}"/>
            </c:ext>
          </c:extLst>
        </c:ser>
        <c:ser>
          <c:idx val="2"/>
          <c:order val="2"/>
          <c:tx>
            <c:strRef>
              <c:f>Analysis!$D$141:$D$142</c:f>
              <c:strCache>
                <c:ptCount val="1"/>
                <c:pt idx="0">
                  <c:v>upto 2016</c:v>
                </c:pt>
              </c:strCache>
            </c:strRef>
          </c:tx>
          <c:spPr>
            <a:solidFill>
              <a:schemeClr val="accent3"/>
            </a:solidFill>
            <a:ln>
              <a:noFill/>
            </a:ln>
            <a:effectLst/>
          </c:spPr>
          <c:invertIfNegative val="0"/>
          <c:cat>
            <c:strRef>
              <c:f>Analysis!$A$143:$A$155</c:f>
              <c:strCache>
                <c:ptCount val="12"/>
                <c:pt idx="0">
                  <c:v>1</c:v>
                </c:pt>
                <c:pt idx="1">
                  <c:v>2</c:v>
                </c:pt>
                <c:pt idx="2">
                  <c:v>3</c:v>
                </c:pt>
                <c:pt idx="3">
                  <c:v>4</c:v>
                </c:pt>
                <c:pt idx="4">
                  <c:v>5</c:v>
                </c:pt>
                <c:pt idx="5">
                  <c:v>6</c:v>
                </c:pt>
                <c:pt idx="6">
                  <c:v>7</c:v>
                </c:pt>
                <c:pt idx="7">
                  <c:v>8</c:v>
                </c:pt>
                <c:pt idx="8">
                  <c:v>9</c:v>
                </c:pt>
                <c:pt idx="9">
                  <c:v>10</c:v>
                </c:pt>
                <c:pt idx="10">
                  <c:v>#VALUE!</c:v>
                </c:pt>
                <c:pt idx="11">
                  <c:v>11</c:v>
                </c:pt>
              </c:strCache>
            </c:strRef>
          </c:cat>
          <c:val>
            <c:numRef>
              <c:f>Analysis!$D$143:$D$155</c:f>
              <c:numCache>
                <c:formatCode>_-* #,##0_-;\-* #,##0_-;_-* "-"??_-;_-@_-</c:formatCode>
                <c:ptCount val="12"/>
                <c:pt idx="0">
                  <c:v>0</c:v>
                </c:pt>
                <c:pt idx="1">
                  <c:v>0</c:v>
                </c:pt>
                <c:pt idx="2">
                  <c:v>0</c:v>
                </c:pt>
                <c:pt idx="3">
                  <c:v>0</c:v>
                </c:pt>
                <c:pt idx="4">
                  <c:v>0</c:v>
                </c:pt>
                <c:pt idx="5">
                  <c:v>0</c:v>
                </c:pt>
                <c:pt idx="6">
                  <c:v>0</c:v>
                </c:pt>
                <c:pt idx="7">
                  <c:v>0</c:v>
                </c:pt>
                <c:pt idx="8">
                  <c:v>0</c:v>
                </c:pt>
                <c:pt idx="9">
                  <c:v>0</c:v>
                </c:pt>
                <c:pt idx="10">
                  <c:v>5227040</c:v>
                </c:pt>
                <c:pt idx="11">
                  <c:v>0</c:v>
                </c:pt>
              </c:numCache>
            </c:numRef>
          </c:val>
          <c:extLst>
            <c:ext xmlns:c16="http://schemas.microsoft.com/office/drawing/2014/chart" uri="{C3380CC4-5D6E-409C-BE32-E72D297353CC}">
              <c16:uniqueId val="{00000002-9209-4796-A153-736463B7DC1A}"/>
            </c:ext>
          </c:extLst>
        </c:ser>
        <c:dLbls>
          <c:showLegendKey val="0"/>
          <c:showVal val="0"/>
          <c:showCatName val="0"/>
          <c:showSerName val="0"/>
          <c:showPercent val="0"/>
          <c:showBubbleSize val="0"/>
        </c:dLbls>
        <c:gapWidth val="150"/>
        <c:overlap val="100"/>
        <c:axId val="33388304"/>
        <c:axId val="33388784"/>
      </c:barChart>
      <c:catAx>
        <c:axId val="33388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3388784"/>
        <c:crosses val="autoZero"/>
        <c:auto val="1"/>
        <c:lblAlgn val="ctr"/>
        <c:lblOffset val="100"/>
        <c:noMultiLvlLbl val="0"/>
      </c:catAx>
      <c:valAx>
        <c:axId val="33388784"/>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3388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grants.xlsx]Year!PivotTable1</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2">
              <a:lumMod val="60000"/>
              <a:lumOff val="40000"/>
            </a:schemeClr>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Year!$C$74</c:f>
              <c:strCache>
                <c:ptCount val="1"/>
                <c:pt idx="0">
                  <c:v>Total</c:v>
                </c:pt>
              </c:strCache>
            </c:strRef>
          </c:tx>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7C5A-4D68-A3B4-9894226499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C5A-4D68-A3B4-9894226499E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C5A-4D68-A3B4-9894226499E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Year!$B$75:$B$78</c:f>
              <c:strCache>
                <c:ptCount val="3"/>
                <c:pt idx="0">
                  <c:v>Female</c:v>
                </c:pt>
                <c:pt idx="1">
                  <c:v>Male</c:v>
                </c:pt>
                <c:pt idx="2">
                  <c:v>upto 2016</c:v>
                </c:pt>
              </c:strCache>
            </c:strRef>
          </c:cat>
          <c:val>
            <c:numRef>
              <c:f>Year!$C$75:$C$78</c:f>
              <c:numCache>
                <c:formatCode>_-* #,##0_-;\-* #,##0_-;_-* "-"??_-;_-@_-</c:formatCode>
                <c:ptCount val="3"/>
                <c:pt idx="0">
                  <c:v>20271428.520000003</c:v>
                </c:pt>
                <c:pt idx="1">
                  <c:v>20833378.639999997</c:v>
                </c:pt>
                <c:pt idx="2">
                  <c:v>5227040</c:v>
                </c:pt>
              </c:numCache>
            </c:numRef>
          </c:val>
          <c:extLst>
            <c:ext xmlns:c16="http://schemas.microsoft.com/office/drawing/2014/chart" uri="{C3380CC4-5D6E-409C-BE32-E72D297353CC}">
              <c16:uniqueId val="{00000006-7C5A-4D68-A3B4-9894226499E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400050</xdr:colOff>
      <xdr:row>2</xdr:row>
      <xdr:rowOff>12700</xdr:rowOff>
    </xdr:from>
    <xdr:to>
      <xdr:col>8</xdr:col>
      <xdr:colOff>95250</xdr:colOff>
      <xdr:row>16</xdr:row>
      <xdr:rowOff>177800</xdr:rowOff>
    </xdr:to>
    <xdr:graphicFrame macro="">
      <xdr:nvGraphicFramePr>
        <xdr:cNvPr id="2" name="Chart 1">
          <a:extLst>
            <a:ext uri="{FF2B5EF4-FFF2-40B4-BE49-F238E27FC236}">
              <a16:creationId xmlns:a16="http://schemas.microsoft.com/office/drawing/2014/main" id="{5F7ECEAF-8FAA-434E-B4E6-C0F8C0538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203200</xdr:colOff>
      <xdr:row>2</xdr:row>
      <xdr:rowOff>31750</xdr:rowOff>
    </xdr:from>
    <xdr:to>
      <xdr:col>15</xdr:col>
      <xdr:colOff>508000</xdr:colOff>
      <xdr:row>17</xdr:row>
      <xdr:rowOff>12700</xdr:rowOff>
    </xdr:to>
    <xdr:graphicFrame macro="">
      <xdr:nvGraphicFramePr>
        <xdr:cNvPr id="3" name="Chart 2">
          <a:extLst>
            <a:ext uri="{FF2B5EF4-FFF2-40B4-BE49-F238E27FC236}">
              <a16:creationId xmlns:a16="http://schemas.microsoft.com/office/drawing/2014/main" id="{C8570560-3106-4E4D-B576-D2D199C3FEBF}"/>
            </a:ext>
            <a:ext uri="{147F2762-F138-4A5C-976F-8EAC2B608ADB}">
              <a16:predDERef xmlns:a16="http://schemas.microsoft.com/office/drawing/2014/main" pred="{5F7ECEAF-8FAA-434E-B4E6-C0F8C0538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362699</xdr:colOff>
      <xdr:row>17</xdr:row>
      <xdr:rowOff>115671</xdr:rowOff>
    </xdr:from>
    <xdr:to>
      <xdr:col>16</xdr:col>
      <xdr:colOff>281881</xdr:colOff>
      <xdr:row>37</xdr:row>
      <xdr:rowOff>181902</xdr:rowOff>
    </xdr:to>
    <xdr:graphicFrame macro="">
      <xdr:nvGraphicFramePr>
        <xdr:cNvPr id="4" name="Chart 3">
          <a:extLst>
            <a:ext uri="{FF2B5EF4-FFF2-40B4-BE49-F238E27FC236}">
              <a16:creationId xmlns:a16="http://schemas.microsoft.com/office/drawing/2014/main" id="{172906A8-CE52-429C-9947-D10BBFFD5D56}"/>
            </a:ext>
            <a:ext uri="{147F2762-F138-4A5C-976F-8EAC2B608ADB}">
              <a16:predDERef xmlns:a16="http://schemas.microsoft.com/office/drawing/2014/main" pred="{C8570560-3106-4E4D-B576-D2D199C3FE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607977</xdr:colOff>
      <xdr:row>2</xdr:row>
      <xdr:rowOff>60798</xdr:rowOff>
    </xdr:from>
    <xdr:to>
      <xdr:col>23</xdr:col>
      <xdr:colOff>236432</xdr:colOff>
      <xdr:row>17</xdr:row>
      <xdr:rowOff>20265</xdr:rowOff>
    </xdr:to>
    <xdr:graphicFrame macro="">
      <xdr:nvGraphicFramePr>
        <xdr:cNvPr id="5" name="Chart 4">
          <a:extLst>
            <a:ext uri="{FF2B5EF4-FFF2-40B4-BE49-F238E27FC236}">
              <a16:creationId xmlns:a16="http://schemas.microsoft.com/office/drawing/2014/main" id="{65E30062-8CEE-48F1-AA1A-A7B5B10332F0}"/>
            </a:ext>
            <a:ext uri="{147F2762-F138-4A5C-976F-8EAC2B608ADB}">
              <a16:predDERef xmlns:a16="http://schemas.microsoft.com/office/drawing/2014/main" pred="{172906A8-CE52-429C-9947-D10BBFFD5D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344278</xdr:colOff>
      <xdr:row>17</xdr:row>
      <xdr:rowOff>153013</xdr:rowOff>
    </xdr:from>
    <xdr:to>
      <xdr:col>24</xdr:col>
      <xdr:colOff>19892</xdr:colOff>
      <xdr:row>32</xdr:row>
      <xdr:rowOff>141996</xdr:rowOff>
    </xdr:to>
    <xdr:graphicFrame macro="">
      <xdr:nvGraphicFramePr>
        <xdr:cNvPr id="8" name="Chart 7">
          <a:extLst>
            <a:ext uri="{FF2B5EF4-FFF2-40B4-BE49-F238E27FC236}">
              <a16:creationId xmlns:a16="http://schemas.microsoft.com/office/drawing/2014/main" id="{07FCB782-86CF-4818-A003-E42FAA630D7E}"/>
            </a:ext>
            <a:ext uri="{147F2762-F138-4A5C-976F-8EAC2B608ADB}">
              <a16:predDERef xmlns:a16="http://schemas.microsoft.com/office/drawing/2014/main" pred="{65E30062-8CEE-48F1-AA1A-A7B5B10332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130061</xdr:colOff>
      <xdr:row>39</xdr:row>
      <xdr:rowOff>30603</xdr:rowOff>
    </xdr:from>
    <xdr:to>
      <xdr:col>9</xdr:col>
      <xdr:colOff>27543</xdr:colOff>
      <xdr:row>54</xdr:row>
      <xdr:rowOff>19586</xdr:rowOff>
    </xdr:to>
    <xdr:graphicFrame macro="">
      <xdr:nvGraphicFramePr>
        <xdr:cNvPr id="7" name="Chart 6">
          <a:extLst>
            <a:ext uri="{FF2B5EF4-FFF2-40B4-BE49-F238E27FC236}">
              <a16:creationId xmlns:a16="http://schemas.microsoft.com/office/drawing/2014/main" id="{43809BFE-86E0-46DB-A873-AFE28BEA9600}"/>
            </a:ext>
            <a:ext uri="{147F2762-F138-4A5C-976F-8EAC2B608ADB}">
              <a16:predDERef xmlns:a16="http://schemas.microsoft.com/office/drawing/2014/main" pred="{07FCB782-86CF-4818-A003-E42FAA630D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63.413309953707" createdVersion="6" refreshedVersion="8" minRefreshableVersion="3" recordCount="490" xr:uid="{00000000-000A-0000-FFFF-FFFF00000000}">
  <cacheSource type="worksheet">
    <worksheetSource name="Table1"/>
  </cacheSource>
  <cacheFields count="25">
    <cacheField name="No." numFmtId="0">
      <sharedItems containsSemiMixedTypes="0" containsString="0" containsNumber="1" containsInteger="1" minValue="1" maxValue="490"/>
    </cacheField>
    <cacheField name="Reporting Period" numFmtId="0">
      <sharedItems containsBlank="1" count="33">
        <s v="Upto 2016"/>
        <s v="Period 1 - 2017"/>
        <s v="Period 2 - 2018"/>
        <s v="Period 2 - 2017"/>
        <s v="Period 1 - 2018"/>
        <s v="Period 2_2019"/>
        <s v="Period 1_2019"/>
        <s v="Q4_2019"/>
        <s v="Q1_2019"/>
        <s v="Q2_2019"/>
        <s v="Q3_2019"/>
        <s v="Q1_2020"/>
        <s v="period 1 _2020"/>
        <s v="Q2_2020"/>
        <s v="Period 2_2020"/>
        <s v="Q3_2020"/>
        <s v="Q4_2020"/>
        <s v="Q1_2021"/>
        <s v="Period 1_2021"/>
        <s v="Q2_2021"/>
        <s v="Period 2_2021"/>
        <s v="Q4_2021"/>
        <s v="Q3_2021"/>
        <s v="Period 1_2022"/>
        <s v="Period 2_2022"/>
        <s v="Period 1_2023"/>
        <s v="Period 2_2023"/>
        <s v="Period 1_2024"/>
        <s v="Period 2_2024"/>
        <s v="Period 1_2025"/>
        <s v="Period 2_2025"/>
        <m u="1"/>
        <s v="Q1_2022" u="1"/>
      </sharedItems>
    </cacheField>
    <cacheField name="Unique ID" numFmtId="0">
      <sharedItems containsMixedTypes="1" containsNumber="1" containsInteger="1" minValue="2016" maxValue="2016" count="139">
        <n v="2016"/>
        <s v="C4/001"/>
        <s v="C4/002"/>
        <s v="C7/001"/>
        <s v="C7/002"/>
        <s v="C7/003"/>
        <s v="C7/004"/>
        <s v="C6/001"/>
        <s v="C7/005"/>
        <s v="C6/003"/>
        <s v="C5/001"/>
        <s v="C4/006"/>
        <s v="C7/006"/>
        <s v="C7/007"/>
        <s v="C4/008"/>
        <s v="C6/004"/>
        <s v="C5/004"/>
        <s v="C4/009"/>
        <s v="C5/005"/>
        <s v="C5/006"/>
        <s v="C5/007"/>
        <s v="C5/008"/>
        <s v="C7/011"/>
        <s v="C5/009"/>
        <s v="C7/012"/>
        <s v="C5/010"/>
        <s v="C4/011"/>
        <s v="C6/007"/>
        <s v="C7/013"/>
        <s v="C6/008"/>
        <s v="C5/011"/>
        <s v="C4/013"/>
        <s v="C5/014"/>
        <s v="C5/016"/>
        <s v="C6/011"/>
        <s v="C4/016"/>
        <s v="C6/012"/>
        <s v="C6/013"/>
        <s v="C7/016"/>
        <s v="C5/018"/>
        <s v="C7/017"/>
        <s v="C6/016"/>
        <s v="C7/018"/>
        <s v="C4/020"/>
        <s v="C7/020"/>
        <s v="C6/019"/>
        <s v="C4/023"/>
        <s v="C7/021"/>
        <s v="C5/021"/>
        <s v="C7/022"/>
        <s v="C7/023"/>
        <s v="C6/020"/>
        <s v="C7/024"/>
        <s v="C6/021"/>
        <s v="C6/023"/>
        <s v="C1/017"/>
        <s v="C7/025"/>
        <s v="C3/022"/>
        <s v="C4/027"/>
        <s v="C7/026"/>
        <s v="C6/024"/>
        <s v="C8/004"/>
        <s v="C8/008"/>
        <s v="C8/011"/>
        <s v="C8/013"/>
        <s v="C8/015"/>
        <s v="C8/017"/>
        <s v="C8/019"/>
        <s v="C8/020"/>
        <s v="C8/021"/>
        <s v="C8/022"/>
        <s v="C8/024"/>
        <s v="C9/002"/>
        <s v="C9/003"/>
        <s v="C9/004"/>
        <s v="C9/006"/>
        <s v="C9/008"/>
        <s v="C9/016"/>
        <s v="C9/018"/>
        <s v="C9/022"/>
        <s v="C3/020"/>
        <s v="C3/015"/>
        <s v="C2/006"/>
        <s v="C3/013"/>
        <s v="C2/002"/>
        <s v="C4/004"/>
        <s v="C3/014"/>
        <s v="C1/019"/>
        <s v="C2/007"/>
        <s v="C3/005"/>
        <s v="C3/004"/>
        <s v="C3/003"/>
        <s v="C1/010"/>
        <s v="C3/001"/>
        <s v="C1/004"/>
        <s v="C5/002"/>
        <s v="C2/004"/>
        <s v="C4/024"/>
        <s v="C4/022"/>
        <s v="C9/001"/>
        <s v="C10/013"/>
        <s v="C10/018"/>
        <s v="C10/001"/>
        <s v="C4/003"/>
        <s v="C8/023"/>
        <s v="C7/009"/>
        <s v="C8/001"/>
        <s v="C9/007"/>
        <s v="C9/012"/>
        <s v="C9/019"/>
        <s v="C10/011"/>
        <s v="C10/012"/>
        <s v="C4/010"/>
        <s v="C8/003"/>
        <s v="C9/011"/>
        <s v="C10/003"/>
        <s v="C10/010"/>
        <s v="C6/002"/>
        <s v="C8/005"/>
        <s v="C10/022"/>
        <s v="C3/007"/>
        <s v="C9/023"/>
        <s v="C8/010"/>
        <s v="C9/005"/>
        <s v="C10/016"/>
        <s v="C4/019"/>
        <s v="C6/010"/>
        <s v="C10/023"/>
        <s v="C3/012"/>
        <s v="C4/014"/>
        <s v="C4/007"/>
        <s v="C8/007"/>
        <s v="C10/015"/>
        <s v="C9/013"/>
        <s v="C1/006"/>
        <s v="C9/021"/>
        <s v="C9/015"/>
        <s v="C11/011"/>
        <s v="C11/016"/>
      </sharedItems>
    </cacheField>
    <cacheField name="Surname" numFmtId="0">
      <sharedItems/>
    </cacheField>
    <cacheField name="Middle name" numFmtId="0">
      <sharedItems containsBlank="1"/>
    </cacheField>
    <cacheField name="First Name" numFmtId="0">
      <sharedItems/>
    </cacheField>
    <cacheField name="Sex" numFmtId="0">
      <sharedItems containsBlank="1" count="4">
        <s v="upto 2016"/>
        <s v="Male"/>
        <s v="Female"/>
        <m u="1"/>
      </sharedItems>
    </cacheField>
    <cacheField name="Cohort Number" numFmtId="0">
      <sharedItems containsMixedTypes="1" containsNumber="1" containsInteger="1" minValue="1" maxValue="2016" count="13">
        <e v="#VALUE!"/>
        <n v="4"/>
        <n v="7"/>
        <n v="6"/>
        <n v="5"/>
        <n v="1"/>
        <n v="3"/>
        <n v="8"/>
        <n v="9"/>
        <n v="2"/>
        <n v="10"/>
        <n v="11"/>
        <n v="2016" u="1"/>
      </sharedItems>
    </cacheField>
    <cacheField name="Institution of employment at registration " numFmtId="0">
      <sharedItems/>
    </cacheField>
    <cacheField name="Institution of PhD Registration " numFmtId="0">
      <sharedItems containsBlank="1"/>
    </cacheField>
    <cacheField name="Type of Achievement Award " numFmtId="0">
      <sharedItems containsBlank="1" count="34">
        <m/>
        <s v="Conference Grant"/>
        <s v="Scholarship Grant"/>
        <s v="Research Grant"/>
        <s v="Travel Grant"/>
        <s v="Other "/>
        <s v="Other"/>
        <s v="Research Grant "/>
        <s v="Travel Grant "/>
        <s v="CPE grant"/>
        <s v="Consultancy"/>
        <s v="Continuous Professional Development Training "/>
        <s v="Writing Grant"/>
        <s v="Research Award "/>
        <s v="Institutional Grant"/>
        <s v="Conference grant_x000a_"/>
        <s v="Research grant_x000a_"/>
        <s v="Seed Grant"/>
        <s v="Global Health Partnerships Extension Grant "/>
        <s v="Infrastructure grant"/>
        <s v="Scholarship" u="1"/>
        <s v="Researcg Grant" u="1"/>
        <s v="Trave Grant" u="1"/>
        <s v="Post-doctoral study funding" u="1"/>
        <s v="Nil" u="1"/>
        <s v="Research  Grant " u="1"/>
        <s v="Thuthuka NRF grant" u="1"/>
        <s v="PhD research funding" u="1"/>
        <s v="summer course Fellowship" u="1"/>
        <s v="Bursary" u="1"/>
        <s v="Conference Scholarship" u="1"/>
        <s v="Grant" u="1"/>
        <s v="PROPOSAL" u="1"/>
        <s v="Works Contract" u="1"/>
      </sharedItems>
    </cacheField>
    <cacheField name="Name of Grant Awarded" numFmtId="0">
      <sharedItems containsBlank="1" containsMixedTypes="1" containsNumber="1" containsInteger="1" minValue="1" maxValue="8685" longText="1"/>
    </cacheField>
    <cacheField name="Total amount in $" numFmtId="0">
      <sharedItems containsBlank="1" containsMixedTypes="1" containsNumber="1" minValue="0" maxValue="5227040"/>
    </cacheField>
    <cacheField name="Name of Funder" numFmtId="0">
      <sharedItems containsBlank="1" longText="1"/>
    </cacheField>
    <cacheField name="Duration of Funding (in months)" numFmtId="0">
      <sharedItems containsBlank="1" containsMixedTypes="1" containsNumber="1" containsInteger="1" minValue="0" maxValue="60"/>
    </cacheField>
    <cacheField name="Type of Grant" numFmtId="0">
      <sharedItems containsBlank="1" containsMixedTypes="1" containsNumber="1" containsInteger="1" minValue="1" maxValue="24" count="18">
        <m/>
        <s v="Conference grant"/>
        <s v="Scholarship"/>
        <s v="Research grant"/>
        <s v="Travel grant"/>
        <s v="Other"/>
        <s v="CPE grant"/>
        <s v="Scholarship grant"/>
        <s v="Consultancy"/>
        <s v="Research Award "/>
        <s v="Institutional Grant"/>
        <s v="Seed Grant"/>
        <n v="2"/>
        <n v="12"/>
        <n v="1"/>
        <n v="6"/>
        <n v="24"/>
        <s v="Writing Grant" u="1"/>
      </sharedItems>
    </cacheField>
    <cacheField name="Year" numFmtId="0">
      <sharedItems containsSemiMixedTypes="0" containsString="0" containsNumber="1" containsInteger="1" minValue="2016" maxValue="2025" count="10">
        <n v="2016"/>
        <n v="2017"/>
        <n v="2018"/>
        <n v="2019"/>
        <n v="2020"/>
        <n v="2021"/>
        <n v="2022"/>
        <n v="2023"/>
        <n v="2024"/>
        <n v="2025"/>
      </sharedItems>
    </cacheField>
    <cacheField name="Research title" numFmtId="0">
      <sharedItems containsBlank="1"/>
    </cacheField>
    <cacheField name="Grant type" numFmtId="0">
      <sharedItems containsBlank="1" count="9">
        <m/>
        <s v="PhD"/>
        <s v="Graduate"/>
        <s v="Continuous Professional Development Training " u="1"/>
        <s v="Conference grant" u="1"/>
        <s v="Research grant" u="1"/>
        <s v="Travel grant" u="1"/>
        <s v="Co-investigator" u="1"/>
        <s v="Principal Investigator" u="1"/>
      </sharedItems>
    </cacheField>
    <cacheField name="Award date" numFmtId="0">
      <sharedItems containsDate="1" containsBlank="1" containsMixedTypes="1" minDate="2020-01-07T00:00:00" maxDate="2026-03-02T00:00:00"/>
    </cacheField>
    <cacheField name="Role in research grants" numFmtId="0">
      <sharedItems containsBlank="1"/>
    </cacheField>
    <cacheField name="CARTA fellows collaborating" numFmtId="0">
      <sharedItems containsBlank="1" longText="1"/>
    </cacheField>
    <cacheField name="Quotes if any" numFmtId="0">
      <sharedItems containsBlank="1" longText="1"/>
    </cacheField>
    <cacheField name="Please, give a brief description of the award and tell us why you were selected for the award?" numFmtId="0">
      <sharedItems containsBlank="1" longText="1"/>
    </cacheField>
    <cacheField name="Column1" numFmtId="165">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0">
  <r>
    <n v="1"/>
    <x v="0"/>
    <x v="0"/>
    <s v="CARTA"/>
    <s v="CARTA"/>
    <s v="CARTA"/>
    <x v="0"/>
    <x v="0"/>
    <s v="upto 2016"/>
    <m/>
    <x v="0"/>
    <m/>
    <n v="5227040"/>
    <m/>
    <m/>
    <x v="0"/>
    <x v="0"/>
    <m/>
    <x v="0"/>
    <m/>
    <m/>
    <m/>
    <m/>
    <m/>
    <m/>
  </r>
  <r>
    <n v="2"/>
    <x v="1"/>
    <x v="1"/>
    <s v="Alonge"/>
    <s v="John"/>
    <s v="Ayodele"/>
    <x v="1"/>
    <x v="1"/>
    <s v="University of Ibadan"/>
    <s v="University of Nairobi"/>
    <x v="1"/>
    <s v="International Communication Association (ICA) Travel Grant"/>
    <n v="800"/>
    <s v="International Communication Association (ICA)"/>
    <s v="7 days"/>
    <x v="1"/>
    <x v="1"/>
    <m/>
    <x v="1"/>
    <m/>
    <m/>
    <m/>
    <m/>
    <m/>
    <m/>
  </r>
  <r>
    <n v="3"/>
    <x v="2"/>
    <x v="2"/>
    <s v="Chikandiwa"/>
    <s v="Takuranhamo"/>
    <s v="Admire"/>
    <x v="1"/>
    <x v="1"/>
    <s v="University of the WItwatersrand"/>
    <s v="University of the WItwatersrand"/>
    <x v="2"/>
    <s v="Part-time doctoral scholarship"/>
    <n v="10000"/>
    <s v="National Research Foundation"/>
    <n v="12"/>
    <x v="2"/>
    <x v="2"/>
    <m/>
    <x v="1"/>
    <m/>
    <m/>
    <m/>
    <m/>
    <m/>
    <m/>
  </r>
  <r>
    <n v="4"/>
    <x v="2"/>
    <x v="2"/>
    <s v="Chikandiwa"/>
    <s v="Takuranhamo"/>
    <s v="Admire"/>
    <x v="1"/>
    <x v="1"/>
    <s v="University of the WItwatersrand"/>
    <s v="University of the WItwatersrand"/>
    <x v="1"/>
    <s v="Travel Award"/>
    <n v="5000"/>
    <s v="International AIDS Society (IAS)"/>
    <n v="1"/>
    <x v="3"/>
    <x v="2"/>
    <m/>
    <x v="1"/>
    <m/>
    <m/>
    <m/>
    <m/>
    <m/>
    <m/>
  </r>
  <r>
    <n v="5"/>
    <x v="1"/>
    <x v="3"/>
    <s v="Dreyer"/>
    <s v="Ruth"/>
    <s v="Abigail"/>
    <x v="2"/>
    <x v="2"/>
    <s v="University of the WItwatersrand"/>
    <s v="University of the WItwatersrand"/>
    <x v="3"/>
    <s v="NRF Funding for Thuthuka"/>
    <n v="21100"/>
    <s v="National Research Foundation"/>
    <s v="3 years"/>
    <x v="3"/>
    <x v="1"/>
    <m/>
    <x v="1"/>
    <m/>
    <m/>
    <m/>
    <m/>
    <m/>
    <m/>
  </r>
  <r>
    <n v="6"/>
    <x v="3"/>
    <x v="3"/>
    <s v="Dreyer"/>
    <s v="Ruth"/>
    <s v="Abigail"/>
    <x v="2"/>
    <x v="2"/>
    <s v="University of the WItwatersrand"/>
    <s v="University of the WItwatersrand"/>
    <x v="3"/>
    <s v="NRF Thuthuka Funding Programme"/>
    <n v="20000"/>
    <s v="Natinoal Research Fund"/>
    <s v="3 years"/>
    <x v="3"/>
    <x v="1"/>
    <m/>
    <x v="1"/>
    <m/>
    <m/>
    <m/>
    <m/>
    <m/>
    <m/>
  </r>
  <r>
    <n v="7"/>
    <x v="4"/>
    <x v="3"/>
    <s v="Dreyer"/>
    <s v="Ruth"/>
    <s v="Abigail"/>
    <x v="2"/>
    <x v="2"/>
    <s v="University of the WItwatersrand"/>
    <s v="University of the WItwatersrand"/>
    <x v="3"/>
    <s v="Abigail Ruth Dreyer"/>
    <n v="12388"/>
    <s v="National Research Fund"/>
    <n v="12"/>
    <x v="3"/>
    <x v="2"/>
    <m/>
    <x v="1"/>
    <m/>
    <m/>
    <m/>
    <m/>
    <m/>
    <m/>
  </r>
  <r>
    <n v="8"/>
    <x v="2"/>
    <x v="3"/>
    <s v="Dreyer"/>
    <s v="Ruth"/>
    <s v="Abigail"/>
    <x v="2"/>
    <x v="2"/>
    <s v="University of the WItwatersrand"/>
    <s v="University of the WItwatersrand"/>
    <x v="3"/>
    <n v="8685"/>
    <n v="12000"/>
    <s v="National Research Foundation (NRF)"/>
    <n v="12"/>
    <x v="3"/>
    <x v="2"/>
    <m/>
    <x v="1"/>
    <m/>
    <m/>
    <m/>
    <m/>
    <m/>
    <m/>
  </r>
  <r>
    <n v="9"/>
    <x v="2"/>
    <x v="4"/>
    <s v="Kagaha"/>
    <s v="-"/>
    <s v="Alexander"/>
    <x v="1"/>
    <x v="2"/>
    <s v="Makerere University"/>
    <s v="University of the WItwatersrand"/>
    <x v="2"/>
    <s v="African Doctoral Dissertation Research Fellowship (ADDRF)"/>
    <n v="8250"/>
    <s v="African Population and Health Research Centre (APHRC)"/>
    <n v="24"/>
    <x v="2"/>
    <x v="2"/>
    <m/>
    <x v="1"/>
    <m/>
    <m/>
    <m/>
    <m/>
    <m/>
    <m/>
  </r>
  <r>
    <n v="10"/>
    <x v="5"/>
    <x v="4"/>
    <s v="Kagaha"/>
    <s v="-"/>
    <s v="Alexander"/>
    <x v="1"/>
    <x v="2"/>
    <s v="Makerere University"/>
    <s v="University of the WItwatersrand"/>
    <x v="2"/>
    <s v="African Doctoral Dissertation Research Fellowship (ADDRF) "/>
    <n v="10000"/>
    <s v="APHRC"/>
    <n v="24"/>
    <x v="2"/>
    <x v="3"/>
    <m/>
    <x v="1"/>
    <m/>
    <m/>
    <m/>
    <m/>
    <m/>
    <m/>
  </r>
  <r>
    <n v="11"/>
    <x v="5"/>
    <x v="5"/>
    <s v="Komolafe"/>
    <s v="Olubusola"/>
    <s v="Abiola"/>
    <x v="2"/>
    <x v="2"/>
    <s v="Obafemi Awolowo University"/>
    <s v="Obafemi Awolowo University"/>
    <x v="2"/>
    <s v="Academyhealth LMIC schorlarship "/>
    <n v="2000"/>
    <s v="Academyhealth"/>
    <m/>
    <x v="1"/>
    <x v="3"/>
    <m/>
    <x v="1"/>
    <m/>
    <m/>
    <m/>
    <m/>
    <m/>
    <m/>
  </r>
  <r>
    <n v="12"/>
    <x v="1"/>
    <x v="6"/>
    <s v="Kaunda-Khangamwa"/>
    <s v="Nyasilia"/>
    <s v="Blessings"/>
    <x v="2"/>
    <x v="2"/>
    <s v="University of Malawi"/>
    <s v="University of the WItwatersrand"/>
    <x v="3"/>
    <s v="Majete Malaria Programme_KAP Survey Grant"/>
    <n v="15630"/>
    <s v="Majete Malaria Project"/>
    <s v="1 year"/>
    <x v="3"/>
    <x v="1"/>
    <m/>
    <x v="1"/>
    <m/>
    <m/>
    <m/>
    <m/>
    <m/>
    <m/>
  </r>
  <r>
    <n v="13"/>
    <x v="3"/>
    <x v="6"/>
    <s v="Kaunda-Khangamwa"/>
    <s v="Nyasilia"/>
    <s v="Blessings"/>
    <x v="2"/>
    <x v="2"/>
    <s v="University of Malawi"/>
    <s v="University of the WItwatersrand"/>
    <x v="3"/>
    <s v="Research and Publication"/>
    <n v="1500"/>
    <s v="Research and Publications Committee (RPC)"/>
    <s v="1 month"/>
    <x v="3"/>
    <x v="1"/>
    <m/>
    <x v="1"/>
    <m/>
    <m/>
    <m/>
    <m/>
    <m/>
    <m/>
  </r>
  <r>
    <n v="14"/>
    <x v="3"/>
    <x v="7"/>
    <s v="Maina"/>
    <s v="Waitherero"/>
    <s v="Beatrice"/>
    <x v="2"/>
    <x v="3"/>
    <s v="APHRC"/>
    <s v="University of the WItwatersrand"/>
    <x v="3"/>
    <s v="The gendered socialization of very young adolescents in schools and sexual and reproductive health"/>
    <n v="150561"/>
    <s v="Canada's International Development Research Centre (IDRC)"/>
    <s v="36 months"/>
    <x v="3"/>
    <x v="1"/>
    <m/>
    <x v="1"/>
    <m/>
    <m/>
    <m/>
    <m/>
    <m/>
    <m/>
  </r>
  <r>
    <n v="15"/>
    <x v="4"/>
    <x v="8"/>
    <s v="Banamawa"/>
    <m/>
    <s v="Celestin"/>
    <x v="1"/>
    <x v="2"/>
    <s v="University of Rwanda"/>
    <s v="Makerere University"/>
    <x v="2"/>
    <s v="In-Region Scholarship for the PhD programme at CARTA."/>
    <n v="15993"/>
    <s v="DAAD"/>
    <n v="12"/>
    <x v="2"/>
    <x v="2"/>
    <m/>
    <x v="1"/>
    <m/>
    <m/>
    <m/>
    <m/>
    <m/>
    <m/>
  </r>
  <r>
    <n v="16"/>
    <x v="6"/>
    <x v="9"/>
    <s v="Kwanjo-Banda"/>
    <s v="Chikoko"/>
    <s v="Chimwemwe"/>
    <x v="2"/>
    <x v="3"/>
    <s v="University of Malawi"/>
    <s v="University of Malawi"/>
    <x v="1"/>
    <s v="DELTAS Scientific conference"/>
    <m/>
    <s v="African Acadamey of Sciences"/>
    <n v="1"/>
    <x v="1"/>
    <x v="3"/>
    <m/>
    <x v="1"/>
    <m/>
    <m/>
    <m/>
    <m/>
    <m/>
    <m/>
  </r>
  <r>
    <n v="17"/>
    <x v="3"/>
    <x v="10"/>
    <s v="Faye"/>
    <m/>
    <s v="Cheikh Mbacké"/>
    <x v="1"/>
    <x v="4"/>
    <s v="APHRC"/>
    <s v="University of the WItwatersrand"/>
    <x v="3"/>
    <s v="Strengthening analysis and evidence for reproductive, maternal, newborn, child and adolescent health and nutrition in Eastern and Southern Africa"/>
    <n v="550552"/>
    <s v="US Fund (UNICEF USA)"/>
    <s v="12 months"/>
    <x v="3"/>
    <x v="1"/>
    <m/>
    <x v="1"/>
    <m/>
    <m/>
    <m/>
    <m/>
    <m/>
    <m/>
  </r>
  <r>
    <n v="18"/>
    <x v="3"/>
    <x v="10"/>
    <s v="Faye"/>
    <m/>
    <s v="Cheikh Mbacké"/>
    <x v="1"/>
    <x v="4"/>
    <s v="APHRC"/>
    <s v="University of the WItwatersrand"/>
    <x v="3"/>
    <s v="RESEARCH DESIGN, SCIENTIFIC WRITING AND PROJECT MANAGEMENT WORKSHOP"/>
    <n v="23000"/>
    <s v="ERSC through King College London"/>
    <s v="1 month"/>
    <x v="1"/>
    <x v="1"/>
    <m/>
    <x v="1"/>
    <m/>
    <m/>
    <m/>
    <m/>
    <m/>
    <m/>
  </r>
  <r>
    <n v="19"/>
    <x v="4"/>
    <x v="10"/>
    <s v="Faye"/>
    <m/>
    <s v="Cheikh Mbacké"/>
    <x v="1"/>
    <x v="4"/>
    <s v="APHRC"/>
    <s v="University of the WItwatersrand"/>
    <x v="3"/>
    <s v="Orphans and Vulnerable Children Data Quality Assessment in Kenya"/>
    <n v="257000"/>
    <s v="Palladium Group"/>
    <n v="4"/>
    <x v="3"/>
    <x v="2"/>
    <m/>
    <x v="1"/>
    <m/>
    <m/>
    <m/>
    <m/>
    <m/>
    <m/>
  </r>
  <r>
    <n v="20"/>
    <x v="2"/>
    <x v="10"/>
    <s v="Faye"/>
    <m/>
    <s v="Cheikh Mbacké"/>
    <x v="1"/>
    <x v="4"/>
    <s v="APHRC"/>
    <s v="University of the WItwatersrand"/>
    <x v="3"/>
    <s v="Health facility Data Analysis"/>
    <n v="162000"/>
    <s v="WHO"/>
    <n v="3"/>
    <x v="3"/>
    <x v="2"/>
    <m/>
    <x v="1"/>
    <m/>
    <m/>
    <m/>
    <m/>
    <m/>
    <m/>
  </r>
  <r>
    <n v="21"/>
    <x v="2"/>
    <x v="10"/>
    <s v="Faye"/>
    <m/>
    <s v="Cheikh Mbacké"/>
    <x v="1"/>
    <x v="4"/>
    <s v="APHRC"/>
    <s v="University of the WItwatersrand"/>
    <x v="3"/>
    <s v="ASRHR evidence generation in 10 African countries"/>
    <n v="110000"/>
    <s v="CanWach - University of Manitoba"/>
    <n v="6"/>
    <x v="3"/>
    <x v="2"/>
    <m/>
    <x v="1"/>
    <m/>
    <m/>
    <m/>
    <m/>
    <m/>
    <m/>
  </r>
  <r>
    <n v="22"/>
    <x v="5"/>
    <x v="11"/>
    <s v="Mayora"/>
    <s v="-"/>
    <s v="Chrispus"/>
    <x v="1"/>
    <x v="1"/>
    <s v="Makerere University"/>
    <s v="University of the WItwatersrand"/>
    <x v="3"/>
    <s v="World Bank Operations Research in Uganda(Feasibility of Results Based Financing in Uganda)"/>
    <n v="58000"/>
    <s v="World Bank "/>
    <n v="6"/>
    <x v="3"/>
    <x v="3"/>
    <m/>
    <x v="1"/>
    <m/>
    <m/>
    <m/>
    <m/>
    <m/>
    <m/>
  </r>
  <r>
    <n v="23"/>
    <x v="5"/>
    <x v="11"/>
    <s v="Mayora"/>
    <s v="-"/>
    <s v="Chrispus"/>
    <x v="1"/>
    <x v="1"/>
    <s v="Makerere University"/>
    <s v="University of the WItwatersrand"/>
    <x v="3"/>
    <s v="Establishing a Knowledge Management and Evidence Response Unit "/>
    <n v="50000"/>
    <s v="Government of Uganda Research Innovation Fund "/>
    <n v="8"/>
    <x v="3"/>
    <x v="3"/>
    <m/>
    <x v="1"/>
    <m/>
    <m/>
    <m/>
    <m/>
    <m/>
    <m/>
  </r>
  <r>
    <n v="24"/>
    <x v="4"/>
    <x v="12"/>
    <s v="Musyoka"/>
    <s v="Mawia"/>
    <s v="Catherine"/>
    <x v="2"/>
    <x v="2"/>
    <s v="University of Nairobi"/>
    <s v="University of Nairobi"/>
    <x v="2"/>
    <s v="DAAD SCHOLARSHIP"/>
    <n v="6820"/>
    <s v="DAAD In-Country/In-Region Scholarship for the PhD programme at CARTA."/>
    <n v="12"/>
    <x v="2"/>
    <x v="2"/>
    <m/>
    <x v="1"/>
    <m/>
    <m/>
    <m/>
    <m/>
    <m/>
    <m/>
  </r>
  <r>
    <n v="25"/>
    <x v="2"/>
    <x v="12"/>
    <s v="Musyoka"/>
    <s v="Mawia"/>
    <s v="Catherine"/>
    <x v="2"/>
    <x v="2"/>
    <s v="University of Nairobi"/>
    <s v="University of Nairobi"/>
    <x v="2"/>
    <s v="IN COUNTRY/IN REGION SCHOLARSHIP"/>
    <n v="10177.58"/>
    <s v="DAAD "/>
    <n v="12"/>
    <x v="2"/>
    <x v="2"/>
    <m/>
    <x v="1"/>
    <m/>
    <m/>
    <m/>
    <m/>
    <m/>
    <m/>
  </r>
  <r>
    <n v="26"/>
    <x v="6"/>
    <x v="12"/>
    <s v="Musyoka"/>
    <s v="Mawia"/>
    <s v="Catherine"/>
    <x v="2"/>
    <x v="2"/>
    <s v="University of Nairobi"/>
    <s v="University of Nairobi"/>
    <x v="2"/>
    <s v="In-Country/In-Region Programme CARTA, 2017"/>
    <n v="9554.2800000000007"/>
    <s v="DAAD"/>
    <n v="12"/>
    <x v="2"/>
    <x v="3"/>
    <m/>
    <x v="1"/>
    <m/>
    <m/>
    <m/>
    <m/>
    <m/>
    <m/>
  </r>
  <r>
    <n v="27"/>
    <x v="5"/>
    <x v="12"/>
    <s v="Musyoka"/>
    <s v="Mawia"/>
    <s v="Catherine"/>
    <x v="2"/>
    <x v="2"/>
    <s v="University of Nairobi"/>
    <s v="University of Nairobi"/>
    <x v="2"/>
    <s v="DAAD Incountry/Inregion award"/>
    <n v="12290.66"/>
    <s v="DAAD"/>
    <n v="12"/>
    <x v="2"/>
    <x v="3"/>
    <m/>
    <x v="1"/>
    <m/>
    <m/>
    <m/>
    <m/>
    <m/>
    <m/>
  </r>
  <r>
    <n v="28"/>
    <x v="1"/>
    <x v="13"/>
    <s v="Cadmus"/>
    <s v="Olubukola"/>
    <s v="Eniola"/>
    <x v="2"/>
    <x v="2"/>
    <s v="University of Ibadan"/>
    <s v="University of Ibadan"/>
    <x v="1"/>
    <s v="Institutional Conference support grant"/>
    <n v="4665"/>
    <s v="The Education  Trust Fund (TETFUND) conference support grant"/>
    <s v="5 days"/>
    <x v="1"/>
    <x v="1"/>
    <m/>
    <x v="1"/>
    <m/>
    <m/>
    <m/>
    <m/>
    <m/>
    <m/>
  </r>
  <r>
    <n v="29"/>
    <x v="3"/>
    <x v="13"/>
    <s v="Cadmus"/>
    <s v="Olubukola"/>
    <s v="Eniola"/>
    <x v="2"/>
    <x v="2"/>
    <s v="University of Ibadan"/>
    <s v="University of Ibadan"/>
    <x v="1"/>
    <s v="Not Applicable"/>
    <m/>
    <s v="The Union"/>
    <s v="5 days"/>
    <x v="4"/>
    <x v="1"/>
    <m/>
    <x v="1"/>
    <m/>
    <m/>
    <m/>
    <m/>
    <m/>
    <m/>
  </r>
  <r>
    <n v="30"/>
    <x v="4"/>
    <x v="13"/>
    <s v="Cadmus"/>
    <s v="Olubukola"/>
    <s v="Eniola"/>
    <x v="2"/>
    <x v="2"/>
    <s v="University of Ibadan"/>
    <s v="University of Ibadan"/>
    <x v="1"/>
    <s v="Conference sponsorship"/>
    <m/>
    <s v="The Union"/>
    <m/>
    <x v="1"/>
    <x v="2"/>
    <m/>
    <x v="1"/>
    <m/>
    <m/>
    <m/>
    <m/>
    <m/>
    <m/>
  </r>
  <r>
    <n v="31"/>
    <x v="6"/>
    <x v="13"/>
    <s v="Cadmus"/>
    <s v="Olubukola"/>
    <s v="Eniola"/>
    <x v="2"/>
    <x v="2"/>
    <s v="University of Ibadan"/>
    <s v="University of Ibadan"/>
    <x v="1"/>
    <s v="Bursary (ticket and conference registration"/>
    <n v="775"/>
    <s v="International Epidemiological Association "/>
    <n v="1"/>
    <x v="1"/>
    <x v="3"/>
    <m/>
    <x v="1"/>
    <m/>
    <m/>
    <m/>
    <m/>
    <m/>
    <m/>
  </r>
  <r>
    <n v="32"/>
    <x v="6"/>
    <x v="13"/>
    <s v="Cadmus"/>
    <s v="Olubukola"/>
    <s v="Eniola"/>
    <x v="2"/>
    <x v="2"/>
    <s v="University of Ibadan"/>
    <s v="University of Ibadan"/>
    <x v="4"/>
    <s v="Funding to attend Expert Meeting on Violence Against Older Women"/>
    <m/>
    <s v="World Health Organization"/>
    <n v="1"/>
    <x v="4"/>
    <x v="3"/>
    <m/>
    <x v="1"/>
    <m/>
    <m/>
    <m/>
    <m/>
    <m/>
    <m/>
  </r>
  <r>
    <n v="33"/>
    <x v="6"/>
    <x v="13"/>
    <s v="Cadmus"/>
    <s v="Olubukola"/>
    <s v="Eniola"/>
    <x v="2"/>
    <x v="2"/>
    <s v="University of Ibadan"/>
    <s v="University of Ibadan"/>
    <x v="4"/>
    <s v="Dave Omokaro Foundation"/>
    <m/>
    <m/>
    <n v="1"/>
    <x v="4"/>
    <x v="3"/>
    <m/>
    <x v="1"/>
    <m/>
    <m/>
    <m/>
    <m/>
    <m/>
    <m/>
  </r>
  <r>
    <n v="34"/>
    <x v="5"/>
    <x v="13"/>
    <s v="Cadmus"/>
    <s v="Olubukola"/>
    <s v="Eniola"/>
    <x v="2"/>
    <x v="2"/>
    <s v="University of Ibadan"/>
    <s v="University of Ibadan"/>
    <x v="3"/>
    <s v="University of Ibadan Medical Education Partnership Initiative Junior Faculty Research Training Programme (UI-MEPI-J)"/>
    <m/>
    <s v=" National Institute of Health (NIH), United States of America"/>
    <n v="24"/>
    <x v="3"/>
    <x v="3"/>
    <m/>
    <x v="1"/>
    <m/>
    <m/>
    <m/>
    <m/>
    <m/>
    <m/>
  </r>
  <r>
    <n v="35"/>
    <x v="5"/>
    <x v="13"/>
    <s v="Cadmus"/>
    <s v="Olubukola"/>
    <s v="Eniola"/>
    <x v="2"/>
    <x v="2"/>
    <s v="University of Ibadan"/>
    <s v="University of Ibadan"/>
    <x v="4"/>
    <s v="Travel , conference fee and accomodation"/>
    <m/>
    <s v="University of Global Health Equity"/>
    <n v="1"/>
    <x v="4"/>
    <x v="3"/>
    <m/>
    <x v="1"/>
    <m/>
    <m/>
    <m/>
    <m/>
    <m/>
    <m/>
  </r>
  <r>
    <n v="36"/>
    <x v="2"/>
    <x v="14"/>
    <s v="Hartmann"/>
    <m/>
    <s v="Dieter"/>
    <x v="1"/>
    <x v="1"/>
    <s v="University of the WItwatersrand"/>
    <s v="University of the WItwatersrand"/>
    <x v="5"/>
    <s v="Winner of Vice Chancellor's Transformation Award (in the team category) at the University of the Witwatersrand"/>
    <n v="7500"/>
    <s v="University of the Witwatersrand Vice Chancellor and Transformation office"/>
    <m/>
    <x v="5"/>
    <x v="2"/>
    <m/>
    <x v="1"/>
    <m/>
    <m/>
    <m/>
    <m/>
    <m/>
    <m/>
  </r>
  <r>
    <n v="37"/>
    <x v="3"/>
    <x v="15"/>
    <s v="Somefun"/>
    <s v="Dolapo"/>
    <s v="Oluwaseyi"/>
    <x v="2"/>
    <x v="3"/>
    <s v="University of the WItwatersrand"/>
    <s v="University of the WItwatersrand"/>
    <x v="4"/>
    <m/>
    <n v="600"/>
    <s v="Comparative Research Programme on Poverty (CROP)"/>
    <m/>
    <x v="4"/>
    <x v="1"/>
    <m/>
    <x v="1"/>
    <m/>
    <m/>
    <m/>
    <m/>
    <m/>
    <m/>
  </r>
  <r>
    <n v="38"/>
    <x v="2"/>
    <x v="15"/>
    <s v="Somefun"/>
    <s v="Dolapo"/>
    <s v="Oluwaseyi"/>
    <x v="2"/>
    <x v="3"/>
    <s v="University of the WItwatersrand"/>
    <s v="University of the WItwatersrand"/>
    <x v="4"/>
    <s v="Travel grant"/>
    <n v="1180"/>
    <s v="Population Reference Bureau"/>
    <m/>
    <x v="4"/>
    <x v="2"/>
    <m/>
    <x v="1"/>
    <m/>
    <m/>
    <m/>
    <m/>
    <m/>
    <m/>
  </r>
  <r>
    <n v="39"/>
    <x v="1"/>
    <x v="16"/>
    <s v="Kolisa"/>
    <s v="Malele"/>
    <s v="Yolanda"/>
    <x v="2"/>
    <x v="4"/>
    <s v="University of the WItwatersrand"/>
    <s v="University of the WItwatersrand"/>
    <x v="3"/>
    <s v="Pameijer Fellowship award"/>
    <n v="1380"/>
    <s v="International Association of Dental Research -SA Division"/>
    <s v="once off"/>
    <x v="3"/>
    <x v="1"/>
    <m/>
    <x v="1"/>
    <m/>
    <m/>
    <m/>
    <m/>
    <m/>
    <m/>
  </r>
  <r>
    <n v="40"/>
    <x v="1"/>
    <x v="17"/>
    <s v="Mutai"/>
    <s v="Chepkurui"/>
    <s v="Winnie"/>
    <x v="2"/>
    <x v="1"/>
    <s v="University of Nairobi"/>
    <s v="University of Nairobi"/>
    <x v="3"/>
    <s v="Nation Research Fund"/>
    <n v="20000"/>
    <s v="Kenyan Government"/>
    <s v="3years"/>
    <x v="3"/>
    <x v="1"/>
    <m/>
    <x v="1"/>
    <m/>
    <m/>
    <m/>
    <m/>
    <m/>
    <m/>
  </r>
  <r>
    <n v="41"/>
    <x v="4"/>
    <x v="18"/>
    <s v="Obembe"/>
    <s v="Akinyode"/>
    <s v="Taiwo"/>
    <x v="1"/>
    <x v="4"/>
    <s v="University of Ibadan"/>
    <s v="University of the WItwatersrand"/>
    <x v="6"/>
    <s v="Fellow of the Royal Society for Public Health"/>
    <m/>
    <s v="Royal Society for Public Health"/>
    <n v="12"/>
    <x v="3"/>
    <x v="2"/>
    <m/>
    <x v="1"/>
    <m/>
    <m/>
    <m/>
    <m/>
    <m/>
    <m/>
  </r>
  <r>
    <n v="42"/>
    <x v="3"/>
    <x v="19"/>
    <s v="Kaindoa"/>
    <s v="Wilson"/>
    <s v="Emmanuel"/>
    <x v="1"/>
    <x v="4"/>
    <s v="Ifakara Health Institute"/>
    <s v="University of the WItwatersrand"/>
    <x v="3"/>
    <s v="Howard Hughes Medical Institute-Gates International Scholar: Eliminating dominant malaria vectors in rural Tanzanian villages"/>
    <n v="715000"/>
    <s v="Bill &amp; Melinda Gates Foundation"/>
    <s v="5 years"/>
    <x v="3"/>
    <x v="1"/>
    <m/>
    <x v="1"/>
    <m/>
    <m/>
    <m/>
    <m/>
    <m/>
    <m/>
  </r>
  <r>
    <n v="43"/>
    <x v="3"/>
    <x v="20"/>
    <s v="Karumi"/>
    <s v="Wamuyu"/>
    <s v="Esther"/>
    <x v="2"/>
    <x v="4"/>
    <s v="University of Nairobi"/>
    <s v="University of Nairobi"/>
    <x v="2"/>
    <s v="DAAD In-country/ In-Region scholarship"/>
    <m/>
    <s v="DAAD"/>
    <s v="1 year"/>
    <x v="2"/>
    <x v="1"/>
    <m/>
    <x v="1"/>
    <m/>
    <m/>
    <m/>
    <m/>
    <m/>
    <m/>
  </r>
  <r>
    <n v="44"/>
    <x v="4"/>
    <x v="21"/>
    <s v="Balogun"/>
    <s v="Mubowale"/>
    <s v="Folusho"/>
    <x v="2"/>
    <x v="4"/>
    <s v="University of Ibadan"/>
    <s v="University of Ibadan"/>
    <x v="3"/>
    <s v="Bill &amp; Melinda Gates Grand Challenge Exploration award "/>
    <n v="100000"/>
    <s v="Bill &amp; Melinda Gates"/>
    <n v="18"/>
    <x v="3"/>
    <x v="2"/>
    <m/>
    <x v="1"/>
    <m/>
    <m/>
    <m/>
    <m/>
    <m/>
    <m/>
  </r>
  <r>
    <n v="45"/>
    <x v="2"/>
    <x v="21"/>
    <s v="Balogun"/>
    <s v="Mubowale"/>
    <s v="Folusho"/>
    <x v="2"/>
    <x v="4"/>
    <s v="University of Ibadan"/>
    <s v="University of Ibadan"/>
    <x v="1"/>
    <m/>
    <m/>
    <s v="Carnegie Corporation of New York"/>
    <m/>
    <x v="1"/>
    <x v="2"/>
    <m/>
    <x v="1"/>
    <m/>
    <m/>
    <m/>
    <m/>
    <m/>
    <m/>
  </r>
  <r>
    <n v="46"/>
    <x v="1"/>
    <x v="22"/>
    <s v="Cherop"/>
    <s v="Jepkosgei"/>
    <s v="Felishana"/>
    <x v="2"/>
    <x v="2"/>
    <s v="Moi University"/>
    <s v="Moi University"/>
    <x v="2"/>
    <s v="PhD Programme at CARTA"/>
    <n v="13000"/>
    <s v="DAAD "/>
    <s v="1 year "/>
    <x v="2"/>
    <x v="1"/>
    <m/>
    <x v="1"/>
    <m/>
    <m/>
    <m/>
    <m/>
    <m/>
    <m/>
  </r>
  <r>
    <n v="47"/>
    <x v="3"/>
    <x v="22"/>
    <s v="Cherop"/>
    <s v="Jepkosgei"/>
    <s v="Felishana"/>
    <x v="2"/>
    <x v="2"/>
    <s v="Moi University"/>
    <s v="Moi University"/>
    <x v="2"/>
    <s v="PhD Scholarship"/>
    <n v="920"/>
    <s v="DAAD"/>
    <s v="1 year"/>
    <x v="2"/>
    <x v="1"/>
    <m/>
    <x v="1"/>
    <m/>
    <m/>
    <m/>
    <m/>
    <m/>
    <m/>
  </r>
  <r>
    <n v="48"/>
    <x v="4"/>
    <x v="22"/>
    <s v="Cherop"/>
    <s v="Jepkosgei"/>
    <s v="Felishana"/>
    <x v="2"/>
    <x v="2"/>
    <s v="Moi University"/>
    <s v="Moi University"/>
    <x v="2"/>
    <s v="In-Country/In-Region Programme CARTA, 2017 (57376090)"/>
    <n v="1703"/>
    <s v="DAAD"/>
    <n v="12"/>
    <x v="2"/>
    <x v="2"/>
    <m/>
    <x v="1"/>
    <m/>
    <m/>
    <m/>
    <m/>
    <m/>
    <m/>
  </r>
  <r>
    <n v="49"/>
    <x v="2"/>
    <x v="22"/>
    <s v="Cherop"/>
    <s v="Jepkosgei"/>
    <s v="Felishana"/>
    <x v="2"/>
    <x v="2"/>
    <s v="Moi University"/>
    <s v="Moi University"/>
    <x v="2"/>
    <s v="DAAD (PhD) Scholarship extension"/>
    <n v="920"/>
    <s v="DAAD"/>
    <n v="12"/>
    <x v="2"/>
    <x v="2"/>
    <m/>
    <x v="1"/>
    <m/>
    <m/>
    <m/>
    <m/>
    <m/>
    <m/>
  </r>
  <r>
    <n v="50"/>
    <x v="1"/>
    <x v="23"/>
    <s v="Khuluza"/>
    <m/>
    <s v="Felix"/>
    <x v="1"/>
    <x v="4"/>
    <s v="University of Malawi"/>
    <s v="University of Malawi"/>
    <x v="3"/>
    <s v="A survey on affordability and availability of medicines in Malawi"/>
    <n v="5009"/>
    <s v="Action Medeor Germany"/>
    <s v="6 months"/>
    <x v="3"/>
    <x v="1"/>
    <m/>
    <x v="1"/>
    <m/>
    <m/>
    <m/>
    <m/>
    <m/>
    <m/>
  </r>
  <r>
    <n v="51"/>
    <x v="1"/>
    <x v="23"/>
    <s v="Khuluza"/>
    <m/>
    <s v="Felix"/>
    <x v="1"/>
    <x v="4"/>
    <s v="University of Malawi"/>
    <s v="University of Malawi"/>
    <x v="3"/>
    <s v="Works Contract"/>
    <n v="1950"/>
    <s v="University of Tuebingen-Germany"/>
    <s v="July-December 2017"/>
    <x v="3"/>
    <x v="1"/>
    <m/>
    <x v="1"/>
    <m/>
    <m/>
    <m/>
    <m/>
    <m/>
    <m/>
  </r>
  <r>
    <n v="52"/>
    <x v="3"/>
    <x v="23"/>
    <s v="Khuluza"/>
    <m/>
    <s v="Felix"/>
    <x v="1"/>
    <x v="4"/>
    <s v="University of Malawi"/>
    <s v="University of Malawi"/>
    <x v="6"/>
    <s v="Consultancy award: EXPANSION OF PHARMACY ASSISTANT PROGRAMME"/>
    <n v="500000"/>
    <s v="Global Fund through Ministry of Health-Malawi"/>
    <s v="2 years"/>
    <x v="3"/>
    <x v="1"/>
    <m/>
    <x v="1"/>
    <m/>
    <m/>
    <m/>
    <m/>
    <m/>
    <m/>
  </r>
  <r>
    <n v="53"/>
    <x v="2"/>
    <x v="23"/>
    <s v="Khuluza"/>
    <m/>
    <s v="Felix"/>
    <x v="1"/>
    <x v="4"/>
    <s v="University of Malawi"/>
    <s v="University of Malawi"/>
    <x v="1"/>
    <s v="Medicine Quality and Public Health"/>
    <n v="5000"/>
    <s v="University of Oxford"/>
    <m/>
    <x v="1"/>
    <x v="2"/>
    <m/>
    <x v="1"/>
    <m/>
    <m/>
    <m/>
    <m/>
    <m/>
    <m/>
  </r>
  <r>
    <n v="54"/>
    <x v="1"/>
    <x v="24"/>
    <s v="Lawal"/>
    <s v="Barakat"/>
    <s v="Folake"/>
    <x v="2"/>
    <x v="2"/>
    <s v="University of Ibadan"/>
    <s v="University of Ibadan"/>
    <x v="3"/>
    <s v="Tetfund institutional research grant"/>
    <n v="5398.92"/>
    <s v="Tertiary Education Trust Fund Nigeria"/>
    <s v="One year"/>
    <x v="3"/>
    <x v="1"/>
    <m/>
    <x v="1"/>
    <m/>
    <m/>
    <m/>
    <m/>
    <m/>
    <m/>
  </r>
  <r>
    <n v="55"/>
    <x v="6"/>
    <x v="24"/>
    <s v="Lawal"/>
    <s v="Barakat"/>
    <s v="Folake"/>
    <x v="2"/>
    <x v="2"/>
    <s v="University of Ibadan"/>
    <s v="University of Ibadan"/>
    <x v="4"/>
    <s v="Borrow Travel Grant"/>
    <n v="564.41999999999996"/>
    <s v="Borrow Foundation"/>
    <m/>
    <x v="4"/>
    <x v="3"/>
    <m/>
    <x v="1"/>
    <m/>
    <m/>
    <m/>
    <m/>
    <m/>
    <m/>
  </r>
  <r>
    <n v="56"/>
    <x v="5"/>
    <x v="24"/>
    <s v="Lawal"/>
    <s v="Barakat"/>
    <s v="Folake"/>
    <x v="2"/>
    <x v="2"/>
    <s v="University of Ibadan"/>
    <s v="University of Ibadan"/>
    <x v="4"/>
    <s v="Borrow Travel Grant"/>
    <n v="554.04999999999995"/>
    <s v="Borrow Foundation"/>
    <m/>
    <x v="4"/>
    <x v="3"/>
    <m/>
    <x v="1"/>
    <m/>
    <m/>
    <m/>
    <m/>
    <m/>
    <m/>
  </r>
  <r>
    <n v="57"/>
    <x v="1"/>
    <x v="25"/>
    <s v="Maniragaba"/>
    <m/>
    <s v="Fred"/>
    <x v="1"/>
    <x v="4"/>
    <s v="Makerere University"/>
    <s v="Makerere University"/>
    <x v="2"/>
    <s v="Tuition fees waiver"/>
    <m/>
    <s v="Makerere University"/>
    <s v="One year"/>
    <x v="2"/>
    <x v="1"/>
    <m/>
    <x v="1"/>
    <m/>
    <m/>
    <m/>
    <m/>
    <m/>
    <m/>
  </r>
  <r>
    <n v="58"/>
    <x v="5"/>
    <x v="26"/>
    <s v="Matovu"/>
    <s v="Kiweewa"/>
    <s v="Flavia"/>
    <x v="2"/>
    <x v="1"/>
    <s v="Makerere University"/>
    <s v="University of the WItwatersrand"/>
    <x v="3"/>
    <s v=" Phase IV Open Label Study to Assess Bone Mineral Density in a Cohort of African Women on Depoprovera and Tenofovir Disoproxil Fumurate Switched to Tenofovir Alafenamide Fumarate based ART Anti-Retroviral Therapy"/>
    <n v="725264.68"/>
    <s v="Gilead Sciences Inc."/>
    <n v="36"/>
    <x v="3"/>
    <x v="3"/>
    <m/>
    <x v="1"/>
    <m/>
    <m/>
    <m/>
    <m/>
    <m/>
    <m/>
  </r>
  <r>
    <n v="59"/>
    <x v="3"/>
    <x v="27"/>
    <s v="Moroe"/>
    <s v="Nzuza"/>
    <s v="Nomfundo"/>
    <x v="2"/>
    <x v="3"/>
    <s v="University of the WItwatersrand"/>
    <s v="University of the WItwatersrand"/>
    <x v="3"/>
    <s v="DST-NRF Research Development Grants for Next Generation Academics Programme (nGAP) Scholars 2017"/>
    <n v="4900"/>
    <s v="DST-NRF"/>
    <s v="2016 Jan - 2017 Dec"/>
    <x v="3"/>
    <x v="1"/>
    <m/>
    <x v="1"/>
    <m/>
    <m/>
    <m/>
    <m/>
    <m/>
    <m/>
  </r>
  <r>
    <n v="60"/>
    <x v="4"/>
    <x v="27"/>
    <s v="Moroe"/>
    <s v="Nzuza"/>
    <s v="Nomfundo"/>
    <x v="2"/>
    <x v="3"/>
    <s v="University of the WItwatersrand"/>
    <s v="University of the WItwatersrand"/>
    <x v="3"/>
    <s v="NRF: Thuthuka"/>
    <m/>
    <s v="National Research Fund "/>
    <n v="36"/>
    <x v="3"/>
    <x v="2"/>
    <m/>
    <x v="1"/>
    <m/>
    <m/>
    <m/>
    <m/>
    <m/>
    <m/>
  </r>
  <r>
    <n v="61"/>
    <x v="1"/>
    <x v="28"/>
    <s v="Oyinlola"/>
    <s v="Folasade"/>
    <s v="Funmilola"/>
    <x v="2"/>
    <x v="2"/>
    <s v="Obafemi Awolowo University"/>
    <s v="Obafemi Awolowo University"/>
    <x v="3"/>
    <s v="NEEDS ASSESSMENT ACADEMIC STAFF TRAINING AND DEVELOPMENT"/>
    <n v="3000"/>
    <s v="TETFUND"/>
    <s v="3 years"/>
    <x v="3"/>
    <x v="1"/>
    <m/>
    <x v="1"/>
    <m/>
    <m/>
    <m/>
    <m/>
    <m/>
    <m/>
  </r>
  <r>
    <n v="62"/>
    <x v="3"/>
    <x v="28"/>
    <s v="Oyinlola"/>
    <s v="Folasade"/>
    <s v="Funmilola"/>
    <x v="2"/>
    <x v="2"/>
    <s v="Obafemi Awolowo University"/>
    <s v="Obafemi Awolowo University"/>
    <x v="3"/>
    <s v="RESEARCH GRANT"/>
    <n v="3000"/>
    <s v="TETFUND/NEEDS"/>
    <s v="1YEAR"/>
    <x v="3"/>
    <x v="1"/>
    <m/>
    <x v="1"/>
    <m/>
    <m/>
    <m/>
    <m/>
    <m/>
    <m/>
  </r>
  <r>
    <n v="63"/>
    <x v="4"/>
    <x v="29"/>
    <s v="Anywar"/>
    <m/>
    <s v="Godwin"/>
    <x v="1"/>
    <x v="3"/>
    <s v="Makerere University"/>
    <s v="Makerere University"/>
    <x v="2"/>
    <s v="Short Term Research Scholarship"/>
    <n v="8162.79"/>
    <s v="DAAD"/>
    <n v="6"/>
    <x v="4"/>
    <x v="2"/>
    <m/>
    <x v="1"/>
    <m/>
    <m/>
    <m/>
    <m/>
    <m/>
    <m/>
  </r>
  <r>
    <n v="64"/>
    <x v="2"/>
    <x v="29"/>
    <s v="Anywar"/>
    <m/>
    <s v="Godwin"/>
    <x v="1"/>
    <x v="3"/>
    <s v="Makerere University"/>
    <s v="Makerere University"/>
    <x v="4"/>
    <s v="Travel grant for workshop"/>
    <m/>
    <s v="Max Planck Society, African Health Research Institute (AHRI), the Sub-Saharan African Network for TB/HIV Research Excellence (SANTHE), Victor Daitz Foundation."/>
    <n v="1"/>
    <x v="4"/>
    <x v="2"/>
    <m/>
    <x v="1"/>
    <m/>
    <m/>
    <m/>
    <m/>
    <m/>
    <m/>
  </r>
  <r>
    <n v="65"/>
    <x v="6"/>
    <x v="29"/>
    <s v="Anywar"/>
    <m/>
    <s v="Godwin"/>
    <x v="1"/>
    <x v="3"/>
    <s v="Makerere University"/>
    <s v="Makerere University"/>
    <x v="6"/>
    <s v="Research Recognotion: Young Investigator Fellowship"/>
    <n v="650"/>
    <s v="International Society for Ethnopharmacology "/>
    <n v="1"/>
    <x v="4"/>
    <x v="3"/>
    <m/>
    <x v="1"/>
    <m/>
    <m/>
    <m/>
    <m/>
    <m/>
    <m/>
  </r>
  <r>
    <n v="66"/>
    <x v="6"/>
    <x v="29"/>
    <s v="Anywar"/>
    <m/>
    <s v="Godwin"/>
    <x v="1"/>
    <x v="3"/>
    <s v="Makerere University"/>
    <s v="Makerere University"/>
    <x v="3"/>
    <s v="Access and Benefit Sharing - Sustainable Use of Biodiversity (ABSbio) project "/>
    <n v="234207.6"/>
    <s v="DAAD"/>
    <n v="36"/>
    <x v="3"/>
    <x v="3"/>
    <m/>
    <x v="1"/>
    <m/>
    <m/>
    <m/>
    <m/>
    <m/>
    <m/>
  </r>
  <r>
    <n v="67"/>
    <x v="1"/>
    <x v="30"/>
    <s v="Jepngetich"/>
    <s v="Jepngetich"/>
    <s v="Hellen"/>
    <x v="2"/>
    <x v="4"/>
    <s v="Moi University"/>
    <s v="Moi University"/>
    <x v="2"/>
    <s v="Moi University Partial Scholarship"/>
    <n v="1150"/>
    <s v="Moi University"/>
    <s v="to supplement tuition fees for my PhD training"/>
    <x v="2"/>
    <x v="1"/>
    <m/>
    <x v="1"/>
    <m/>
    <m/>
    <m/>
    <m/>
    <m/>
    <m/>
  </r>
  <r>
    <n v="68"/>
    <x v="2"/>
    <x v="30"/>
    <s v="Jepngetich"/>
    <s v="Jepngetich"/>
    <s v="Hellen"/>
    <x v="2"/>
    <x v="4"/>
    <s v="Moi University"/>
    <s v="Moi University"/>
    <x v="2"/>
    <s v="Global Bioethics training program: Online  training in Master in Global Bioethics  program"/>
    <m/>
    <s v="Anahuac university, Mexico"/>
    <n v="24"/>
    <x v="2"/>
    <x v="2"/>
    <m/>
    <x v="1"/>
    <m/>
    <m/>
    <m/>
    <m/>
    <m/>
    <m/>
  </r>
  <r>
    <n v="69"/>
    <x v="4"/>
    <x v="31"/>
    <s v="Zakumumpa"/>
    <m/>
    <s v="Henry"/>
    <x v="1"/>
    <x v="1"/>
    <s v="Makerere University"/>
    <s v="Makerere University"/>
    <x v="7"/>
    <s v="Facilitators and Barriers to HIV workforce transition from PEPFAR and Government of Uganda ownership"/>
    <n v="7800"/>
    <s v="USAID"/>
    <n v="12"/>
    <x v="3"/>
    <x v="2"/>
    <m/>
    <x v="1"/>
    <m/>
    <m/>
    <m/>
    <m/>
    <m/>
    <m/>
  </r>
  <r>
    <n v="70"/>
    <x v="4"/>
    <x v="31"/>
    <s v="Zakumumpa"/>
    <m/>
    <s v="Henry"/>
    <x v="1"/>
    <x v="1"/>
    <s v="Makerere University"/>
    <s v="Makerere University"/>
    <x v="4"/>
    <s v="Travel award"/>
    <n v="800"/>
    <s v="UNITAID"/>
    <n v="1"/>
    <x v="4"/>
    <x v="2"/>
    <m/>
    <x v="1"/>
    <m/>
    <m/>
    <m/>
    <m/>
    <m/>
    <m/>
  </r>
  <r>
    <n v="71"/>
    <x v="4"/>
    <x v="31"/>
    <s v="Zakumumpa"/>
    <m/>
    <s v="Henry"/>
    <x v="1"/>
    <x v="1"/>
    <s v="Makerere University"/>
    <s v="Makerere University"/>
    <x v="1"/>
    <s v="Travel grant to attend 22nd International AIDS Conference in Amsterdam, the Netherlands"/>
    <m/>
    <s v="USAID"/>
    <n v="1"/>
    <x v="1"/>
    <x v="2"/>
    <m/>
    <x v="1"/>
    <m/>
    <m/>
    <m/>
    <m/>
    <m/>
    <m/>
  </r>
  <r>
    <n v="72"/>
    <x v="2"/>
    <x v="31"/>
    <s v="Zakumumpa"/>
    <m/>
    <s v="Henry"/>
    <x v="1"/>
    <x v="1"/>
    <s v="Makerere University"/>
    <s v="Makerere University"/>
    <x v="3"/>
    <s v="Grant for study entitled: Facilitators and barrier to HIV workforce transition from PEPFAR support to Government of Uganda service"/>
    <n v="4.7300000000000004"/>
    <s v="USAID PEPFAR"/>
    <n v="8"/>
    <x v="3"/>
    <x v="2"/>
    <m/>
    <x v="1"/>
    <m/>
    <m/>
    <m/>
    <m/>
    <m/>
    <m/>
  </r>
  <r>
    <n v="73"/>
    <x v="3"/>
    <x v="32"/>
    <s v="Bukenya"/>
    <s v="Nnakate"/>
    <s v="Justine"/>
    <x v="2"/>
    <x v="4"/>
    <s v="Makerere University"/>
    <s v="Makerere University"/>
    <x v="4"/>
    <s v="Travel support"/>
    <n v="610"/>
    <s v="International Union for the Scientific Study of Population (IUSSP)"/>
    <s v="4 days"/>
    <x v="4"/>
    <x v="1"/>
    <m/>
    <x v="1"/>
    <m/>
    <m/>
    <m/>
    <m/>
    <m/>
    <m/>
  </r>
  <r>
    <n v="74"/>
    <x v="1"/>
    <x v="33"/>
    <s v="Kiplagat"/>
    <m/>
    <s v="Jepchirchir"/>
    <x v="2"/>
    <x v="4"/>
    <s v="Moi University"/>
    <s v="University of the WItwatersrand"/>
    <x v="3"/>
    <s v="Building capacity for preventing and managing research misconduct"/>
    <n v="292000"/>
    <s v="NIH: Fogarty International Centre"/>
    <s v="3 years"/>
    <x v="3"/>
    <x v="1"/>
    <m/>
    <x v="1"/>
    <m/>
    <m/>
    <m/>
    <m/>
    <m/>
    <m/>
  </r>
  <r>
    <n v="75"/>
    <x v="1"/>
    <x v="34"/>
    <s v="Mutyoba"/>
    <s v="Nankya"/>
    <s v="Joan"/>
    <x v="2"/>
    <x v="3"/>
    <s v="Makerere University"/>
    <s v="Makerere University"/>
    <x v="4"/>
    <s v="Junior Investigator Travel Award"/>
    <n v="1500"/>
    <s v="U54 Consortium"/>
    <s v="3 days"/>
    <x v="4"/>
    <x v="1"/>
    <m/>
    <x v="1"/>
    <m/>
    <m/>
    <m/>
    <m/>
    <m/>
    <m/>
  </r>
  <r>
    <n v="76"/>
    <x v="6"/>
    <x v="34"/>
    <s v="Mutyoba"/>
    <s v="Nankya"/>
    <s v="Joan"/>
    <x v="2"/>
    <x v="3"/>
    <s v="Makerere University"/>
    <s v="Makerere University"/>
    <x v="3"/>
    <s v="Hepatitis C Among blood donors in Uganda: Identification of infected donors for micro-elimination"/>
    <n v="150000"/>
    <s v="Gilead"/>
    <s v="18 months"/>
    <x v="3"/>
    <x v="3"/>
    <m/>
    <x v="1"/>
    <m/>
    <m/>
    <m/>
    <m/>
    <m/>
    <m/>
  </r>
  <r>
    <n v="77"/>
    <x v="1"/>
    <x v="35"/>
    <s v="Sitienei"/>
    <s v="Chepchirchir"/>
    <s v="Jackline"/>
    <x v="2"/>
    <x v="1"/>
    <s v="Moi University"/>
    <s v="University of the WItwatersrand"/>
    <x v="3"/>
    <s v="Young Researchers Grant"/>
    <n v="10000"/>
    <s v="FSH"/>
    <s v="12 Months"/>
    <x v="3"/>
    <x v="1"/>
    <m/>
    <x v="1"/>
    <m/>
    <m/>
    <m/>
    <m/>
    <m/>
    <m/>
  </r>
  <r>
    <n v="78"/>
    <x v="1"/>
    <x v="35"/>
    <s v="Sitienei"/>
    <s v="Chepchirchir"/>
    <s v="Jackline"/>
    <x v="2"/>
    <x v="1"/>
    <s v="Moi University"/>
    <s v="University of the WItwatersrand"/>
    <x v="1"/>
    <s v="SCHOLARSHIP FOR CONFRENCE"/>
    <n v="1500"/>
    <s v="cugh"/>
    <s v="5 DAYS"/>
    <x v="4"/>
    <x v="1"/>
    <m/>
    <x v="1"/>
    <m/>
    <m/>
    <m/>
    <m/>
    <m/>
    <m/>
  </r>
  <r>
    <n v="79"/>
    <x v="3"/>
    <x v="35"/>
    <s v="Sitienei"/>
    <s v="Chepchirchir"/>
    <s v="Jackline"/>
    <x v="2"/>
    <x v="1"/>
    <s v="Moi University"/>
    <s v="University of the WItwatersrand"/>
    <x v="1"/>
    <m/>
    <n v="2000"/>
    <s v="Elsivier"/>
    <m/>
    <x v="1"/>
    <x v="1"/>
    <m/>
    <x v="1"/>
    <m/>
    <m/>
    <m/>
    <m/>
    <m/>
    <m/>
  </r>
  <r>
    <n v="80"/>
    <x v="1"/>
    <x v="36"/>
    <s v="Adebayo"/>
    <s v="Oluwatoyin"/>
    <s v="Kudus"/>
    <x v="1"/>
    <x v="3"/>
    <s v="University of Ibadan"/>
    <s v="University of Ibadan"/>
    <x v="4"/>
    <s v="IFRA travel grant for conference presentation"/>
    <n v="1112"/>
    <s v="The French Institute for Research in Africa (IFRA-Nigeria)"/>
    <s v="June 28 - July 1, 2017"/>
    <x v="4"/>
    <x v="1"/>
    <m/>
    <x v="1"/>
    <m/>
    <m/>
    <m/>
    <m/>
    <m/>
    <m/>
  </r>
  <r>
    <n v="81"/>
    <x v="1"/>
    <x v="36"/>
    <s v="Adebayo"/>
    <s v="Oluwatoyin"/>
    <s v="Kudus"/>
    <x v="1"/>
    <x v="3"/>
    <s v="University of Ibadan"/>
    <s v="University of Ibadan"/>
    <x v="1"/>
    <s v="Accommodation, registration and conference lunches"/>
    <m/>
    <s v="Research Network of African Studies Centres in Europe (AEGIS)"/>
    <s v="June 28 - July 1, 2017"/>
    <x v="1"/>
    <x v="1"/>
    <m/>
    <x v="1"/>
    <m/>
    <m/>
    <m/>
    <m/>
    <m/>
    <m/>
  </r>
  <r>
    <n v="82"/>
    <x v="4"/>
    <x v="36"/>
    <s v="Adebayo"/>
    <s v="Oluwatoyin"/>
    <s v="Kudus"/>
    <x v="1"/>
    <x v="3"/>
    <s v="University of Ibadan"/>
    <s v="University of Ibadan"/>
    <x v="4"/>
    <s v="Conference Travel Grant"/>
    <n v="761"/>
    <s v="University of Dar es Salaam (UDSM, Tanzania) and the Association for Asian Studies in Africa (A-Asia, Accra, Ghana) and the International Convention of Asia Scholars (ICAS, Leiden, the Netherlands)"/>
    <n v="1"/>
    <x v="4"/>
    <x v="2"/>
    <m/>
    <x v="1"/>
    <m/>
    <m/>
    <m/>
    <m/>
    <m/>
    <m/>
  </r>
  <r>
    <n v="83"/>
    <x v="2"/>
    <x v="36"/>
    <s v="Adebayo"/>
    <s v="Oluwatoyin"/>
    <s v="Kudus"/>
    <x v="1"/>
    <x v="3"/>
    <s v="University of Ibadan"/>
    <s v="University of Ibadan"/>
    <x v="4"/>
    <s v="Travel Grant"/>
    <n v="744.22"/>
    <s v="The Association for Asian Studies in Africa (A-Asia) and International Convention of Asia Scholars (ICAS)"/>
    <n v="1"/>
    <x v="4"/>
    <x v="2"/>
    <m/>
    <x v="1"/>
    <m/>
    <m/>
    <m/>
    <m/>
    <m/>
    <m/>
  </r>
  <r>
    <n v="84"/>
    <x v="2"/>
    <x v="36"/>
    <s v="Adebayo"/>
    <s v="Oluwatoyin"/>
    <s v="Kudus"/>
    <x v="1"/>
    <x v="3"/>
    <s v="University of Ibadan"/>
    <s v="University of Ibadan"/>
    <x v="4"/>
    <s v="Travel Grant"/>
    <m/>
    <s v="CODESRIA"/>
    <n v="1"/>
    <x v="4"/>
    <x v="2"/>
    <m/>
    <x v="1"/>
    <m/>
    <m/>
    <m/>
    <m/>
    <m/>
    <m/>
  </r>
  <r>
    <n v="85"/>
    <x v="6"/>
    <x v="36"/>
    <s v="Adebayo"/>
    <s v="Oluwatoyin"/>
    <s v="Kudus"/>
    <x v="1"/>
    <x v="3"/>
    <s v="University of Ibadan"/>
    <s v="University of Ibadan"/>
    <x v="4"/>
    <s v="Travel Grant"/>
    <n v="350"/>
    <s v="Central European University"/>
    <n v="1"/>
    <x v="4"/>
    <x v="3"/>
    <m/>
    <x v="1"/>
    <m/>
    <m/>
    <m/>
    <m/>
    <m/>
    <m/>
  </r>
  <r>
    <n v="86"/>
    <x v="6"/>
    <x v="37"/>
    <s v="Aliyu"/>
    <s v="Kolawole"/>
    <s v="Taofeek"/>
    <x v="1"/>
    <x v="3"/>
    <s v="Obafemi Awolowo University"/>
    <s v="Obafemi Awolowo University"/>
    <x v="4"/>
    <s v="6 th WCRI Travel Grantto attend the 6 th World  Conference on Research Integrity (6 th WCRI)"/>
    <n v="1300"/>
    <s v="World Research COnference on Research Integrity"/>
    <m/>
    <x v="4"/>
    <x v="3"/>
    <m/>
    <x v="1"/>
    <m/>
    <m/>
    <m/>
    <m/>
    <m/>
    <m/>
  </r>
  <r>
    <n v="87"/>
    <x v="4"/>
    <x v="38"/>
    <s v="Karimi"/>
    <s v="Joyce"/>
    <s v="Kellen"/>
    <x v="2"/>
    <x v="2"/>
    <s v="University of Nairobi"/>
    <s v="University of the WItwatersrand"/>
    <x v="2"/>
    <s v="In-Country/In-Region Programme CARTA, 2018"/>
    <n v="25434"/>
    <s v="DAAD"/>
    <n v="36"/>
    <x v="2"/>
    <x v="2"/>
    <m/>
    <x v="1"/>
    <m/>
    <m/>
    <m/>
    <m/>
    <m/>
    <m/>
  </r>
  <r>
    <n v="88"/>
    <x v="3"/>
    <x v="39"/>
    <s v="Kapanda"/>
    <m/>
    <s v="Lester"/>
    <x v="1"/>
    <x v="4"/>
    <s v="University of Malawi"/>
    <s v="University of Malawi"/>
    <x v="1"/>
    <s v="Research Dissemination Conference attendance fee"/>
    <n v="21"/>
    <s v="Africa Centre of Excellence in Public Health and Herbal Medicine (ACEPHEM) - College of Medicine, University of Malawi"/>
    <s v="Two full conference days"/>
    <x v="1"/>
    <x v="1"/>
    <m/>
    <x v="1"/>
    <m/>
    <m/>
    <m/>
    <m/>
    <m/>
    <m/>
  </r>
  <r>
    <n v="89"/>
    <x v="4"/>
    <x v="39"/>
    <s v="Kapanda"/>
    <m/>
    <s v="Lester"/>
    <x v="1"/>
    <x v="4"/>
    <s v="University of Malawi"/>
    <s v="University of Malawi"/>
    <x v="1"/>
    <s v="International AIDS Society (IAS) conference attendance Scholarship (Registration and Air ticket)"/>
    <n v="3000"/>
    <s v="International AIDS Society"/>
    <n v="1"/>
    <x v="1"/>
    <x v="2"/>
    <m/>
    <x v="1"/>
    <m/>
    <m/>
    <m/>
    <m/>
    <m/>
    <m/>
  </r>
  <r>
    <n v="90"/>
    <x v="2"/>
    <x v="39"/>
    <s v="Kapanda"/>
    <m/>
    <s v="Lester"/>
    <x v="1"/>
    <x v="4"/>
    <s v="University of Malawi"/>
    <s v="University of Malawi"/>
    <x v="1"/>
    <s v="International AIDS Society (IAS) Conference Scholarship"/>
    <n v="2000"/>
    <s v="International AIDS Society"/>
    <n v="1"/>
    <x v="1"/>
    <x v="2"/>
    <m/>
    <x v="1"/>
    <m/>
    <m/>
    <m/>
    <m/>
    <m/>
    <m/>
  </r>
  <r>
    <n v="91"/>
    <x v="2"/>
    <x v="40"/>
    <s v="Finda"/>
    <s v="Francis"/>
    <s v="Marceline"/>
    <x v="2"/>
    <x v="2"/>
    <s v="Ifakara Health Institute"/>
    <s v="University of the WItwatersrand"/>
    <x v="3"/>
    <s v="Novel Transgenic technology &amp; Inherited symbionts to Vector Control (ANTI-VeC) Pump-Priming Grant"/>
    <n v="46080"/>
    <s v="University of Glasgow"/>
    <n v="12"/>
    <x v="3"/>
    <x v="2"/>
    <m/>
    <x v="1"/>
    <m/>
    <m/>
    <m/>
    <m/>
    <m/>
    <m/>
  </r>
  <r>
    <n v="92"/>
    <x v="6"/>
    <x v="40"/>
    <s v="Finda"/>
    <s v="Francis"/>
    <s v="Marceline"/>
    <x v="2"/>
    <x v="2"/>
    <s v="Ifakara Health Institute"/>
    <s v="University of the WItwatersrand"/>
    <x v="3"/>
    <s v="Anti-Vec - Pump priming grant"/>
    <n v="71209.509999999995"/>
    <s v="Application of Novel Transgenic technology &amp; Inherited symbionts to Vector Control "/>
    <n v="12"/>
    <x v="3"/>
    <x v="3"/>
    <m/>
    <x v="1"/>
    <m/>
    <m/>
    <m/>
    <m/>
    <m/>
    <m/>
  </r>
  <r>
    <n v="93"/>
    <x v="5"/>
    <x v="41"/>
    <s v="Ijadunola"/>
    <s v="Yinyinade"/>
    <s v="Macellina"/>
    <x v="2"/>
    <x v="3"/>
    <s v="Obafemi Awolowo University"/>
    <s v="Obafemi Awolowo University"/>
    <x v="1"/>
    <s v="Tertiary Education Trust Fund (TETFund) Conference Grant "/>
    <n v="4150"/>
    <s v="Tertiary Education Trust Fund (TETFund) Conference Grant "/>
    <n v="1"/>
    <x v="1"/>
    <x v="3"/>
    <m/>
    <x v="1"/>
    <m/>
    <m/>
    <m/>
    <m/>
    <m/>
    <m/>
  </r>
  <r>
    <n v="94"/>
    <x v="1"/>
    <x v="42"/>
    <s v="Makwero"/>
    <s v="Kabudula"/>
    <s v="Martha"/>
    <x v="2"/>
    <x v="2"/>
    <s v="University of Malawi"/>
    <s v="University of the WItwatersrand"/>
    <x v="3"/>
    <s v="Addressing_x0009_Non-Communicable_x0009_Disease_x0009_through_x0009_Primary_x0009_Care_x0009_in_x0009_Malawi._x0009_ _x0009_"/>
    <n v="50000"/>
    <s v="Michigan State university  through Alliance for African partenerships"/>
    <s v="1 year"/>
    <x v="3"/>
    <x v="1"/>
    <m/>
    <x v="1"/>
    <m/>
    <m/>
    <m/>
    <m/>
    <m/>
    <m/>
  </r>
  <r>
    <n v="95"/>
    <x v="3"/>
    <x v="42"/>
    <s v="Makwero"/>
    <s v="Kabudula"/>
    <s v="Martha"/>
    <x v="2"/>
    <x v="2"/>
    <s v="University of Malawi"/>
    <s v="University of the WItwatersrand"/>
    <x v="3"/>
    <s v="Project Title: Building Heart, Lung, Blood and Sleep Diseases and Disorders Late-Stage Translation Phase 4 Research Capacity in Malawi"/>
    <n v="582098"/>
    <s v="National Institute of Health"/>
    <s v="4 years ( 2017-2020)"/>
    <x v="3"/>
    <x v="1"/>
    <m/>
    <x v="1"/>
    <m/>
    <m/>
    <m/>
    <m/>
    <m/>
    <m/>
  </r>
  <r>
    <n v="96"/>
    <x v="4"/>
    <x v="42"/>
    <s v="Makwero"/>
    <s v="Kabudula"/>
    <s v="Martha"/>
    <x v="2"/>
    <x v="2"/>
    <s v="University of Malawi"/>
    <s v="University of the WItwatersrand"/>
    <x v="4"/>
    <s v="travel grant"/>
    <n v="300"/>
    <s v="World congress of Family physicians ( WONCA)"/>
    <n v="1"/>
    <x v="1"/>
    <x v="2"/>
    <m/>
    <x v="1"/>
    <m/>
    <m/>
    <m/>
    <m/>
    <m/>
    <m/>
  </r>
  <r>
    <n v="97"/>
    <x v="2"/>
    <x v="42"/>
    <s v="Makwero"/>
    <s v="Kabudula"/>
    <s v="Martha"/>
    <x v="2"/>
    <x v="2"/>
    <s v="University of Malawi"/>
    <s v="University of the WItwatersrand"/>
    <x v="1"/>
    <s v=" conference attendance grant"/>
    <n v="700"/>
    <s v="Royal college of GP's international office"/>
    <n v="1"/>
    <x v="1"/>
    <x v="2"/>
    <m/>
    <x v="1"/>
    <m/>
    <m/>
    <m/>
    <m/>
    <m/>
    <m/>
  </r>
  <r>
    <n v="98"/>
    <x v="6"/>
    <x v="42"/>
    <s v="Makwero"/>
    <s v="Kabudula"/>
    <s v="Martha"/>
    <x v="2"/>
    <x v="2"/>
    <s v="University of Malawi"/>
    <s v="University of the WItwatersrand"/>
    <x v="4"/>
    <s v="Primafammed / Gent univ "/>
    <n v="700"/>
    <s v="Primafammed"/>
    <n v="1"/>
    <x v="4"/>
    <x v="3"/>
    <m/>
    <x v="1"/>
    <m/>
    <m/>
    <m/>
    <m/>
    <m/>
    <m/>
  </r>
  <r>
    <n v="99"/>
    <x v="2"/>
    <x v="43"/>
    <s v="Mutua"/>
    <s v="Michael"/>
    <s v="Mbithi"/>
    <x v="1"/>
    <x v="1"/>
    <s v="APHRC"/>
    <s v="University of the WItwatersrand"/>
    <x v="3"/>
    <s v="Evaluation of an existing program on reducing teenage pregnancy"/>
    <n v="375000"/>
    <s v="Bill &amp; Melinda Gates Foundation"/>
    <n v="20"/>
    <x v="3"/>
    <x v="2"/>
    <m/>
    <x v="1"/>
    <m/>
    <m/>
    <m/>
    <m/>
    <m/>
    <m/>
  </r>
  <r>
    <n v="100"/>
    <x v="4"/>
    <x v="44"/>
    <s v="NISHIMWE"/>
    <s v="-"/>
    <s v="Aurore"/>
    <x v="2"/>
    <x v="2"/>
    <s v="University of Rwanda"/>
    <s v="University of the WItwatersrand"/>
    <x v="3"/>
    <s v="One Health Fellowship"/>
    <n v="3000"/>
    <s v="Cummings Foundation_Tufts University(USA)"/>
    <n v="2"/>
    <x v="3"/>
    <x v="2"/>
    <m/>
    <x v="1"/>
    <m/>
    <m/>
    <m/>
    <m/>
    <m/>
    <m/>
  </r>
  <r>
    <n v="101"/>
    <x v="3"/>
    <x v="45"/>
    <s v="Khoza"/>
    <s v="Nomhle"/>
    <s v="Makhosazane"/>
    <x v="2"/>
    <x v="3"/>
    <s v="University of the WItwatersrand"/>
    <s v="University of the WItwatersrand"/>
    <x v="1"/>
    <s v="Conference scholarship"/>
    <n v="800"/>
    <s v="AIDS Impact"/>
    <s v="4 Days"/>
    <x v="1"/>
    <x v="1"/>
    <m/>
    <x v="1"/>
    <m/>
    <m/>
    <m/>
    <m/>
    <m/>
    <m/>
  </r>
  <r>
    <n v="102"/>
    <x v="3"/>
    <x v="46"/>
    <s v="Mukungu"/>
    <s v="Ayuma"/>
    <s v="Nilian"/>
    <x v="2"/>
    <x v="1"/>
    <s v="University of Nairobi"/>
    <s v="University of Nairobi"/>
    <x v="2"/>
    <s v="Small grant for theses and dissertation"/>
    <n v="3500"/>
    <s v="Association of African universities"/>
    <s v="1 year"/>
    <x v="3"/>
    <x v="1"/>
    <m/>
    <x v="1"/>
    <m/>
    <m/>
    <m/>
    <m/>
    <m/>
    <m/>
  </r>
  <r>
    <n v="103"/>
    <x v="1"/>
    <x v="47"/>
    <s v="Adetutu"/>
    <s v="Mayowa"/>
    <s v="Olufemi"/>
    <x v="1"/>
    <x v="2"/>
    <s v="Obafemi Awolowo University"/>
    <s v="Obafemi Awolowo University"/>
    <x v="2"/>
    <s v="NEEDS ASSESSMENT ACADEMIC AWARD"/>
    <m/>
    <s v="OBAFEMI AWOLOWO UNIVERSITY"/>
    <s v="3 YEARS"/>
    <x v="3"/>
    <x v="1"/>
    <m/>
    <x v="1"/>
    <m/>
    <m/>
    <m/>
    <m/>
    <m/>
    <m/>
  </r>
  <r>
    <n v="104"/>
    <x v="3"/>
    <x v="47"/>
    <s v="Adetutu"/>
    <s v="Mayowa"/>
    <s v="Olufemi"/>
    <x v="1"/>
    <x v="2"/>
    <s v="Obafemi Awolowo University"/>
    <s v="Obafemi Awolowo University"/>
    <x v="2"/>
    <s v="ACADEMIC NEEDS ASSESSMENT"/>
    <n v="2000"/>
    <s v="OBAFEMI AWOLOWO UNIVERSITY, NIGERIA"/>
    <s v="2 YEARS"/>
    <x v="3"/>
    <x v="1"/>
    <m/>
    <x v="1"/>
    <m/>
    <m/>
    <m/>
    <m/>
    <m/>
    <m/>
  </r>
  <r>
    <n v="105"/>
    <x v="3"/>
    <x v="48"/>
    <s v="Morakinyo"/>
    <s v="Mayowa"/>
    <s v="Oyewale"/>
    <x v="1"/>
    <x v="4"/>
    <s v="University of Ibadan"/>
    <s v="University of Ibadan"/>
    <x v="1"/>
    <s v="Conference "/>
    <m/>
    <s v="Regional water and Environmental and sanitation centre, Kumasi"/>
    <s v="A week"/>
    <x v="1"/>
    <x v="1"/>
    <m/>
    <x v="1"/>
    <m/>
    <m/>
    <m/>
    <m/>
    <m/>
    <m/>
  </r>
  <r>
    <n v="106"/>
    <x v="6"/>
    <x v="48"/>
    <s v="Morakinyo"/>
    <s v="Mayowa"/>
    <s v="Oyewale"/>
    <x v="1"/>
    <x v="4"/>
    <s v="University of Ibadan"/>
    <s v="University of Ibadan"/>
    <x v="4"/>
    <s v="Travel grant award"/>
    <n v="1669.62"/>
    <s v="International Society for Environmental Epidemiology"/>
    <m/>
    <x v="4"/>
    <x v="3"/>
    <m/>
    <x v="1"/>
    <m/>
    <m/>
    <m/>
    <m/>
    <m/>
    <m/>
  </r>
  <r>
    <n v="107"/>
    <x v="1"/>
    <x v="49"/>
    <s v="Ogun"/>
    <s v="Onabanjo"/>
    <s v="Olufunmilola"/>
    <x v="2"/>
    <x v="2"/>
    <s v="University of Ibadan"/>
    <s v="University of Ibadan"/>
    <x v="2"/>
    <s v="Commonwealth Eye Health Consortium, Long-term Clinical Fellowship in Paediatric Ophthalmology and Strabismus surgery"/>
    <s v="Full scholarship"/>
    <s v="Commonwealth Eye Health Consortium"/>
    <s v="1 year"/>
    <x v="2"/>
    <x v="1"/>
    <m/>
    <x v="1"/>
    <m/>
    <m/>
    <m/>
    <m/>
    <m/>
    <m/>
  </r>
  <r>
    <n v="108"/>
    <x v="3"/>
    <x v="50"/>
    <s v="Okunola"/>
    <s v="Ademola"/>
    <s v="Oluseye"/>
    <x v="1"/>
    <x v="2"/>
    <s v="Obafemi Awolowo University"/>
    <s v="Obafemi Awolowo University"/>
    <x v="6"/>
    <s v="RECOGNITION OF ABSTRACT PRESENTATION AT INTERNATIONAL FESTIVAL OF PUBLIC HEALTH UK 2017"/>
    <m/>
    <s v="MANCHESTER UNIVERSITY UK"/>
    <m/>
    <x v="1"/>
    <x v="1"/>
    <m/>
    <x v="1"/>
    <m/>
    <m/>
    <m/>
    <m/>
    <m/>
    <m/>
  </r>
  <r>
    <n v="109"/>
    <x v="1"/>
    <x v="51"/>
    <s v="Olajubu"/>
    <s v="Omobolanle"/>
    <s v="Aanuoluwapo"/>
    <x v="2"/>
    <x v="3"/>
    <s v="Obafemi Awolowo University"/>
    <s v="Obafemi Awolowo University"/>
    <x v="3"/>
    <s v="2014/2015 Needs Assessment Academic Staff Training"/>
    <n v="1500"/>
    <s v="Tertiary Education Training Fund"/>
    <s v="1 year"/>
    <x v="3"/>
    <x v="1"/>
    <m/>
    <x v="1"/>
    <m/>
    <m/>
    <m/>
    <m/>
    <m/>
    <m/>
  </r>
  <r>
    <n v="110"/>
    <x v="3"/>
    <x v="52"/>
    <s v="Olawoye"/>
    <s v="Oluyinka"/>
    <s v="Olusola"/>
    <x v="2"/>
    <x v="2"/>
    <s v="University of Ibadan"/>
    <s v="University of Ibadan"/>
    <x v="3"/>
    <s v="Co-investigator in NIH grant"/>
    <n v="3680000"/>
    <s v="NIH"/>
    <s v="5 years"/>
    <x v="3"/>
    <x v="1"/>
    <m/>
    <x v="1"/>
    <m/>
    <m/>
    <m/>
    <m/>
    <m/>
    <m/>
  </r>
  <r>
    <n v="111"/>
    <x v="2"/>
    <x v="52"/>
    <s v="Olawoye"/>
    <s v="Oluyinka"/>
    <s v="Olusola"/>
    <x v="2"/>
    <x v="2"/>
    <s v="University of Ibadan"/>
    <s v="University of Ibadan"/>
    <x v="4"/>
    <s v="Glaucoma research society travel grant"/>
    <m/>
    <s v="Glaucoma research society"/>
    <m/>
    <x v="4"/>
    <x v="2"/>
    <m/>
    <x v="1"/>
    <m/>
    <m/>
    <m/>
    <m/>
    <m/>
    <m/>
  </r>
  <r>
    <n v="112"/>
    <x v="1"/>
    <x v="53"/>
    <s v="Osiro"/>
    <s v="Millicent Awino"/>
    <s v="Olivia"/>
    <x v="2"/>
    <x v="3"/>
    <s v="University of Nairobi"/>
    <s v="University of Nairobi"/>
    <x v="2"/>
    <s v="Kenya National Research Fund"/>
    <n v="10000"/>
    <s v="Government of Kenya"/>
    <s v="2017 to 2019 financial years"/>
    <x v="3"/>
    <x v="1"/>
    <m/>
    <x v="1"/>
    <m/>
    <m/>
    <m/>
    <m/>
    <m/>
    <m/>
  </r>
  <r>
    <n v="113"/>
    <x v="1"/>
    <x v="53"/>
    <s v="Osiro"/>
    <s v="Millicent Awino"/>
    <s v="Olivia"/>
    <x v="2"/>
    <x v="3"/>
    <s v="University of Nairobi"/>
    <s v="University of Nairobi"/>
    <x v="2"/>
    <s v="DAAD In-country scholarship extension"/>
    <n v="4000"/>
    <s v="DAAD"/>
    <s v="Sept 2017 to Aug 2018"/>
    <x v="2"/>
    <x v="1"/>
    <m/>
    <x v="1"/>
    <m/>
    <m/>
    <m/>
    <m/>
    <m/>
    <m/>
  </r>
  <r>
    <n v="114"/>
    <x v="3"/>
    <x v="53"/>
    <s v="Osiro"/>
    <s v="Millicent Awino"/>
    <s v="Olivia"/>
    <x v="2"/>
    <x v="3"/>
    <s v="University of Nairobi"/>
    <s v="University of Nairobi"/>
    <x v="2"/>
    <s v="DAAD Scholarship extension for 2017/2018"/>
    <m/>
    <s v="DAAD"/>
    <s v="September 2017 to August 2018"/>
    <x v="2"/>
    <x v="1"/>
    <m/>
    <x v="1"/>
    <m/>
    <m/>
    <m/>
    <m/>
    <m/>
    <m/>
  </r>
  <r>
    <n v="115"/>
    <x v="4"/>
    <x v="53"/>
    <s v="Osiro"/>
    <s v="Millicent Awino"/>
    <s v="Olivia"/>
    <x v="2"/>
    <x v="3"/>
    <s v="University of Nairobi"/>
    <s v="University of Nairobi"/>
    <x v="4"/>
    <s v="DAAD Short research visit award"/>
    <n v="3000"/>
    <s v="DAAD"/>
    <n v="2"/>
    <x v="4"/>
    <x v="2"/>
    <m/>
    <x v="1"/>
    <m/>
    <m/>
    <m/>
    <m/>
    <m/>
    <m/>
  </r>
  <r>
    <n v="116"/>
    <x v="3"/>
    <x v="54"/>
    <s v="Molete"/>
    <s v="Primrose"/>
    <s v="Mpho"/>
    <x v="2"/>
    <x v="3"/>
    <s v="University of the WItwatersrand"/>
    <s v="University of the WItwatersrand"/>
    <x v="2"/>
    <s v="Faculty of Research Committee Individual Research Grants"/>
    <n v="385"/>
    <s v="Wits Faculty Research Office"/>
    <s v="3 months"/>
    <x v="3"/>
    <x v="1"/>
    <m/>
    <x v="1"/>
    <m/>
    <m/>
    <m/>
    <m/>
    <m/>
    <m/>
  </r>
  <r>
    <n v="117"/>
    <x v="4"/>
    <x v="54"/>
    <s v="Molete"/>
    <s v="Primrose"/>
    <s v="Mpho"/>
    <x v="2"/>
    <x v="3"/>
    <s v="University of the WItwatersrand"/>
    <s v="University of the WItwatersrand"/>
    <x v="2"/>
    <s v="Health &amp; Welfare Sector Education &amp; Training Authority"/>
    <n v="5000"/>
    <s v="HWSETA -Government"/>
    <n v="12"/>
    <x v="3"/>
    <x v="2"/>
    <m/>
    <x v="1"/>
    <m/>
    <m/>
    <m/>
    <m/>
    <m/>
    <m/>
  </r>
  <r>
    <n v="118"/>
    <x v="2"/>
    <x v="54"/>
    <s v="Molete"/>
    <s v="Primrose"/>
    <s v="Mpho"/>
    <x v="2"/>
    <x v="3"/>
    <s v="University of the WItwatersrand"/>
    <s v="University of the WItwatersrand"/>
    <x v="3"/>
    <s v="PhD Track"/>
    <n v="5110"/>
    <s v="National Research Fund"/>
    <n v="12"/>
    <x v="3"/>
    <x v="2"/>
    <m/>
    <x v="1"/>
    <m/>
    <m/>
    <m/>
    <m/>
    <m/>
    <m/>
  </r>
  <r>
    <n v="119"/>
    <x v="6"/>
    <x v="54"/>
    <s v="Molete"/>
    <s v="Primrose"/>
    <s v="Mpho"/>
    <x v="2"/>
    <x v="3"/>
    <s v="University of the WItwatersrand"/>
    <s v="University of the WItwatersrand"/>
    <x v="3"/>
    <s v="Thuthuka"/>
    <n v="4928"/>
    <s v="National Research Fund"/>
    <n v="12"/>
    <x v="3"/>
    <x v="3"/>
    <m/>
    <x v="1"/>
    <m/>
    <m/>
    <m/>
    <m/>
    <m/>
    <m/>
  </r>
  <r>
    <n v="120"/>
    <x v="7"/>
    <x v="55"/>
    <s v="Opiyo"/>
    <s v="Okoyo"/>
    <s v="Rose"/>
    <x v="2"/>
    <x v="5"/>
    <s v="University of Nairobi"/>
    <s v="University of Nairobi"/>
    <x v="1"/>
    <s v="EAKI/ADB Conference Accomodation and Registration"/>
    <n v="820"/>
    <s v="EAKI/ADB"/>
    <n v="1"/>
    <x v="1"/>
    <x v="3"/>
    <m/>
    <x v="2"/>
    <m/>
    <m/>
    <m/>
    <m/>
    <m/>
    <m/>
  </r>
  <r>
    <n v="121"/>
    <x v="1"/>
    <x v="56"/>
    <s v="Kisaka"/>
    <s v="M.B"/>
    <s v="Stevens"/>
    <x v="1"/>
    <x v="2"/>
    <s v="Makerere University"/>
    <s v="University of Nairobi"/>
    <x v="2"/>
    <s v="DAAD In-Country/In-Region Scholarship for the PhD programme at CARTA."/>
    <n v="10015.950000000001"/>
    <s v="Deutscher Akademischer Austauschdienst /"/>
    <s v="3 years"/>
    <x v="3"/>
    <x v="1"/>
    <m/>
    <x v="1"/>
    <m/>
    <m/>
    <m/>
    <m/>
    <m/>
    <m/>
  </r>
  <r>
    <n v="122"/>
    <x v="4"/>
    <x v="56"/>
    <s v="Kisaka"/>
    <s v="M.B"/>
    <s v="Stevens"/>
    <x v="1"/>
    <x v="2"/>
    <s v="Makerere University"/>
    <s v="University of Nairobi"/>
    <x v="3"/>
    <s v="Enhancing Academic Qualifications in Teaching and Research in Public Health"/>
    <n v="5000"/>
    <s v="German Academic Exchange Service (DAAD)"/>
    <n v="1"/>
    <x v="3"/>
    <x v="2"/>
    <m/>
    <x v="1"/>
    <m/>
    <m/>
    <m/>
    <m/>
    <m/>
    <m/>
  </r>
  <r>
    <n v="123"/>
    <x v="4"/>
    <x v="57"/>
    <s v="Kumwenda"/>
    <m/>
    <s v="Save"/>
    <x v="1"/>
    <x v="6"/>
    <s v="University of Malawi"/>
    <s v="University of Malawi"/>
    <x v="3"/>
    <s v="Sanitation and Hygiene Applied Research for Equity (SHARE Fellow)"/>
    <n v="46500"/>
    <s v="SHARE"/>
    <n v="28"/>
    <x v="3"/>
    <x v="2"/>
    <m/>
    <x v="1"/>
    <m/>
    <m/>
    <m/>
    <m/>
    <m/>
    <m/>
  </r>
  <r>
    <n v="124"/>
    <x v="2"/>
    <x v="58"/>
    <s v="Nieuwoudt"/>
    <s v="Jewett"/>
    <s v="Sara"/>
    <x v="2"/>
    <x v="1"/>
    <s v="University of the WItwatersrand"/>
    <s v="University of the WItwatersrand"/>
    <x v="6"/>
    <s v="Best Student Poster Presentation"/>
    <n v="200"/>
    <s v="Faculty of Health Sciences"/>
    <m/>
    <x v="4"/>
    <x v="2"/>
    <m/>
    <x v="1"/>
    <m/>
    <m/>
    <m/>
    <m/>
    <m/>
    <m/>
  </r>
  <r>
    <n v="125"/>
    <x v="4"/>
    <x v="59"/>
    <s v="Pilusa"/>
    <s v="Imogene"/>
    <s v="Sonti"/>
    <x v="2"/>
    <x v="2"/>
    <s v="University of the WItwatersrand"/>
    <s v="University of the WItwatersrand"/>
    <x v="3"/>
    <s v="Early Career Academic staff (ECAD) Programme"/>
    <n v="25000"/>
    <s v="Dept of Higher Education and TRaining in collaboration with WITS Postgrauate research office"/>
    <n v="10"/>
    <x v="3"/>
    <x v="2"/>
    <m/>
    <x v="1"/>
    <m/>
    <m/>
    <m/>
    <m/>
    <m/>
    <m/>
  </r>
  <r>
    <n v="126"/>
    <x v="2"/>
    <x v="59"/>
    <s v="Pilusa"/>
    <s v="Imogene"/>
    <s v="Sonti"/>
    <x v="2"/>
    <x v="2"/>
    <s v="University of the WItwatersrand"/>
    <s v="University of the WItwatersrand"/>
    <x v="3"/>
    <s v="FACULTY RESEARCH COMMITTEE INDIVIDUAL RESEARCH GRANTS"/>
    <n v="1061"/>
    <s v="WITS "/>
    <n v="12"/>
    <x v="3"/>
    <x v="2"/>
    <m/>
    <x v="1"/>
    <m/>
    <m/>
    <m/>
    <m/>
    <m/>
    <m/>
  </r>
  <r>
    <n v="127"/>
    <x v="2"/>
    <x v="59"/>
    <s v="Pilusa"/>
    <s v="Imogene"/>
    <s v="Sonti"/>
    <x v="2"/>
    <x v="2"/>
    <s v="University of the WItwatersrand"/>
    <s v="University of the WItwatersrand"/>
    <x v="3"/>
    <s v="THUTHUKA NRF GRANT "/>
    <n v="10966.12"/>
    <s v="NATIONAL RESEARCH FOUNDATAION "/>
    <n v="36"/>
    <x v="3"/>
    <x v="2"/>
    <m/>
    <x v="1"/>
    <m/>
    <m/>
    <m/>
    <m/>
    <m/>
    <m/>
  </r>
  <r>
    <n v="128"/>
    <x v="2"/>
    <x v="59"/>
    <s v="Pilusa"/>
    <s v="Imogene"/>
    <s v="Sonti"/>
    <x v="2"/>
    <x v="2"/>
    <s v="University of the WItwatersrand"/>
    <s v="University of the WItwatersrand"/>
    <x v="3"/>
    <s v="EARLY CAREER DEVELOPMENT PROGRAMME"/>
    <n v="1061.23"/>
    <s v="WITS "/>
    <n v="12"/>
    <x v="3"/>
    <x v="2"/>
    <m/>
    <x v="1"/>
    <m/>
    <m/>
    <m/>
    <m/>
    <m/>
    <m/>
  </r>
  <r>
    <n v="129"/>
    <x v="4"/>
    <x v="60"/>
    <s v="Mzee"/>
    <s v="Said"/>
    <s v="Tutu"/>
    <x v="2"/>
    <x v="3"/>
    <s v="Ifakara Health Institute"/>
    <s v="University of Dar es Salaam"/>
    <x v="3"/>
    <s v="Directors Research and Innovation Fund"/>
    <n v="40000"/>
    <s v="Ifakara Health Institute"/>
    <n v="12"/>
    <x v="3"/>
    <x v="2"/>
    <m/>
    <x v="1"/>
    <m/>
    <m/>
    <m/>
    <m/>
    <m/>
    <m/>
  </r>
  <r>
    <n v="130"/>
    <x v="4"/>
    <x v="61"/>
    <s v="Murererehe"/>
    <m/>
    <s v="Julienne"/>
    <x v="2"/>
    <x v="7"/>
    <s v="University of Rwanda"/>
    <s v="University of the WItwatersrand"/>
    <x v="4"/>
    <s v="Harvard Fogarty Research ethics"/>
    <m/>
    <s v="Harvard Fogarty Research ethics program"/>
    <n v="5"/>
    <x v="4"/>
    <x v="2"/>
    <m/>
    <x v="1"/>
    <m/>
    <m/>
    <m/>
    <m/>
    <m/>
    <m/>
  </r>
  <r>
    <n v="131"/>
    <x v="2"/>
    <x v="61"/>
    <s v="Murererehe"/>
    <m/>
    <s v="Julienne"/>
    <x v="2"/>
    <x v="7"/>
    <s v="University of Rwanda"/>
    <s v="University of the WItwatersrand"/>
    <x v="4"/>
    <s v="NIH (forgaty ) grant"/>
    <n v="5000"/>
    <s v="NIH"/>
    <n v="3"/>
    <x v="4"/>
    <x v="2"/>
    <m/>
    <x v="1"/>
    <m/>
    <m/>
    <m/>
    <m/>
    <m/>
    <m/>
  </r>
  <r>
    <n v="132"/>
    <x v="4"/>
    <x v="62"/>
    <s v="Mbindyo"/>
    <s v="Minoo"/>
    <s v="Christine"/>
    <x v="2"/>
    <x v="7"/>
    <s v="University of Nairobi"/>
    <s v="University of Nairobi"/>
    <x v="1"/>
    <s v="European Educational Programme in Epidemiology (EEPE) fellowship"/>
    <n v="3888.53"/>
    <s v="European Educational Programme in Epidemiology (EEPE) "/>
    <n v="1"/>
    <x v="1"/>
    <x v="2"/>
    <m/>
    <x v="1"/>
    <m/>
    <m/>
    <m/>
    <m/>
    <m/>
    <m/>
  </r>
  <r>
    <n v="133"/>
    <x v="6"/>
    <x v="63"/>
    <s v="Musewa"/>
    <m/>
    <s v="Angella"/>
    <x v="2"/>
    <x v="7"/>
    <s v="Makerere University"/>
    <s v="University of Nairobi"/>
    <x v="4"/>
    <n v="1"/>
    <m/>
    <s v="Academy of Science of South Africa"/>
    <n v="3"/>
    <x v="4"/>
    <x v="3"/>
    <m/>
    <x v="1"/>
    <m/>
    <m/>
    <m/>
    <m/>
    <m/>
    <m/>
  </r>
  <r>
    <n v="134"/>
    <x v="5"/>
    <x v="63"/>
    <s v="Musewa"/>
    <m/>
    <s v="Angella"/>
    <x v="2"/>
    <x v="7"/>
    <s v="Makerere University"/>
    <s v="University of Nairobi"/>
    <x v="4"/>
    <s v="Travel Grant"/>
    <n v="3000"/>
    <s v="Centers for Disease Control and Prevention"/>
    <n v="7"/>
    <x v="4"/>
    <x v="3"/>
    <m/>
    <x v="1"/>
    <m/>
    <m/>
    <m/>
    <m/>
    <m/>
    <m/>
  </r>
  <r>
    <n v="135"/>
    <x v="4"/>
    <x v="64"/>
    <s v="Peter"/>
    <s v="Shepelo"/>
    <s v="Getrude"/>
    <x v="2"/>
    <x v="7"/>
    <s v="University of Nairobi"/>
    <s v="University of Nairobi"/>
    <x v="2"/>
    <s v="DAAD-scholarship"/>
    <n v="1403.34"/>
    <s v="DAAD"/>
    <n v="12"/>
    <x v="2"/>
    <x v="2"/>
    <m/>
    <x v="1"/>
    <m/>
    <m/>
    <m/>
    <m/>
    <m/>
    <m/>
  </r>
  <r>
    <n v="136"/>
    <x v="5"/>
    <x v="64"/>
    <s v="Peter"/>
    <s v="Shepelo"/>
    <s v="Getrude"/>
    <x v="2"/>
    <x v="7"/>
    <s v="University of Nairobi"/>
    <s v="University of Nairobi"/>
    <x v="2"/>
    <m/>
    <n v="5529.38"/>
    <s v="DAAD"/>
    <n v="12"/>
    <x v="2"/>
    <x v="3"/>
    <m/>
    <x v="1"/>
    <m/>
    <m/>
    <m/>
    <m/>
    <m/>
    <m/>
  </r>
  <r>
    <n v="137"/>
    <x v="2"/>
    <x v="65"/>
    <s v="Esan"/>
    <s v="Taiwo"/>
    <s v="Oluwaseun"/>
    <x v="2"/>
    <x v="7"/>
    <s v="Obafemi Awolowo University"/>
    <s v="University of the WItwatersrand"/>
    <x v="6"/>
    <s v="Appointment as Hall Fellow_ Clinical Hostel: Responsibility Allowance per month"/>
    <n v="3500"/>
    <s v="Management of the Obafemi Awolowo University, Ile-Ife"/>
    <n v="12"/>
    <x v="5"/>
    <x v="2"/>
    <m/>
    <x v="1"/>
    <m/>
    <m/>
    <m/>
    <m/>
    <m/>
    <m/>
  </r>
  <r>
    <n v="138"/>
    <x v="6"/>
    <x v="65"/>
    <s v="Esan"/>
    <s v="Taiwo"/>
    <s v="Oluwaseun"/>
    <x v="2"/>
    <x v="7"/>
    <s v="Obafemi Awolowo University"/>
    <s v="University of the WItwatersrand"/>
    <x v="1"/>
    <s v="Waiver for the 5th Biennial Global Implementation conference 2019 registration fees"/>
    <n v="619.9"/>
    <s v="Global Implementation Society"/>
    <n v="1"/>
    <x v="1"/>
    <x v="3"/>
    <m/>
    <x v="1"/>
    <m/>
    <m/>
    <m/>
    <m/>
    <m/>
    <m/>
  </r>
  <r>
    <n v="139"/>
    <x v="6"/>
    <x v="65"/>
    <s v="Esan"/>
    <s v="Taiwo"/>
    <s v="Oluwaseun"/>
    <x v="2"/>
    <x v="7"/>
    <s v="Obafemi Awolowo University"/>
    <s v="University of the WItwatersrand"/>
    <x v="1"/>
    <s v="Learned Conference Grant"/>
    <n v="552.13"/>
    <s v="Obafemi Awolowo University, Ile-Ife, Nigeria"/>
    <n v="1"/>
    <x v="1"/>
    <x v="3"/>
    <m/>
    <x v="1"/>
    <m/>
    <m/>
    <m/>
    <m/>
    <m/>
    <m/>
  </r>
  <r>
    <n v="140"/>
    <x v="6"/>
    <x v="66"/>
    <s v="Maseko"/>
    <s v="Johanna"/>
    <s v="Lebogang"/>
    <x v="2"/>
    <x v="7"/>
    <s v="University of the WItwatersrand"/>
    <s v="University of the WItwatersrand"/>
    <x v="3"/>
    <s v="Early Career Academic Programme, DHET-ECAD 2019"/>
    <n v="1790"/>
    <s v="Department of Higher Education and Training"/>
    <n v="12"/>
    <x v="1"/>
    <x v="3"/>
    <m/>
    <x v="1"/>
    <m/>
    <m/>
    <m/>
    <m/>
    <m/>
    <m/>
  </r>
  <r>
    <n v="141"/>
    <x v="5"/>
    <x v="66"/>
    <s v="Maseko"/>
    <s v="Johanna"/>
    <s v="Lebogang"/>
    <x v="2"/>
    <x v="7"/>
    <s v="University of the WItwatersrand"/>
    <s v="University of the WItwatersrand"/>
    <x v="3"/>
    <s v="Early Career Academic Programme"/>
    <n v="1388"/>
    <s v="ECAD"/>
    <n v="12"/>
    <x v="3"/>
    <x v="3"/>
    <m/>
    <x v="1"/>
    <m/>
    <m/>
    <m/>
    <m/>
    <m/>
    <m/>
  </r>
  <r>
    <n v="142"/>
    <x v="6"/>
    <x v="67"/>
    <s v="OYELADE"/>
    <s v="OLAJUMOKE"/>
    <s v="OYEYEMI"/>
    <x v="2"/>
    <x v="7"/>
    <s v="Obafemi Awolowo University"/>
    <s v="University of the WItwatersrand"/>
    <x v="3"/>
    <s v="Faculty Research Grant"/>
    <m/>
    <s v="Faculty Research Grant, Wits"/>
    <m/>
    <x v="3"/>
    <x v="3"/>
    <m/>
    <x v="1"/>
    <m/>
    <m/>
    <m/>
    <m/>
    <m/>
    <m/>
  </r>
  <r>
    <n v="143"/>
    <x v="5"/>
    <x v="67"/>
    <s v="OYELADE"/>
    <s v="OLAJUMOKE"/>
    <s v="OYEYEMI"/>
    <x v="2"/>
    <x v="7"/>
    <s v="Obafemi Awolowo University"/>
    <s v="University of the WItwatersrand"/>
    <x v="3"/>
    <s v="Faculty of Health Science Research Grant"/>
    <m/>
    <s v="University of the Witwatersrand"/>
    <n v="12"/>
    <x v="3"/>
    <x v="3"/>
    <m/>
    <x v="1"/>
    <m/>
    <m/>
    <m/>
    <m/>
    <m/>
    <m/>
  </r>
  <r>
    <n v="144"/>
    <x v="4"/>
    <x v="68"/>
    <s v="Ntirenganya"/>
    <s v="."/>
    <s v="Faustin"/>
    <x v="1"/>
    <x v="7"/>
    <s v="University of Rwanda"/>
    <s v="University of Rwanda"/>
    <x v="4"/>
    <s v="Eddie Reed Exchange Fellowship Program"/>
    <m/>
    <s v="Massachusetts General Hospital and"/>
    <n v="1"/>
    <x v="4"/>
    <x v="2"/>
    <m/>
    <x v="1"/>
    <m/>
    <m/>
    <m/>
    <m/>
    <m/>
    <m/>
  </r>
  <r>
    <n v="145"/>
    <x v="5"/>
    <x v="68"/>
    <s v="Ntirenganya"/>
    <s v="."/>
    <s v="Faustin"/>
    <x v="1"/>
    <x v="7"/>
    <s v="University of Rwanda"/>
    <s v="University of Rwanda"/>
    <x v="3"/>
    <s v="Wound dressings "/>
    <m/>
    <s v="NIHR, UK"/>
    <m/>
    <x v="3"/>
    <x v="3"/>
    <m/>
    <x v="1"/>
    <m/>
    <m/>
    <m/>
    <m/>
    <m/>
    <m/>
  </r>
  <r>
    <n v="146"/>
    <x v="4"/>
    <x v="69"/>
    <s v="Atiba"/>
    <s v="Ayobami"/>
    <s v="Foluso"/>
    <x v="2"/>
    <x v="7"/>
    <s v="University of Ibadan"/>
    <s v="University of the WItwatersrand"/>
    <x v="3"/>
    <s v="Trialect-Cellular &amp; Molecular Mechanisms of Cell Death- Cancers and Neurosciences Traineeship, Liverpool"/>
    <n v="5000"/>
    <s v="Trialect"/>
    <n v="3"/>
    <x v="3"/>
    <x v="2"/>
    <m/>
    <x v="1"/>
    <m/>
    <m/>
    <m/>
    <m/>
    <m/>
    <m/>
  </r>
  <r>
    <n v="147"/>
    <x v="2"/>
    <x v="69"/>
    <s v="Atiba"/>
    <s v="Ayobami"/>
    <s v="Foluso"/>
    <x v="2"/>
    <x v="7"/>
    <s v="University of Ibadan"/>
    <s v="University of the WItwatersrand"/>
    <x v="3"/>
    <s v="Trialect"/>
    <n v="5000"/>
    <s v="Trialect/University of Liverpool"/>
    <n v="3"/>
    <x v="3"/>
    <x v="2"/>
    <m/>
    <x v="1"/>
    <m/>
    <m/>
    <m/>
    <m/>
    <m/>
    <m/>
  </r>
  <r>
    <n v="148"/>
    <x v="6"/>
    <x v="69"/>
    <s v="Atiba"/>
    <s v="Ayobami"/>
    <s v="Foluso"/>
    <x v="2"/>
    <x v="7"/>
    <s v="University of Ibadan"/>
    <s v="University of the WItwatersrand"/>
    <x v="3"/>
    <s v="Cellular &amp; Molecular Mechanisms of Cell Death - Cancers and Neurosciences Traineeship, Liverpool"/>
    <n v="5000"/>
    <s v="Trialect/University of Liverpool"/>
    <n v="3"/>
    <x v="3"/>
    <x v="3"/>
    <m/>
    <x v="1"/>
    <m/>
    <m/>
    <m/>
    <m/>
    <m/>
    <m/>
  </r>
  <r>
    <n v="149"/>
    <x v="5"/>
    <x v="69"/>
    <s v="Atiba"/>
    <s v="Ayobami"/>
    <s v="Foluso"/>
    <x v="2"/>
    <x v="7"/>
    <s v="University of Ibadan"/>
    <s v="University of the WItwatersrand"/>
    <x v="3"/>
    <s v="Needs Assessment Fund"/>
    <n v="10500"/>
    <s v="Tertiary Educational Trust FUND (TETFUND) Nigeria"/>
    <n v="6"/>
    <x v="3"/>
    <x v="3"/>
    <m/>
    <x v="1"/>
    <m/>
    <m/>
    <m/>
    <m/>
    <m/>
    <m/>
  </r>
  <r>
    <n v="150"/>
    <x v="4"/>
    <x v="70"/>
    <s v="Masamba"/>
    <s v="Peter Lockie"/>
    <s v="Leo"/>
    <x v="1"/>
    <x v="7"/>
    <s v="University of Malawi"/>
    <s v="University of Malawi"/>
    <x v="1"/>
    <s v="GCSRT"/>
    <n v="6450"/>
    <s v="Harvard GCSRT"/>
    <n v="12"/>
    <x v="1"/>
    <x v="2"/>
    <m/>
    <x v="1"/>
    <m/>
    <m/>
    <m/>
    <m/>
    <m/>
    <m/>
  </r>
  <r>
    <n v="151"/>
    <x v="2"/>
    <x v="70"/>
    <s v="Masamba"/>
    <s v="Peter Lockie"/>
    <s v="Leo"/>
    <x v="1"/>
    <x v="7"/>
    <s v="University of Malawi"/>
    <s v="University of Malawi"/>
    <x v="1"/>
    <s v="Travel grant"/>
    <n v="4000"/>
    <s v="Scottish Partnership"/>
    <n v="1"/>
    <x v="1"/>
    <x v="2"/>
    <m/>
    <x v="1"/>
    <m/>
    <m/>
    <m/>
    <m/>
    <m/>
    <m/>
  </r>
  <r>
    <n v="152"/>
    <x v="6"/>
    <x v="70"/>
    <s v="Masamba"/>
    <s v="Peter Lockie"/>
    <s v="Leo"/>
    <x v="1"/>
    <x v="7"/>
    <s v="University of Malawi"/>
    <s v="University of Malawi"/>
    <x v="1"/>
    <s v="Conference funding"/>
    <n v="2000"/>
    <s v="International Prevention Research Institute"/>
    <m/>
    <x v="1"/>
    <x v="3"/>
    <m/>
    <x v="1"/>
    <m/>
    <m/>
    <m/>
    <m/>
    <m/>
    <m/>
  </r>
  <r>
    <n v="153"/>
    <x v="5"/>
    <x v="70"/>
    <s v="Masamba"/>
    <s v="Peter Lockie"/>
    <s v="Leo"/>
    <x v="1"/>
    <x v="7"/>
    <s v="University of Malawi"/>
    <s v="University of Malawi"/>
    <x v="3"/>
    <s v="MLW PhD TopUp funding"/>
    <n v="26472.17"/>
    <s v="Wellcome Trust"/>
    <n v="12"/>
    <x v="3"/>
    <x v="3"/>
    <m/>
    <x v="1"/>
    <m/>
    <m/>
    <m/>
    <m/>
    <m/>
    <m/>
  </r>
  <r>
    <n v="154"/>
    <x v="4"/>
    <x v="71"/>
    <s v="Popoola"/>
    <s v="Akinyele"/>
    <s v="Oluwafemi"/>
    <x v="1"/>
    <x v="7"/>
    <s v="University of Ibadan"/>
    <s v="University of Ibadan"/>
    <x v="0"/>
    <s v="oanna Briggs Institute LMIC Clinical Fellowship 2018 Program"/>
    <n v="5000"/>
    <s v="oanna Briggs InstituteFaculty of Health and Medical Sciences The University of Adelaide SA 5005, AUSTRALIA"/>
    <n v="6"/>
    <x v="4"/>
    <x v="2"/>
    <m/>
    <x v="1"/>
    <m/>
    <m/>
    <m/>
    <m/>
    <m/>
    <m/>
  </r>
  <r>
    <n v="155"/>
    <x v="6"/>
    <x v="72"/>
    <s v="Arije"/>
    <s v="Olusesan"/>
    <s v="Olujide"/>
    <x v="1"/>
    <x v="8"/>
    <s v="Obafemi Awolowo University"/>
    <s v="University of the WItwatersrand"/>
    <x v="3"/>
    <s v="Formative Audience Research to Inform Radio Serial Drama for Social and Behavior Change in Nigeria"/>
    <n v="21388"/>
    <s v="Population Media Centre"/>
    <n v="6"/>
    <x v="3"/>
    <x v="3"/>
    <m/>
    <x v="1"/>
    <m/>
    <m/>
    <m/>
    <m/>
    <m/>
    <m/>
  </r>
  <r>
    <n v="156"/>
    <x v="6"/>
    <x v="73"/>
    <s v="Adams"/>
    <s v="Nandi"/>
    <s v="Skye"/>
    <x v="2"/>
    <x v="8"/>
    <s v="University of the WItwatersrand"/>
    <s v="University of the WItwatersrand"/>
    <x v="3"/>
    <s v="Early Career Academic Development Programme"/>
    <n v="2130"/>
    <s v="CLTD"/>
    <n v="12"/>
    <x v="3"/>
    <x v="3"/>
    <m/>
    <x v="1"/>
    <m/>
    <m/>
    <m/>
    <m/>
    <m/>
    <m/>
  </r>
  <r>
    <n v="157"/>
    <x v="6"/>
    <x v="74"/>
    <s v="Korukire"/>
    <s v="-"/>
    <s v="Noel"/>
    <x v="1"/>
    <x v="8"/>
    <s v="University of Rwanda"/>
    <s v="University of Rwanda"/>
    <x v="1"/>
    <m/>
    <m/>
    <s v="One Health for central and eastern Africa (OHCEA))"/>
    <m/>
    <x v="1"/>
    <x v="3"/>
    <m/>
    <x v="1"/>
    <m/>
    <m/>
    <m/>
    <m/>
    <m/>
    <m/>
  </r>
  <r>
    <n v="158"/>
    <x v="5"/>
    <x v="75"/>
    <s v="Njagi"/>
    <s v="Nkirote"/>
    <s v="Lilian"/>
    <x v="2"/>
    <x v="8"/>
    <s v="University of Nairobi"/>
    <s v="University of Nairobi"/>
    <x v="3"/>
    <m/>
    <n v="8000"/>
    <s v="Africa centre of Excellence in Materials, Product Development and Nanotechnology"/>
    <n v="48"/>
    <x v="3"/>
    <x v="3"/>
    <m/>
    <x v="1"/>
    <m/>
    <m/>
    <m/>
    <m/>
    <m/>
    <m/>
  </r>
  <r>
    <n v="159"/>
    <x v="6"/>
    <x v="76"/>
    <s v="Ssemugabo"/>
    <s v="Charles "/>
    <s v="Charles "/>
    <x v="1"/>
    <x v="8"/>
    <s v="Makerere University"/>
    <s v="Makerere University"/>
    <x v="3"/>
    <s v="UJMT fogarty global health fellowship program"/>
    <n v="29000"/>
    <s v="National Institute of Health and Fogarty International Center"/>
    <n v="12"/>
    <x v="3"/>
    <x v="3"/>
    <m/>
    <x v="1"/>
    <m/>
    <m/>
    <m/>
    <m/>
    <m/>
    <m/>
  </r>
  <r>
    <n v="160"/>
    <x v="6"/>
    <x v="76"/>
    <s v="Ssemugabo"/>
    <m/>
    <s v="Charles "/>
    <x v="1"/>
    <x v="8"/>
    <s v="Makerere University"/>
    <s v="Makerere University"/>
    <x v="4"/>
    <s v="Emerging voices for global health residence program"/>
    <n v="5627"/>
    <s v="Institute of Tropical Medicine "/>
    <n v="3"/>
    <x v="4"/>
    <x v="3"/>
    <m/>
    <x v="1"/>
    <m/>
    <m/>
    <m/>
    <m/>
    <m/>
    <m/>
  </r>
  <r>
    <n v="161"/>
    <x v="5"/>
    <x v="76"/>
    <s v="Ssemugabo"/>
    <s v="Charles "/>
    <s v="Charles "/>
    <x v="1"/>
    <x v="8"/>
    <s v="Makerere University"/>
    <s v="Makerere University"/>
    <x v="3"/>
    <s v="Preventing childhood injuries in Uganda - development of a child safety kit; preparation for a cluster randomised controlled trial"/>
    <n v="170344.99"/>
    <s v="Medical Research Council "/>
    <n v="12"/>
    <x v="3"/>
    <x v="3"/>
    <m/>
    <x v="1"/>
    <m/>
    <m/>
    <m/>
    <m/>
    <m/>
    <m/>
  </r>
  <r>
    <n v="162"/>
    <x v="5"/>
    <x v="76"/>
    <s v="Ssemugabo"/>
    <s v="Charles "/>
    <s v="Charles "/>
    <x v="1"/>
    <x v="8"/>
    <s v="Makerere University"/>
    <s v="Makerere University"/>
    <x v="3"/>
    <s v="Preventing childhood injuries in Uganda - development of a child safety kit; preparation for a intervention study"/>
    <n v="62529.93"/>
    <s v="University of Oxford "/>
    <n v="12"/>
    <x v="3"/>
    <x v="3"/>
    <m/>
    <x v="1"/>
    <m/>
    <m/>
    <m/>
    <m/>
    <m/>
    <m/>
  </r>
  <r>
    <n v="163"/>
    <x v="5"/>
    <x v="76"/>
    <s v="Ssemugabo"/>
    <s v="Charles "/>
    <s v="Charles "/>
    <x v="1"/>
    <x v="8"/>
    <s v="Makerere University"/>
    <s v="Makerere University"/>
    <x v="2"/>
    <s v="DGD scholarship: Short course in Qualitative and Mixed Methods in International Health Research"/>
    <n v="5000"/>
    <s v="Institute of tropical Medicine, Antwerp, Belgium "/>
    <n v="1"/>
    <x v="4"/>
    <x v="3"/>
    <m/>
    <x v="1"/>
    <m/>
    <m/>
    <m/>
    <m/>
    <m/>
    <m/>
  </r>
  <r>
    <n v="164"/>
    <x v="5"/>
    <x v="77"/>
    <s v="Silaule"/>
    <s v="Mkhonto"/>
    <s v="Olindah"/>
    <x v="2"/>
    <x v="8"/>
    <s v="University of the WItwatersrand"/>
    <s v="University of the WItwatersrand"/>
    <x v="0"/>
    <s v="Early Career Development Programme Start-up Grant"/>
    <n v="1779.59"/>
    <s v="University of the Witwatersrand"/>
    <n v="12"/>
    <x v="1"/>
    <x v="3"/>
    <m/>
    <x v="1"/>
    <m/>
    <m/>
    <m/>
    <m/>
    <m/>
    <m/>
  </r>
  <r>
    <n v="165"/>
    <x v="5"/>
    <x v="78"/>
    <s v="OBIMAKINDE"/>
    <s v="MARGARET"/>
    <s v="ABIMBOLA"/>
    <x v="2"/>
    <x v="8"/>
    <s v="University of Ibadan"/>
    <s v="University of the WItwatersrand"/>
    <x v="1"/>
    <s v="U.I MEPI J award: Sponsorship to attend 3rd AFREHEALTH Conference"/>
    <n v="500"/>
    <s v="NIH D43 grant"/>
    <m/>
    <x v="1"/>
    <x v="3"/>
    <m/>
    <x v="1"/>
    <m/>
    <m/>
    <m/>
    <m/>
    <m/>
    <m/>
  </r>
  <r>
    <n v="166"/>
    <x v="5"/>
    <x v="79"/>
    <s v="MZEMBE"/>
    <s v="-"/>
    <s v="GLORY"/>
    <x v="2"/>
    <x v="8"/>
    <s v="University of Malawi"/>
    <s v="University of Malawi"/>
    <x v="3"/>
    <s v="AFRICA CENTRE OF EXCELLENCE IN PUBLIC HEALTH AND HERBAL MEDICINE (ACEPHEM) "/>
    <n v="1500"/>
    <s v="AFRICA CENTRE OF EXCELLENCE IN PUBLIC HEALTH AND HERBAL MEDICINE (ACEPHEM) "/>
    <n v="12"/>
    <x v="3"/>
    <x v="3"/>
    <m/>
    <x v="1"/>
    <m/>
    <m/>
    <m/>
    <m/>
    <m/>
    <m/>
  </r>
  <r>
    <n v="167"/>
    <x v="4"/>
    <x v="80"/>
    <s v="Philbert"/>
    <s v="Byabato"/>
    <s v="Anitha"/>
    <x v="2"/>
    <x v="6"/>
    <s v="University of Dar es Salaam"/>
    <m/>
    <x v="3"/>
    <s v="Competitive Research and Publication grant of the University of Dar es Salaam"/>
    <n v="13000"/>
    <s v="University of Dar es Salaam"/>
    <n v="12"/>
    <x v="3"/>
    <x v="2"/>
    <m/>
    <x v="2"/>
    <m/>
    <m/>
    <m/>
    <m/>
    <m/>
    <m/>
  </r>
  <r>
    <n v="168"/>
    <x v="4"/>
    <x v="81"/>
    <s v="Agunbiade"/>
    <s v="Melvin"/>
    <s v="Ojo"/>
    <x v="1"/>
    <x v="6"/>
    <s v="Obafemi Awolowo University"/>
    <m/>
    <x v="1"/>
    <s v="Lee Scholar Support"/>
    <n v="2500"/>
    <s v="Society for the Study of Social Problems"/>
    <n v="0"/>
    <x v="1"/>
    <x v="2"/>
    <m/>
    <x v="2"/>
    <m/>
    <m/>
    <m/>
    <m/>
    <m/>
    <m/>
  </r>
  <r>
    <n v="169"/>
    <x v="1"/>
    <x v="82"/>
    <s v="Wandera"/>
    <s v="Ojiambo"/>
    <s v="Stephen"/>
    <x v="1"/>
    <x v="9"/>
    <s v="Makerere University"/>
    <m/>
    <x v="3"/>
    <s v="Small Grant"/>
    <n v="9999"/>
    <s v="Measure Evaluation"/>
    <s v="12 months"/>
    <x v="3"/>
    <x v="1"/>
    <m/>
    <x v="2"/>
    <m/>
    <m/>
    <m/>
    <m/>
    <m/>
    <m/>
  </r>
  <r>
    <n v="170"/>
    <x v="4"/>
    <x v="82"/>
    <s v="Wandera"/>
    <s v="Ojiambo"/>
    <s v="Stephen"/>
    <x v="1"/>
    <x v="9"/>
    <s v="Makerere University"/>
    <m/>
    <x v="4"/>
    <s v="DIES/CREST Online Training Course for Supervisors of Doctoral Candidates at African Universities"/>
    <m/>
    <s v="DAAD"/>
    <n v="4"/>
    <x v="4"/>
    <x v="2"/>
    <m/>
    <x v="2"/>
    <m/>
    <m/>
    <m/>
    <m/>
    <m/>
    <m/>
  </r>
  <r>
    <n v="171"/>
    <x v="2"/>
    <x v="82"/>
    <s v="Wandera"/>
    <s v="Ojiambo"/>
    <s v="Stephen"/>
    <x v="1"/>
    <x v="9"/>
    <s v="Makerere University"/>
    <m/>
    <x v="8"/>
    <s v="Travel Grant as a Guest Lecturer at the Royal University of Groningen, The Netherlands "/>
    <n v="5000"/>
    <s v="Royal University of Groningen, The Netherlands "/>
    <n v="1"/>
    <x v="4"/>
    <x v="2"/>
    <m/>
    <x v="2"/>
    <m/>
    <m/>
    <m/>
    <m/>
    <m/>
    <m/>
  </r>
  <r>
    <n v="172"/>
    <x v="1"/>
    <x v="83"/>
    <s v="Faronbi"/>
    <s v="Olayiwola"/>
    <s v="Joel"/>
    <x v="1"/>
    <x v="6"/>
    <s v="Obafemi Awolowo University"/>
    <m/>
    <x v="1"/>
    <s v="University of Gothenburg Research Centre"/>
    <n v="500"/>
    <s v="University of Gothenburg Research Centre"/>
    <s v="2 days"/>
    <x v="1"/>
    <x v="1"/>
    <m/>
    <x v="2"/>
    <m/>
    <m/>
    <m/>
    <m/>
    <m/>
    <m/>
  </r>
  <r>
    <n v="173"/>
    <x v="4"/>
    <x v="84"/>
    <s v="Nyondo-Mipando"/>
    <s v="Linda"/>
    <s v="Alinane"/>
    <x v="2"/>
    <x v="9"/>
    <s v="University of Malawi"/>
    <m/>
    <x v="3"/>
    <s v="IDRC"/>
    <n v="800000"/>
    <s v="IDRC"/>
    <n v="24"/>
    <x v="3"/>
    <x v="2"/>
    <m/>
    <x v="2"/>
    <m/>
    <m/>
    <m/>
    <m/>
    <m/>
    <m/>
  </r>
  <r>
    <n v="174"/>
    <x v="2"/>
    <x v="84"/>
    <s v="Nyondo-Mipando"/>
    <s v="Linda"/>
    <s v="Alinane"/>
    <x v="2"/>
    <x v="9"/>
    <s v="University of Malawi"/>
    <m/>
    <x v="3"/>
    <s v="Dynamics of Health care Utilization in the context of RTSs Vaccine"/>
    <n v="1200000"/>
    <s v="PATH"/>
    <n v="36"/>
    <x v="3"/>
    <x v="2"/>
    <m/>
    <x v="2"/>
    <m/>
    <m/>
    <m/>
    <m/>
    <m/>
    <m/>
  </r>
  <r>
    <n v="175"/>
    <x v="2"/>
    <x v="85"/>
    <s v="Mapayi"/>
    <s v="Moyosore"/>
    <s v="Boladale"/>
    <x v="2"/>
    <x v="1"/>
    <s v="Obafemi Awolowo University"/>
    <m/>
    <x v="4"/>
    <s v="Travel"/>
    <m/>
    <s v="WHO"/>
    <m/>
    <x v="4"/>
    <x v="2"/>
    <m/>
    <x v="2"/>
    <m/>
    <m/>
    <m/>
    <m/>
    <m/>
    <m/>
  </r>
  <r>
    <n v="176"/>
    <x v="1"/>
    <x v="86"/>
    <s v="Mangeni"/>
    <s v="Nekesa"/>
    <s v="Judith"/>
    <x v="2"/>
    <x v="6"/>
    <s v="Moi University"/>
    <m/>
    <x v="3"/>
    <s v="Spatial scales of Plasmodium falciparum generations; implications for elimination"/>
    <n v="500000"/>
    <s v="NIH"/>
    <n v="24"/>
    <x v="3"/>
    <x v="1"/>
    <m/>
    <x v="2"/>
    <m/>
    <m/>
    <m/>
    <m/>
    <m/>
    <m/>
  </r>
  <r>
    <n v="177"/>
    <x v="1"/>
    <x v="86"/>
    <s v="Mangeni"/>
    <s v="Nekesa"/>
    <s v="Judith"/>
    <x v="2"/>
    <x v="6"/>
    <s v="Moi University"/>
    <m/>
    <x v="3"/>
    <s v="Grant-A sub award grant,P.I is Dr. Ailsa Holloway from South Africa,local P.I is Dr. Diana Menya and I'm co-P.I on the projectDisaster Risk Reduction "/>
    <n v="190000"/>
    <s v="USAID"/>
    <n v="24"/>
    <x v="3"/>
    <x v="1"/>
    <m/>
    <x v="2"/>
    <m/>
    <m/>
    <m/>
    <m/>
    <m/>
    <m/>
  </r>
  <r>
    <n v="178"/>
    <x v="1"/>
    <x v="87"/>
    <s v="Adedokun"/>
    <s v="Taiwo"/>
    <s v="Sulaimon"/>
    <x v="1"/>
    <x v="5"/>
    <s v="Obafemi Awolowo University"/>
    <m/>
    <x v="1"/>
    <s v="Carnegie Fund for Conference Attendance"/>
    <n v="4359.7700000000004"/>
    <s v="Institute of International Education"/>
    <s v="For the conference "/>
    <x v="1"/>
    <x v="1"/>
    <m/>
    <x v="2"/>
    <m/>
    <m/>
    <m/>
    <m/>
    <m/>
    <m/>
  </r>
  <r>
    <n v="179"/>
    <x v="1"/>
    <x v="87"/>
    <s v="Adedokun"/>
    <s v="Taiwo"/>
    <s v="Sulaimon"/>
    <x v="1"/>
    <x v="5"/>
    <s v="Obafemi Awolowo University"/>
    <m/>
    <x v="4"/>
    <s v="PAA 2017 Conference Travel Award"/>
    <n v="3500"/>
    <s v="Population Association of America"/>
    <s v="For the conference"/>
    <x v="4"/>
    <x v="1"/>
    <m/>
    <x v="2"/>
    <m/>
    <m/>
    <m/>
    <m/>
    <m/>
    <m/>
  </r>
  <r>
    <n v="180"/>
    <x v="4"/>
    <x v="88"/>
    <s v="FAGBAMIGBE"/>
    <s v="FRANCIS"/>
    <s v="ADENIYI"/>
    <x v="1"/>
    <x v="9"/>
    <s v="University of Ibadan"/>
    <m/>
    <x v="1"/>
    <s v="28th International Population Conference in Cape Town, South Africa"/>
    <n v="4000"/>
    <s v="Statistics, South Africa"/>
    <n v="1"/>
    <x v="4"/>
    <x v="2"/>
    <m/>
    <x v="2"/>
    <m/>
    <m/>
    <m/>
    <m/>
    <m/>
    <m/>
  </r>
  <r>
    <n v="181"/>
    <x v="2"/>
    <x v="88"/>
    <s v="FAGBAMIGBE"/>
    <s v="FRANCIS"/>
    <s v="ADENIYI"/>
    <x v="1"/>
    <x v="9"/>
    <s v="University of Ibadan"/>
    <m/>
    <x v="1"/>
    <s v="ICFP travel grant"/>
    <n v="1500"/>
    <s v="The Gates Institute"/>
    <n v="1"/>
    <x v="1"/>
    <x v="2"/>
    <m/>
    <x v="2"/>
    <m/>
    <m/>
    <m/>
    <m/>
    <m/>
    <m/>
  </r>
  <r>
    <n v="182"/>
    <x v="2"/>
    <x v="88"/>
    <s v="FAGBAMIGBE"/>
    <s v="FRANCIS"/>
    <s v="ADENIYI"/>
    <x v="1"/>
    <x v="9"/>
    <s v="University of Ibadan"/>
    <m/>
    <x v="4"/>
    <s v="Africa Oxford (AfOx) Travel Grant"/>
    <n v="6500"/>
    <s v="African Oxford Initiatives"/>
    <n v="1"/>
    <x v="4"/>
    <x v="2"/>
    <m/>
    <x v="2"/>
    <m/>
    <m/>
    <m/>
    <m/>
    <m/>
    <m/>
  </r>
  <r>
    <n v="183"/>
    <x v="1"/>
    <x v="89"/>
    <s v="Kato"/>
    <s v="Drago"/>
    <s v="Charles"/>
    <x v="1"/>
    <x v="6"/>
    <s v="Makerere University"/>
    <m/>
    <x v="3"/>
    <s v="SIDA small grant"/>
    <n v="20000"/>
    <s v="SIDA"/>
    <n v="24"/>
    <x v="3"/>
    <x v="1"/>
    <m/>
    <x v="2"/>
    <m/>
    <m/>
    <m/>
    <m/>
    <m/>
    <m/>
  </r>
  <r>
    <n v="184"/>
    <x v="1"/>
    <x v="90"/>
    <s v="Olumide"/>
    <s v="Oluwafunmilola"/>
    <s v="Adesola"/>
    <x v="2"/>
    <x v="6"/>
    <s v="University of Ibadan"/>
    <m/>
    <x v="3"/>
    <s v="Grant awarded to the Centre for Population and Reproductive Health, Univ of Ibadan to serve as collaborating partner to MLE tocarryout an evaluation (qualitative) of a reproductive health project in three states in Nigeria"/>
    <n v="65000"/>
    <s v="Measurement, Learning and Evaluation"/>
    <n v="6"/>
    <x v="3"/>
    <x v="1"/>
    <m/>
    <x v="2"/>
    <m/>
    <m/>
    <m/>
    <m/>
    <m/>
    <m/>
  </r>
  <r>
    <n v="185"/>
    <x v="4"/>
    <x v="90"/>
    <s v="Olumide"/>
    <s v="Oluwafunmilola"/>
    <s v="Adesola"/>
    <x v="2"/>
    <x v="6"/>
    <s v="University of Ibadan"/>
    <m/>
    <x v="1"/>
    <s v="Conference support"/>
    <m/>
    <m/>
    <m/>
    <x v="1"/>
    <x v="2"/>
    <m/>
    <x v="2"/>
    <m/>
    <m/>
    <m/>
    <m/>
    <m/>
    <m/>
  </r>
  <r>
    <n v="186"/>
    <x v="4"/>
    <x v="90"/>
    <s v="Olumide"/>
    <s v="Oluwafunmilola"/>
    <s v="Adesola"/>
    <x v="2"/>
    <x v="6"/>
    <s v="University of Ibadan"/>
    <m/>
    <x v="3"/>
    <s v="Feasibility Study Youth Power Action Adolescents Living with HIV Study (Nigeria)"/>
    <n v="50000"/>
    <s v="FHI 360"/>
    <n v="7"/>
    <x v="3"/>
    <x v="2"/>
    <m/>
    <x v="2"/>
    <m/>
    <m/>
    <m/>
    <m/>
    <m/>
    <m/>
  </r>
  <r>
    <n v="187"/>
    <x v="4"/>
    <x v="90"/>
    <s v="Olumide"/>
    <s v="Oluwafunmilola"/>
    <s v="Adesola"/>
    <x v="2"/>
    <x v="6"/>
    <s v="University of Ibadan"/>
    <m/>
    <x v="3"/>
    <s v="Local Research Partner for the Qualitative Evaluation of the Nigerian Urban Reproductive Health Initiative (NURHI) in Three Cities in Nigeria01/12/2021: Consultancy awarded to the Center for Population and Reproductive Health to serve as In-country implementer of an MLE-sponsored evaluation"/>
    <n v="63000"/>
    <s v="Measurement Learning and Evaluation"/>
    <n v="9"/>
    <x v="3"/>
    <x v="2"/>
    <m/>
    <x v="2"/>
    <m/>
    <m/>
    <m/>
    <m/>
    <m/>
    <m/>
  </r>
  <r>
    <n v="188"/>
    <x v="2"/>
    <x v="90"/>
    <s v="Olumide"/>
    <s v="Oluwafunmilola"/>
    <s v="Adesola"/>
    <x v="2"/>
    <x v="6"/>
    <s v="University of Ibadan"/>
    <m/>
    <x v="3"/>
    <s v="INSPIRE Dissemination Funding"/>
    <n v="29989.58"/>
    <s v="Ignite Philanthropy and New Venture Fund"/>
    <n v="8"/>
    <x v="3"/>
    <x v="2"/>
    <m/>
    <x v="2"/>
    <m/>
    <m/>
    <m/>
    <m/>
    <m/>
    <m/>
  </r>
  <r>
    <n v="189"/>
    <x v="2"/>
    <x v="91"/>
    <s v="Khisa"/>
    <s v="Majuma"/>
    <s v="Anne"/>
    <x v="2"/>
    <x v="6"/>
    <s v="APHRC"/>
    <m/>
    <x v="3"/>
    <s v=" _x0009_Improving Evaluation Practice for Research Capacity Strengthening Project"/>
    <n v="80499"/>
    <s v="DFID through Liverpool School of Tropical Medicine"/>
    <n v="5"/>
    <x v="3"/>
    <x v="2"/>
    <m/>
    <x v="2"/>
    <m/>
    <m/>
    <m/>
    <m/>
    <m/>
    <m/>
  </r>
  <r>
    <n v="190"/>
    <x v="4"/>
    <x v="92"/>
    <s v="Niragire"/>
    <m/>
    <s v="François"/>
    <x v="1"/>
    <x v="5"/>
    <s v="University of Rwanda"/>
    <m/>
    <x v="4"/>
    <s v="BIARI  GRANT for Travel and participation in BIARI 2018: Social Change and Health in Africa, at APHRC, Nairobi, Kenya,3-9 June 2018"/>
    <m/>
    <s v="APHRC and Brown Univerity International Advanced Research Institutes (BIARI)."/>
    <m/>
    <x v="4"/>
    <x v="2"/>
    <m/>
    <x v="2"/>
    <m/>
    <m/>
    <m/>
    <m/>
    <m/>
    <m/>
  </r>
  <r>
    <n v="191"/>
    <x v="2"/>
    <x v="92"/>
    <s v="Niragire"/>
    <m/>
    <s v="François"/>
    <x v="1"/>
    <x v="5"/>
    <s v="University of Rwanda"/>
    <m/>
    <x v="4"/>
    <s v="McGoldrick Professional Development Program in Public Health"/>
    <m/>
    <s v="ARISE Network"/>
    <n v="6"/>
    <x v="4"/>
    <x v="2"/>
    <m/>
    <x v="2"/>
    <m/>
    <m/>
    <m/>
    <m/>
    <m/>
    <m/>
  </r>
  <r>
    <n v="192"/>
    <x v="8"/>
    <x v="93"/>
    <s v="Adefolarin"/>
    <m/>
    <s v="Adefolarin"/>
    <x v="2"/>
    <x v="6"/>
    <s v="University of Ibadan"/>
    <m/>
    <x v="3"/>
    <s v="BOTNAR award"/>
    <n v="100000"/>
    <s v="BOTNAR Foundation"/>
    <n v="12"/>
    <x v="3"/>
    <x v="3"/>
    <m/>
    <x v="2"/>
    <m/>
    <m/>
    <m/>
    <m/>
    <m/>
    <m/>
  </r>
  <r>
    <n v="193"/>
    <x v="8"/>
    <x v="90"/>
    <s v="Olumide"/>
    <s v="Oluwafunmilola"/>
    <s v="Adesoa"/>
    <x v="2"/>
    <x v="6"/>
    <s v="University of Ibadan"/>
    <m/>
    <x v="0"/>
    <s v="Travel grant"/>
    <n v="0"/>
    <s v="Africa Epidemiology Association "/>
    <m/>
    <x v="4"/>
    <x v="3"/>
    <m/>
    <x v="2"/>
    <m/>
    <m/>
    <m/>
    <m/>
    <m/>
    <m/>
  </r>
  <r>
    <n v="194"/>
    <x v="9"/>
    <x v="90"/>
    <s v="Olumide"/>
    <s v="Oluwafunmilola"/>
    <s v="Adesoa"/>
    <x v="2"/>
    <x v="6"/>
    <s v="University of Ibadan"/>
    <m/>
    <x v="4"/>
    <s v="Conference travel grant"/>
    <m/>
    <s v="International Epidemiology Association/ Africa Epidemiology Association "/>
    <m/>
    <x v="1"/>
    <x v="3"/>
    <m/>
    <x v="2"/>
    <m/>
    <m/>
    <m/>
    <m/>
    <m/>
    <m/>
  </r>
  <r>
    <n v="195"/>
    <x v="9"/>
    <x v="90"/>
    <s v="Olumide"/>
    <s v="Oluwafunmilola"/>
    <s v="Adesoa"/>
    <x v="2"/>
    <x v="6"/>
    <s v="University of Ibadan"/>
    <m/>
    <x v="1"/>
    <s v="Conference travel grant"/>
    <m/>
    <s v="The African Academy of Sciences (The AAS) in partnership with the Malaria Research Capacity Development in West and Central Africa (MARCAD), Developing Excellence in Leadership and Genetic Training for Malaria Elimination in Sub Saharan Africa (DELGEME) and Afrique One African Science Partnership for Intervention Research Excellence (Afrique One-ASPIRE) "/>
    <m/>
    <x v="1"/>
    <x v="3"/>
    <m/>
    <x v="2"/>
    <m/>
    <m/>
    <m/>
    <m/>
    <m/>
    <m/>
  </r>
  <r>
    <n v="196"/>
    <x v="10"/>
    <x v="90"/>
    <s v="Olumide"/>
    <s v="Oluwafunmilola"/>
    <s v="Adesoa"/>
    <x v="2"/>
    <x v="6"/>
    <s v="University of Ibadan"/>
    <m/>
    <x v="3"/>
    <s v="DELTAS Africa CPE Seed Fund Round 1 "/>
    <n v="25000"/>
    <s v="The African Academy of Sciences (The AAS) "/>
    <n v="6"/>
    <x v="3"/>
    <x v="3"/>
    <m/>
    <x v="2"/>
    <m/>
    <m/>
    <m/>
    <m/>
    <m/>
    <m/>
  </r>
  <r>
    <n v="197"/>
    <x v="8"/>
    <x v="89"/>
    <s v="Kato"/>
    <s v="Drago"/>
    <s v="Charles"/>
    <x v="1"/>
    <x v="6"/>
    <s v="Makerere University"/>
    <m/>
    <x v="3"/>
    <s v="African Academy of Science"/>
    <m/>
    <s v="AAS"/>
    <n v="36"/>
    <x v="4"/>
    <x v="3"/>
    <m/>
    <x v="2"/>
    <m/>
    <m/>
    <m/>
    <m/>
    <m/>
    <m/>
  </r>
  <r>
    <n v="198"/>
    <x v="8"/>
    <x v="89"/>
    <s v="Kato"/>
    <s v="Drago"/>
    <s v="Charles"/>
    <x v="1"/>
    <x v="6"/>
    <s v="Makerere University"/>
    <m/>
    <x v="3"/>
    <s v="Clinical Validation of Novel Stage Diagnostic Bio-markers Among Trypanosoma brucei rhodesiense Sleeping Sickness Patients in Uganda"/>
    <n v="100000"/>
    <s v="MUII-Plus"/>
    <n v="24"/>
    <x v="3"/>
    <x v="3"/>
    <m/>
    <x v="2"/>
    <m/>
    <m/>
    <m/>
    <m/>
    <m/>
    <m/>
  </r>
  <r>
    <n v="199"/>
    <x v="10"/>
    <x v="94"/>
    <s v="Dieudonne"/>
    <m/>
    <s v="Uwizeye"/>
    <x v="1"/>
    <x v="5"/>
    <s v="University of Rwanda"/>
    <m/>
    <x v="1"/>
    <s v="ICUH2019 Scholarship "/>
    <n v="2000"/>
    <s v=" The International Society for Urban Health"/>
    <n v="1"/>
    <x v="1"/>
    <x v="3"/>
    <m/>
    <x v="2"/>
    <m/>
    <m/>
    <m/>
    <m/>
    <m/>
    <m/>
  </r>
  <r>
    <n v="200"/>
    <x v="8"/>
    <x v="88"/>
    <s v="FAGBAMIGBE"/>
    <s v="FRANCIS"/>
    <s v="ADENIYI"/>
    <x v="1"/>
    <x v="9"/>
    <s v="University of Ibadan"/>
    <m/>
    <x v="4"/>
    <s v="ICFP 2018 travel award"/>
    <n v="1500"/>
    <s v="Gates and Belinder"/>
    <n v="5"/>
    <x v="4"/>
    <x v="3"/>
    <m/>
    <x v="2"/>
    <m/>
    <m/>
    <m/>
    <m/>
    <m/>
    <m/>
  </r>
  <r>
    <n v="201"/>
    <x v="9"/>
    <x v="23"/>
    <s v="Khuluza"/>
    <m/>
    <s v="Felix"/>
    <x v="1"/>
    <x v="4"/>
    <s v="University of Malawi"/>
    <m/>
    <x v="3"/>
    <s v="A FEASABILITY STUDY OF INTRAPARTUM GROUP B STREPTOCOCCUS (GBS) TESTING TO GUIDE ANTIBIOTIC PROPHYLAXIS IN MALAWI"/>
    <n v="27100"/>
    <m/>
    <n v="24"/>
    <x v="3"/>
    <x v="3"/>
    <m/>
    <x v="2"/>
    <m/>
    <m/>
    <m/>
    <m/>
    <m/>
    <m/>
  </r>
  <r>
    <n v="202"/>
    <x v="8"/>
    <x v="31"/>
    <s v="Zakumumpa"/>
    <m/>
    <s v="Henry"/>
    <x v="1"/>
    <x v="1"/>
    <s v="Makerere University"/>
    <m/>
    <x v="3"/>
    <s v="INGSA Research Associate Grant"/>
    <n v="25000"/>
    <s v="International Development Research Centre(IDRC)"/>
    <n v="12"/>
    <x v="3"/>
    <x v="3"/>
    <m/>
    <x v="2"/>
    <m/>
    <m/>
    <m/>
    <m/>
    <m/>
    <m/>
  </r>
  <r>
    <n v="203"/>
    <x v="10"/>
    <x v="31"/>
    <s v="Zakumumpa"/>
    <m/>
    <s v="Henry"/>
    <x v="1"/>
    <x v="1"/>
    <s v="Makerere University"/>
    <m/>
    <x v="3"/>
    <s v="INGSA 2019 Research Associates Grant"/>
    <n v="18000"/>
    <s v="IDRC Canada"/>
    <n v="12"/>
    <x v="3"/>
    <x v="3"/>
    <m/>
    <x v="2"/>
    <m/>
    <m/>
    <m/>
    <m/>
    <m/>
    <m/>
  </r>
  <r>
    <n v="204"/>
    <x v="1"/>
    <x v="95"/>
    <s v="Ndikumana"/>
    <m/>
    <s v="Celestin"/>
    <x v="1"/>
    <x v="4"/>
    <s v="University of Rwanda"/>
    <s v="Moi University"/>
    <x v="3"/>
    <s v="INSTITUTIONALIZATIOONF C ARTAI NNOVATIONS"/>
    <n v="79320"/>
    <s v="AFRICAN POPULATION AND HEALTH RESEARCH CENTRE-CARTA"/>
    <s v="2 YEARS"/>
    <x v="3"/>
    <x v="1"/>
    <m/>
    <x v="1"/>
    <m/>
    <m/>
    <m/>
    <m/>
    <m/>
    <m/>
  </r>
  <r>
    <n v="205"/>
    <x v="1"/>
    <x v="44"/>
    <s v="NISHIMWE"/>
    <s v="-"/>
    <s v="Aurore"/>
    <x v="2"/>
    <x v="2"/>
    <s v="University of Rwanda"/>
    <s v="University of the WItwatersrand"/>
    <x v="4"/>
    <s v="Travel grant to HELINA conference in Bujumbura / Burundi"/>
    <n v="243"/>
    <s v="Open Clinic Foundation"/>
    <m/>
    <x v="4"/>
    <x v="1"/>
    <m/>
    <x v="1"/>
    <m/>
    <m/>
    <m/>
    <m/>
    <m/>
    <m/>
  </r>
  <r>
    <n v="206"/>
    <x v="2"/>
    <x v="34"/>
    <s v="Mutyoba"/>
    <s v="Nankya"/>
    <s v="Joan"/>
    <x v="2"/>
    <x v="3"/>
    <s v="Makerere University"/>
    <s v="Makerere University"/>
    <x v="3"/>
    <s v="Hepatitis C in Uganda: Identification of infected donors for Micro-elimination"/>
    <n v="100000"/>
    <s v="National Institutes of Health"/>
    <n v="18"/>
    <x v="3"/>
    <x v="2"/>
    <m/>
    <x v="1"/>
    <m/>
    <m/>
    <m/>
    <m/>
    <m/>
    <m/>
  </r>
  <r>
    <n v="207"/>
    <x v="7"/>
    <x v="89"/>
    <s v="Kato"/>
    <s v="Drago"/>
    <s v="Charles"/>
    <x v="1"/>
    <x v="6"/>
    <s v="Makerere University"/>
    <m/>
    <x v="3"/>
    <s v="Cytokines as novel therapeutic agents in the management of late stage Trypanosoma brucei rhodesiense sleeping sickness: a preclinical trial"/>
    <n v="20000"/>
    <s v="Makerere University"/>
    <n v="12"/>
    <x v="3"/>
    <x v="3"/>
    <m/>
    <x v="2"/>
    <m/>
    <m/>
    <m/>
    <m/>
    <m/>
    <m/>
  </r>
  <r>
    <n v="208"/>
    <x v="7"/>
    <x v="96"/>
    <s v="Diana"/>
    <m/>
    <s v="Menya"/>
    <x v="2"/>
    <x v="9"/>
    <s v="Moi University"/>
    <m/>
    <x v="3"/>
    <s v="National Research Fund &amp; Medical Research Council "/>
    <n v="220000"/>
    <s v="National Research Fund"/>
    <n v="36"/>
    <x v="3"/>
    <x v="3"/>
    <m/>
    <x v="2"/>
    <m/>
    <m/>
    <m/>
    <m/>
    <m/>
    <m/>
  </r>
  <r>
    <n v="209"/>
    <x v="7"/>
    <x v="31"/>
    <s v="Zakumumpa"/>
    <m/>
    <s v="Henry"/>
    <x v="1"/>
    <x v="1"/>
    <s v="Makerere University"/>
    <m/>
    <x v="3"/>
    <s v="Post doc award- SOPH-UWC"/>
    <n v="10000"/>
    <s v="Belgian Cooperation"/>
    <n v="12"/>
    <x v="3"/>
    <x v="3"/>
    <m/>
    <x v="2"/>
    <m/>
    <m/>
    <m/>
    <m/>
    <m/>
    <m/>
  </r>
  <r>
    <n v="210"/>
    <x v="7"/>
    <x v="97"/>
    <s v="Damian"/>
    <s v="Shumbusho"/>
    <s v="Respicius"/>
    <x v="1"/>
    <x v="1"/>
    <s v="University of Dar es Salaam"/>
    <m/>
    <x v="3"/>
    <s v="DELTAS Africa Community and Public Engagement Seed Fund"/>
    <n v="24990"/>
    <s v="African Academy of Sciences (AAS)"/>
    <n v="6"/>
    <x v="3"/>
    <x v="3"/>
    <m/>
    <x v="2"/>
    <m/>
    <m/>
    <m/>
    <m/>
    <m/>
    <m/>
  </r>
  <r>
    <n v="211"/>
    <x v="7"/>
    <x v="19"/>
    <s v="Kaindoa"/>
    <s v="Wilson"/>
    <s v="Emmanuel"/>
    <x v="1"/>
    <x v="4"/>
    <s v="Ifakara Health Institute"/>
    <m/>
    <x v="2"/>
    <s v="Wellcome Trust Training Fellowship"/>
    <n v="391966"/>
    <s v="Wellcome Trust"/>
    <n v="36"/>
    <x v="3"/>
    <x v="3"/>
    <m/>
    <x v="2"/>
    <m/>
    <m/>
    <m/>
    <m/>
    <m/>
    <m/>
  </r>
  <r>
    <n v="212"/>
    <x v="11"/>
    <x v="90"/>
    <s v="Olumide"/>
    <s v="Oluwafunmilola"/>
    <s v="Adesola"/>
    <x v="2"/>
    <x v="6"/>
    <s v="University of Ibadan"/>
    <m/>
    <x v="3"/>
    <s v="DELTAS Africa CPE Seed Fund Award"/>
    <n v="25000"/>
    <s v="The African Academy of Sciences (The AAS) "/>
    <s v="6 months"/>
    <x v="3"/>
    <x v="4"/>
    <m/>
    <x v="2"/>
    <m/>
    <m/>
    <m/>
    <m/>
    <m/>
    <m/>
  </r>
  <r>
    <n v="213"/>
    <x v="11"/>
    <x v="27"/>
    <s v="Moroe"/>
    <s v="Floweret "/>
    <s v="Nomfundo"/>
    <x v="2"/>
    <x v="3"/>
    <s v="University of the WItwatersrand"/>
    <m/>
    <x v="3"/>
    <s v="THUTHUKA FUNDING INSTRUMENT"/>
    <n v="65000"/>
    <s v="National Research Foundation"/>
    <s v="36 months"/>
    <x v="3"/>
    <x v="4"/>
    <m/>
    <x v="2"/>
    <m/>
    <m/>
    <m/>
    <m/>
    <m/>
    <m/>
  </r>
  <r>
    <n v="214"/>
    <x v="11"/>
    <x v="92"/>
    <s v="Niragire"/>
    <m/>
    <s v="François"/>
    <x v="1"/>
    <x v="5"/>
    <s v="University of Rwanda"/>
    <m/>
    <x v="3"/>
    <s v="Ordinary Research Grant"/>
    <n v="20000"/>
    <s v="Sida through UR-Sweden programmme"/>
    <s v="24 months"/>
    <x v="3"/>
    <x v="4"/>
    <m/>
    <x v="2"/>
    <m/>
    <m/>
    <m/>
    <m/>
    <m/>
    <m/>
  </r>
  <r>
    <n v="215"/>
    <x v="11"/>
    <x v="31"/>
    <s v="Zakumumpa"/>
    <m/>
    <s v="Henry"/>
    <x v="1"/>
    <x v="1"/>
    <s v="Makerere University"/>
    <m/>
    <x v="2"/>
    <s v="Post Doctoral Research Fellow (PDRF) research grant of the University of the Western Cape in South Africa."/>
    <n v="50000"/>
    <s v="Belgian Development Cooperation"/>
    <s v="12 months"/>
    <x v="2"/>
    <x v="4"/>
    <m/>
    <x v="2"/>
    <m/>
    <m/>
    <m/>
    <m/>
    <m/>
    <m/>
  </r>
  <r>
    <n v="216"/>
    <x v="11"/>
    <x v="98"/>
    <s v="Dube"/>
    <m/>
    <s v="Nkosiyazi"/>
    <x v="1"/>
    <x v="1"/>
    <s v="University of the WItwatersrand"/>
    <m/>
    <x v="3"/>
    <s v="Early Career Academic Development "/>
    <n v="0"/>
    <s v="Wits Research and Centre for Learning and Teaching Development Offices "/>
    <s v="12 months"/>
    <x v="3"/>
    <x v="4"/>
    <m/>
    <x v="2"/>
    <m/>
    <m/>
    <m/>
    <m/>
    <m/>
    <m/>
  </r>
  <r>
    <n v="217"/>
    <x v="11"/>
    <x v="41"/>
    <s v="Ijadunola"/>
    <s v="Yinyinade"/>
    <s v="Macellina"/>
    <x v="2"/>
    <x v="3"/>
    <s v="Obafemi Awolowo University"/>
    <m/>
    <x v="4"/>
    <s v="Travel Grant and Dependent Care Grant  to participate in Population Association of America Conference 2020."/>
    <n v="2500"/>
    <s v="PAA"/>
    <s v="1 month"/>
    <x v="4"/>
    <x v="4"/>
    <m/>
    <x v="2"/>
    <m/>
    <m/>
    <m/>
    <m/>
    <m/>
    <m/>
  </r>
  <r>
    <n v="218"/>
    <x v="12"/>
    <x v="11"/>
    <s v="Mayora"/>
    <s v=" -"/>
    <s v="Chrispus"/>
    <x v="1"/>
    <x v="1"/>
    <s v="Makerere University"/>
    <s v="University of the WItwatersrand"/>
    <x v="3"/>
    <s v=" ESTABLISHING A KNOWLEDGE MANAGEMENT AND EVIDENCE RESPONSE UNIT (KERU) by Makerere Research and Innovation Grant (MAKRIF); ."/>
    <n v="50000"/>
    <s v="Government of Uganda "/>
    <n v="6"/>
    <x v="3"/>
    <x v="4"/>
    <m/>
    <x v="1"/>
    <m/>
    <m/>
    <m/>
    <m/>
    <m/>
    <m/>
  </r>
  <r>
    <n v="219"/>
    <x v="12"/>
    <x v="12"/>
    <s v="Musyoka"/>
    <s v="Mawia"/>
    <s v="Catherine"/>
    <x v="2"/>
    <x v="2"/>
    <s v="University of Nairobi"/>
    <s v="University of Nairobi"/>
    <x v="2"/>
    <s v="In-region in Country PhD fellowship"/>
    <n v="10170.120000000001"/>
    <s v="DAAD"/>
    <n v="6"/>
    <x v="2"/>
    <x v="4"/>
    <m/>
    <x v="1"/>
    <m/>
    <m/>
    <m/>
    <m/>
    <m/>
    <m/>
  </r>
  <r>
    <n v="220"/>
    <x v="12"/>
    <x v="13"/>
    <s v="Cadmus"/>
    <s v="Olubukola"/>
    <s v="Eniola"/>
    <x v="2"/>
    <x v="2"/>
    <s v="University of Ibadan"/>
    <s v="University of Ibadan"/>
    <x v="3"/>
    <s v="University of Ibadan Mentorship Training Programme for Junior Faculty (UI-MEPI-J))"/>
    <n v="10000"/>
    <m/>
    <n v="24"/>
    <x v="3"/>
    <x v="4"/>
    <m/>
    <x v="1"/>
    <m/>
    <m/>
    <m/>
    <m/>
    <m/>
    <m/>
  </r>
  <r>
    <n v="221"/>
    <x v="12"/>
    <x v="40"/>
    <s v="Finda"/>
    <s v="Francis"/>
    <s v="Marceline"/>
    <x v="2"/>
    <x v="2"/>
    <s v="Ifakara Health Institute"/>
    <s v="University of the WItwatersrand"/>
    <x v="3"/>
    <s v="African conversations about gene drives for malaria elimination"/>
    <n v="169562.8"/>
    <s v="Foundation for NIH"/>
    <n v="12"/>
    <x v="3"/>
    <x v="4"/>
    <m/>
    <x v="1"/>
    <m/>
    <m/>
    <m/>
    <m/>
    <m/>
    <m/>
  </r>
  <r>
    <n v="222"/>
    <x v="12"/>
    <x v="42"/>
    <s v="Makwero"/>
    <s v="Kabudula"/>
    <s v="Martha"/>
    <x v="2"/>
    <x v="2"/>
    <s v="University of Malawi"/>
    <s v="University of the WItwatersrand"/>
    <x v="4"/>
    <s v="Travel and conference attendance"/>
    <n v="2500"/>
    <s v="American Acadamy of family physicians "/>
    <n v="1"/>
    <x v="1"/>
    <x v="4"/>
    <m/>
    <x v="1"/>
    <m/>
    <m/>
    <m/>
    <m/>
    <m/>
    <m/>
  </r>
  <r>
    <n v="223"/>
    <x v="12"/>
    <x v="48"/>
    <s v="Morakinyo"/>
    <s v="Mayowa"/>
    <s v="Oyewale"/>
    <x v="1"/>
    <x v="4"/>
    <s v="University of Ibadan"/>
    <s v="University of Ibadan"/>
    <x v="4"/>
    <s v="Travel Award"/>
    <m/>
    <s v="Medical Research Council and "/>
    <m/>
    <x v="4"/>
    <x v="4"/>
    <m/>
    <x v="1"/>
    <m/>
    <m/>
    <m/>
    <m/>
    <m/>
    <m/>
  </r>
  <r>
    <n v="224"/>
    <x v="12"/>
    <x v="54"/>
    <s v="Molete"/>
    <s v="Primrose"/>
    <s v="Mpho"/>
    <x v="2"/>
    <x v="3"/>
    <s v="University of the WItwatersrand"/>
    <s v="University of the WItwatersrand"/>
    <x v="3"/>
    <s v="NRF Thuthuka award"/>
    <n v="7125"/>
    <s v="National Research Foundation"/>
    <n v="12"/>
    <x v="3"/>
    <x v="4"/>
    <m/>
    <x v="1"/>
    <m/>
    <m/>
    <m/>
    <m/>
    <m/>
    <m/>
  </r>
  <r>
    <n v="225"/>
    <x v="12"/>
    <x v="56"/>
    <s v="Kisaka"/>
    <s v="M.B"/>
    <s v="Stevens"/>
    <x v="1"/>
    <x v="2"/>
    <s v="Makerere University"/>
    <s v="University of Nairobi"/>
    <x v="3"/>
    <s v="RIF-Special COVID Call"/>
    <n v="18000"/>
    <s v="Government of Uganda"/>
    <n v="6"/>
    <x v="3"/>
    <x v="4"/>
    <m/>
    <x v="1"/>
    <m/>
    <m/>
    <m/>
    <m/>
    <m/>
    <m/>
  </r>
  <r>
    <n v="226"/>
    <x v="12"/>
    <x v="59"/>
    <s v="Pilusa"/>
    <s v="Imogene"/>
    <s v="Sonti"/>
    <x v="2"/>
    <x v="2"/>
    <s v="University of the WItwatersrand"/>
    <s v="University of the WItwatersrand"/>
    <x v="3"/>
    <s v="THUTHUKA "/>
    <n v="8685.52"/>
    <s v="National Research fund "/>
    <n v="12"/>
    <x v="3"/>
    <x v="4"/>
    <m/>
    <x v="1"/>
    <m/>
    <m/>
    <m/>
    <m/>
    <m/>
    <m/>
  </r>
  <r>
    <n v="227"/>
    <x v="12"/>
    <x v="62"/>
    <s v="Mbindyo"/>
    <s v="Minoo"/>
    <s v="Christine"/>
    <x v="2"/>
    <x v="7"/>
    <s v="University of Nairobi"/>
    <s v="University of Nairobi"/>
    <x v="3"/>
    <s v="Doctoral National research Fund (NRF)"/>
    <n v="3000"/>
    <s v="Government of Kenya"/>
    <n v="12"/>
    <x v="3"/>
    <x v="4"/>
    <m/>
    <x v="1"/>
    <m/>
    <m/>
    <m/>
    <m/>
    <m/>
    <m/>
  </r>
  <r>
    <n v="228"/>
    <x v="12"/>
    <x v="64"/>
    <s v="Peter"/>
    <s v="Shepelo"/>
    <s v="Getrude"/>
    <x v="2"/>
    <x v="7"/>
    <s v="University of Nairobi"/>
    <s v="University of Nairobi"/>
    <x v="3"/>
    <s v="National Research Fund (NRF)"/>
    <n v="1000"/>
    <s v="Government of Kenya"/>
    <n v="24"/>
    <x v="3"/>
    <x v="4"/>
    <m/>
    <x v="1"/>
    <m/>
    <m/>
    <m/>
    <m/>
    <m/>
    <m/>
  </r>
  <r>
    <n v="229"/>
    <x v="12"/>
    <x v="69"/>
    <s v="Atiba"/>
    <s v="Ayobami"/>
    <s v="Foluso"/>
    <x v="2"/>
    <x v="7"/>
    <s v="University of Ibadan"/>
    <s v="University of the WItwatersrand"/>
    <x v="3"/>
    <s v="Tertiary Educational Trust Fund (TETF)"/>
    <n v="9500"/>
    <s v="TETFund Nigeria"/>
    <n v="6"/>
    <x v="3"/>
    <x v="4"/>
    <m/>
    <x v="1"/>
    <m/>
    <m/>
    <m/>
    <m/>
    <m/>
    <m/>
  </r>
  <r>
    <n v="230"/>
    <x v="12"/>
    <x v="70"/>
    <s v="Masamba"/>
    <s v="Peter Lockie"/>
    <s v="Leo"/>
    <x v="1"/>
    <x v="7"/>
    <s v="University of Malawi"/>
    <s v="University of Malawi"/>
    <x v="2"/>
    <s v="Welcome Trust PhD topup funding"/>
    <n v="20000"/>
    <s v="Welcome Trust"/>
    <n v="36"/>
    <x v="2"/>
    <x v="4"/>
    <m/>
    <x v="1"/>
    <m/>
    <m/>
    <m/>
    <m/>
    <m/>
    <m/>
  </r>
  <r>
    <n v="231"/>
    <x v="12"/>
    <x v="99"/>
    <s v="Moya"/>
    <s v="Yamie"/>
    <s v="Ernest"/>
    <x v="1"/>
    <x v="8"/>
    <s v="University of Malawi"/>
    <s v="University of Malawi"/>
    <x v="3"/>
    <s v="ACEPHEM Grant"/>
    <n v="1370"/>
    <s v="World Bank"/>
    <n v="12"/>
    <x v="3"/>
    <x v="4"/>
    <m/>
    <x v="1"/>
    <m/>
    <m/>
    <m/>
    <m/>
    <m/>
    <m/>
  </r>
  <r>
    <n v="232"/>
    <x v="12"/>
    <x v="74"/>
    <s v="Korukire"/>
    <s v=" -"/>
    <s v="Noel"/>
    <x v="1"/>
    <x v="8"/>
    <s v="University of Rwanda"/>
    <s v="University of Rwanda"/>
    <x v="7"/>
    <s v="SIDA research grant "/>
    <m/>
    <s v="University of Rwanda -Directorate of Research in collaboration with SIDA"/>
    <n v="24"/>
    <x v="3"/>
    <x v="4"/>
    <m/>
    <x v="1"/>
    <m/>
    <m/>
    <m/>
    <m/>
    <m/>
    <m/>
  </r>
  <r>
    <n v="233"/>
    <x v="12"/>
    <x v="76"/>
    <s v="Ssemugabo"/>
    <s v="Charles "/>
    <s v="Charles "/>
    <x v="1"/>
    <x v="8"/>
    <s v="Makerere University"/>
    <s v="Makerere University"/>
    <x v="3"/>
    <s v="Makerere University Research and Innovation Fund "/>
    <n v="16524.169999999998"/>
    <s v="Government of Uganda "/>
    <n v="3"/>
    <x v="3"/>
    <x v="4"/>
    <m/>
    <x v="1"/>
    <m/>
    <m/>
    <m/>
    <m/>
    <m/>
    <m/>
  </r>
  <r>
    <n v="234"/>
    <x v="12"/>
    <x v="100"/>
    <s v="Sekome"/>
    <s v=" -"/>
    <s v="Kganetso"/>
    <x v="1"/>
    <x v="10"/>
    <s v="University of the WItwatersrand"/>
    <s v="University of the WItwatersrand"/>
    <x v="2"/>
    <s v="Joint PhD scholarship"/>
    <n v="31000"/>
    <s v="University Staff Doctoral Program (USDP)"/>
    <n v="36"/>
    <x v="2"/>
    <x v="4"/>
    <m/>
    <x v="1"/>
    <m/>
    <m/>
    <m/>
    <m/>
    <m/>
    <m/>
  </r>
  <r>
    <n v="235"/>
    <x v="12"/>
    <x v="101"/>
    <s v="Olorunmoteni"/>
    <s v="Eunice"/>
    <s v="Oluwatosin"/>
    <x v="2"/>
    <x v="10"/>
    <s v="Obafemi Awolowo University"/>
    <s v="University of the WItwatersrand"/>
    <x v="3"/>
    <s v="Cerebral palsy and Developmental disabilities Early Screening and Treatment(CDEST) Project"/>
    <n v="6000"/>
    <s v="American Academy of Paediatrics"/>
    <n v="36"/>
    <x v="3"/>
    <x v="4"/>
    <m/>
    <x v="1"/>
    <m/>
    <m/>
    <m/>
    <m/>
    <m/>
    <m/>
  </r>
  <r>
    <n v="236"/>
    <x v="12"/>
    <x v="102"/>
    <s v="Muhayimana"/>
    <m/>
    <s v="Alice"/>
    <x v="2"/>
    <x v="10"/>
    <s v="University of Rwanda"/>
    <m/>
    <x v="3"/>
    <s v="Promoting Respectful maternity care"/>
    <n v="11000"/>
    <s v="SIDA"/>
    <n v="24"/>
    <x v="3"/>
    <x v="4"/>
    <m/>
    <x v="1"/>
    <m/>
    <m/>
    <m/>
    <m/>
    <m/>
    <m/>
  </r>
  <r>
    <n v="237"/>
    <x v="13"/>
    <x v="89"/>
    <s v="Kato"/>
    <s v="Drago"/>
    <s v="Charles"/>
    <x v="1"/>
    <x v="6"/>
    <s v="Makerere University"/>
    <m/>
    <x v="3"/>
    <s v="Bacteriophage-based control of transmission and emergency of carbapenem resistant pathotypes of Escherichia coli and Klebsiella pneumoniae in Uganda."/>
    <n v="15000"/>
    <s v="WHO/TDR"/>
    <n v="12"/>
    <x v="3"/>
    <x v="4"/>
    <m/>
    <x v="2"/>
    <m/>
    <m/>
    <m/>
    <m/>
    <m/>
    <m/>
  </r>
  <r>
    <n v="238"/>
    <x v="13"/>
    <x v="82"/>
    <s v="Wandera"/>
    <s v="Ojiambo"/>
    <s v="Stephen"/>
    <x v="1"/>
    <x v="9"/>
    <s v="Makerere University"/>
    <m/>
    <x v="3"/>
    <s v="Research and Innovations Fund at Makerere University"/>
    <n v="41000"/>
    <s v="Government of Uganda"/>
    <n v="12"/>
    <x v="3"/>
    <x v="4"/>
    <m/>
    <x v="2"/>
    <m/>
    <m/>
    <m/>
    <m/>
    <m/>
    <m/>
  </r>
  <r>
    <n v="239"/>
    <x v="13"/>
    <x v="36"/>
    <s v="Adebayo"/>
    <s v="Oluwatoyin"/>
    <s v="Kudus"/>
    <x v="1"/>
    <x v="3"/>
    <s v="University of Ibadan"/>
    <m/>
    <x v="2"/>
    <s v="African Humanities Program"/>
    <n v="20000"/>
    <s v="American Council of Learned Societies (ACLS)"/>
    <n v="10"/>
    <x v="3"/>
    <x v="4"/>
    <m/>
    <x v="2"/>
    <m/>
    <m/>
    <m/>
    <m/>
    <m/>
    <m/>
  </r>
  <r>
    <n v="240"/>
    <x v="14"/>
    <x v="9"/>
    <s v="Kwanjo-Banda"/>
    <s v="Chikoko"/>
    <s v="Chimwemwe"/>
    <x v="2"/>
    <x v="3"/>
    <s v="University of Malawi"/>
    <s v="University of Malawi"/>
    <x v="3"/>
    <s v="Research grant"/>
    <n v="670"/>
    <s v="Ministry of Education Malawi"/>
    <n v="12"/>
    <x v="3"/>
    <x v="4"/>
    <s v="Assessing the preparedness of the primary health care system to deliver diabetes mellitus prevention and control in Blantyre district, Malawi"/>
    <x v="1"/>
    <m/>
    <m/>
    <m/>
    <m/>
    <m/>
    <m/>
  </r>
  <r>
    <n v="241"/>
    <x v="15"/>
    <x v="103"/>
    <s v="Andrew"/>
    <m/>
    <s v="Tamale"/>
    <x v="1"/>
    <x v="1"/>
    <s v="Makerere University"/>
    <s v="Makerere University"/>
    <x v="3"/>
    <s v="Post doctoral research grant"/>
    <n v="35800"/>
    <s v="SECA-Makerere University"/>
    <n v="24"/>
    <x v="2"/>
    <x v="4"/>
    <s v="Operatinalize the Application of phages fr management of Bacterial diseases in fish hatcheries"/>
    <x v="2"/>
    <m/>
    <m/>
    <m/>
    <m/>
    <m/>
    <m/>
  </r>
  <r>
    <n v="242"/>
    <x v="12"/>
    <x v="104"/>
    <s v="Florence "/>
    <s v="Basiimwa"/>
    <s v="Tushemerirwe"/>
    <x v="2"/>
    <x v="7"/>
    <s v="Makerere University"/>
    <s v="University of the WItwatersrand"/>
    <x v="3"/>
    <s v="Research grant"/>
    <n v="20000"/>
    <s v="Government of Uganda"/>
    <n v="12"/>
    <x v="3"/>
    <x v="4"/>
    <s v="Use Media monitoring data to explore the extent and nature of food and beverage advertising to children in Uganda."/>
    <x v="1"/>
    <m/>
    <m/>
    <m/>
    <m/>
    <m/>
    <m/>
  </r>
  <r>
    <n v="243"/>
    <x v="15"/>
    <x v="85"/>
    <s v="Mapayi"/>
    <s v="Moyosore"/>
    <s v="Boladale"/>
    <x v="2"/>
    <x v="1"/>
    <s v="Obafemi Awolowo University"/>
    <m/>
    <x v="3"/>
    <s v="Global Effort on COVID-19 (GECO) Health Research"/>
    <n v="221468"/>
    <s v="UKRI MRC"/>
    <n v="15"/>
    <x v="3"/>
    <x v="4"/>
    <m/>
    <x v="2"/>
    <m/>
    <m/>
    <m/>
    <m/>
    <m/>
    <m/>
  </r>
  <r>
    <n v="244"/>
    <x v="15"/>
    <x v="92"/>
    <s v="Niragire"/>
    <m/>
    <s v="François"/>
    <x v="1"/>
    <x v="5"/>
    <s v="University of Rwanda"/>
    <m/>
    <x v="4"/>
    <s v="ACE_DS Research Grant"/>
    <n v="5000"/>
    <s v="African Centre of Excellence in Data Science"/>
    <n v="24"/>
    <x v="4"/>
    <x v="4"/>
    <m/>
    <x v="2"/>
    <m/>
    <m/>
    <m/>
    <m/>
    <m/>
    <m/>
  </r>
  <r>
    <n v="245"/>
    <x v="15"/>
    <x v="31"/>
    <s v="Zakumumpa"/>
    <m/>
    <s v="Henry"/>
    <x v="1"/>
    <x v="1"/>
    <s v="Makerere University"/>
    <m/>
    <x v="3"/>
    <s v="Early career pharmacovigilance grant"/>
    <n v="91"/>
    <s v="Uppsala Monitoring Centre and CARTA"/>
    <n v="24"/>
    <x v="3"/>
    <x v="4"/>
    <m/>
    <x v="2"/>
    <m/>
    <m/>
    <m/>
    <m/>
    <m/>
    <m/>
  </r>
  <r>
    <n v="246"/>
    <x v="15"/>
    <x v="19"/>
    <s v="Kaindoa"/>
    <s v="Wilson"/>
    <s v="Emmanuel"/>
    <x v="1"/>
    <x v="4"/>
    <s v="Ifakara Health Institute"/>
    <m/>
    <x v="3"/>
    <s v="Engineering and Physical Sciences Research Council (EPSRC)"/>
    <n v="44222"/>
    <s v="Engineering and Physical Sciences Research Council (EPSRC)"/>
    <n v="12"/>
    <x v="3"/>
    <x v="4"/>
    <m/>
    <x v="2"/>
    <m/>
    <m/>
    <m/>
    <m/>
    <m/>
    <m/>
  </r>
  <r>
    <n v="247"/>
    <x v="14"/>
    <x v="18"/>
    <s v="Obembe"/>
    <s v="Akinyode"/>
    <s v="Taiwo"/>
    <x v="1"/>
    <x v="4"/>
    <s v="University of Ibadan"/>
    <s v="University of the WItwatersrand"/>
    <x v="3"/>
    <s v="Tetfund"/>
    <n v="100000"/>
    <s v="Tertiary Education Trust Fund"/>
    <n v="24"/>
    <x v="3"/>
    <x v="4"/>
    <m/>
    <x v="1"/>
    <m/>
    <m/>
    <m/>
    <m/>
    <m/>
    <m/>
  </r>
  <r>
    <n v="248"/>
    <x v="14"/>
    <x v="105"/>
    <s v="Chisati"/>
    <s v="Enock"/>
    <s v="Madalitso"/>
    <x v="1"/>
    <x v="2"/>
    <s v="University of Malawi"/>
    <s v="University of Malawi"/>
    <x v="3"/>
    <s v="Mentored research small grant"/>
    <n v="10000"/>
    <s v="NCD BRITE"/>
    <n v="12"/>
    <x v="3"/>
    <x v="4"/>
    <m/>
    <x v="1"/>
    <m/>
    <m/>
    <m/>
    <m/>
    <m/>
    <m/>
  </r>
  <r>
    <n v="249"/>
    <x v="14"/>
    <x v="34"/>
    <s v="Mutyoba"/>
    <s v="Nankya"/>
    <s v="Joan"/>
    <x v="2"/>
    <x v="3"/>
    <s v="Makerere University"/>
    <s v="Makerere University"/>
    <x v="3"/>
    <s v="HIV-ASSOCIATED MALIGNANCIES IN LMICS"/>
    <n v="500000"/>
    <s v="NIH-NATIONA;L CANCER INSTITUTE"/>
    <n v="60"/>
    <x v="3"/>
    <x v="4"/>
    <m/>
    <x v="1"/>
    <m/>
    <m/>
    <m/>
    <m/>
    <m/>
    <m/>
  </r>
  <r>
    <n v="250"/>
    <x v="14"/>
    <x v="42"/>
    <s v="Makwero"/>
    <s v="Kabudula"/>
    <s v="Martha"/>
    <x v="2"/>
    <x v="2"/>
    <s v="University of Malawi"/>
    <s v="University of the WItwatersrand"/>
    <x v="3"/>
    <s v="Primary health care research consortium "/>
    <n v="30000"/>
    <s v="The gorge Washington Institute of Global Health"/>
    <n v="12"/>
    <x v="3"/>
    <x v="4"/>
    <m/>
    <x v="1"/>
    <m/>
    <m/>
    <m/>
    <m/>
    <m/>
    <m/>
  </r>
  <r>
    <n v="251"/>
    <x v="14"/>
    <x v="42"/>
    <s v="Makwero"/>
    <s v="Kabudula"/>
    <s v="Martha"/>
    <x v="2"/>
    <x v="2"/>
    <s v="University of Malawi"/>
    <s v="University of the WItwatersrand"/>
    <x v="3"/>
    <s v="Award number 70324: Strengthening Health Systems through Primary Care leaders Education "/>
    <n v="39000"/>
    <s v="NORAD"/>
    <n v="60"/>
    <x v="3"/>
    <x v="4"/>
    <m/>
    <x v="1"/>
    <m/>
    <m/>
    <m/>
    <m/>
    <m/>
    <m/>
  </r>
  <r>
    <n v="252"/>
    <x v="14"/>
    <x v="106"/>
    <s v="Farlane"/>
    <m/>
    <s v="Lindiwe"/>
    <x v="2"/>
    <x v="7"/>
    <s v="University of the WItwatersrand"/>
    <s v="University of the WItwatersrand"/>
    <x v="1"/>
    <s v="Conference Scholarship"/>
    <n v="100"/>
    <s v="International Aids Society"/>
    <n v="1"/>
    <x v="1"/>
    <x v="4"/>
    <m/>
    <x v="1"/>
    <m/>
    <m/>
    <m/>
    <m/>
    <m/>
    <m/>
  </r>
  <r>
    <n v="253"/>
    <x v="14"/>
    <x v="63"/>
    <s v="Musewa"/>
    <m/>
    <s v="Angella"/>
    <x v="2"/>
    <x v="7"/>
    <s v="Makerere University"/>
    <s v="University of Nairobi"/>
    <x v="3"/>
    <s v="Global Research Grant_STOP Spillover will enhance the capacity of institutions in countries across Africa and Asia to understand factors that contribute to the risk of disease spread from animals to humans"/>
    <n v="100"/>
    <s v="USAID"/>
    <n v="60"/>
    <x v="3"/>
    <x v="4"/>
    <m/>
    <x v="1"/>
    <m/>
    <m/>
    <m/>
    <m/>
    <m/>
    <m/>
  </r>
  <r>
    <n v="254"/>
    <x v="14"/>
    <x v="64"/>
    <s v="Peter"/>
    <s v="Shepelo"/>
    <s v="Getrude"/>
    <x v="2"/>
    <x v="7"/>
    <s v="University of Nairobi"/>
    <s v="University of Nairobi"/>
    <x v="2"/>
    <s v="In-Country/In-Region DAAD Scholarship"/>
    <n v="500"/>
    <s v="DAAD"/>
    <n v="12"/>
    <x v="3"/>
    <x v="4"/>
    <m/>
    <x v="1"/>
    <m/>
    <m/>
    <m/>
    <m/>
    <m/>
    <m/>
  </r>
  <r>
    <n v="255"/>
    <x v="14"/>
    <x v="68"/>
    <s v="Ntirenganya"/>
    <s v="."/>
    <s v="Faustin"/>
    <x v="1"/>
    <x v="7"/>
    <s v="University of Rwanda"/>
    <s v="University of Rwanda"/>
    <x v="3"/>
    <s v="Impact of COVID-19 on surgical system"/>
    <n v="60000"/>
    <s v="National council for Science and Technology, Rwanda"/>
    <n v="12"/>
    <x v="3"/>
    <x v="4"/>
    <m/>
    <x v="1"/>
    <m/>
    <m/>
    <m/>
    <m/>
    <m/>
    <m/>
  </r>
  <r>
    <n v="256"/>
    <x v="14"/>
    <x v="104"/>
    <s v="Tushemerirwe"/>
    <s v="Basiimwa"/>
    <s v="Florence"/>
    <x v="2"/>
    <x v="7"/>
    <s v="Makerere University"/>
    <s v="Makerere University"/>
    <x v="3"/>
    <s v="Makerere University Research and Innovation Fund Phase -2 (MakRIF 2)"/>
    <n v="19993.259999999998"/>
    <s v="The Government of Uganda"/>
    <n v="12"/>
    <x v="3"/>
    <x v="4"/>
    <m/>
    <x v="1"/>
    <m/>
    <m/>
    <m/>
    <m/>
    <m/>
    <m/>
  </r>
  <r>
    <n v="257"/>
    <x v="14"/>
    <x v="73"/>
    <s v="Adams"/>
    <s v="Nandi"/>
    <s v="Skye"/>
    <x v="2"/>
    <x v="8"/>
    <s v="University of the WItwatersrand"/>
    <s v="University of the WItwatersrand"/>
    <x v="3"/>
    <s v="SHCD Ad Hoc Catalytic Publication Award (R 10 000)"/>
    <n v="670"/>
    <s v="SCHD"/>
    <n v="6"/>
    <x v="3"/>
    <x v="4"/>
    <m/>
    <x v="1"/>
    <m/>
    <m/>
    <m/>
    <m/>
    <m/>
    <m/>
  </r>
  <r>
    <n v="258"/>
    <x v="14"/>
    <x v="73"/>
    <s v="Adams"/>
    <s v="Nandi"/>
    <s v="Skye"/>
    <x v="2"/>
    <x v="8"/>
    <s v="University of the WItwatersrand"/>
    <s v="University of the WItwatersrand"/>
    <x v="1"/>
    <s v="ASHA Sponsorship for SASLHA Virtual Conference Registration "/>
    <n v="250"/>
    <s v="ASHA"/>
    <n v="1"/>
    <x v="1"/>
    <x v="4"/>
    <m/>
    <x v="1"/>
    <m/>
    <m/>
    <m/>
    <m/>
    <m/>
    <m/>
  </r>
  <r>
    <n v="259"/>
    <x v="14"/>
    <x v="73"/>
    <s v="Adams"/>
    <s v="Nandi"/>
    <s v="Skye"/>
    <x v="2"/>
    <x v="8"/>
    <s v="University of the WItwatersrand"/>
    <s v="University of the WItwatersrand"/>
    <x v="6"/>
    <s v="Faculty of Humanities Research Promotion Grant "/>
    <n v="3285"/>
    <s v="Faculty Humanities University of Witwatersrand "/>
    <n v="6"/>
    <x v="3"/>
    <x v="4"/>
    <m/>
    <x v="1"/>
    <m/>
    <m/>
    <m/>
    <m/>
    <m/>
    <m/>
  </r>
  <r>
    <n v="260"/>
    <x v="14"/>
    <x v="107"/>
    <s v="Banamwana"/>
    <s v="G."/>
    <s v="Leonidas"/>
    <x v="1"/>
    <x v="8"/>
    <s v="University of Rwanda"/>
    <s v="University of Rwanda"/>
    <x v="1"/>
    <s v="ACE-DS"/>
    <n v="5000"/>
    <s v="World Bank"/>
    <n v="24"/>
    <x v="1"/>
    <x v="4"/>
    <m/>
    <x v="1"/>
    <m/>
    <m/>
    <m/>
    <m/>
    <m/>
    <m/>
  </r>
  <r>
    <n v="261"/>
    <x v="14"/>
    <x v="108"/>
    <s v="Van Stormbroek"/>
    <m/>
    <s v="Kirsty"/>
    <x v="2"/>
    <x v="8"/>
    <s v="University of the WItwatersrand"/>
    <s v="University of the WItwatersrand"/>
    <x v="6"/>
    <s v="Mentoring award "/>
    <n v="66"/>
    <s v="School of Therapeutic Sciences, University of the Witwatersrand"/>
    <n v="1"/>
    <x v="5"/>
    <x v="4"/>
    <m/>
    <x v="1"/>
    <m/>
    <m/>
    <m/>
    <m/>
    <m/>
    <m/>
  </r>
  <r>
    <n v="262"/>
    <x v="14"/>
    <x v="108"/>
    <s v="Van Stormbroek"/>
    <m/>
    <s v="Kirsty"/>
    <x v="2"/>
    <x v="8"/>
    <s v="University of the WItwatersrand"/>
    <s v="University of the WItwatersrand"/>
    <x v="2"/>
    <s v="ECAD Start-up Grant "/>
    <n v="1600"/>
    <s v="Department of Higher Education and Training"/>
    <n v="12"/>
    <x v="3"/>
    <x v="4"/>
    <m/>
    <x v="1"/>
    <m/>
    <m/>
    <m/>
    <m/>
    <m/>
    <m/>
  </r>
  <r>
    <n v="263"/>
    <x v="14"/>
    <x v="109"/>
    <s v="Tonui"/>
    <s v="Kibet"/>
    <s v="Ronald"/>
    <x v="1"/>
    <x v="8"/>
    <s v="Moi University"/>
    <s v="University of the WItwatersrand"/>
    <x v="3"/>
    <s v="Determining biological and viral factors associated with clinical progression of cervical dysplasia in HIV-infected women"/>
    <n v="66060"/>
    <s v="National Cancer Institute"/>
    <n v="60"/>
    <x v="3"/>
    <x v="4"/>
    <m/>
    <x v="1"/>
    <m/>
    <m/>
    <m/>
    <m/>
    <m/>
    <m/>
  </r>
  <r>
    <n v="264"/>
    <x v="14"/>
    <x v="110"/>
    <s v="Kang'ethe"/>
    <s v="Mburu"/>
    <s v="James"/>
    <x v="1"/>
    <x v="10"/>
    <s v="University of Nairobi"/>
    <s v="University of Nairobi"/>
    <x v="1"/>
    <s v="INTEREST 2020"/>
    <m/>
    <s v="NIH Fogarty"/>
    <n v="1"/>
    <x v="1"/>
    <x v="4"/>
    <m/>
    <x v="1"/>
    <m/>
    <m/>
    <m/>
    <m/>
    <m/>
    <m/>
  </r>
  <r>
    <n v="265"/>
    <x v="14"/>
    <x v="110"/>
    <s v="Kang'ethe"/>
    <s v="Mburu"/>
    <s v="James"/>
    <x v="1"/>
    <x v="10"/>
    <s v="University of Nairobi"/>
    <s v="University of Nairobi"/>
    <x v="1"/>
    <s v="International workshop on HIV and Pediatrics 2020 conference scholarship"/>
    <m/>
    <s v="Virology education"/>
    <n v="1"/>
    <x v="1"/>
    <x v="4"/>
    <m/>
    <x v="1"/>
    <m/>
    <m/>
    <m/>
    <m/>
    <m/>
    <m/>
  </r>
  <r>
    <n v="266"/>
    <x v="14"/>
    <x v="110"/>
    <s v="Kang'ethe"/>
    <s v="Mburu"/>
    <s v="James"/>
    <x v="1"/>
    <x v="10"/>
    <s v="University of Nairobi"/>
    <s v="University of Nairobi"/>
    <x v="1"/>
    <s v="6th workshop on children and adolescent HIV- exposed and uninfected (AIDS Cipher team) conference scholarship"/>
    <m/>
    <s v="Cipher"/>
    <n v="1"/>
    <x v="1"/>
    <x v="4"/>
    <m/>
    <x v="1"/>
    <m/>
    <m/>
    <m/>
    <m/>
    <m/>
    <m/>
  </r>
  <r>
    <n v="267"/>
    <x v="14"/>
    <x v="110"/>
    <s v="Kang'ethe"/>
    <s v="Mburu"/>
    <s v="James"/>
    <x v="1"/>
    <x v="10"/>
    <s v="University of Nairobi"/>
    <s v="University of Nairobi"/>
    <x v="1"/>
    <s v="AIDS 2020"/>
    <m/>
    <s v="International AIDS Society (IAS)"/>
    <m/>
    <x v="1"/>
    <x v="4"/>
    <m/>
    <x v="1"/>
    <m/>
    <m/>
    <m/>
    <m/>
    <m/>
    <m/>
  </r>
  <r>
    <n v="268"/>
    <x v="14"/>
    <x v="111"/>
    <s v="Muleme"/>
    <m/>
    <s v="James"/>
    <x v="1"/>
    <x v="10"/>
    <s v="Makerere University"/>
    <m/>
    <x v="3"/>
    <s v="Strengthening Zoonotic Disease management and Biosecurity in High risk Ecosystems of Uganda"/>
    <n v="56000"/>
    <s v="Makerere University Research and Innovation Fund -With support from Government of Uganda"/>
    <n v="12"/>
    <x v="3"/>
    <x v="4"/>
    <m/>
    <x v="1"/>
    <m/>
    <m/>
    <m/>
    <m/>
    <m/>
    <m/>
  </r>
  <r>
    <n v="269"/>
    <x v="14"/>
    <x v="100"/>
    <s v="Sekome"/>
    <s v=" -"/>
    <s v="Kganetso"/>
    <x v="1"/>
    <x v="10"/>
    <s v="University of the WItwatersrand"/>
    <s v="University of the WItwatersrand"/>
    <x v="3"/>
    <s v="Thuthuka Grant"/>
    <n v="4535.76"/>
    <s v="National Research Fund"/>
    <n v="12"/>
    <x v="3"/>
    <x v="5"/>
    <s v="Effects of Modification in Lifestyle and Daily Routine on Blood Pressure Among Hypertensive Rural"/>
    <x v="1"/>
    <d v="2020-01-07T00:00:00"/>
    <m/>
    <m/>
    <m/>
    <m/>
    <m/>
  </r>
  <r>
    <n v="270"/>
    <x v="14"/>
    <x v="102"/>
    <s v="Muhayimana"/>
    <m/>
    <s v="Alice"/>
    <x v="2"/>
    <x v="10"/>
    <s v="University of Rwanda"/>
    <s v="University of the WItwatersrand"/>
    <x v="3"/>
    <s v="Blended Teaching and Learning in Nursing and Midwifery Education in Rwanda"/>
    <n v="6000"/>
    <s v="UNFPA"/>
    <n v="5"/>
    <x v="3"/>
    <x v="4"/>
    <m/>
    <x v="1"/>
    <m/>
    <m/>
    <m/>
    <m/>
    <m/>
    <m/>
  </r>
  <r>
    <n v="271"/>
    <x v="16"/>
    <x v="1"/>
    <s v="Alonge"/>
    <s v="John"/>
    <s v="Ayodele"/>
    <x v="1"/>
    <x v="1"/>
    <s v="University of Ibadan"/>
    <m/>
    <x v="6"/>
    <s v="Digital Records Curation Programme Award "/>
    <n v="0"/>
    <s v="National Digital Stewardship Alliance."/>
    <m/>
    <x v="5"/>
    <x v="4"/>
    <m/>
    <x v="2"/>
    <m/>
    <m/>
    <m/>
    <m/>
    <m/>
    <m/>
  </r>
  <r>
    <n v="272"/>
    <x v="16"/>
    <x v="89"/>
    <s v="Kato"/>
    <s v="Drago"/>
    <s v="Charles"/>
    <x v="1"/>
    <x v="6"/>
    <s v="Makerere University"/>
    <m/>
    <x v="3"/>
    <s v="Establishment of a Biomarker research facility to first track the development of COVID19 novel diagnostics and treatment alternatives in Uganda"/>
    <n v="450000"/>
    <s v="Presidential Scientific Initiative on epidemics"/>
    <n v="12"/>
    <x v="3"/>
    <x v="4"/>
    <s v="Establishment of a Biomarker research facility to first track the development of COVID19 novel diagnostics and treatment alternatives in Uganda"/>
    <x v="2"/>
    <m/>
    <m/>
    <m/>
    <m/>
    <m/>
    <m/>
  </r>
  <r>
    <n v="273"/>
    <x v="16"/>
    <x v="31"/>
    <s v="Zakumumpa"/>
    <m/>
    <s v="Henry"/>
    <x v="1"/>
    <x v="1"/>
    <s v="Makerere University"/>
    <m/>
    <x v="3"/>
    <s v="Developing a peer-support model for promoting patient reporting of ADRs"/>
    <n v="50000"/>
    <s v="World Health Organization TDR"/>
    <n v="12"/>
    <x v="3"/>
    <x v="4"/>
    <s v="Developing a peer-support model for promoting patient involvement in Adverse Drug Reactions(ADRs) reporting "/>
    <x v="2"/>
    <m/>
    <m/>
    <m/>
    <m/>
    <m/>
    <m/>
  </r>
  <r>
    <n v="274"/>
    <x v="16"/>
    <x v="36"/>
    <s v="Adebayo"/>
    <s v="Oluwatoyin"/>
    <s v="Kudus"/>
    <x v="1"/>
    <x v="3"/>
    <s v="University of Ibadan"/>
    <m/>
    <x v="6"/>
    <s v="Rahamon Bello Best PhD Thesis in African &amp; Diaspora Studies Award"/>
    <n v="1000"/>
    <s v="Institute of African and Diaspora Studies, University of Lagos, Nigeria"/>
    <m/>
    <x v="5"/>
    <x v="4"/>
    <m/>
    <x v="2"/>
    <m/>
    <m/>
    <m/>
    <m/>
    <m/>
    <m/>
  </r>
  <r>
    <n v="275"/>
    <x v="16"/>
    <x v="37"/>
    <s v="Kolawole"/>
    <m/>
    <s v="Taofeek"/>
    <x v="1"/>
    <x v="3"/>
    <s v="Obafemi Awolowo University"/>
    <m/>
    <x v="7"/>
    <s v="Tertiary Education Trust Fund Nigeria"/>
    <n v="120000"/>
    <s v="TetFund"/>
    <n v="12"/>
    <x v="3"/>
    <x v="4"/>
    <s v="Assessment of well-being and vulnerability of orphans in Orphanage and Family Settings in Nigeria"/>
    <x v="2"/>
    <m/>
    <m/>
    <m/>
    <m/>
    <m/>
    <m/>
  </r>
  <r>
    <n v="276"/>
    <x v="16"/>
    <x v="41"/>
    <s v="Ijadunola"/>
    <s v="Yinyinade"/>
    <s v="Macellina"/>
    <x v="2"/>
    <x v="3"/>
    <s v="Obafemi Awolowo University"/>
    <m/>
    <x v="3"/>
    <s v="COVID-19 Grant Fund"/>
    <n v="37000"/>
    <s v="National Research Fund"/>
    <n v="12"/>
    <x v="3"/>
    <x v="4"/>
    <s v="Socio-Cultural Dynamics in the Transmission of COVID-19 and Experience of Intimate Partner Violence amongst Women in Urban and Rural Communities in South West Nigeria."/>
    <x v="2"/>
    <m/>
    <m/>
    <m/>
    <m/>
    <m/>
    <m/>
  </r>
  <r>
    <n v="277"/>
    <x v="16"/>
    <x v="23"/>
    <s v="Khuluza"/>
    <m/>
    <s v="Felix"/>
    <x v="1"/>
    <x v="4"/>
    <s v="University of Malawi"/>
    <m/>
    <x v="3"/>
    <s v="Horizon 2020 European Union Funding for research and Innovation"/>
    <n v="180867"/>
    <s v="The European and Developing Countries Clinical Trials Partnership Association implementing EDCTP2"/>
    <n v="30"/>
    <x v="3"/>
    <x v="4"/>
    <s v="Countering the prevalence of substandard and falsified medicines in Malawi - COPSMEDS"/>
    <x v="2"/>
    <m/>
    <m/>
    <m/>
    <m/>
    <m/>
    <m/>
  </r>
  <r>
    <n v="278"/>
    <x v="17"/>
    <x v="31"/>
    <s v="Zakumumpa"/>
    <m/>
    <s v="Henry"/>
    <x v="1"/>
    <x v="1"/>
    <s v="Makerere University"/>
    <m/>
    <x v="7"/>
    <s v="Grant has not yet been awarded"/>
    <n v="60000"/>
    <s v="WHO Alliance for Health Policy and Systems Research"/>
    <n v="12"/>
    <x v="3"/>
    <x v="5"/>
    <s v="Effective health service coverage in Uganda following donor transition."/>
    <x v="2"/>
    <m/>
    <m/>
    <m/>
    <m/>
    <m/>
    <m/>
  </r>
  <r>
    <n v="279"/>
    <x v="17"/>
    <x v="80"/>
    <s v="Philbert"/>
    <s v="Byabato"/>
    <s v="Anitha"/>
    <x v="2"/>
    <x v="6"/>
    <s v="University of Dar es Salaam"/>
    <m/>
    <x v="3"/>
    <s v="University of Dar es Salaam 3rd competitive research grant"/>
    <n v="1300"/>
    <s v="Directorate of research, University of Dar es Salaam"/>
    <n v="12"/>
    <x v="3"/>
    <x v="5"/>
    <s v="Investigation of larvicidal, adulticidal and repellent action of Dioscorea _x0009_sansibarensis plant extract against dengue _x0009_vectors (Aedes aegypti"/>
    <x v="2"/>
    <m/>
    <m/>
    <m/>
    <m/>
    <m/>
    <m/>
  </r>
  <r>
    <n v="280"/>
    <x v="17"/>
    <x v="33"/>
    <s v="Kiplagat"/>
    <m/>
    <s v="Jepchirchir "/>
    <x v="2"/>
    <x v="4"/>
    <s v="Moi University"/>
    <m/>
    <x v="2"/>
    <s v="Fogarty Fellowship"/>
    <n v="37500"/>
    <s v="National Institute of Health - Fogarty International Center"/>
    <n v="12"/>
    <x v="2"/>
    <x v="5"/>
    <s v="Integrating Hypertension and Diabetes Screening and Management with HIV care Services for Older Adults: Feasibility Study"/>
    <x v="2"/>
    <m/>
    <m/>
    <m/>
    <m/>
    <m/>
    <m/>
  </r>
  <r>
    <n v="281"/>
    <x v="18"/>
    <x v="112"/>
    <s v="Malenga"/>
    <s v="Chiseko"/>
    <s v="Tumaini"/>
    <x v="2"/>
    <x v="1"/>
    <s v="University of Malawi"/>
    <s v="University of Malawi"/>
    <x v="2"/>
    <s v="Young African Leadership Programme"/>
    <n v="7500"/>
    <s v="European University Institute "/>
    <n v="3"/>
    <x v="2"/>
    <x v="5"/>
    <m/>
    <x v="1"/>
    <m/>
    <m/>
    <m/>
    <m/>
    <m/>
    <m/>
  </r>
  <r>
    <n v="282"/>
    <x v="18"/>
    <x v="59"/>
    <s v="Pilusa"/>
    <s v="Imogene"/>
    <s v="Sonti"/>
    <x v="2"/>
    <x v="2"/>
    <s v="University of the WItwatersrand"/>
    <s v="University of the WItwatersrand"/>
    <x v="3"/>
    <s v="THUTHUKA FUNDING "/>
    <n v="5407.17"/>
    <s v="national research foundation "/>
    <n v="12"/>
    <x v="3"/>
    <x v="5"/>
    <s v="Impact of health promotion intervention on the managment of bladder and bowel problems in people with spinal cord injury "/>
    <x v="1"/>
    <m/>
    <m/>
    <m/>
    <m/>
    <m/>
    <m/>
  </r>
  <r>
    <n v="283"/>
    <x v="18"/>
    <x v="113"/>
    <s v="Habimana"/>
    <s v=" -"/>
    <s v="Jean de Dieu"/>
    <x v="1"/>
    <x v="7"/>
    <s v="University of Rwanda"/>
    <s v="University of Rwanda"/>
    <x v="3"/>
    <s v="Nestle study grant"/>
    <n v="20000"/>
    <s v="Nestle foundation"/>
    <n v="12"/>
    <x v="3"/>
    <x v="5"/>
    <s v="PREVALENCE AND ASSOCIATED FACTORS WITH STUNTING AMONG POOR HOUSEHOLDS OF CHILDREN AGED 6-23 MONTHS IN RWANDA"/>
    <x v="1"/>
    <m/>
    <m/>
    <m/>
    <m/>
    <m/>
    <m/>
  </r>
  <r>
    <n v="284"/>
    <x v="18"/>
    <x v="65"/>
    <s v="Esan"/>
    <s v="Taiwo"/>
    <s v="Oluwaseun"/>
    <x v="2"/>
    <x v="7"/>
    <s v="Obafemi Awolowo University"/>
    <s v="University of the WItwatersrand"/>
    <x v="4"/>
    <s v="Reproductive Health Division of the Federal Ministry of Health Nigeria"/>
    <n v="500"/>
    <s v="Marie Stopes Nigeria"/>
    <n v="1"/>
    <x v="4"/>
    <x v="5"/>
    <m/>
    <x v="1"/>
    <m/>
    <m/>
    <m/>
    <m/>
    <m/>
    <m/>
  </r>
  <r>
    <n v="285"/>
    <x v="18"/>
    <x v="70"/>
    <s v="Masamba"/>
    <s v="Peter Lockie"/>
    <s v="Leo"/>
    <x v="1"/>
    <x v="7"/>
    <s v="University of Malawi"/>
    <s v="University of Malawi"/>
    <x v="2"/>
    <s v="DDD &amp; PC Charitable Trust"/>
    <n v="5982.56"/>
    <s v="DDD &amp; PC Charitable Trust"/>
    <n v="4"/>
    <x v="2"/>
    <x v="5"/>
    <m/>
    <x v="1"/>
    <m/>
    <m/>
    <m/>
    <m/>
    <m/>
    <m/>
  </r>
  <r>
    <n v="286"/>
    <x v="18"/>
    <x v="73"/>
    <s v="Adams"/>
    <s v="Nandi"/>
    <s v="Skye"/>
    <x v="2"/>
    <x v="8"/>
    <s v="University of the WItwatersrand"/>
    <s v="University of the WItwatersrand"/>
    <x v="6"/>
    <s v="Faculty of Humanities Research Promotion Grant "/>
    <n v="3508"/>
    <s v="SCHD"/>
    <n v="6"/>
    <x v="2"/>
    <x v="5"/>
    <m/>
    <x v="1"/>
    <m/>
    <m/>
    <m/>
    <m/>
    <m/>
    <m/>
  </r>
  <r>
    <n v="287"/>
    <x v="18"/>
    <x v="75"/>
    <s v="Njagi"/>
    <s v="Nkirote"/>
    <s v="Lilian"/>
    <x v="2"/>
    <x v="8"/>
    <s v="University of Nairobi"/>
    <s v="University of Nairobi"/>
    <x v="1"/>
    <s v="Educational expense support"/>
    <n v="1500"/>
    <s v="TB Research Training Center Junior Investigator Award"/>
    <n v="12"/>
    <x v="1"/>
    <x v="5"/>
    <m/>
    <x v="1"/>
    <m/>
    <m/>
    <m/>
    <m/>
    <m/>
    <m/>
  </r>
  <r>
    <n v="288"/>
    <x v="18"/>
    <x v="76"/>
    <s v="Ssemugabo"/>
    <s v="Charles "/>
    <s v="Charles "/>
    <x v="1"/>
    <x v="8"/>
    <s v="Makerere University"/>
    <s v="Makerere University"/>
    <x v="1"/>
    <s v="Internationa Conference on Urban Health scholarship award "/>
    <n v="650"/>
    <s v="International Society of Urban Health"/>
    <n v="1"/>
    <x v="1"/>
    <x v="5"/>
    <m/>
    <x v="1"/>
    <m/>
    <m/>
    <m/>
    <m/>
    <m/>
    <m/>
  </r>
  <r>
    <n v="289"/>
    <x v="18"/>
    <x v="114"/>
    <s v="Eneku"/>
    <s v=" -"/>
    <s v="Wilfred"/>
    <x v="1"/>
    <x v="8"/>
    <s v="Makerere University"/>
    <s v="Makerere University"/>
    <x v="2"/>
    <s v="Tuition Waiver"/>
    <m/>
    <s v="Makerere University"/>
    <m/>
    <x v="2"/>
    <x v="5"/>
    <m/>
    <x v="1"/>
    <m/>
    <m/>
    <m/>
    <m/>
    <m/>
    <m/>
  </r>
  <r>
    <n v="290"/>
    <x v="18"/>
    <x v="108"/>
    <s v="Van Stormbroek"/>
    <m/>
    <s v="Kirsty"/>
    <x v="2"/>
    <x v="8"/>
    <s v="University of the WItwatersrand"/>
    <s v="University of the WItwatersrand"/>
    <x v="3"/>
    <s v="Thuthuka"/>
    <n v="23000"/>
    <s v="National Research Foundation (SA)"/>
    <n v="36"/>
    <x v="3"/>
    <x v="5"/>
    <s v="N/A"/>
    <x v="1"/>
    <m/>
    <m/>
    <m/>
    <m/>
    <m/>
    <m/>
  </r>
  <r>
    <n v="291"/>
    <x v="18"/>
    <x v="115"/>
    <s v="Ingabire"/>
    <s v="Allen"/>
    <s v="Jean de la Croix"/>
    <x v="1"/>
    <x v="10"/>
    <s v="University of Rwanda"/>
    <s v="University of the WItwatersrand"/>
    <x v="3"/>
    <s v="CHEETAH TRIAL"/>
    <m/>
    <s v="NIHR"/>
    <n v="12"/>
    <x v="3"/>
    <x v="5"/>
    <s v="ClustEr randomisEd Trial of sterile glove And instrument change at the time of wound closure to reduce surgical site infection (CHEETAH TRIAL) "/>
    <x v="1"/>
    <m/>
    <m/>
    <m/>
    <m/>
    <m/>
    <m/>
  </r>
  <r>
    <n v="292"/>
    <x v="18"/>
    <x v="116"/>
    <s v="Oporia"/>
    <m/>
    <s v="Frederick "/>
    <x v="1"/>
    <x v="10"/>
    <s v="Makerere University"/>
    <s v="Makerere University"/>
    <x v="3"/>
    <s v="Seed Research Funds"/>
    <n v="5000"/>
    <s v="Makerere University School of Public Health"/>
    <n v="12"/>
    <x v="3"/>
    <x v="5"/>
    <s v="How effective are they in preventing drowning? Seaworthiness of lifejackets used by boaters on Lake Albert, Uganda."/>
    <x v="1"/>
    <m/>
    <m/>
    <m/>
    <m/>
    <m/>
    <m/>
  </r>
  <r>
    <n v="293"/>
    <x v="18"/>
    <x v="116"/>
    <s v="Oporia"/>
    <m/>
    <s v="Frederick "/>
    <x v="1"/>
    <x v="10"/>
    <s v="Makerere University"/>
    <s v="Makerere University"/>
    <x v="3"/>
    <s v="It is grant in the project where my PhD is nested"/>
    <n v="10000"/>
    <s v="Bloomberg Philanthropies "/>
    <n v="12"/>
    <x v="3"/>
    <x v="5"/>
    <s v="Improving use of seaworthy life jackets among boaters on Lake Albert, Uganda. A cluster randomized trial"/>
    <x v="1"/>
    <m/>
    <m/>
    <m/>
    <m/>
    <m/>
    <m/>
  </r>
  <r>
    <n v="294"/>
    <x v="18"/>
    <x v="110"/>
    <s v="Kang'ethe"/>
    <s v="Mburu"/>
    <s v="James"/>
    <x v="1"/>
    <x v="10"/>
    <s v="University of Nairobi"/>
    <s v="University of Nairobi"/>
    <x v="1"/>
    <s v="IAS 2021 conference scholarship"/>
    <m/>
    <s v="International AIDS Society (IAS)"/>
    <m/>
    <x v="1"/>
    <x v="5"/>
    <m/>
    <x v="1"/>
    <m/>
    <m/>
    <m/>
    <m/>
    <m/>
    <m/>
  </r>
  <r>
    <n v="295"/>
    <x v="19"/>
    <x v="90"/>
    <s v="Olumide"/>
    <s v="Oluwafunmilola"/>
    <s v="Adesola"/>
    <x v="2"/>
    <x v="6"/>
    <s v="University of Ibadan"/>
    <m/>
    <x v="3"/>
    <s v="The award is to participate in a multi-country collaborative study to assess the construct validity of a new sexual health-related survey instrument within the general population using cognitive interviews"/>
    <n v="20000"/>
    <s v="WHO-HRP"/>
    <n v="12"/>
    <x v="3"/>
    <x v="5"/>
    <s v="A multi-country collaborative study to assess the construct validity of a new sexual health-related survey instrument within the general population using cognitive interviews"/>
    <x v="2"/>
    <m/>
    <m/>
    <m/>
    <m/>
    <m/>
    <m/>
  </r>
  <r>
    <n v="296"/>
    <x v="19"/>
    <x v="47"/>
    <s v="Adetutu"/>
    <s v="Mayowa"/>
    <s v="Olufemi"/>
    <x v="1"/>
    <x v="2"/>
    <s v="Obafemi Awolowo University"/>
    <m/>
    <x v="3"/>
    <s v="The award was competitively won among many groups of academics across all universities in Nigeria. A multidisciplinary approach was used that combined scientists, social researchers, and clinicians."/>
    <n v="40000"/>
    <s v="TETFUND"/>
    <n v="12"/>
    <x v="3"/>
    <x v="5"/>
    <s v="A VIRTUAL LEARNING MODEL FOR CLINICAL STUDENTS DURING THE COVID-19 LOCKDOWN AND BEYOND"/>
    <x v="2"/>
    <m/>
    <m/>
    <m/>
    <m/>
    <m/>
    <m/>
  </r>
  <r>
    <n v="297"/>
    <x v="5"/>
    <x v="19"/>
    <s v="Kaindoa"/>
    <s v="Wilson"/>
    <s v="Emmanuel"/>
    <x v="1"/>
    <x v="4"/>
    <s v="Ifakara Health Institute"/>
    <m/>
    <x v="3"/>
    <s v="Developing a mosquito monitoring tool for lower development countries"/>
    <n v="349213"/>
    <s v="Bill and Melinda Gates Foundation"/>
    <n v="24"/>
    <x v="3"/>
    <x v="3"/>
    <s v="HUMBUG: Developing a mosquito monitoring tool for lower development countries"/>
    <x v="2"/>
    <m/>
    <m/>
    <m/>
    <m/>
    <m/>
    <m/>
  </r>
  <r>
    <n v="298"/>
    <x v="20"/>
    <x v="109"/>
    <s v="Tonui"/>
    <s v="Kibet"/>
    <s v="Ronald"/>
    <x v="1"/>
    <x v="8"/>
    <s v="Moi University"/>
    <s v="University of the WItwatersrand"/>
    <x v="6"/>
    <s v="Postgraduate merit award "/>
    <n v="1946.71"/>
    <s v="University of the Witwatersrand"/>
    <m/>
    <x v="2"/>
    <x v="5"/>
    <m/>
    <x v="1"/>
    <d v="2021-09-16T00:00:00"/>
    <m/>
    <m/>
    <m/>
    <m/>
    <m/>
  </r>
  <r>
    <n v="299"/>
    <x v="13"/>
    <x v="15"/>
    <s v="Somefun"/>
    <s v="Dolapo"/>
    <s v="Oluwaseyi"/>
    <x v="2"/>
    <x v="3"/>
    <s v="University of the WItwatersrand"/>
    <s v="University of the WItwatersrand"/>
    <x v="3"/>
    <s v="The UKRI GCRF Accelerating Achievement for Africa’s Adolescents Hub."/>
    <m/>
    <s v="The UKRI GCRF Accelerating Achievement for Africa’s Adolescents Hub. UWC is a research partner in the Hub, which is led by Oxford University."/>
    <m/>
    <x v="2"/>
    <x v="4"/>
    <m/>
    <x v="2"/>
    <m/>
    <m/>
    <m/>
    <m/>
    <m/>
    <m/>
  </r>
  <r>
    <n v="300"/>
    <x v="21"/>
    <x v="36"/>
    <s v="Adebayo"/>
    <s v="Oluwatoyin"/>
    <s v="Kudus"/>
    <x v="1"/>
    <x v="3"/>
    <s v="University of Ibadan"/>
    <m/>
    <x v="2"/>
    <s v="Postdoctoral Fellowship"/>
    <m/>
    <s v="African Centre for Migration and Society (ACMS), University of the Witwatersrand"/>
    <n v="12"/>
    <x v="2"/>
    <x v="5"/>
    <m/>
    <x v="2"/>
    <d v="2021-10-01T00:00:00"/>
    <m/>
    <m/>
    <m/>
    <m/>
    <m/>
  </r>
  <r>
    <n v="301"/>
    <x v="22"/>
    <x v="64"/>
    <s v="Peter"/>
    <s v="Shepelo"/>
    <s v="Getrude"/>
    <x v="2"/>
    <x v="7"/>
    <s v="University of Nairobi"/>
    <s v="University of Nairobi"/>
    <x v="2"/>
    <s v="Faculty Exchange program at the University of Tennessee, funded by the United State Department of Agriculture"/>
    <m/>
    <s v="United State Department of Agriculture"/>
    <n v="5"/>
    <x v="2"/>
    <x v="5"/>
    <m/>
    <x v="2"/>
    <m/>
    <m/>
    <m/>
    <m/>
    <m/>
    <m/>
  </r>
  <r>
    <n v="302"/>
    <x v="22"/>
    <x v="1"/>
    <s v="Alonge"/>
    <s v="John"/>
    <s v="Ayodele"/>
    <x v="1"/>
    <x v="1"/>
    <s v="University of Ibadan"/>
    <s v="Nigeria"/>
    <x v="3"/>
    <s v=" 2020 Tertiary Education Trust Fund (TETFUND) National Research Fund to the tune of 10,348,000.00 Naira (US$26,119.47)."/>
    <n v="26119"/>
    <s v="Federal Government of Nigeria "/>
    <n v="12"/>
    <x v="3"/>
    <x v="5"/>
    <s v="Use of Learning Platforms and Ethical Behaviour of Library and Information Science Undergraduates in Nigeria"/>
    <x v="2"/>
    <m/>
    <m/>
    <m/>
    <s v="&quot;The skills and knowledge I acquired from the CARTA PhD fellowship have positioned me with the capacity to add value to the team which emerged winner out of the many others that applied for this highly competitive grant, &quot; Alonge said."/>
    <m/>
    <m/>
  </r>
  <r>
    <n v="303"/>
    <x v="22"/>
    <x v="103"/>
    <s v="Tamale"/>
    <m/>
    <s v="Andrew"/>
    <x v="1"/>
    <x v="1"/>
    <s v="Makerere University"/>
    <s v="Uganda"/>
    <x v="3"/>
    <s v="RIF 3"/>
    <n v="27757"/>
    <s v="Uganda Government"/>
    <n v="12"/>
    <x v="3"/>
    <x v="5"/>
    <m/>
    <x v="2"/>
    <m/>
    <m/>
    <m/>
    <s v="Theme 2: Achieving Sustainable health as a means to sustainable development    The high frequency of epidemics and pandemic threats calls for robust approaches to epidemic  intelligence, forecasting, response and control as well as one-health approaches to emerging threats  (especially RNA viruses). New biotechnology products for early characterization, diagnosis and preemptive screening for deadly threats as well as just-in-time vaccine development capacity for new disease  strains are necessary. Tools and approaches for better surveillance and improved public health response  to emergencies are pertinent.  Summary  There exist evidence-based gaps in Health and Agriculture sector strategic plans in terms of preparedness  and response to zoonotic epidemics of pandemic potential (ZoEOPP) [1]. Prediction models are a  potential resource that bridge gaps where insufficient data are likely [2]. Such zoonoses of pandemic  potential include Rift Valley Fever, SARS-H1N12009, Yellow fever, Avian Influenzas H5N1&amp;H7N9, West  Nile virus, MERS-COV.  The overarching objective of this project is to skill local personnel that handle data at respective sectors in  building Artificial Intelligence (AI)-enabled &amp; statistical models for better, quick and precise prediction of  Zoonotic epidemics of pandemic potential so that we don't fall in a trap exactly like for COVID-19.  Ultimately, this project shall create a new breed of biostatisticians that we may call &quot;One Health  Statisticians (OHS)&quot; who will be better suited to guide Animal and human health related sector strategic  plan development platforms."/>
    <m/>
    <m/>
  </r>
  <r>
    <n v="304"/>
    <x v="22"/>
    <x v="36"/>
    <s v="Adebayo"/>
    <s v="Oluwatoyin"/>
    <s v="Kudus"/>
    <x v="1"/>
    <x v="3"/>
    <s v="University of Ibadan"/>
    <s v="Nigeria"/>
    <x v="2"/>
    <s v="Postdoctoral Fellowship: ARUA/Carnegie Early Career Research Fellowship"/>
    <m/>
    <s v="African Research Universities Alliance (ARUA)"/>
    <n v="12"/>
    <x v="2"/>
    <x v="5"/>
    <m/>
    <x v="2"/>
    <m/>
    <m/>
    <m/>
    <s v="&quot;This Early-Career Research Fellowship is being initiated by the African Research Universities Alliance (ARUA), with support from the Carnegie Corporation of New York, to support a total of thirteen (13) Early-Career Research Fellows to undertake globally competitive research at the ARUA Centres of Excellence (CoEs).    The goal is to strengthen the capacity of early-career researchers at African universities by giving them time away from teaching responsibilities at their home institutions while working with very senior and accomplished researchers. Each  CoE is expected to host one research fellow from a country other than where the CoE is located.&quot;"/>
    <m/>
    <m/>
  </r>
  <r>
    <n v="305"/>
    <x v="22"/>
    <x v="117"/>
    <s v="Mwiti"/>
    <s v="Karimi"/>
    <s v="Betty"/>
    <x v="2"/>
    <x v="3"/>
    <s v="University of Nairobi"/>
    <s v="Kenya"/>
    <x v="3"/>
    <s v="Community Building through Political Cartoons"/>
    <n v="1500"/>
    <s v="Project led by University of Leicester (United Kingdom) and funded by the University's Global Challenges Research Fund (GCRF)"/>
    <n v="1"/>
    <x v="3"/>
    <x v="5"/>
    <m/>
    <x v="2"/>
    <m/>
    <m/>
    <m/>
    <s v="Guided by the Design Thinking Methodology, my research team conducted a focus group discussion and thereafter  a co-design workshop in one of the Social Halls, Kosovo, within Mathare Valley to engage the young persons (18- 24 years) in a community-building initiative to enlighten them on the role of political cartooning in  targeted messaging towards their peers and the wider community.    Through caricature and cartoons, my research team used participatory research to engage the youth in how one's social class and ethnic affiliation should look at each other, with no judgement. We discouraged any use of a particular political character but used social satire in drawing cartoons with a message of promoting  peaceful and inclusive societies for sustainable developments, as defined by Sustainable Development Goal  (SDG) 16.    I applied for the grant and successfully won it, mainly becasue of my involvement with community-led research and the interest in the methodology I use."/>
    <m/>
    <m/>
  </r>
  <r>
    <n v="306"/>
    <x v="21"/>
    <x v="105"/>
    <s v="Enock "/>
    <m/>
    <s v="Chisati"/>
    <x v="1"/>
    <x v="2"/>
    <s v="University of Malawi"/>
    <s v="Malawi"/>
    <x v="3"/>
    <s v="FIFA Award"/>
    <n v="200000"/>
    <m/>
    <m/>
    <x v="3"/>
    <x v="5"/>
    <s v="&quot;A community-based task-sharing approach to improve best Sports and Exercise Medicine practice in female football in low and middle-income settings.&quot;"/>
    <x v="2"/>
    <m/>
    <m/>
    <m/>
    <m/>
    <m/>
    <m/>
  </r>
  <r>
    <n v="307"/>
    <x v="20"/>
    <x v="34"/>
    <s v="Mutyoba"/>
    <s v="Nankya"/>
    <s v="Joan"/>
    <x v="2"/>
    <x v="3"/>
    <s v="Makerere University"/>
    <s v="Makerere University"/>
    <x v="3"/>
    <s v="RIF3 Grant Award"/>
    <n v="28600"/>
    <s v="MAKERERE UNIVRSITY RESEARCH AND INNOVATION FUND"/>
    <n v="18"/>
    <x v="3"/>
    <x v="5"/>
    <s v="Feasibility and cost effectiveness of promoting horizontal integration of diabetes and retinopathy screening services in commercial eye-care centres of Kampala"/>
    <x v="1"/>
    <d v="2021-08-01T00:00:00"/>
    <s v="Principal Investigator"/>
    <m/>
    <m/>
    <m/>
    <m/>
  </r>
  <r>
    <n v="308"/>
    <x v="20"/>
    <x v="44"/>
    <s v="NISHIMWE"/>
    <s v=" -"/>
    <s v="Aurore"/>
    <x v="2"/>
    <x v="2"/>
    <s v="University of Rwanda"/>
    <s v="University of the WItwatersrand"/>
    <x v="2"/>
    <s v="Short-term scholarship for a professional course at Antwerp University - Belgium"/>
    <n v="15000"/>
    <s v="VLIRUOS Scholarship"/>
    <n v="2"/>
    <x v="2"/>
    <x v="5"/>
    <m/>
    <x v="1"/>
    <d v="2021-10-08T00:00:00"/>
    <m/>
    <m/>
    <m/>
    <m/>
    <m/>
  </r>
  <r>
    <n v="309"/>
    <x v="20"/>
    <x v="118"/>
    <s v="Mobolaji"/>
    <s v="Wale"/>
    <s v="Jacob"/>
    <x v="1"/>
    <x v="7"/>
    <s v="Obafemi Awolowo University"/>
    <s v="Obafemi Awolowo University"/>
    <x v="1"/>
    <s v="Conference registration fee"/>
    <n v="150"/>
    <s v="International Union for Scientific Study of Population"/>
    <n v="1"/>
    <x v="1"/>
    <x v="5"/>
    <m/>
    <x v="1"/>
    <d v="2021-12-05T00:00:00"/>
    <m/>
    <m/>
    <m/>
    <m/>
    <m/>
  </r>
  <r>
    <n v="310"/>
    <x v="20"/>
    <x v="104"/>
    <s v="Tushemerirwe"/>
    <s v="Basiimwa"/>
    <s v="Florence"/>
    <x v="2"/>
    <x v="7"/>
    <s v="Makerere University"/>
    <s v="Makerere University"/>
    <x v="3"/>
    <s v="Makerere University Research and Innovation Grant - Phase 3"/>
    <n v="25700"/>
    <s v="Government of Uganda"/>
    <n v="12"/>
    <x v="3"/>
    <x v="5"/>
    <s v="Using the Internet to Incentivize Healthy Lifestyle Choices in Uganda"/>
    <x v="1"/>
    <d v="2021-09-15T00:00:00"/>
    <s v="Co-investigator"/>
    <m/>
    <m/>
    <m/>
    <m/>
  </r>
  <r>
    <n v="311"/>
    <x v="20"/>
    <x v="74"/>
    <s v="Korukire"/>
    <s v=" -"/>
    <s v="Noel"/>
    <x v="1"/>
    <x v="8"/>
    <s v="University of Rwanda"/>
    <s v="University of Rwanda"/>
    <x v="3"/>
    <s v="UR Sweeden collaboration"/>
    <n v="12000"/>
    <s v="UR(University of Rwanda)"/>
    <n v="12"/>
    <x v="3"/>
    <x v="5"/>
    <m/>
    <x v="1"/>
    <d v="2021-12-07T00:00:00"/>
    <s v="Co-investigator"/>
    <m/>
    <m/>
    <m/>
    <m/>
  </r>
  <r>
    <n v="312"/>
    <x v="20"/>
    <x v="107"/>
    <s v="Banamwana"/>
    <m/>
    <s v="Leonidas"/>
    <x v="1"/>
    <x v="8"/>
    <s v="University of Rwanda"/>
    <s v="University of Rwanda"/>
    <x v="3"/>
    <s v="ACE-DS Research Support grant"/>
    <n v="1400"/>
    <s v="ACE-DS supported by the World Bank"/>
    <n v="24"/>
    <x v="3"/>
    <x v="5"/>
    <s v="Spatial analysis of sexual behavours of never-married youths (15-24) in Rwanda"/>
    <x v="1"/>
    <d v="2021-11-15T00:00:00"/>
    <s v="Principal Investigator"/>
    <m/>
    <m/>
    <m/>
    <m/>
  </r>
  <r>
    <n v="313"/>
    <x v="20"/>
    <x v="108"/>
    <s v="Van Stormbroek"/>
    <m/>
    <s v="Kirsty"/>
    <x v="2"/>
    <x v="8"/>
    <s v="University of the WItwatersrand"/>
    <s v="University of the WItwatersrand"/>
    <x v="3"/>
    <s v="NRF Thuthuka"/>
    <n v="27000"/>
    <s v="National Research Foundation"/>
    <n v="36"/>
    <x v="3"/>
    <x v="5"/>
    <s v="Contextually responsive support and development strategies for generalist occupational therapists delivering hand-injury care in the South African public sector"/>
    <x v="1"/>
    <d v="2021-01-01T00:00:00"/>
    <s v="Principal Investigator"/>
    <m/>
    <m/>
    <m/>
    <m/>
  </r>
  <r>
    <n v="314"/>
    <x v="20"/>
    <x v="77"/>
    <s v="Silaule"/>
    <s v="Mkhonto"/>
    <s v="Olindah"/>
    <x v="2"/>
    <x v="8"/>
    <s v="University of the WItwatersrand"/>
    <s v="University of the WItwatersrand"/>
    <x v="3"/>
    <s v="Faculty of Health Science Individual Research Grant"/>
    <n v="800"/>
    <s v="Wits Faculty of Health Sciences "/>
    <n v="3"/>
    <x v="3"/>
    <x v="5"/>
    <s v="Developing guidelines for alleviating caregiver burden amongst informal caregivers of persons with severe mental disorders in Bushbuckridge, Mpumalanga province(Study 1 scoping review)"/>
    <x v="1"/>
    <d v="2021-08-01T00:00:00"/>
    <s v="Principal Investigator"/>
    <m/>
    <m/>
    <m/>
    <m/>
  </r>
  <r>
    <n v="315"/>
    <x v="20"/>
    <x v="115"/>
    <s v="Ingabire"/>
    <s v="Allen"/>
    <s v="Jean de la Croix"/>
    <x v="1"/>
    <x v="10"/>
    <s v="University of Rwanda"/>
    <s v="University of the WItwatersrand"/>
    <x v="3"/>
    <s v="Open Grant under the UR-Sweden collaboration"/>
    <n v="11900"/>
    <s v="National Institute for Health Research (NIHR) Global Health Research Unit on Global Surgery Ghana Hub"/>
    <n v="24"/>
    <x v="3"/>
    <x v="5"/>
    <s v="Socioeconomic impact of long term disability arising from Road Traffic Injuries in Rwanda"/>
    <x v="1"/>
    <d v="2021-09-01T00:00:00"/>
    <s v="Principal Investigator"/>
    <m/>
    <m/>
    <m/>
    <m/>
  </r>
  <r>
    <n v="316"/>
    <x v="20"/>
    <x v="101"/>
    <s v="Olorunmoteni"/>
    <s v="Eunice"/>
    <s v="Oluwatosin"/>
    <x v="2"/>
    <x v="10"/>
    <s v="Obafemi Awolowo University"/>
    <s v="University of the WItwatersrand"/>
    <x v="1"/>
    <s v="Avi Sadeh Memorial International Trainee Travel Award"/>
    <n v="500"/>
    <s v="Pediatric Sleep Meeting Virtual Conference, Brown Alpert Medical School"/>
    <n v="1"/>
    <x v="1"/>
    <x v="5"/>
    <m/>
    <x v="1"/>
    <d v="2021-12-01T00:00:00"/>
    <m/>
    <m/>
    <m/>
    <m/>
    <m/>
  </r>
  <r>
    <n v="317"/>
    <x v="20"/>
    <x v="119"/>
    <s v="Vermaak"/>
    <m/>
    <s v="Stefanie"/>
    <x v="2"/>
    <x v="10"/>
    <s v="University of the WItwatersrand"/>
    <s v="University of the WItwatersrand"/>
    <x v="3"/>
    <s v="FACULTY RESEARCH COMMITTEE INDIVIDUAL RESEARCH GRANTS 2021"/>
    <m/>
    <s v="FRC Individual Grants Task Group"/>
    <n v="3"/>
    <x v="3"/>
    <x v="5"/>
    <s v="Feasibility and acceptability of digital consent to improve comprehension of study procedures for biomedical research among young people: A study in Soweto, South Africa"/>
    <x v="1"/>
    <d v="2021-08-05T00:00:00"/>
    <s v="Principal Investigator"/>
    <m/>
    <m/>
    <m/>
    <m/>
  </r>
  <r>
    <n v="318"/>
    <x v="20"/>
    <x v="102"/>
    <s v="Muhayimana"/>
    <m/>
    <s v="Alice"/>
    <x v="2"/>
    <x v="10"/>
    <s v="University of Rwanda"/>
    <s v="University of the WItwatersrand"/>
    <x v="3"/>
    <s v="Open research  grant"/>
    <n v="12000"/>
    <s v="UR-Sweden collaboration"/>
    <n v="24"/>
    <x v="3"/>
    <x v="5"/>
    <s v="Respectful maternity care provision during the covid 19 pandemic in Rwandan health facilities"/>
    <x v="1"/>
    <d v="2022-01-01T00:00:00"/>
    <s v="Principal Investigator"/>
    <m/>
    <m/>
    <m/>
    <m/>
  </r>
  <r>
    <n v="319"/>
    <x v="20"/>
    <x v="102"/>
    <s v="Muhayimana"/>
    <m/>
    <s v="Alice"/>
    <x v="2"/>
    <x v="10"/>
    <s v="University of Rwanda"/>
    <s v="University of the WItwatersrand"/>
    <x v="3"/>
    <s v="Grant in Reproductive Health"/>
    <m/>
    <s v="King Faisal Hospital"/>
    <n v="12"/>
    <x v="3"/>
    <x v="5"/>
    <s v="MALE PARTNERS' PHYSICAL INVOLVEMENT IN THE LABOR AND DELIVERY INFLUENCE ON THE INITIATION OF FAMILY PLANNING AND POST DELIVERY CARE AMONG RWANDAN COUPLES  "/>
    <x v="1"/>
    <d v="2021-12-01T00:00:00"/>
    <s v="Co-investigator"/>
    <m/>
    <m/>
    <m/>
    <m/>
  </r>
  <r>
    <n v="320"/>
    <x v="21"/>
    <x v="92"/>
    <s v="Niragire"/>
    <m/>
    <s v="François"/>
    <x v="1"/>
    <x v="5"/>
    <s v="University of Rwanda"/>
    <m/>
    <x v="3"/>
    <s v="WTO's Chairs Programme, Phase 3."/>
    <n v="217972"/>
    <s v="World Trade Organization (WTO)"/>
    <n v="48"/>
    <x v="5"/>
    <x v="5"/>
    <m/>
    <x v="2"/>
    <m/>
    <m/>
    <m/>
    <m/>
    <m/>
    <m/>
  </r>
  <r>
    <n v="321"/>
    <x v="21"/>
    <x v="31"/>
    <s v="Zakumumpa"/>
    <m/>
    <s v="Henry"/>
    <x v="1"/>
    <x v="1"/>
    <s v="Makerere University"/>
    <m/>
    <x v="3"/>
    <s v="HIV policy Lab Research Grant"/>
    <n v="30000"/>
    <s v="UNAIDS"/>
    <n v="12"/>
    <x v="3"/>
    <x v="5"/>
    <s v="Assessing the policy adoption of differentiated HIV treatment services in Eastern and Southern Africa"/>
    <x v="2"/>
    <m/>
    <m/>
    <m/>
    <m/>
    <m/>
    <m/>
  </r>
  <r>
    <n v="322"/>
    <x v="21"/>
    <x v="81"/>
    <s v="Agunbiade"/>
    <s v="Melvin"/>
    <s v="Ojo"/>
    <x v="1"/>
    <x v="6"/>
    <s v="Obafemi Awolowo University"/>
    <m/>
    <x v="1"/>
    <s v="Conference support"/>
    <n v="679.64"/>
    <s v="National Research Funds in South Africa"/>
    <n v="1"/>
    <x v="1"/>
    <x v="5"/>
    <m/>
    <x v="2"/>
    <m/>
    <m/>
    <m/>
    <m/>
    <m/>
    <m/>
  </r>
  <r>
    <n v="323"/>
    <x v="21"/>
    <x v="120"/>
    <s v="Thomas"/>
    <s v="Emmanuel"/>
    <s v="Olusegun"/>
    <x v="1"/>
    <x v="6"/>
    <s v="University of Ibadan"/>
    <m/>
    <x v="3"/>
    <s v="COIMBRA visiting scholarship"/>
    <n v="3400"/>
    <s v="COIMBRA"/>
    <n v="2"/>
    <x v="3"/>
    <x v="5"/>
    <s v="Assessment of micronuclei frequency and global DNA methylation inducible by selected azo-based food/drug additives"/>
    <x v="2"/>
    <m/>
    <m/>
    <m/>
    <m/>
    <m/>
    <m/>
  </r>
  <r>
    <n v="324"/>
    <x v="21"/>
    <x v="37"/>
    <s v="Aliyu"/>
    <s v="Kolawole"/>
    <s v="Taofeek"/>
    <x v="1"/>
    <x v="3"/>
    <s v="Obafemi Awolowo University"/>
    <m/>
    <x v="4"/>
    <m/>
    <m/>
    <m/>
    <m/>
    <x v="4"/>
    <x v="5"/>
    <m/>
    <x v="2"/>
    <m/>
    <m/>
    <m/>
    <m/>
    <m/>
    <m/>
  </r>
  <r>
    <n v="325"/>
    <x v="21"/>
    <x v="95"/>
    <s v="Ndikumana"/>
    <m/>
    <s v="Celestin"/>
    <x v="1"/>
    <x v="4"/>
    <s v="University of Rwanda"/>
    <m/>
    <x v="3"/>
    <s v="University of Rwanda Open Research Grant"/>
    <n v="12000"/>
    <s v="University of Rwanda"/>
    <n v="12"/>
    <x v="3"/>
    <x v="5"/>
    <s v="Factors affecting performance in English language in higher learning institutions in Rwanda."/>
    <x v="2"/>
    <m/>
    <m/>
    <m/>
    <m/>
    <m/>
    <m/>
  </r>
  <r>
    <n v="326"/>
    <x v="21"/>
    <x v="15"/>
    <s v="Somefun"/>
    <s v="Dolapo"/>
    <s v="Oluwaseyi"/>
    <x v="2"/>
    <x v="3"/>
    <s v="University of the WItwatersrand"/>
    <m/>
    <x v="3"/>
    <s v="Policy Engagement"/>
    <n v="4000"/>
    <s v="The PACE project, United States Agency for International Development (USAID)"/>
    <n v="6"/>
    <x v="5"/>
    <x v="5"/>
    <m/>
    <x v="2"/>
    <m/>
    <m/>
    <m/>
    <m/>
    <m/>
    <m/>
  </r>
  <r>
    <n v="327"/>
    <x v="20"/>
    <x v="121"/>
    <s v="Temitope"/>
    <m/>
    <s v="Ilori"/>
    <x v="2"/>
    <x v="8"/>
    <s v="University of Ibadan"/>
    <m/>
    <x v="3"/>
    <m/>
    <m/>
    <s v="African Research Universities Alliance Centre of Excellence"/>
    <m/>
    <x v="3"/>
    <x v="5"/>
    <s v="Effect of Motivational Interviews on Salt Intake Among Patients with Hypertension in Nigeria and Ugand"/>
    <x v="1"/>
    <m/>
    <m/>
    <m/>
    <m/>
    <m/>
    <m/>
  </r>
  <r>
    <n v="328"/>
    <x v="23"/>
    <x v="27"/>
    <s v="Moroe"/>
    <s v="Floweret "/>
    <s v="Nomfundo"/>
    <x v="2"/>
    <x v="3"/>
    <s v="University of the WItwatersrand"/>
    <m/>
    <x v="2"/>
    <s v="Postdoctoral fellowship grant to Manchester University"/>
    <n v="52572"/>
    <s v="Africa Research Excellence Fund "/>
    <n v="9"/>
    <x v="2"/>
    <x v="6"/>
    <s v="Acquiring Skills and Knowledge for Developing Interventions to Promote Hearing Conservation Behaviours."/>
    <x v="2"/>
    <d v="2022-09-01T00:00:00"/>
    <m/>
    <m/>
    <s v="I believe I put the post graduate research grant writing skills to good use. I am forever indebted to CARTA for laying the foundation. The fellowship is worth 40 000 pounds and I will be based at Manchester University for 9 months Sep 2022-April 2023."/>
    <m/>
    <m/>
  </r>
  <r>
    <n v="329"/>
    <x v="23"/>
    <x v="44"/>
    <s v="Nishimwe"/>
    <m/>
    <s v="Aurore"/>
    <x v="2"/>
    <x v="2"/>
    <s v="University of Rwanda"/>
    <s v="University of the WItwatersrand"/>
    <x v="1"/>
    <s v="Distinguished Science and Technology Award"/>
    <n v="10000"/>
    <s v="National Council of Science and Technology in Rwanda"/>
    <n v="6"/>
    <x v="1"/>
    <x v="6"/>
    <s v="Status disclosure, Birth preparednes plan and prevalence of HIV  infection among pregnant women living with HIV"/>
    <x v="1"/>
    <d v="2022-05-01T00:00:00"/>
    <s v="Principal Investigator"/>
    <m/>
    <m/>
    <m/>
    <m/>
  </r>
  <r>
    <n v="330"/>
    <x v="23"/>
    <x v="122"/>
    <s v="Akinwaare"/>
    <s v="Omowaleola"/>
    <s v="Margaret"/>
    <x v="2"/>
    <x v="7"/>
    <s v="University of Ibadan"/>
    <s v="University of Ibadan"/>
    <x v="3"/>
    <s v="UI_MEPI_J fellowship grant"/>
    <n v="5000"/>
    <s v="National Institutes of Health (Fogarty International Center/National Institute of Mental Health) training grant (D43TW010140)"/>
    <n v="6"/>
    <x v="3"/>
    <x v="6"/>
    <m/>
    <x v="1"/>
    <d v="2022-01-05T00:00:00"/>
    <m/>
    <m/>
    <m/>
    <m/>
    <m/>
  </r>
  <r>
    <n v="331"/>
    <x v="23"/>
    <x v="122"/>
    <s v="Akinwaare"/>
    <s v="Omowaleola"/>
    <s v="Margaret"/>
    <x v="2"/>
    <x v="7"/>
    <s v="University of Ibadan"/>
    <s v="University of Ibadan"/>
    <x v="3"/>
    <s v="Conference grant"/>
    <n v="2500"/>
    <s v="Association of Commonwealth University"/>
    <n v="1"/>
    <x v="3"/>
    <x v="6"/>
    <m/>
    <x v="1"/>
    <d v="2022-03-08T00:00:00"/>
    <m/>
    <m/>
    <m/>
    <m/>
    <m/>
  </r>
  <r>
    <n v="332"/>
    <x v="23"/>
    <x v="66"/>
    <s v="Maseko"/>
    <s v="Johanna"/>
    <s v="Lebogang"/>
    <x v="2"/>
    <x v="7"/>
    <s v="University of the WItwatersrand"/>
    <s v="University of the WItwatersrand"/>
    <x v="2"/>
    <s v="FALF"/>
    <n v="10000"/>
    <s v="Female Academic Leaders Fellowship"/>
    <n v="12"/>
    <x v="2"/>
    <x v="6"/>
    <s v="Development of an Integrated Model to Promote Access to Sexual and Reproductive Health Services among People with Disabilities in Rwanda. "/>
    <x v="1"/>
    <d v="2022-03-01T00:00:00"/>
    <s v="Principal Investigator"/>
    <m/>
    <m/>
    <m/>
    <m/>
  </r>
  <r>
    <n v="333"/>
    <x v="23"/>
    <x v="123"/>
    <s v="Musabirema"/>
    <s v="Priscille"/>
    <s v="Priscille"/>
    <x v="2"/>
    <x v="8"/>
    <s v="University of Rwanda"/>
    <s v="University of the WItwatersrand"/>
    <x v="3"/>
    <s v="seed grant for family planning and comprehensive abortion care"/>
    <n v="5000"/>
    <s v="The Center of International Reproductive Health Training at the University of MICHIGAN "/>
    <n v="12"/>
    <x v="3"/>
    <x v="6"/>
    <s v="Isoniazid for latent TB:Novel methods for treatment monitoring"/>
    <x v="1"/>
    <d v="2022-04-14T00:00:00"/>
    <s v="Principal Investigator"/>
    <s v="I collaborated with Noel Korukire and his co-investigator in this project."/>
    <m/>
    <m/>
    <m/>
  </r>
  <r>
    <n v="334"/>
    <x v="23"/>
    <x v="75"/>
    <s v="Njagi"/>
    <s v="Nkirote"/>
    <s v="Lilian"/>
    <x v="2"/>
    <x v="8"/>
    <s v="University of Nairobi"/>
    <s v="University of Nairobi"/>
    <x v="3"/>
    <s v="Support for purchase of research reagents for PhD"/>
    <n v="39000"/>
    <s v="Dr Videlis Nduba (Supervisor)"/>
    <n v="6"/>
    <x v="3"/>
    <x v="6"/>
    <s v="Identification of Highly Hazardous Pesticides Responsible for Poisoning and Death in Uganda"/>
    <x v="1"/>
    <d v="2022-06-01T00:00:00"/>
    <s v="Principal Investigator"/>
    <m/>
    <m/>
    <m/>
    <m/>
  </r>
  <r>
    <n v="335"/>
    <x v="23"/>
    <x v="76"/>
    <s v="Ssemugabo"/>
    <s v="Charles "/>
    <s v="Charles "/>
    <x v="1"/>
    <x v="8"/>
    <s v="Makerere University"/>
    <s v="Makerere University"/>
    <x v="3"/>
    <s v="Centre for Poisoning Suicide Prevention small grant "/>
    <n v="39537.230000000003"/>
    <s v="University of Edinburgh"/>
    <n v="12"/>
    <x v="3"/>
    <x v="6"/>
    <s v="Hepatocellular Carcinoma (HCC) in Western Kenya: Risk Factors, Early Diagnosis and Surgical Management (HepWeK)"/>
    <x v="1"/>
    <d v="2022-07-01T00:00:00"/>
    <s v="Co-investigator"/>
    <m/>
    <m/>
    <m/>
    <m/>
  </r>
  <r>
    <n v="336"/>
    <x v="23"/>
    <x v="109"/>
    <s v="Tonui"/>
    <s v="Kibet"/>
    <s v="Ronald"/>
    <x v="1"/>
    <x v="8"/>
    <s v="Moi University"/>
    <s v="University of the WItwatersrand"/>
    <x v="3"/>
    <s v="Hepatocellular Carcinoma (HCC) in Western Kenya: Risk Factors, Early Diagnosis and Surgical Management (HepWeK)"/>
    <n v="545305"/>
    <s v="Solidarity Fund for Innovative Projects (French Ministry of Foreign Affairs)"/>
    <n v="24"/>
    <x v="3"/>
    <x v="6"/>
    <m/>
    <x v="1"/>
    <d v="2022-05-09T00:00:00"/>
    <m/>
    <m/>
    <m/>
    <m/>
    <m/>
  </r>
  <r>
    <n v="337"/>
    <x v="23"/>
    <x v="115"/>
    <s v="Ingabire"/>
    <s v="Allen"/>
    <s v="Jean de la Croix"/>
    <x v="1"/>
    <x v="10"/>
    <s v="University of Rwanda"/>
    <s v="University of the WItwatersrand"/>
    <x v="1"/>
    <s v="BOFAS-Principles of Foot &amp; Ankle Surgery Course"/>
    <m/>
    <s v="BOFAS"/>
    <n v="1"/>
    <x v="1"/>
    <x v="6"/>
    <s v="Utilization of cervical cancer screening integrated within HIV services among Kenyan women living with HIV receiving care at a large national referral hospital- Mixed method study"/>
    <x v="1"/>
    <d v="2022-07-12T00:00:00"/>
    <s v="Principal Investigator"/>
    <m/>
    <m/>
    <m/>
    <m/>
  </r>
  <r>
    <n v="338"/>
    <x v="23"/>
    <x v="110"/>
    <s v="Kang'ethe"/>
    <s v="Mburu"/>
    <s v="James"/>
    <x v="1"/>
    <x v="10"/>
    <s v="University of Nairobi"/>
    <s v="University of Nairobi"/>
    <x v="3"/>
    <s v="CFAR Trainee Support grant for completed research results publication"/>
    <n v="750"/>
    <s v="University of Washington"/>
    <n v="3"/>
    <x v="3"/>
    <x v="6"/>
    <m/>
    <x v="1"/>
    <d v="2022-04-01T00:00:00"/>
    <m/>
    <m/>
    <m/>
    <m/>
    <m/>
  </r>
  <r>
    <n v="339"/>
    <x v="23"/>
    <x v="124"/>
    <s v="Majamanda"/>
    <s v="Daisy"/>
    <s v="Maureen"/>
    <x v="2"/>
    <x v="10"/>
    <s v="University of Malawi"/>
    <s v="University of the WItwatersrand"/>
    <x v="9"/>
    <s v="Community outreach grant"/>
    <m/>
    <s v="Thomson and Barbara Mpinganjira Foundation"/>
    <n v="12"/>
    <x v="6"/>
    <x v="6"/>
    <s v="Improving Knowledge On Sexual Reproductive Health And Rights Using Mass Open Online Course   Among University Of Rwanda Students "/>
    <x v="1"/>
    <d v="2021-10-11T00:00:00"/>
    <s v="Principal Investigator"/>
    <m/>
    <m/>
    <m/>
    <m/>
  </r>
  <r>
    <n v="340"/>
    <x v="23"/>
    <x v="102"/>
    <s v="Muhayimana"/>
    <m/>
    <s v="Alice"/>
    <x v="2"/>
    <x v="10"/>
    <s v="University of Rwanda"/>
    <s v="University of the WItwatersrand"/>
    <x v="3"/>
    <s v="Seed grant"/>
    <n v="5000"/>
    <s v="University of Michigan-CIRHT"/>
    <n v="12"/>
    <x v="3"/>
    <x v="6"/>
    <s v="improving quality of maternity care"/>
    <x v="1"/>
    <s v="16/4/2022"/>
    <m/>
    <s v="Aline Uwase: Co-PI  Emmanuel Nzabonimana: Co-PI  Allen Jean de la Croix Ingabire: Co-PI"/>
    <m/>
    <m/>
    <m/>
  </r>
  <r>
    <n v="341"/>
    <x v="23"/>
    <x v="84"/>
    <s v="Nyondo-Mipando"/>
    <s v="Linda"/>
    <s v="Alinane"/>
    <x v="2"/>
    <x v="9"/>
    <s v="University of Malawi"/>
    <m/>
    <x v="3"/>
    <s v="NIHR Global Health"/>
    <n v="3000000"/>
    <s v="NIHR"/>
    <n v="48"/>
    <x v="3"/>
    <x v="6"/>
    <m/>
    <x v="2"/>
    <d v="2022-08-01T00:00:00"/>
    <s v="Principal Investigator"/>
    <m/>
    <m/>
    <m/>
    <m/>
  </r>
  <r>
    <n v="342"/>
    <x v="23"/>
    <x v="31"/>
    <s v="Zakumumpa"/>
    <m/>
    <s v="Henry"/>
    <x v="1"/>
    <x v="1"/>
    <s v="Makerere University"/>
    <m/>
    <x v="4"/>
    <s v="Award for travel for acceptance of oral presentation at ICASA2021"/>
    <n v="3000"/>
    <s v="ICASA"/>
    <n v="1"/>
    <x v="4"/>
    <x v="6"/>
    <s v="Establishment of Virtual Reference Services at the University of Dar es Salaam and Constituent College Libraries: A Baseline Survey"/>
    <x v="2"/>
    <d v="2021-12-17T00:00:00"/>
    <m/>
    <m/>
    <m/>
    <m/>
    <m/>
  </r>
  <r>
    <n v="343"/>
    <x v="23"/>
    <x v="125"/>
    <s v="Ally"/>
    <s v="Kassim"/>
    <s v="Mohamed"/>
    <x v="1"/>
    <x v="1"/>
    <s v="University of Dar es Salaam"/>
    <m/>
    <x v="3"/>
    <s v="UDSM COMPETITIVE RESEARCH AND INNOVATION GRANTS 2021/2022"/>
    <n v="6000"/>
    <s v="University of Dar es Salaam"/>
    <n v="12"/>
    <x v="3"/>
    <x v="6"/>
    <m/>
    <x v="2"/>
    <d v="2022-02-01T00:00:00"/>
    <s v="Principal Investigator"/>
    <m/>
    <m/>
    <m/>
    <m/>
  </r>
  <r>
    <n v="344"/>
    <x v="23"/>
    <x v="36"/>
    <s v="Adebayo"/>
    <s v="Oluwatoyin"/>
    <s v="Kudus"/>
    <x v="1"/>
    <x v="3"/>
    <s v="University of Ibadan"/>
    <m/>
    <x v="1"/>
    <s v="Postdoc Research Grant"/>
    <n v="623"/>
    <s v="University of The Witwatersrand"/>
    <m/>
    <x v="1"/>
    <x v="6"/>
    <m/>
    <x v="2"/>
    <d v="2022-06-06T00:00:00"/>
    <m/>
    <m/>
    <m/>
    <m/>
    <m/>
  </r>
  <r>
    <n v="345"/>
    <x v="23"/>
    <x v="34"/>
    <s v="Joan"/>
    <m/>
    <s v="Mutyoba"/>
    <x v="2"/>
    <x v="3"/>
    <s v="Makerere University"/>
    <m/>
    <x v="3"/>
    <s v="RIF3 Grant Award"/>
    <n v="3000"/>
    <s v="MAKERERE UNIVRSITY RESEARCH AND INNOVATION FUND"/>
    <n v="18"/>
    <x v="3"/>
    <x v="6"/>
    <m/>
    <x v="2"/>
    <d v="2021-10-01T00:00:00"/>
    <m/>
    <m/>
    <m/>
    <m/>
    <m/>
  </r>
  <r>
    <n v="346"/>
    <x v="23"/>
    <x v="12"/>
    <s v="Musyoka"/>
    <s v="Mawia"/>
    <s v="Catherine"/>
    <x v="2"/>
    <x v="2"/>
    <s v="University of Nairobi"/>
    <m/>
    <x v="2"/>
    <s v="ACHIEVE  Global Training Program"/>
    <n v="10000"/>
    <s v=" NIH Fogarty International Center’s flagship global research training program"/>
    <n v="12"/>
    <x v="3"/>
    <x v="6"/>
    <s v="A User-Centred Mhealth App To Provide On-Demand Mental Health Literacy For The Prevention And Management Of Substance Abuse To Adolescents In A Resource-Limited Setting; Kibra &amp; Eastleigh, Nairobi County, Kenya"/>
    <x v="2"/>
    <d v="2022-01-06T00:00:00"/>
    <s v="Trainee under the mentorship of the PI"/>
    <s v="Yes, being a  CARTA fellow was very instrumental in my writing a proposal which won this grant. The CARTA fellowship is a comprehensive training and it forms a research foundation which is an anchor for success in the research field. I look forward to writing and winning an NIH R43 grant by the end of this mentorship period and launching my career in the research arena. I am grateful to CARTA and I look forward to continued mentorship and support from CARTA, as an alumnus."/>
    <m/>
    <m/>
    <m/>
  </r>
  <r>
    <n v="347"/>
    <x v="23"/>
    <x v="75"/>
    <s v="Njagi"/>
    <s v="Nkirote"/>
    <s v="Lilian"/>
    <x v="2"/>
    <x v="8"/>
    <s v="University of Nairobi"/>
    <s v="University of Nairobi"/>
    <x v="3"/>
    <s v="The TB and HIV coinfection Training Program in Kenya (TBH)"/>
    <n v="50000"/>
    <s v="The TB and HIV coinfection Training Program in Kenya (TBHTP), a partnership between the University of Nairobi, Kenya Medical Research Institute (KEMRI), and the University of Washington (UW), through a grant from the US National Institutes of Health"/>
    <n v="24"/>
    <x v="7"/>
    <x v="6"/>
    <s v="tuberculosis-HIV co-infection"/>
    <x v="1"/>
    <d v="2022-01-06T00:00:00"/>
    <m/>
    <s v="Yes, Being a CARTA fellow and having progressed in a timely manner increased my chances of being considered for this position. This is because the admitting committee was confident of my ability to follow through to the end. The fact that I have extensive experience in TB/HIV, and that my doctoral work supported by CARTA is in the same field contributed significantly to my winning the gra"/>
    <m/>
    <m/>
    <m/>
  </r>
  <r>
    <n v="348"/>
    <x v="23"/>
    <x v="29"/>
    <s v="Anywar"/>
    <m/>
    <s v="Godwin"/>
    <x v="1"/>
    <x v="3"/>
    <s v="Makerere University"/>
    <s v="Makerere University"/>
    <x v="3"/>
    <s v="Understanding Ugandan native plant species’ role in innovative sustainable landscapes. "/>
    <n v="233433.16"/>
    <s v="Darwin Initiative Grant"/>
    <n v="24"/>
    <x v="3"/>
    <x v="6"/>
    <s v="Understanding Ugandan native plant species’ role in innovative sustainable landscapes. "/>
    <x v="2"/>
    <d v="2022-08-01T00:00:00"/>
    <s v="I will serve as the Co-investigator &amp; Project leader for Makerere University - The role of Makerere University in the project will be mainly to identify and select promising wild food plants for value addition through by conducting nutritional analyses."/>
    <s v="No"/>
    <m/>
    <m/>
    <m/>
  </r>
  <r>
    <n v="349"/>
    <x v="23"/>
    <x v="58"/>
    <s v="Nieuwoudt"/>
    <s v="Jewett"/>
    <s v="Sara"/>
    <x v="2"/>
    <x v="1"/>
    <s v="University of the WItwatersrand"/>
    <s v="University of the WItwatersrand"/>
    <x v="3"/>
    <s v="Institutional Breastfeeding Support at Wits: An Exploratory Qualitative Study"/>
    <n v="4063.39"/>
    <s v="Faculty Seed funding"/>
    <n v="5"/>
    <x v="3"/>
    <x v="6"/>
    <s v="Institutional Breastfeeding Support at Wits: An Exploratory Qualitative Study"/>
    <x v="2"/>
    <d v="2022-07-01T00:00:00"/>
    <s v="Principal Investigator"/>
    <m/>
    <m/>
    <m/>
    <m/>
  </r>
  <r>
    <n v="350"/>
    <x v="24"/>
    <x v="44"/>
    <s v="NISHIMWE"/>
    <m/>
    <s v="Aurore"/>
    <x v="2"/>
    <x v="2"/>
    <s v="University of Rwanda"/>
    <s v="University of the WItwatersrand"/>
    <x v="3"/>
    <s v="Flemish funding (VLIR-UOS)"/>
    <n v="69623.399999999994"/>
    <s v="Belgium, Flemish funding (VLIR-UOS)"/>
    <n v="24"/>
    <x v="3"/>
    <x v="6"/>
    <s v="piloting a novel, scalable, eHealth technology for the control and management of elevated blood pressure in Rwanda"/>
    <x v="1"/>
    <d v="2022-09-01T00:00:00"/>
    <m/>
    <m/>
    <m/>
    <m/>
    <m/>
  </r>
  <r>
    <n v="351"/>
    <x v="24"/>
    <x v="61"/>
    <s v="Murererehe"/>
    <m/>
    <s v="Julienne"/>
    <x v="2"/>
    <x v="7"/>
    <s v="University of Rwanda"/>
    <s v="University of the WItwatersrand"/>
    <x v="3"/>
    <s v=" UR-Sweden "/>
    <n v="18000"/>
    <s v="UR-Sweden program "/>
    <n v="24"/>
    <x v="3"/>
    <x v="6"/>
    <s v="Modelling tooth wear risk factors and assessing Oral Health Related Quality of Life among HIV/AIDS patients in Rwanda"/>
    <x v="1"/>
    <d v="2022-11-29T00:00:00"/>
    <s v="Principal Investigator"/>
    <s v="Prof. Francois Niragire and Babatunde Adedokun"/>
    <s v=" Being a CARTA fellow contributed to this achievement because I gained various research skills through CARTA JASes training including research writing skills, Research methodology and literature searching. The CARTA program also empowered me to improve my confidence and critical thinking ability. As a CARTA  fellow, I have the opportunity to network with CARTA graduates who challenge, encourage, mentor and support me in different ways. "/>
    <m/>
    <m/>
  </r>
  <r>
    <n v="352"/>
    <x v="24"/>
    <x v="105"/>
    <s v="Chisati"/>
    <s v="Enock"/>
    <s v="Madalitso"/>
    <x v="1"/>
    <x v="2"/>
    <s v="University of Malawi"/>
    <s v="University of Malawi"/>
    <x v="3"/>
    <m/>
    <s v="3088.40 "/>
    <s v="La Trobe Sport and Exercise Medicine Research Centre"/>
    <n v="12"/>
    <x v="3"/>
    <x v="6"/>
    <s v="Understanding barriers, enablers, and potential adaptations to facilitate implementation of the GLAD program in low and middle-income settings: training outcomes and stakeholder perspectives in Malawi'"/>
    <x v="2"/>
    <d v="2022-10-19T00:00:00"/>
    <s v="Co-investigator"/>
    <s v="No"/>
    <s v="Yes. I participated in JAS1 and JAS 4 where research proposal writing skills were attained (JAS 1) and some grant writing skills were introduced (JAS 4). These skills were helpful in my contributions towards the project. I also learnt networking skills through the CARTA JASes and CARTA meetings which helped me coordinate and work with the team that won this grant."/>
    <m/>
    <m/>
  </r>
  <r>
    <n v="353"/>
    <x v="24"/>
    <x v="8"/>
    <s v="Banamawa"/>
    <m/>
    <s v="Celestin"/>
    <x v="1"/>
    <x v="2"/>
    <s v="University of Rwanda"/>
    <s v="Makerere University"/>
    <x v="4"/>
    <s v="Erasmus+ International Credit Mobility project (2020-1-UK01- KA107-078102)"/>
    <n v="2200"/>
    <s v="Erasmus + credit"/>
    <n v="3"/>
    <x v="4"/>
    <x v="6"/>
    <m/>
    <x v="1"/>
    <d v="2022-10-10T00:00:00"/>
    <m/>
    <m/>
    <m/>
    <m/>
    <m/>
  </r>
  <r>
    <n v="354"/>
    <x v="24"/>
    <x v="126"/>
    <s v="Kumala"/>
    <m/>
    <s v="Justin"/>
    <x v="1"/>
    <x v="3"/>
    <s v="University of Malawi"/>
    <s v="University of the WItwatersrand"/>
    <x v="3"/>
    <s v="Malawi ICEMR: Entomology Special Project"/>
    <n v="50000"/>
    <s v="NIH - through the ICEMR Malawi project"/>
    <n v="6"/>
    <x v="3"/>
    <x v="6"/>
    <s v="Characterization of breeding habitats and larval ecology of Anopheles funestus Giles in Machinga and Balaka districts"/>
    <x v="1"/>
    <d v="2022-10-04T00:00:00"/>
    <s v="Principal Investigator"/>
    <m/>
    <m/>
    <m/>
    <m/>
  </r>
  <r>
    <n v="355"/>
    <x v="24"/>
    <x v="42"/>
    <s v="Makwero"/>
    <s v="Kabudula"/>
    <s v="Martha"/>
    <x v="2"/>
    <x v="2"/>
    <s v="University of Malawi"/>
    <s v="University of the WItwatersrand"/>
    <x v="3"/>
    <s v="training grant"/>
    <n v="30000"/>
    <s v="Providence health international "/>
    <n v="1"/>
    <x v="3"/>
    <x v="6"/>
    <s v="Point  of care Ultrasound scan  training grant"/>
    <x v="1"/>
    <d v="2022-11-10T00:00:00"/>
    <s v="Principal Investigator"/>
    <s v="No"/>
    <m/>
    <m/>
    <m/>
  </r>
  <r>
    <n v="356"/>
    <x v="24"/>
    <x v="61"/>
    <s v="Murererehe"/>
    <m/>
    <s v="Julienne"/>
    <x v="2"/>
    <x v="7"/>
    <s v="University of Rwanda"/>
    <s v="University of the WItwatersrand"/>
    <x v="3"/>
    <s v="Interdisciplinary grant "/>
    <n v="18000"/>
    <s v="UR-Sweden collaboration program"/>
    <n v="24"/>
    <x v="3"/>
    <x v="6"/>
    <s v="Modelling tooth wear risk factors and assessing  Oral Health Related Quality of LIfe in HIV/ AIDS patients in Rwanda"/>
    <x v="1"/>
    <d v="2022-11-25T00:00:00"/>
    <s v="Principal Investigator"/>
    <s v="No"/>
    <m/>
    <m/>
    <m/>
  </r>
  <r>
    <n v="357"/>
    <x v="24"/>
    <x v="65"/>
    <s v="Esan"/>
    <s v="Taiwo"/>
    <s v="Oluwaseun"/>
    <x v="2"/>
    <x v="7"/>
    <s v="Obafemi Awolowo University"/>
    <s v="University of the WItwatersrand"/>
    <x v="4"/>
    <s v="Demographic and Health Surveys 2023 Fellow. The award includes travel grants but the stated amount will be given for research expenses Program. The formal letter of award is still being awaited."/>
    <n v="2200"/>
    <s v="The United States Agency for International Development (USAID)"/>
    <n v="8"/>
    <x v="2"/>
    <x v="6"/>
    <m/>
    <x v="1"/>
    <d v="2023-02-10T00:00:00"/>
    <m/>
    <s v="Yes"/>
    <s v="I am collaborating with Dr Francois Niragire as co-investigator. I would like to highlight the  mentorship role of Dr Babatunde Adodekun during my application even though it was not allowed to include people from outside University of Rwanda as a co-investigator   "/>
    <m/>
    <m/>
  </r>
  <r>
    <n v="358"/>
    <x v="24"/>
    <x v="69"/>
    <s v="Atiba"/>
    <s v="Ayobami"/>
    <s v="Foluso"/>
    <x v="2"/>
    <x v="7"/>
    <s v="University of Ibadan"/>
    <s v="University of the WItwatersrand"/>
    <x v="4"/>
    <s v="ISN Travel Grant"/>
    <n v="2700"/>
    <s v="International Society for Neurochemistry (ISN) and the Asian-Pacific Society for Neurochemistry (APSN)"/>
    <n v="5"/>
    <x v="4"/>
    <x v="6"/>
    <m/>
    <x v="1"/>
    <d v="2022-06-07T00:00:00"/>
    <m/>
    <m/>
    <m/>
    <m/>
    <m/>
  </r>
  <r>
    <n v="359"/>
    <x v="24"/>
    <x v="76"/>
    <s v="Ssemugabo"/>
    <s v="Charles "/>
    <s v="Charles "/>
    <x v="1"/>
    <x v="8"/>
    <s v="Makerere University"/>
    <s v="Makerere University"/>
    <x v="3"/>
    <s v="UKRI GCRF and Newton Fund Consolidation Awards"/>
    <n v="59776.94"/>
    <s v="UKRI GCRF and Newton Fund Consolidation Awards"/>
    <n v="6"/>
    <x v="3"/>
    <x v="6"/>
    <s v="Preventing childhoood Injuries in Uganda - development of a child safety Kit; preparation for a randomised controled trial "/>
    <x v="1"/>
    <d v="2022-10-03T00:00:00"/>
    <s v="Co-investigator"/>
    <m/>
    <m/>
    <m/>
    <m/>
  </r>
  <r>
    <n v="360"/>
    <x v="24"/>
    <x v="115"/>
    <s v="Ingabire"/>
    <s v="Allen"/>
    <s v="Jean de la Croix"/>
    <x v="1"/>
    <x v="10"/>
    <s v="University of Rwanda"/>
    <s v="University of the WItwatersrand"/>
    <x v="3"/>
    <s v="OPEN RESEARCH GRANTS"/>
    <n v="16452.21"/>
    <s v="SIDA/UR"/>
    <n v="24"/>
    <x v="3"/>
    <x v="6"/>
    <s v="Effect of Honey versus conventional dressing in the management of open fractures wounds"/>
    <x v="1"/>
    <d v="2022-06-28T00:00:00"/>
    <s v="Co-investigator"/>
    <s v="No"/>
    <m/>
    <m/>
    <m/>
  </r>
  <r>
    <n v="361"/>
    <x v="24"/>
    <x v="110"/>
    <s v="Kang'ethe"/>
    <s v="Mburu"/>
    <s v="James"/>
    <x v="1"/>
    <x v="10"/>
    <s v="University of Nairobi"/>
    <s v="University of Nairobi"/>
    <x v="1"/>
    <s v="International workshop of HIV paediatrics conference travel grant"/>
    <m/>
    <s v="Virology eduacation"/>
    <n v="1"/>
    <x v="1"/>
    <x v="6"/>
    <m/>
    <x v="1"/>
    <d v="2022-07-26T00:00:00"/>
    <m/>
    <s v="Yes"/>
    <s v="Prof Faustin NTIRENGANYA, Co-PI"/>
    <m/>
    <m/>
  </r>
  <r>
    <n v="362"/>
    <x v="24"/>
    <x v="101"/>
    <s v="Olorunmoteni"/>
    <s v="Eunice"/>
    <s v="Oluwatosin"/>
    <x v="2"/>
    <x v="10"/>
    <s v="Obafemi Awolowo University"/>
    <s v="University of the WItwatersrand"/>
    <x v="2"/>
    <s v="World Sleep Academy Scholarship"/>
    <n v="2500"/>
    <s v=" -World Sleep Society"/>
    <n v="12"/>
    <x v="2"/>
    <x v="6"/>
    <m/>
    <x v="1"/>
    <d v="2022-09-04T00:00:00"/>
    <m/>
    <m/>
    <m/>
    <m/>
    <m/>
  </r>
  <r>
    <n v="363"/>
    <x v="24"/>
    <x v="102"/>
    <s v="Muhayimana"/>
    <m/>
    <s v="Alice"/>
    <x v="2"/>
    <x v="10"/>
    <s v="University of Rwanda"/>
    <s v="University of the WItwatersrand"/>
    <x v="3"/>
    <s v="The use of Sexual and Reproductive Health Services among adolescents in Rwanda"/>
    <n v="10000"/>
    <s v="University of Michigan-CIRHT in collaboration with UR"/>
    <n v="12"/>
    <x v="3"/>
    <x v="6"/>
    <m/>
    <x v="1"/>
    <m/>
    <m/>
    <m/>
    <m/>
    <m/>
    <m/>
  </r>
  <r>
    <n v="364"/>
    <x v="24"/>
    <x v="85"/>
    <s v="Mapayi"/>
    <s v="Moyosore"/>
    <s v="Boladale"/>
    <x v="2"/>
    <x v="1"/>
    <s v="Obafemi Awolowo University"/>
    <m/>
    <x v="10"/>
    <s v="To initiate a dialogue on maternal mental health policy in Nigeria"/>
    <n v="4000"/>
    <s v="JHPIEGO"/>
    <n v="4"/>
    <x v="8"/>
    <x v="6"/>
    <m/>
    <x v="2"/>
    <d v="2022-08-08T00:00:00"/>
    <m/>
    <s v="I invited Adesola Olumide, a CARTA graduate as one of the resource persons during the dialogue."/>
    <m/>
    <s v="Considering the huge burden of perinatal mental disorders in Nigeria, our constraint in human resources for mental health, very few specialists, poorly funded healthcare sector with a large treatment gap of almost 90%, it becomes essential to raise awareness of maternal mental disorders public health burden in Nigeria so that evidence-based initiatives can be developed and implemented to ensure better mental health for women of reproductive age in Nigeria.   The aim of this consultative work was to plan and execute a national dialogue on maternal mental health policy in Nigeria. This work took place between August and November 2022.   I was chosen because of my expertise in the field and my extensive experience with working with several agencies within and outside the country to promote women's mental health."/>
    <m/>
  </r>
  <r>
    <n v="365"/>
    <x v="24"/>
    <x v="82"/>
    <s v="Wandera"/>
    <s v="Ojiambo"/>
    <s v="Stephen"/>
    <x v="1"/>
    <x v="9"/>
    <s v="Makerere University"/>
    <m/>
    <x v="3"/>
    <s v="Workshop on Ageing and health of older persons in Sub- Saharan Africa"/>
    <n v="92000"/>
    <s v="Volkswagen Foundation, Germany"/>
    <n v="12"/>
    <x v="3"/>
    <x v="6"/>
    <s v="Workshop on Ageing and health of older persons in Sub- Saharan Africa"/>
    <x v="2"/>
    <d v="2021-12-19T00:00:00"/>
    <s v="Co-investigator"/>
    <m/>
    <m/>
    <s v="To organize a workshop on health and ageing among older persons in SSA, 19-23 February 2023"/>
    <m/>
  </r>
  <r>
    <n v="366"/>
    <x v="24"/>
    <x v="82"/>
    <s v="Wandera"/>
    <s v="Ojiambo"/>
    <s v="Stephen"/>
    <x v="1"/>
    <x v="9"/>
    <s v="Makerere University"/>
    <m/>
    <x v="3"/>
    <s v="COVID-19 economic and health impacts and the resilience of last-mile populations in artisanal/small-scale mining settlements in Sub-Saharan Africa"/>
    <n v="630555"/>
    <s v="IDRC"/>
    <n v="24"/>
    <x v="3"/>
    <x v="6"/>
    <s v="COVID-19 economic and health impacts and the resilience of last-mile populations in artisanal/small-scale mining settlements in Sub-Saharan Africa"/>
    <x v="2"/>
    <d v="2022-10-01T00:00:00"/>
    <s v="Co-investigator"/>
    <m/>
    <m/>
    <m/>
    <m/>
  </r>
  <r>
    <n v="367"/>
    <x v="24"/>
    <x v="82"/>
    <s v="Wandera"/>
    <s v="Ojiambo"/>
    <s v="Stephen"/>
    <x v="1"/>
    <x v="9"/>
    <s v="Makerere University"/>
    <m/>
    <x v="4"/>
    <s v="Alzheimer's Association Brain Ageing and Dementia Symposium 2022 Travel grant"/>
    <m/>
    <s v="Alzheimer's Association"/>
    <m/>
    <x v="4"/>
    <x v="6"/>
    <m/>
    <x v="2"/>
    <d v="2022-12-06T00:00:00"/>
    <m/>
    <m/>
    <m/>
    <s v="LMIC participant and presented a poster on Cognitive Stimulation Therapy for older people with Dementia in Africa: A Scoping Review "/>
    <m/>
  </r>
  <r>
    <n v="368"/>
    <x v="24"/>
    <x v="82"/>
    <s v="Wandera"/>
    <s v="Ojiambo"/>
    <s v="Stephen"/>
    <x v="1"/>
    <x v="9"/>
    <s v="Makerere University"/>
    <m/>
    <x v="4"/>
    <s v="CREST TRAINING COURSE FOR DOCTORAL SUPERVISORS AT AFRICAN UNIVERSITIES"/>
    <m/>
    <s v="DAAD"/>
    <m/>
    <x v="4"/>
    <x v="6"/>
    <m/>
    <x v="2"/>
    <d v="2022-11-22T00:00:00"/>
    <m/>
    <m/>
    <m/>
    <s v="Alumni Networking Meeting at Stellenbosch University for Doctoral Supervision in African Universities "/>
    <m/>
  </r>
  <r>
    <n v="369"/>
    <x v="24"/>
    <x v="58"/>
    <s v="Nieuwoudt"/>
    <s v="Jewett"/>
    <s v="Sara"/>
    <x v="2"/>
    <x v="1"/>
    <s v="University of the WItwatersrand"/>
    <m/>
    <x v="3"/>
    <s v="Faculty Seed Funding"/>
    <n v="4100"/>
    <s v="Faculty of Health Sciences Research Office"/>
    <n v="4"/>
    <x v="3"/>
    <x v="6"/>
    <s v="Institutional Breastfeeding Support at Wits: An Exploratory Qualitative Study"/>
    <x v="2"/>
    <d v="2022-06-12T00:00:00"/>
    <s v="Principal Investigator"/>
    <m/>
    <m/>
    <s v="My proposal was deemed to be relevant for the seed funding call. Please see attached letter."/>
    <m/>
  </r>
  <r>
    <n v="370"/>
    <x v="24"/>
    <x v="47"/>
    <s v="Adetutu"/>
    <s v="Mayowa"/>
    <s v="Olufemi"/>
    <x v="1"/>
    <x v="2"/>
    <s v="Obafemi Awolowo University"/>
    <m/>
    <x v="3"/>
    <s v="NRF"/>
    <n v="55500"/>
    <s v="TETFUND"/>
    <n v="12"/>
    <x v="3"/>
    <x v="6"/>
    <s v="DEVELOPING A VIRTUAL MODEL TO   TRAIN AND ASSESS CLINICAL STUDENTS   (VTRACS) IN THE COVID-19 ERA AND   BEYOND"/>
    <x v="2"/>
    <d v="2021-10-12T00:00:00"/>
    <s v="Co-investigator"/>
    <s v="Okunola Oluseye, Agunbiade Melvin, Komolafe Abiola, Ijarotimi Tade. They are all part of the project team."/>
    <m/>
    <s v="The project is about the development of a technology used in teaching medical students during the COVID-19 pandemic. I was selected as an expert in designing survey, sampling and data analysis."/>
    <m/>
  </r>
  <r>
    <n v="371"/>
    <x v="24"/>
    <x v="112"/>
    <s v="Malenga "/>
    <s v="Chiseko"/>
    <s v="Tumaini "/>
    <x v="2"/>
    <x v="1"/>
    <s v="AFIDEP"/>
    <m/>
    <x v="2"/>
    <s v="African Population Cohorts Consortium"/>
    <n v="298011"/>
    <s v="Wellcome Trust "/>
    <n v="18"/>
    <x v="2"/>
    <x v="6"/>
    <s v="Collaboration for the Establishment of an African Population Cohort Consortium (APCC)"/>
    <x v="2"/>
    <d v="2022-08-01T00:00:00"/>
    <s v="Post Doc Fellow"/>
    <m/>
    <m/>
    <s v="I was part of the team applying for this grant. It has several thematic areas and I am the lead on the stakeholder engagement arm. "/>
    <m/>
  </r>
  <r>
    <n v="372"/>
    <x v="24"/>
    <x v="34"/>
    <s v="Mutyoba"/>
    <s v="Joan"/>
    <s v="Eron"/>
    <x v="2"/>
    <x v="3"/>
    <s v="Makerere University"/>
    <m/>
    <x v="3"/>
    <s v="Research Scholars in Global Health"/>
    <n v="100000"/>
    <s v="GILEAD"/>
    <n v="24"/>
    <x v="3"/>
    <x v="6"/>
    <s v="Models to link and retain hepatitis B infected persons into integrated HIV/HBV care in a high burden hepatitis B  region of Uganda"/>
    <x v="2"/>
    <d v="2022-12-01T00:00:00"/>
    <s v="Principal Investigator"/>
    <m/>
    <m/>
    <s v="The Award is a Research Scholars In Global Health which will focus on approaches to strengthen care and prevention of hepatitis B in a high burden region of Uganda"/>
    <m/>
  </r>
  <r>
    <n v="373"/>
    <x v="24"/>
    <x v="29"/>
    <s v="Anywar "/>
    <s v="Upoki"/>
    <s v="Godwin"/>
    <x v="1"/>
    <x v="3"/>
    <s v="Makerere University"/>
    <m/>
    <x v="3"/>
    <s v="Research Innovation Fund"/>
    <n v="32923.269999999997"/>
    <s v="Government of Uganda"/>
    <n v="12"/>
    <x v="3"/>
    <x v="6"/>
    <s v="Establishment of a Research Ethics Committees (REC) and Institutional Animal Care and Use Committees (IACUCs) at the College of  Natural Sciences (CoNAS) Makerere University"/>
    <x v="2"/>
    <d v="2022-09-29T00:00:00"/>
    <s v="Principal Investigator"/>
    <m/>
    <m/>
    <s v="To help in establishing a Research Ethics Committees (REC) and Institutional Animal Care and Use Committees (IACUCs) at the College of  Natural Sciences (CoNAS) Makerere University "/>
    <m/>
  </r>
  <r>
    <n v="374"/>
    <x v="24"/>
    <x v="29"/>
    <s v="Anywar "/>
    <s v="Upoki"/>
    <s v="Godwin"/>
    <x v="1"/>
    <x v="3"/>
    <s v="Makerere University"/>
    <m/>
    <x v="3"/>
    <s v="Darwin Initiative Fund: Darwin Initiative Innovation"/>
    <n v="241953.95"/>
    <s v="Darwin Initiative "/>
    <n v="24"/>
    <x v="3"/>
    <x v="6"/>
    <s v="Understanding Ugandan native plant species' role in innovative sustainable landscapes"/>
    <x v="2"/>
    <d v="2022-03-01T00:00:00"/>
    <s v="Co-investigator"/>
    <m/>
    <m/>
    <s v="Nutritional analysis and new product developments with Makerere University as the lead partner"/>
    <m/>
  </r>
  <r>
    <n v="375"/>
    <x v="24"/>
    <x v="40"/>
    <s v="Finda"/>
    <s v="Francis"/>
    <s v="Marceline"/>
    <x v="2"/>
    <x v="2"/>
    <s v="Ifakara Health Institute"/>
    <m/>
    <x v="3"/>
    <s v="African Conversations about Gene Drives Phase II"/>
    <n v="564087.01"/>
    <s v="Foundation for the Naional Institute of Health"/>
    <n v="24"/>
    <x v="3"/>
    <x v="6"/>
    <s v="African Conversations about gene drive technologies for malaria control and elimination"/>
    <x v="2"/>
    <d v="2022-10-01T00:00:00"/>
    <s v="Principal Investigator"/>
    <s v="Blessings Kaunda, a country coordinator for Malawi"/>
    <m/>
    <s v="This is a continuation of the project we had done two years prior, to facilitate dialogues about gene drive technologies among African stakeholders, in order to raise up concerns and expectations of Africans on how these technologies should be designed and packaged to best benefit Africa.     I received this grant due to the great success of the first phase which highlighted major gaps that this second phase is attempting to fill. "/>
    <m/>
  </r>
  <r>
    <n v="376"/>
    <x v="24"/>
    <x v="24"/>
    <s v="Lawal"/>
    <s v="Barakat"/>
    <s v="Folake"/>
    <x v="2"/>
    <x v="2"/>
    <s v="University of Ibadan"/>
    <m/>
    <x v="4"/>
    <s v="Borrow Foundation Travel Grant"/>
    <n v="500"/>
    <s v="Borrow Foundation"/>
    <m/>
    <x v="4"/>
    <x v="6"/>
    <m/>
    <x v="2"/>
    <d v="2022-09-08T00:00:00"/>
    <m/>
    <m/>
    <m/>
    <s v="A travel grant to attend the 26th EADPH conference in France"/>
    <m/>
  </r>
  <r>
    <n v="377"/>
    <x v="25"/>
    <x v="19"/>
    <s v="Kaindoa"/>
    <s v="Wilson"/>
    <s v="Emmanuel"/>
    <x v="1"/>
    <x v="4"/>
    <s v="Ifakara Health Institute"/>
    <s v="University of the WItwatersrand"/>
    <x v="3"/>
    <s v="Infectious Disease - Discretionary Award"/>
    <n v="1844720"/>
    <s v="Wellcome Trust"/>
    <n v="36"/>
    <x v="3"/>
    <x v="7"/>
    <s v="Using novel technologies for real time monitoring of the risk of mosquito -borne diseases in the context of climate and land use changes"/>
    <x v="2"/>
    <d v="2023-02-06T00:00:00"/>
    <s v="Principal Investigator"/>
    <s v=" Yes, CARTA has made a profound impact on my professional development and provided me with valuable training and experiences that helped me secure substantial grant awards"/>
    <m/>
    <s v="To investigate associations between climate, land-use and mosquito-borne disease risk at the local scale in southeastern Tanzania."/>
    <m/>
  </r>
  <r>
    <n v="378"/>
    <x v="25"/>
    <x v="47"/>
    <s v="Adetutu"/>
    <s v="Mayowa"/>
    <s v="Olufemi"/>
    <x v="1"/>
    <x v="2"/>
    <s v="Obafemi Awolowo University"/>
    <s v="Obafemi Awolowo University"/>
    <x v="3"/>
    <s v="Tertiary Education Trust Fund"/>
    <n v="31474"/>
    <s v="TET Fund"/>
    <m/>
    <x v="3"/>
    <x v="7"/>
    <s v="Exposure to particulate matter and associated neurocognitive effects among school-age children in Urban and rural communities in Oyo State"/>
    <x v="1"/>
    <d v="2023-01-12T00:00:00"/>
    <s v="Principal Investigator"/>
    <s v="Yes, Francis Adeniyi"/>
    <m/>
    <m/>
    <m/>
  </r>
  <r>
    <n v="379"/>
    <x v="25"/>
    <x v="76"/>
    <s v="Ssemugabo"/>
    <s v="Charles "/>
    <s v="Charles "/>
    <x v="1"/>
    <x v="8"/>
    <s v="Makerere University"/>
    <s v="Makerere University"/>
    <x v="3"/>
    <s v="MRC Public Health Intervention Development (PHIND)"/>
    <n v="189459.75"/>
    <s v="Medical Research Council (MRC)"/>
    <n v="18"/>
    <x v="3"/>
    <x v="7"/>
    <s v="Designing a multifaceted, community-driven, behavioural change intervention to improve first response to childhood burns (Cool-Burn20)"/>
    <x v="1"/>
    <d v="2023-07-03T00:00:00"/>
    <s v="Co-investigator"/>
    <m/>
    <m/>
    <m/>
    <m/>
  </r>
  <r>
    <n v="380"/>
    <x v="25"/>
    <x v="109"/>
    <s v="Tonui"/>
    <s v="Kibet"/>
    <s v="Ronald"/>
    <x v="1"/>
    <x v="8"/>
    <s v="Moi University"/>
    <s v="University of the WItwatersrand"/>
    <x v="3"/>
    <s v="IMPACT OF MALARIA ON SHAPING IMMUNITY TO EBV AND ENDEMIC BURKITT LYMPHOMA"/>
    <m/>
    <s v="USA National Institutes of Health (NIH), National Cancer Institute (NCI)"/>
    <n v="36"/>
    <x v="3"/>
    <x v="7"/>
    <s v="IMPACT OF MALARIA ON SHAPING IMMUNITY TO EBV AND ENDEMIC BURKITT LYMPHOMA"/>
    <x v="1"/>
    <m/>
    <s v="Co-investigator"/>
    <m/>
    <m/>
    <m/>
    <m/>
  </r>
  <r>
    <n v="381"/>
    <x v="25"/>
    <x v="115"/>
    <s v="Ingabire"/>
    <s v="Allen"/>
    <s v="Jean de la Croix"/>
    <x v="1"/>
    <x v="10"/>
    <s v="University of Rwanda"/>
    <s v="University of the WItwatersrand"/>
    <x v="3"/>
    <s v="CHUK SMALL GRANT"/>
    <n v="10000"/>
    <s v="UNIVERSITY TEACHING HOSPITAL OF KIGALI"/>
    <n v="12"/>
    <x v="3"/>
    <x v="7"/>
    <s v="Randomised Controlled Trial testing Disposable versus Reusable drApes and Gowns for green OperatiNg theatres (DRAGON Trial)"/>
    <x v="1"/>
    <d v="2023-06-01T00:00:00"/>
    <s v="Principal Investigator"/>
    <s v="Prof Faustin Ntirenganya"/>
    <m/>
    <m/>
    <m/>
  </r>
  <r>
    <n v="382"/>
    <x v="25"/>
    <x v="116"/>
    <s v="Oporia"/>
    <s v="N/A"/>
    <s v="Frederick "/>
    <x v="1"/>
    <x v="10"/>
    <s v="Makerere University"/>
    <s v="Makerere University"/>
    <x v="2"/>
    <s v="Scholarship to attend the Global Injury Prevention course at the Johns Hopkins Bloomberg School of Public Health"/>
    <n v="4000"/>
    <s v="Bloomberg Philanthropies "/>
    <m/>
    <x v="2"/>
    <x v="7"/>
    <m/>
    <x v="1"/>
    <m/>
    <m/>
    <m/>
    <m/>
    <m/>
    <m/>
  </r>
  <r>
    <n v="383"/>
    <x v="25"/>
    <x v="110"/>
    <s v="Kang'ethe"/>
    <s v="Mburu"/>
    <s v="James"/>
    <x v="1"/>
    <x v="10"/>
    <s v="University of Nairobi"/>
    <s v="University of Nairobi"/>
    <x v="1"/>
    <s v="INTEREST 2023 conference grant"/>
    <m/>
    <s v="Virology eduacation"/>
    <n v="1"/>
    <x v="1"/>
    <x v="7"/>
    <m/>
    <x v="1"/>
    <d v="2023-05-08T00:00:00"/>
    <m/>
    <m/>
    <m/>
    <m/>
    <m/>
  </r>
  <r>
    <n v="384"/>
    <x v="25"/>
    <x v="119"/>
    <s v="Vermaak"/>
    <m/>
    <s v="Stefanie"/>
    <x v="2"/>
    <x v="10"/>
    <s v="University of the WItwatersrand"/>
    <s v="University of the WItwatersrand"/>
    <x v="4"/>
    <s v="Fulbright Specialist Award (awarded to my co-supervisor Prof Chenneville)"/>
    <n v="4500"/>
    <s v="Fulbright"/>
    <n v="1"/>
    <x v="4"/>
    <x v="7"/>
    <m/>
    <x v="1"/>
    <d v="2023-06-01T00:00:00"/>
    <m/>
    <m/>
    <m/>
    <m/>
    <m/>
  </r>
  <r>
    <n v="385"/>
    <x v="25"/>
    <x v="127"/>
    <s v="Bakuwa"/>
    <s v="Connis"/>
    <s v="Takondwa"/>
    <x v="2"/>
    <x v="10"/>
    <s v="University of Malawi"/>
    <s v="University of the WItwatersrand"/>
    <x v="2"/>
    <s v="Bergen Summer Research School -Full funding"/>
    <n v="2000"/>
    <s v="Bergen Univerisy"/>
    <m/>
    <x v="2"/>
    <x v="7"/>
    <s v="BSRS2023_Visa_inviation letter_general_South Africa.pdf"/>
    <x v="1"/>
    <d v="2023-06-05T00:00:00"/>
    <m/>
    <m/>
    <m/>
    <m/>
    <m/>
  </r>
  <r>
    <n v="386"/>
    <x v="25"/>
    <x v="85"/>
    <s v="Mapayi"/>
    <s v="Moyosore"/>
    <s v="Boladale"/>
    <x v="2"/>
    <x v="1"/>
    <s v="Obafemi Awolowo University"/>
    <m/>
    <x v="1"/>
    <s v="MSKCC Grant to attend a conference"/>
    <n v="1660"/>
    <s v="MSKCC"/>
    <n v="1"/>
    <x v="1"/>
    <x v="7"/>
    <m/>
    <x v="2"/>
    <d v="2023-06-01T00:00:00"/>
    <m/>
    <s v="No"/>
    <m/>
    <s v="I am presenting a paper titled: Pilot Testing of an Empathic Communication Skills Training Intervention to Reduce Lung Cancer Stigma in Nigeria at the 24th World Congress of Psycho-Oncology 2023, which will be held in Milano, Italy, from 31st August to 3rd September 2023."/>
    <m/>
  </r>
  <r>
    <n v="387"/>
    <x v="25"/>
    <x v="81"/>
    <s v="Agunbiade"/>
    <s v="Melvin"/>
    <s v="Ojo"/>
    <x v="1"/>
    <x v="6"/>
    <s v="Obafemi Awolowo University"/>
    <m/>
    <x v="4"/>
    <s v="Lee Scholar Travel Award"/>
    <n v="14000"/>
    <s v="Society for the Study of Social Problems"/>
    <n v="1"/>
    <x v="4"/>
    <x v="7"/>
    <m/>
    <x v="2"/>
    <d v="2023-06-13T00:00:00"/>
    <m/>
    <s v="No"/>
    <m/>
    <s v="Travel support to attend the annual meeting of the Society for the Study of Social Problems"/>
    <m/>
  </r>
  <r>
    <n v="388"/>
    <x v="25"/>
    <x v="82"/>
    <s v="Wandera"/>
    <s v="Ojiambo"/>
    <s v="Stephen"/>
    <x v="1"/>
    <x v="9"/>
    <s v="Makerere University"/>
    <m/>
    <x v="3"/>
    <s v="CIVIS application for a Jean Monnet Network on External Policy: EU-Africa  "/>
    <m/>
    <s v="ERASMUS-JMO-2023-NETWORKS-HEI-NON-EU-AFRICA"/>
    <n v="36"/>
    <x v="3"/>
    <x v="7"/>
    <m/>
    <x v="2"/>
    <d v="2023-06-01T00:00:00"/>
    <s v="Team Member at Makerere University "/>
    <s v="No"/>
    <m/>
    <s v="Proposed Focus   The proposed network would focus on &quot;Confronting the Polycrisis&quot;, i.e. how different major societal  crises and challenges are occurring simultaneously and interfere with each other, most often with an  amplifying effect.     The network would approach this topic from 5 clusters of issues closely affected by the polycrisis, all of  which are connected to one or more of the Sustainable Development Goals defined by the United  Nations, and the European Commission Priorities for 2019-2024.   These 5 clusters would be centred on:   1. Well-Being (including health, the fight against poverty and hunger)  2. Energy (including affordable and clean energy, climate action)  3. Equality (i.e. the fight against inequalities and poverty)  4. Cities (including technological innovation)  5. Democracy (including the rule of law, democratic processes) "/>
    <m/>
  </r>
  <r>
    <n v="389"/>
    <x v="25"/>
    <x v="118"/>
    <s v="Mobolaji"/>
    <s v="Wale"/>
    <s v="Jacob"/>
    <x v="1"/>
    <x v="7"/>
    <s v="Obafemi Awolowo University"/>
    <m/>
    <x v="4"/>
    <m/>
    <n v="1003"/>
    <s v="Organizers of Ageing and Health Workshop in Sub-Saharan Africa"/>
    <m/>
    <x v="4"/>
    <x v="7"/>
    <m/>
    <x v="2"/>
    <d v="2023-02-19T00:00:00"/>
    <m/>
    <s v="No"/>
    <m/>
    <m/>
    <m/>
  </r>
  <r>
    <n v="390"/>
    <x v="25"/>
    <x v="29"/>
    <s v="Anywar "/>
    <s v="Upoki"/>
    <s v="Godwin"/>
    <x v="1"/>
    <x v="3"/>
    <s v="Makerere University"/>
    <m/>
    <x v="4"/>
    <s v="Global Young Academy"/>
    <n v="3000"/>
    <s v="Global Young Academy"/>
    <n v="1"/>
    <x v="4"/>
    <x v="7"/>
    <m/>
    <x v="2"/>
    <d v="2023-06-10T00:00:00"/>
    <m/>
    <s v="No"/>
    <m/>
    <s v="It was a travel award to cover my participation in the Global Young Academy AGM &amp; conference in Kigali Rwanda"/>
    <m/>
  </r>
  <r>
    <n v="391"/>
    <x v="25"/>
    <x v="82"/>
    <s v="Wandera"/>
    <s v="Ojiambo"/>
    <s v="Stephen"/>
    <x v="1"/>
    <x v="9"/>
    <s v="Makerere University"/>
    <m/>
    <x v="1"/>
    <s v="Carnegie Corporation of New York (CCNY) Fellow at the American Studies Association (ASA), Two-year ASA and Emerging Scholars Network Memberships"/>
    <m/>
    <s v="Carnegie Corporation of New York "/>
    <n v="1"/>
    <x v="1"/>
    <x v="7"/>
    <m/>
    <x v="2"/>
    <d v="2023-11-30T00:00:00"/>
    <m/>
    <s v="No"/>
    <m/>
    <s v="The award makes me a the Carnegie Corporation of New York (CCNY) fellow with a fully paid two-year membership to the African Studies Association (ASA) and Emerging Scholars Network Memberships in California. I will also present a paper of my scientific work"/>
    <m/>
  </r>
  <r>
    <n v="392"/>
    <x v="25"/>
    <x v="73"/>
    <s v="Adams"/>
    <s v="Nandi "/>
    <s v="Skye"/>
    <x v="2"/>
    <x v="8"/>
    <s v="University of the WItwatersrand"/>
    <m/>
    <x v="6"/>
    <s v="SCHD Certificate of Excellence (Research) "/>
    <m/>
    <m/>
    <m/>
    <x v="0"/>
    <x v="7"/>
    <m/>
    <x v="1"/>
    <m/>
    <m/>
    <s v="No"/>
    <m/>
    <s v="SCHD Certificate of Excellence (Research) for the school. "/>
    <m/>
  </r>
  <r>
    <n v="393"/>
    <x v="25"/>
    <x v="33"/>
    <s v="Kiplagat"/>
    <m/>
    <s v="Jepchirchir"/>
    <x v="2"/>
    <x v="4"/>
    <s v="Moi University"/>
    <m/>
    <x v="3"/>
    <s v="Aim of the grant is for early career investigators to grow into research independence"/>
    <n v="567005"/>
    <s v="NIH"/>
    <n v="60"/>
    <x v="3"/>
    <x v="7"/>
    <m/>
    <x v="2"/>
    <d v="2023-05-01T00:00:00"/>
    <m/>
    <m/>
    <m/>
    <m/>
    <m/>
  </r>
  <r>
    <n v="394"/>
    <x v="25"/>
    <x v="31"/>
    <s v="Zakumumpa"/>
    <m/>
    <s v="Henry"/>
    <x v="1"/>
    <x v="1"/>
    <s v="Makerere University"/>
    <m/>
    <x v="3"/>
    <s v="A political economy analysis of health taxes in Uganda"/>
    <n v="60000"/>
    <s v="WHO/ Alliance for Health Policy and Systems Research"/>
    <n v="12"/>
    <x v="3"/>
    <x v="7"/>
    <m/>
    <x v="2"/>
    <d v="2023-06-30T00:00:00"/>
    <s v="Co-investigator"/>
    <m/>
    <m/>
    <s v="This was a competitive award announced globally by the  WHO in early 2022. Six countries were awarded a grant around the theme of new taxes such as on sugar-sweetened beverages."/>
    <m/>
  </r>
  <r>
    <n v="395"/>
    <x v="25"/>
    <x v="31"/>
    <s v="Zakumumpa"/>
    <m/>
    <s v="Henry"/>
    <x v="1"/>
    <x v="1"/>
    <s v="Makerere University"/>
    <m/>
    <x v="3"/>
    <s v="Strengthening Institutional Support for postdoctoral researchers in a bid to reposition Makerere University as a research-led university"/>
    <n v="35000"/>
    <s v="Carnegie Corporation of New York"/>
    <n v="12"/>
    <x v="3"/>
    <x v="7"/>
    <m/>
    <x v="2"/>
    <d v="2023-07-01T00:00:00"/>
    <s v="Principal Investigator"/>
    <m/>
    <m/>
    <m/>
    <m/>
  </r>
  <r>
    <n v="396"/>
    <x v="25"/>
    <x v="42"/>
    <s v="Makwero"/>
    <s v="Kabudula"/>
    <s v="Martha"/>
    <x v="2"/>
    <x v="2"/>
    <s v="University of Malawi"/>
    <s v="University of the WItwatersrand"/>
    <x v="1"/>
    <s v="WONCA world travel grant"/>
    <n v="3000"/>
    <s v="Royal college of GPs Australia"/>
    <n v="1"/>
    <x v="1"/>
    <x v="7"/>
    <m/>
    <x v="1"/>
    <s v="23/10/2023"/>
    <m/>
    <m/>
    <m/>
    <m/>
    <m/>
  </r>
  <r>
    <n v="397"/>
    <x v="26"/>
    <x v="61"/>
    <s v="Murererehe"/>
    <m/>
    <s v="Julienne"/>
    <x v="2"/>
    <x v="7"/>
    <s v="University of Rwanda"/>
    <s v="University of the WItwatersrand"/>
    <x v="4"/>
    <m/>
    <n v="2500"/>
    <s v="IADR"/>
    <n v="1"/>
    <x v="4"/>
    <x v="7"/>
    <m/>
    <x v="1"/>
    <s v="24/06/2023"/>
    <m/>
    <m/>
    <m/>
    <m/>
    <m/>
  </r>
  <r>
    <n v="398"/>
    <x v="26"/>
    <x v="66"/>
    <s v="Maseko"/>
    <s v="Johanna"/>
    <s v="Lebogang"/>
    <x v="2"/>
    <x v="7"/>
    <s v="University of the WItwatersrand"/>
    <s v="University of the WItwatersrand"/>
    <x v="1"/>
    <s v="Conference attendance"/>
    <n v="1000"/>
    <s v="FALF"/>
    <n v="1"/>
    <x v="1"/>
    <x v="7"/>
    <m/>
    <x v="1"/>
    <s v="21/08/2023"/>
    <m/>
    <m/>
    <m/>
    <m/>
    <m/>
  </r>
  <r>
    <n v="399"/>
    <x v="26"/>
    <x v="78"/>
    <s v="OBIMAKINDE"/>
    <s v="MARGARET"/>
    <s v="ABIMBOLA"/>
    <x v="2"/>
    <x v="8"/>
    <s v="University of Ibadan"/>
    <s v="University of the WItwatersrand"/>
    <x v="3"/>
    <s v="AFREhealth Small Grant "/>
    <n v="19998.5"/>
    <s v="African Association for Health Professions Education and Research (AFREhealth) NIH award"/>
    <n v="10"/>
    <x v="3"/>
    <x v="7"/>
    <m/>
    <x v="1"/>
    <d v="2023-01-10T00:00:00"/>
    <s v="Principal Investigator"/>
    <s v="Priscille Musa, Cohort 9  Co-investigator"/>
    <m/>
    <m/>
    <m/>
  </r>
  <r>
    <n v="400"/>
    <x v="26"/>
    <x v="110"/>
    <s v="Kang'ethe"/>
    <s v="Mburu"/>
    <s v="James"/>
    <x v="1"/>
    <x v="10"/>
    <s v="University of Nairobi"/>
    <s v="University of Nairobi"/>
    <x v="1"/>
    <s v="8th African Caribbean Consortium Conference (AC3) travel grant "/>
    <n v="820"/>
    <s v="AC3"/>
    <m/>
    <x v="1"/>
    <x v="7"/>
    <m/>
    <x v="1"/>
    <d v="2023-11-10T00:00:00"/>
    <m/>
    <m/>
    <m/>
    <m/>
    <m/>
  </r>
  <r>
    <n v="401"/>
    <x v="26"/>
    <x v="110"/>
    <s v="Kang'ethe"/>
    <s v="Mburu"/>
    <s v="James"/>
    <x v="1"/>
    <x v="10"/>
    <s v="University of Nairobi"/>
    <s v="University of Nairobi"/>
    <x v="4"/>
    <s v="International AIDS Society (IAS) conference travel grant"/>
    <m/>
    <s v="IAS"/>
    <m/>
    <x v="4"/>
    <x v="7"/>
    <m/>
    <x v="1"/>
    <s v="23/07/2023"/>
    <m/>
    <m/>
    <m/>
    <m/>
    <m/>
  </r>
  <r>
    <n v="402"/>
    <x v="26"/>
    <x v="119"/>
    <s v="Vermaak"/>
    <m/>
    <s v="Stefanie"/>
    <x v="2"/>
    <x v="10"/>
    <s v="University of the WItwatersrand"/>
    <s v="University of the WItwatersrand"/>
    <x v="2"/>
    <s v="PhD Stipend"/>
    <n v="10000"/>
    <s v="DSI/USAID "/>
    <n v="12"/>
    <x v="2"/>
    <x v="7"/>
    <m/>
    <x v="1"/>
    <d v="2023-01-10T00:00:00"/>
    <m/>
    <m/>
    <m/>
    <m/>
    <m/>
  </r>
  <r>
    <n v="403"/>
    <x v="26"/>
    <x v="127"/>
    <s v="Bakuwa"/>
    <s v="Connis"/>
    <s v="Takondwa"/>
    <x v="2"/>
    <x v="10"/>
    <s v="University of Malawi"/>
    <s v="University of the WItwatersrand"/>
    <x v="1"/>
    <s v="International Developmental Paediatrics Association Congress 2023 registration"/>
    <n v="100"/>
    <s v="International Developmental Paediatrics Association"/>
    <m/>
    <x v="1"/>
    <x v="7"/>
    <m/>
    <x v="1"/>
    <m/>
    <m/>
    <m/>
    <m/>
    <m/>
    <m/>
  </r>
  <r>
    <n v="404"/>
    <x v="26"/>
    <x v="102"/>
    <s v="Muhayimana"/>
    <m/>
    <s v="Alice"/>
    <x v="2"/>
    <x v="10"/>
    <s v="University of Rwanda"/>
    <s v="University of the WItwatersrand"/>
    <x v="4"/>
    <s v="To attend FiGO conference"/>
    <n v="2000"/>
    <s v="University of Michigan-CIRHT in collaboration with UR"/>
    <m/>
    <x v="4"/>
    <x v="7"/>
    <m/>
    <x v="1"/>
    <d v="2023-09-09T00:00:00"/>
    <m/>
    <m/>
    <m/>
    <m/>
    <m/>
  </r>
  <r>
    <n v="405"/>
    <x v="26"/>
    <x v="1"/>
    <s v="Alonge"/>
    <s v="John"/>
    <s v="Ayodele"/>
    <x v="1"/>
    <x v="1"/>
    <s v="University of Ibadan"/>
    <m/>
    <x v="11"/>
    <s v="Joan van Albada Archivist Training Fund (JvAATF),"/>
    <n v="16533"/>
    <s v="The Ubbo Emmius Fund at the University of Groningen in The Netherlands."/>
    <n v="6"/>
    <x v="2"/>
    <x v="7"/>
    <m/>
    <x v="2"/>
    <d v="2023-01-09T00:00:00"/>
    <m/>
    <m/>
    <m/>
    <s v="The  grant facilitates my participation in specialized courses centered on Digital Records Curation and Recordkeeping Informatics at the University of Amsterdam, alongside an internship at the University of Groningen Library in the Netherlands. This extensive program will span six months, commencing in September 2023.    The primary aim of the JvAATF is to provide financial assistance and training to promising and motivated scholars with backgrounds from Africa, the Arab world, Asia, the Caribbean, or the Pacific. "/>
    <m/>
  </r>
  <r>
    <n v="406"/>
    <x v="26"/>
    <x v="85"/>
    <s v="Mapayi"/>
    <s v="Moyosore"/>
    <s v="Boladale"/>
    <x v="2"/>
    <x v="1"/>
    <s v="Obafemi Awolowo University"/>
    <m/>
    <x v="1"/>
    <s v="A grant to attend the 2023 World Congress of the international Psycho-Oncology Society. "/>
    <n v="2000"/>
    <s v="Memorial Sloan Kettering Cancer Center"/>
    <n v="1"/>
    <x v="1"/>
    <x v="7"/>
    <m/>
    <x v="2"/>
    <s v="31/08/2023"/>
    <m/>
    <m/>
    <m/>
    <s v="The PI was invited to participate in the 2023 World Congress of the International Psycho-Oncology Society. The conference took place at Università degli Studi di Milano in Milan, Italy between the 31st of August and the 3rd of September 2023. The conference aimed to bring together professionals in diverse fields from around the globe to dialogue about improving cancer care on an international level and develop strategies to add psychosocial issues to all aspects of cancer control. She made an oral presentation at the meeting titled 'Pilot Testing of an Empathic Communication Skills Training Intervention to Reduce Lung Cancer Stigma in Nigeria'. "/>
    <m/>
  </r>
  <r>
    <n v="407"/>
    <x v="26"/>
    <x v="128"/>
    <s v="Okaka"/>
    <s v="Okoth"/>
    <s v="Fredrick"/>
    <x v="1"/>
    <x v="6"/>
    <s v="Moi University"/>
    <m/>
    <x v="3"/>
    <s v="Moi University Africa Cluster Centre Award"/>
    <n v="2000"/>
    <s v="German Research Foundation, through Moi University Africa Cluster Centre"/>
    <n v="3"/>
    <x v="3"/>
    <x v="7"/>
    <m/>
    <x v="2"/>
    <d v="2023-01-09T00:00:00"/>
    <s v="Principal Investigator"/>
    <m/>
    <m/>
    <s v="The award focused on African studies on mobility. My proposal adequately addressed the grant theme and the research questions"/>
    <m/>
  </r>
  <r>
    <n v="408"/>
    <x v="26"/>
    <x v="98"/>
    <s v="Dube"/>
    <s v="N/A"/>
    <s v="Nkosiyazi"/>
    <x v="1"/>
    <x v="1"/>
    <s v="University of the WItwatersrand"/>
    <m/>
    <x v="3"/>
    <s v="FACULTY OF HUMANITIES EXAM MARKING BUY OUT GRANT 2023"/>
    <n v="1100"/>
    <s v="Wits Faculty Of Humanities "/>
    <n v="3"/>
    <x v="3"/>
    <x v="7"/>
    <m/>
    <x v="2"/>
    <d v="2023-01-10T00:00:00"/>
    <s v="Other"/>
    <m/>
    <m/>
    <s v="To complete a paper that I am writing."/>
    <m/>
  </r>
  <r>
    <n v="409"/>
    <x v="26"/>
    <x v="54"/>
    <s v="Molete"/>
    <s v="Matlakale"/>
    <s v="Mpho"/>
    <x v="2"/>
    <x v="3"/>
    <s v="University of the WItwatersrand"/>
    <m/>
    <x v="3"/>
    <s v="Wits Enabling Grant"/>
    <n v="11000"/>
    <s v="Wits Carnegie Enabling Grant"/>
    <n v="24"/>
    <x v="3"/>
    <x v="7"/>
    <m/>
    <x v="2"/>
    <d v="2023-03-07T00:00:00"/>
    <s v="Principal Investigator"/>
    <m/>
    <m/>
    <s v="Its a grant that aims to develop and capacitate early and midcareer academics for academic leadership."/>
    <m/>
  </r>
  <r>
    <n v="410"/>
    <x v="26"/>
    <x v="6"/>
    <s v="Kaunda-Khangamwa"/>
    <s v="Nyasilia"/>
    <s v="Blessings"/>
    <x v="2"/>
    <x v="2"/>
    <s v="University of Malawi"/>
    <m/>
    <x v="4"/>
    <s v="PAMCA WIVC Travel Grant"/>
    <n v="5000"/>
    <s v="Pan African Malaria Control Association"/>
    <n v="1"/>
    <x v="4"/>
    <x v="7"/>
    <m/>
    <x v="2"/>
    <s v="17/09/2023"/>
    <m/>
    <m/>
    <m/>
    <s v="I received the travel award as part of capacity-building efforts in vector control in Africa and my unwavering support to the Women in Vector Control Mentorship Programme."/>
    <m/>
  </r>
  <r>
    <n v="411"/>
    <x v="26"/>
    <x v="52"/>
    <s v="Olawoye"/>
    <s v="Oluyinka"/>
    <s v="Olusola"/>
    <x v="2"/>
    <x v="2"/>
    <s v="University of Ibadan"/>
    <m/>
    <x v="4"/>
    <s v="H3 Africa grant to attend the Annual Society for Human Genetics"/>
    <n v="3000"/>
    <s v="H3 Africa"/>
    <n v="4"/>
    <x v="4"/>
    <x v="7"/>
    <m/>
    <x v="2"/>
    <d v="2023-01-11T00:00:00"/>
    <m/>
    <m/>
    <m/>
    <s v="l submitted an abstract and it was accepted by the scientific committee for presentation"/>
    <m/>
  </r>
  <r>
    <n v="412"/>
    <x v="26"/>
    <x v="29"/>
    <s v="Anywar "/>
    <s v="Upoki"/>
    <s v="Godwin"/>
    <x v="1"/>
    <x v="3"/>
    <s v="Makerere University"/>
    <m/>
    <x v="3"/>
    <s v="Research Grant"/>
    <n v="889410"/>
    <s v="The Swiss National Science Foundation "/>
    <n v="36"/>
    <x v="3"/>
    <x v="7"/>
    <m/>
    <x v="2"/>
    <d v="2023-01-06T00:00:00"/>
    <s v="Co-investigator"/>
    <m/>
    <m/>
    <s v="B"/>
    <m/>
  </r>
  <r>
    <n v="413"/>
    <x v="26"/>
    <x v="24"/>
    <s v="Lawal"/>
    <s v="Barakat"/>
    <s v="Folake"/>
    <x v="2"/>
    <x v="2"/>
    <s v="University of Ibadan"/>
    <m/>
    <x v="4"/>
    <s v="Colgate EADPH Travel Grant"/>
    <n v="500"/>
    <s v="Colgate"/>
    <m/>
    <x v="4"/>
    <x v="7"/>
    <m/>
    <x v="2"/>
    <s v="14/09/2023"/>
    <m/>
    <m/>
    <m/>
    <s v="I submitted one of research findings (abstract from the CARTA-RE-ENTRY research grant to the European Association of Dental Public Health Conference travel award. My abstract was assessed and rated as one of the very few abstracts that were selected for the award.  "/>
    <m/>
  </r>
  <r>
    <n v="414"/>
    <x v="26"/>
    <x v="73"/>
    <s v="Adams"/>
    <s v="Nandi "/>
    <s v="Skye"/>
    <x v="2"/>
    <x v="8"/>
    <s v="University of the WItwatersrand"/>
    <m/>
    <x v="1"/>
    <s v="FRC Conference Support"/>
    <n v="550"/>
    <s v="Wits "/>
    <m/>
    <x v="1"/>
    <x v="7"/>
    <m/>
    <x v="2"/>
    <m/>
    <m/>
    <m/>
    <m/>
    <m/>
    <m/>
  </r>
  <r>
    <n v="415"/>
    <x v="26"/>
    <x v="62"/>
    <s v="Mbindyo"/>
    <s v="Minoo"/>
    <s v="Christine"/>
    <x v="2"/>
    <x v="7"/>
    <s v="University of Nairobi"/>
    <m/>
    <x v="3"/>
    <s v="TRANSFORM small poultry pack"/>
    <n v="188598"/>
    <s v="USAID"/>
    <n v="15"/>
    <x v="3"/>
    <x v="7"/>
    <m/>
    <x v="2"/>
    <s v="18/09/2023"/>
    <s v="Co-investigator"/>
    <m/>
    <m/>
    <s v="We had written a winning proposal used skill learned in CARTA. "/>
    <m/>
  </r>
  <r>
    <n v="416"/>
    <x v="27"/>
    <x v="115"/>
    <s v="Allen Ingabire"/>
    <m/>
    <s v="Jean de la Croix"/>
    <x v="1"/>
    <x v="10"/>
    <s v="University of Rwanda"/>
    <s v="University of Rwanda"/>
    <x v="3"/>
    <s v="Green Surgery"/>
    <n v="60000"/>
    <s v="NIHR-University of Birmingham"/>
    <n v="24"/>
    <x v="3"/>
    <x v="8"/>
    <m/>
    <x v="1"/>
    <d v="2024-02-01T00:00:00"/>
    <s v="Co-investigator"/>
    <s v="Prof Faustin Ntirenganya"/>
    <m/>
    <s v="Yes"/>
    <m/>
  </r>
  <r>
    <n v="417"/>
    <x v="27"/>
    <x v="101"/>
    <s v="Olorunmoteni"/>
    <s v="Eunice"/>
    <s v="Oluwatosin"/>
    <x v="2"/>
    <x v="10"/>
    <s v="Obafemi Awolowo University"/>
    <s v="University of the WItwatersrand"/>
    <x v="3"/>
    <s v="UK Department of Health and Social Care, the Global Health Workforce Programme (GHWP) "/>
    <n v="269582.59999999998"/>
    <s v=" UK Department of Health and Social Care, through Tropical Health and Education Trust"/>
    <n v="12"/>
    <x v="3"/>
    <x v="8"/>
    <m/>
    <x v="1"/>
    <d v="2024-02-01T00:00:00"/>
    <s v="Principal Investigator"/>
    <s v="Professors Boladale Mapayi and Marcelina Ijadunola. They are members of the project's advisory board."/>
    <m/>
    <s v="Yes"/>
    <m/>
  </r>
  <r>
    <n v="418"/>
    <x v="27"/>
    <x v="86"/>
    <s v="Mangeni"/>
    <s v="Nekesa"/>
    <s v="Judith"/>
    <x v="2"/>
    <x v="6"/>
    <s v="Moi University"/>
    <m/>
    <x v="3"/>
    <s v="RO1"/>
    <n v="699000"/>
    <s v="NIH"/>
    <n v="60"/>
    <x v="3"/>
    <x v="8"/>
    <s v=" ‘Real-World Impact of Next Generation Insecticidal Nets for Malaria Control in Rural Western Kenya’"/>
    <x v="2"/>
    <d v="2024-04-01T00:00:00"/>
    <s v="Principal Investigator"/>
    <m/>
    <m/>
    <m/>
    <m/>
  </r>
  <r>
    <n v="419"/>
    <x v="27"/>
    <x v="85"/>
    <s v="Mapayi"/>
    <s v="Moyosore"/>
    <s v="Boladale"/>
    <x v="2"/>
    <x v="1"/>
    <s v="Obafemi Awolowo University"/>
    <m/>
    <x v="3"/>
    <s v="Institution based Tetfund grant"/>
    <n v="2000"/>
    <s v="TETFUND"/>
    <n v="12"/>
    <x v="3"/>
    <x v="8"/>
    <s v="Sexual harassment among sexual minority individuals in Obafemi Awolowo University, Nigeria"/>
    <x v="2"/>
    <m/>
    <s v="Principal Investigator"/>
    <m/>
    <m/>
    <s v=" "/>
    <m/>
  </r>
  <r>
    <n v="420"/>
    <x v="27"/>
    <x v="128"/>
    <s v="Okaka"/>
    <s v="Okoth"/>
    <s v="Fredrick"/>
    <x v="1"/>
    <x v="6"/>
    <s v="Moi University"/>
    <m/>
    <x v="3"/>
    <s v="CARTA Institutionalization Grant "/>
    <n v="19090"/>
    <s v="African Population and Health Research Centre"/>
    <n v="11"/>
    <x v="3"/>
    <x v="8"/>
    <s v="Moi University Institutionalization of Graduate Grant Writing Workshop Project"/>
    <x v="2"/>
    <d v="2024-01-01T00:00:00"/>
    <s v="Co-applicant"/>
    <m/>
    <m/>
    <s v="Building the capacity of PhD graduates and early career scholars at Moi University with competencies to write competitive research grant proposals"/>
    <m/>
  </r>
  <r>
    <n v="421"/>
    <x v="27"/>
    <x v="129"/>
    <s v="MOSHI"/>
    <s v="RICHARD"/>
    <s v="IRENE"/>
    <x v="2"/>
    <x v="1"/>
    <s v="Ifakara Health Institute"/>
    <m/>
    <x v="12"/>
    <s v="International Writing Workshop grant 2023"/>
    <n v="30000"/>
    <s v="The British Academy"/>
    <n v="24"/>
    <x v="2"/>
    <x v="8"/>
    <s v=" "/>
    <x v="2"/>
    <d v="2024-01-03T00:00:00"/>
    <s v=" "/>
    <m/>
    <m/>
    <s v="This is an International Writing Grant which provide an opportunity scientists/scholars to collaborate with scholars from UK and provide training to the needy especially in social science.   The application was short and straight forward and we had included people with good tracking record that could be very beneficial to the expected beneficiaries.   I think it was selected because it will provide significant opportunity for carreer growth among scientists from different institutions. "/>
    <m/>
  </r>
  <r>
    <n v="422"/>
    <x v="27"/>
    <x v="28"/>
    <s v="Oyinlola"/>
    <s v="Folasade"/>
    <s v="Funmilola"/>
    <x v="2"/>
    <x v="2"/>
    <s v="Obafemi Awolowo University"/>
    <m/>
    <x v="3"/>
    <s v="RSTMH "/>
    <n v="7500"/>
    <s v="Royal Society for Tropican Medicine and Hygiene"/>
    <n v="12"/>
    <x v="3"/>
    <x v="8"/>
    <s v="An intervention on Parent-adolescent sexual communication "/>
    <x v="2"/>
    <d v="2024-04-07T00:00:00"/>
    <s v="Principal Investigator"/>
    <m/>
    <m/>
    <s v="Parent-adolescent sexual communication is considered a taboo in our context. Many parents desires the need to speak with their adolescents on SRH issues but lack the knowledge of the appropriate content, hence the need to educate the parents on the adequate age specific SRH needed for their children. "/>
    <m/>
  </r>
  <r>
    <n v="423"/>
    <x v="27"/>
    <x v="64"/>
    <s v="Peter"/>
    <s v="Shepelo"/>
    <s v="Getrude"/>
    <x v="2"/>
    <x v="7"/>
    <s v="University of Nairobi"/>
    <m/>
    <x v="3"/>
    <s v="AFROHUN transition award"/>
    <n v="7000"/>
    <s v="Africa One Health Universities Network"/>
    <n v="6"/>
    <x v="3"/>
    <x v="8"/>
    <s v="Enhancing rabies awareness among teachers and primary school learners in Machakos County, Kenya"/>
    <x v="2"/>
    <d v="2024-01-02T00:00:00"/>
    <s v="Principal Investigator"/>
    <m/>
    <m/>
    <s v="The award was on country small grants under zoonosis and One Health our proposal was selected because it had a strong justification and was had a potential impact on the most vulnerable groups."/>
    <m/>
  </r>
  <r>
    <n v="424"/>
    <x v="27"/>
    <x v="130"/>
    <s v="Sawe"/>
    <s v="Jepkoech"/>
    <s v="Caroline "/>
    <x v="2"/>
    <x v="1"/>
    <s v="Moi University"/>
    <m/>
    <x v="3"/>
    <s v="SSHRC Connection grant"/>
    <n v="49990"/>
    <s v="University of Toronto "/>
    <n v="24"/>
    <x v="3"/>
    <x v="8"/>
    <s v="Integrating climate and environmental change educational content into global health curricula: a series of collaborative catalyst events"/>
    <x v="2"/>
    <s v="20/05/2024"/>
    <s v="Co-investigator"/>
    <m/>
    <m/>
    <s v=" "/>
    <m/>
  </r>
  <r>
    <n v="425"/>
    <x v="27"/>
    <x v="73"/>
    <s v="Adams"/>
    <s v="Nandi "/>
    <s v="Skye"/>
    <x v="2"/>
    <x v="8"/>
    <s v="University of the WItwatersrand"/>
    <m/>
    <x v="3"/>
    <s v="Fellowship Fund, the Female Academic Leaders Fellowship (FALF)"/>
    <n v="12000"/>
    <s v=" "/>
    <n v="12"/>
    <x v="3"/>
    <x v="8"/>
    <s v="Managing feeding difficulties for children with autism "/>
    <x v="2"/>
    <d v="2024-07-05T00:00:00"/>
    <s v="Principal Investigator"/>
    <m/>
    <m/>
    <s v=" "/>
    <m/>
  </r>
  <r>
    <n v="426"/>
    <x v="27"/>
    <x v="62"/>
    <s v="Mbindyo"/>
    <s v="Minoo"/>
    <s v="Christine"/>
    <x v="2"/>
    <x v="7"/>
    <s v="University of Nairobi"/>
    <m/>
    <x v="3"/>
    <s v="AFROHUN Transition Award Professional Development [TAPROD] Program "/>
    <n v="6000"/>
    <s v="AFROHUN _USAID"/>
    <n v="6"/>
    <x v="3"/>
    <x v="8"/>
    <s v="Enhancing Rabies awareness in Machakos County, Kenya"/>
    <x v="2"/>
    <d v="2024-01-04T00:00:00"/>
    <s v="Principal Investigator"/>
    <m/>
    <m/>
    <s v="It is an early career award for learning skills on one health- I wrote this award with a CARTA fellow  We had best proposal  and the synerstigic effort also help us,Mentorship from CARTA especially through the CARTA graduate workshop "/>
    <m/>
  </r>
  <r>
    <n v="427"/>
    <x v="27"/>
    <x v="62"/>
    <s v="Mbindyo"/>
    <s v="Minoo"/>
    <s v="Christine"/>
    <x v="2"/>
    <x v="7"/>
    <s v="University of Nairobi"/>
    <m/>
    <x v="3"/>
    <s v="Improving milk and chicken meat quality and safety in the Kenyan food sector and Antimicrobial resistance (QUALIFOOD)"/>
    <n v="1442000"/>
    <s v="DANIDA"/>
    <n v="60"/>
    <x v="3"/>
    <x v="8"/>
    <s v="Improving milk and chicken meat quality and safety in the Kenyan food sector and Antimicrobial resistance (QUALIFOOD)"/>
    <x v="2"/>
    <d v="2024-01-02T00:00:00"/>
    <s v="Co-investigator"/>
    <m/>
    <m/>
    <s v="Improving milk and chicken meat quality and safety in the Kenyan food sector and Antimicrobial resistance (QUALIFOOD)- This a grant on improvong food safety and reduction of AMR in Kenya using One health approach- "/>
    <m/>
  </r>
  <r>
    <n v="428"/>
    <x v="27"/>
    <x v="78"/>
    <s v="Obimakinde "/>
    <s v="Margaret "/>
    <s v="Abimbola "/>
    <x v="2"/>
    <x v="8"/>
    <s v="University of Ibadan"/>
    <m/>
    <x v="3"/>
    <s v="AFREHealth small grant supported by NIH-forgaty"/>
    <n v="19998.5"/>
    <s v="Africa Forum for Research and Education in Health"/>
    <n v="9"/>
    <x v="3"/>
    <x v="8"/>
    <s v="MOTIVATIONAL INTERVIEWING SKILLS TRAINING OF CLINICAL STUDENTS AND EARLY CAREER HEALTHCARE WORKERS FOR PRIMARY CARE MANAGEMENT OF NDCs IN LMICS IN AFRICA (MIST-NCDs)"/>
    <x v="2"/>
    <d v="2024-01-04T00:00:00"/>
    <s v="Principal Investigator"/>
    <m/>
    <m/>
    <s v=" "/>
    <m/>
  </r>
  <r>
    <n v="429"/>
    <x v="27"/>
    <x v="61"/>
    <s v="Murererehe"/>
    <m/>
    <s v="Julienne"/>
    <x v="2"/>
    <x v="7"/>
    <s v="University of Rwanda"/>
    <s v="University of the WItwatersrand"/>
    <x v="4"/>
    <s v="GOHIRN "/>
    <n v="2500"/>
    <s v="IADR "/>
    <n v="1"/>
    <x v="4"/>
    <x v="8"/>
    <m/>
    <x v="1"/>
    <m/>
    <m/>
    <m/>
    <m/>
    <m/>
    <m/>
  </r>
  <r>
    <n v="430"/>
    <x v="27"/>
    <x v="77"/>
    <s v="Silaule"/>
    <m/>
    <s v="Olindah"/>
    <x v="2"/>
    <x v="8"/>
    <s v="University of the WItwatersrand"/>
    <s v="University of the WItwatersrand"/>
    <x v="3"/>
    <s v="Start-up Emerging Researcher Award (SERA)"/>
    <n v="5500"/>
    <s v="University of Cape Town Faculty of Health Sciences "/>
    <n v="24"/>
    <x v="3"/>
    <x v="8"/>
    <m/>
    <x v="1"/>
    <d v="2024-01-06T00:00:00"/>
    <s v="Principal Investigator"/>
    <m/>
    <m/>
    <s v="CARTA equipped me with research writing skills that enabled me to write a competitive grant application which led to the success in this grant."/>
    <m/>
  </r>
  <r>
    <n v="431"/>
    <x v="27"/>
    <x v="33"/>
    <s v="Kiplagat"/>
    <m/>
    <s v="Jepchirchir"/>
    <x v="2"/>
    <x v="4"/>
    <s v="Moi University"/>
    <s v="University of the WItwatersrand"/>
    <x v="3"/>
    <m/>
    <n v="100000"/>
    <s v="Gilead's Global Public Health Awards Program"/>
    <n v="24"/>
    <x v="3"/>
    <x v="8"/>
    <s v="Imbedding Comprehensive Geriatrics Assessment for Older Adults Living with HIV at AMPATH HIV Clinics in western Kenya "/>
    <x v="2"/>
    <d v="2024-01-01T00:00:00"/>
    <s v="Pricipal investigator"/>
    <m/>
    <m/>
    <m/>
    <m/>
  </r>
  <r>
    <n v="432"/>
    <x v="27"/>
    <x v="131"/>
    <s v="Samuel"/>
    <m/>
    <s v="Mwaniki"/>
    <x v="1"/>
    <x v="7"/>
    <s v="University of Nairobi"/>
    <m/>
    <x v="3"/>
    <m/>
    <n v="50000"/>
    <s v="Integrated Networks of Scholars in Global Health Research Training (INSIGHT)"/>
    <n v="12"/>
    <x v="3"/>
    <x v="8"/>
    <s v="Preferences for HIV pre-exposure prophylaxis options among young gay, bisexual and other men who have sex with men and young transgender women in Kenya: a discrete choice experiment"/>
    <x v="2"/>
    <d v="2024-07-08T00:00:00"/>
    <m/>
    <m/>
    <m/>
    <m/>
    <m/>
  </r>
  <r>
    <n v="433"/>
    <x v="27"/>
    <x v="48"/>
    <s v="Adetutu"/>
    <s v="Olufemi"/>
    <s v="Mayowa"/>
    <x v="1"/>
    <x v="4"/>
    <s v="Obafemi Awolowo University"/>
    <m/>
    <x v="3"/>
    <s v="The Royal Society of Tropical Medicine and Hygeine"/>
    <n v="5000"/>
    <m/>
    <n v="12"/>
    <x v="3"/>
    <x v="8"/>
    <s v="Co-designed health promotion intervention toreduce non-communicable diseases and mental disorder of young people living with HIV in health facilities, Ile-Ife, Osun State"/>
    <x v="1"/>
    <m/>
    <m/>
    <m/>
    <m/>
    <m/>
    <m/>
  </r>
  <r>
    <n v="434"/>
    <x v="27"/>
    <x v="116"/>
    <s v="Fredrick "/>
    <m/>
    <s v="Oporia"/>
    <x v="1"/>
    <x v="10"/>
    <s v="Makerere University"/>
    <m/>
    <x v="3"/>
    <m/>
    <n v="1400000"/>
    <m/>
    <m/>
    <x v="3"/>
    <x v="8"/>
    <s v="Establishment of an Emerging and Re-emerging Infectious Diseases (TERID) Research Hub in East Africa"/>
    <x v="2"/>
    <m/>
    <m/>
    <m/>
    <m/>
    <m/>
    <m/>
  </r>
  <r>
    <n v="435"/>
    <x v="27"/>
    <x v="89"/>
    <s v="Kato"/>
    <s v="Drago"/>
    <s v="Charles"/>
    <x v="1"/>
    <x v="6"/>
    <s v="Makerere University"/>
    <m/>
    <x v="3"/>
    <s v="Establishment of an Emerging and Re-emerging Infectious Diseases (TERID) Research Hub in East Africa"/>
    <n v="200000"/>
    <s v="SFC/APHRC"/>
    <n v="24"/>
    <x v="3"/>
    <x v="8"/>
    <m/>
    <x v="2"/>
    <m/>
    <s v="Principal Investigator"/>
    <m/>
    <m/>
    <m/>
    <m/>
  </r>
  <r>
    <n v="436"/>
    <x v="27"/>
    <x v="89"/>
    <s v="Kato"/>
    <s v="Drago"/>
    <s v="Charles"/>
    <x v="1"/>
    <x v="6"/>
    <s v="Makerere University"/>
    <m/>
    <x v="3"/>
    <s v="Establishment of a Biomarker research facility to first track the development of COVID-19 novel diagnostics and treatment alternatives in Uganda"/>
    <n v="1600000"/>
    <s v="Government of Uganda"/>
    <n v="38"/>
    <x v="3"/>
    <x v="4"/>
    <m/>
    <x v="2"/>
    <m/>
    <s v="Principal Investigator"/>
    <m/>
    <m/>
    <m/>
    <m/>
  </r>
  <r>
    <n v="437"/>
    <x v="27"/>
    <x v="89"/>
    <s v="Kato"/>
    <s v="Drago"/>
    <s v="Charles"/>
    <x v="1"/>
    <x v="6"/>
    <s v="Makerere University"/>
    <m/>
    <x v="3"/>
    <s v="Strengthening Surveillance of Leishmaniasis in Uganda and Kenya through a Collaborative Multisectoral One Health Capacity Building Approach in Endemic foci"/>
    <n v="100000"/>
    <s v="WHO/TDR"/>
    <n v="18"/>
    <x v="3"/>
    <x v="7"/>
    <m/>
    <x v="2"/>
    <m/>
    <s v="Principal Investigator"/>
    <m/>
    <m/>
    <m/>
    <m/>
  </r>
  <r>
    <n v="438"/>
    <x v="27"/>
    <x v="89"/>
    <s v="Kato"/>
    <s v="Drago"/>
    <s v="Charles"/>
    <x v="1"/>
    <x v="6"/>
    <s v="Makerere University"/>
    <m/>
    <x v="3"/>
    <s v="Developing a National Network of STI Excellence as a foundry for Accelerated Transformative STI Human Capital Development"/>
    <n v="1000000"/>
    <s v="Government of Uganda"/>
    <n v="24"/>
    <x v="3"/>
    <x v="7"/>
    <m/>
    <x v="2"/>
    <m/>
    <s v="Co-investigator"/>
    <m/>
    <m/>
    <m/>
    <m/>
  </r>
  <r>
    <n v="439"/>
    <x v="27"/>
    <x v="89"/>
    <s v="Kato"/>
    <s v="Drago"/>
    <s v="Charles"/>
    <x v="1"/>
    <x v="6"/>
    <s v="Makerere University"/>
    <m/>
    <x v="3"/>
    <s v="Innovation for Sustainability and Societal relevance: Partnerships in evidence-based higher education on food systems and climate change"/>
    <n v="868808"/>
    <s v="Erasmus-EU"/>
    <n v="36"/>
    <x v="3"/>
    <x v="7"/>
    <m/>
    <x v="2"/>
    <m/>
    <s v="Co-investigator"/>
    <m/>
    <m/>
    <m/>
    <m/>
  </r>
  <r>
    <n v="440"/>
    <x v="27"/>
    <x v="89"/>
    <s v="Kato"/>
    <s v="Drago"/>
    <s v="Charles"/>
    <x v="1"/>
    <x v="6"/>
    <s v="Makerere University"/>
    <m/>
    <x v="3"/>
    <s v="Development and Evaluation of Recombinant SARS-CoV-2 Spike and Membrane recombinant Protein as potential Sub-Unit Vaccines"/>
    <n v="1500000"/>
    <s v="Government of Uganda"/>
    <n v="45"/>
    <x v="3"/>
    <x v="4"/>
    <m/>
    <x v="2"/>
    <m/>
    <s v="Co-investigator"/>
    <m/>
    <m/>
    <m/>
    <m/>
  </r>
  <r>
    <n v="441"/>
    <x v="27"/>
    <x v="89"/>
    <s v="Kato"/>
    <s v="Drago"/>
    <s v="Charles"/>
    <x v="1"/>
    <x v="6"/>
    <s v="Makerere University"/>
    <m/>
    <x v="3"/>
    <s v="Clinical Validation of Novel Stage Diagnostic Biomarkers Among Trypanosoma brucei rhodesiense Sleeping Sickness Patients in Uganda"/>
    <n v="141317"/>
    <s v="EDCTP-EU"/>
    <n v="48"/>
    <x v="3"/>
    <x v="3"/>
    <m/>
    <x v="2"/>
    <m/>
    <s v="Principal Investigator"/>
    <m/>
    <m/>
    <m/>
    <m/>
  </r>
  <r>
    <n v="442"/>
    <x v="27"/>
    <x v="89"/>
    <s v="Kato"/>
    <s v="Drago"/>
    <s v="Charles"/>
    <x v="1"/>
    <x v="6"/>
    <s v="Makerere University"/>
    <m/>
    <x v="3"/>
    <s v="Identification of Novel Stage Diagnostic Biomarkers Among Trypanosoma brucei rhodesiense Sleeping Sickness Patients in Uganda"/>
    <n v="108601"/>
    <s v="Wellcome Trust/UVRI"/>
    <n v="12"/>
    <x v="3"/>
    <x v="0"/>
    <m/>
    <x v="2"/>
    <m/>
    <s v="Principal Investigator"/>
    <m/>
    <m/>
    <m/>
    <m/>
  </r>
  <r>
    <n v="443"/>
    <x v="28"/>
    <x v="27"/>
    <s v="Moroe"/>
    <s v="Nzuza"/>
    <s v="Nomfundo"/>
    <x v="2"/>
    <x v="3"/>
    <s v="University of the WItwatersrand"/>
    <s v="University of the WItwatersrand"/>
    <x v="3"/>
    <s v="Africa Research Excellence Fund (AREF)’s Research Development Fellowship Seed Fund"/>
    <n v="5228"/>
    <s v="AREF"/>
    <n v="12"/>
    <x v="3"/>
    <x v="8"/>
    <m/>
    <x v="2"/>
    <m/>
    <s v="Principal Investigator"/>
    <m/>
    <m/>
    <s v="The will be evaluating the feasibility, acceptability, and fidelity of a behavior change intervention aimed at promoting consistent utilization of hearing protection devices among mineworkers exposed to occupational noise"/>
    <m/>
  </r>
  <r>
    <n v="444"/>
    <x v="28"/>
    <x v="76"/>
    <s v="Ssemugabo"/>
    <s v="Charles "/>
    <s v="Charles "/>
    <x v="1"/>
    <x v="8"/>
    <s v="Makerere University"/>
    <s v="Makerere University"/>
    <x v="3"/>
    <s v="Global Development Hub Project Accelerator grant"/>
    <n v="66179.839999999997"/>
    <s v=" International Science Partnerships Fund (ISPF) Global Development Hub Project Accelerator grant."/>
    <m/>
    <x v="3"/>
    <x v="8"/>
    <s v="Supplementary grant to the project aimed at designing a Multifaceted, Community-driven, Behavioral Change Intervention to Improve First Response to Childhood Burns,’ which is funded by the Medical Research Council"/>
    <x v="2"/>
    <m/>
    <s v="Co-Investigator and Ugandan Lead"/>
    <m/>
    <m/>
    <m/>
    <m/>
  </r>
  <r>
    <n v="445"/>
    <x v="28"/>
    <x v="76"/>
    <s v="Ssemugabo"/>
    <s v="Charles "/>
    <s v="Charles "/>
    <x v="1"/>
    <x v="8"/>
    <s v="Makerere University"/>
    <s v="Makerere University"/>
    <x v="3"/>
    <m/>
    <n v="1390408.68"/>
    <s v="Ministry of Foreign Affairs of Denmark"/>
    <n v="36"/>
    <x v="3"/>
    <x v="8"/>
    <m/>
    <x v="2"/>
    <m/>
    <s v="Co-investigator"/>
    <m/>
    <m/>
    <s v="To explore the extent of climate youth migration and its gendered impact on livelihoods, health and system capacity in secondary cities in Uganda to inform preparedness and response  interrventions to minimize the negative impacts of clim"/>
    <m/>
  </r>
  <r>
    <n v="446"/>
    <x v="28"/>
    <x v="42"/>
    <s v="Makwero"/>
    <s v="Kabudula"/>
    <s v="Martha"/>
    <x v="2"/>
    <x v="2"/>
    <s v="University of Malawi"/>
    <s v="University of the WItwatersrand"/>
    <x v="1"/>
    <s v="PRIMAFAMMED"/>
    <n v="2000"/>
    <s v="NORHED PRICE project"/>
    <n v="1"/>
    <x v="1"/>
    <x v="8"/>
    <m/>
    <x v="1"/>
    <d v="2024-08-06T00:00:00"/>
    <m/>
    <m/>
    <m/>
    <m/>
    <m/>
  </r>
  <r>
    <n v="447"/>
    <x v="28"/>
    <x v="42"/>
    <s v="Makwero"/>
    <s v="Kabudula"/>
    <s v="Martha"/>
    <x v="2"/>
    <x v="2"/>
    <s v="University of Malawi"/>
    <s v="University of the WItwatersrand"/>
    <x v="3"/>
    <s v="Person centred care Grant"/>
    <n v="10000"/>
    <s v="Linköpings universitet (LiU), org.no. 202100-3096, represented by the Department of Health, Medicine and Caring Sciences (HMV), 581 85 Linköping."/>
    <n v="6"/>
    <x v="3"/>
    <x v="8"/>
    <m/>
    <x v="1"/>
    <d v="2024-07-02T00:00:00"/>
    <s v="Principal Investigator"/>
    <m/>
    <m/>
    <s v="CARTA exposed me to research writing and improved my exposure to the world of grant writing.  "/>
    <m/>
  </r>
  <r>
    <n v="448"/>
    <x v="28"/>
    <x v="110"/>
    <s v="Kang'ethe"/>
    <s v="Mburu"/>
    <s v="James"/>
    <x v="1"/>
    <x v="10"/>
    <s v="University of Nairobi"/>
    <s v="University of Nairobi"/>
    <x v="1"/>
    <s v="AIDS 2024 conference travel award"/>
    <m/>
    <s v="IAS"/>
    <n v="1"/>
    <x v="1"/>
    <x v="8"/>
    <m/>
    <x v="1"/>
    <d v="2024-07-22T00:00:00"/>
    <m/>
    <m/>
    <m/>
    <m/>
    <m/>
  </r>
  <r>
    <n v="449"/>
    <x v="28"/>
    <x v="132"/>
    <s v="Ugalahi"/>
    <s v="Ogbenyi"/>
    <s v="Mary"/>
    <x v="2"/>
    <x v="10"/>
    <s v="University of Ibadan"/>
    <s v="University of Ibadan"/>
    <x v="4"/>
    <s v="Accomodation Support for WCPOS 5"/>
    <n v="200"/>
    <s v="World Society of Paediatric Ophthalmology and Strabismus"/>
    <n v="1"/>
    <x v="4"/>
    <x v="8"/>
    <m/>
    <x v="1"/>
    <m/>
    <m/>
    <m/>
    <m/>
    <m/>
    <m/>
  </r>
  <r>
    <n v="450"/>
    <x v="28"/>
    <x v="101"/>
    <s v="Olorunmoteni"/>
    <s v="Eunice"/>
    <s v="Oluwatosin"/>
    <x v="2"/>
    <x v="10"/>
    <s v="Obafemi Awolowo University"/>
    <s v="University of the WItwatersrand"/>
    <x v="3"/>
    <s v="UK Department of Health and Social Care, the Global Health Workforce Programme (GHWP) "/>
    <n v="269582.59999999998"/>
    <s v=" UK Department of Health and Social Care, through Tropical Health and Education Trust now Global Health Partnerships"/>
    <n v="12"/>
    <x v="3"/>
    <x v="8"/>
    <m/>
    <x v="1"/>
    <d v="2024-02-01T00:00:00"/>
    <s v="Principal Investigator"/>
    <m/>
    <m/>
    <s v="The lessons thought during JAS 4 helped me greatly as I applied for this grant. I have been able to work well with my collaborators through the exposure and training from CARTA."/>
    <m/>
  </r>
  <r>
    <n v="451"/>
    <x v="28"/>
    <x v="85"/>
    <s v="Mapayi"/>
    <s v="Moyosore"/>
    <s v="Boladale"/>
    <x v="2"/>
    <x v="1"/>
    <s v="Obafemi Awolowo University"/>
    <m/>
    <x v="3"/>
    <s v="Institution based Tetfund grant"/>
    <n v="20000"/>
    <s v="TETFUND"/>
    <n v="24"/>
    <x v="3"/>
    <x v="8"/>
    <m/>
    <x v="2"/>
    <d v="2024-06-01T00:00:00"/>
    <s v="Co-investigator"/>
    <m/>
    <m/>
    <m/>
    <m/>
  </r>
  <r>
    <n v="452"/>
    <x v="28"/>
    <x v="64"/>
    <s v="Peter"/>
    <s v="Shepelo"/>
    <s v="Getrude"/>
    <x v="2"/>
    <x v="7"/>
    <s v="University of Nairobi"/>
    <m/>
    <x v="3"/>
    <s v="Capacitating One Health in Eastern and Central Africa (COHESA)"/>
    <n v="36612"/>
    <s v="International Livestock Research Institute"/>
    <n v="12"/>
    <x v="3"/>
    <x v="8"/>
    <m/>
    <x v="2"/>
    <d v="2024-11-01T00:00:00"/>
    <s v="Co-investigator"/>
    <m/>
    <m/>
    <s v="The research work is to develop a community-centered intervention to reduce antimicrobial use in poultry farms. Our team was selected because the reviewers noted that we had a good idea, targeting a genuine problem and a clear gap "/>
    <m/>
  </r>
  <r>
    <n v="453"/>
    <x v="28"/>
    <x v="130"/>
    <s v="Sawe"/>
    <s v="Jepkoech"/>
    <s v="Caroline "/>
    <x v="2"/>
    <x v="1"/>
    <s v="Moi University"/>
    <m/>
    <x v="3"/>
    <m/>
    <m/>
    <m/>
    <m/>
    <x v="3"/>
    <x v="8"/>
    <m/>
    <x v="2"/>
    <m/>
    <s v="Co-investigator"/>
    <m/>
    <m/>
    <m/>
    <m/>
  </r>
  <r>
    <n v="454"/>
    <x v="28"/>
    <x v="118"/>
    <s v="Mobolaji"/>
    <s v="Wale"/>
    <s v="Jacob"/>
    <x v="1"/>
    <x v="7"/>
    <s v="Obafemi Awolowo University"/>
    <m/>
    <x v="3"/>
    <s v="Institutional Based Research (IBR)"/>
    <n v="3000"/>
    <s v="Federal Government of Nigeria through Tertiary Education Trust Fund (TETFUND)"/>
    <n v="12"/>
    <x v="3"/>
    <x v="8"/>
    <m/>
    <x v="2"/>
    <d v="2024-12-01T00:00:00"/>
    <s v="Principal Investigator"/>
    <m/>
    <m/>
    <s v="The aim of the award is to address local challenges. The proposed project focuses on addressing local problems in the university using innovative approach."/>
    <m/>
  </r>
  <r>
    <n v="455"/>
    <x v="28"/>
    <x v="13"/>
    <s v="Cadmus "/>
    <s v="Olubukola "/>
    <s v="Eniola "/>
    <x v="2"/>
    <x v="2"/>
    <s v="University of Ibadan"/>
    <m/>
    <x v="1"/>
    <s v="READ ADDSP Project travel grant"/>
    <m/>
    <s v="Africa Dementia Consortium"/>
    <m/>
    <x v="1"/>
    <x v="8"/>
    <m/>
    <x v="2"/>
    <d v="2024-12-03T00:00:00"/>
    <m/>
    <m/>
    <m/>
    <s v="Return flight from Nigeria to Kenya  Conference Registration  Accomodation"/>
    <m/>
  </r>
  <r>
    <n v="456"/>
    <x v="28"/>
    <x v="29"/>
    <s v="Anywar "/>
    <s v="Upoki"/>
    <s v="Godwin"/>
    <x v="1"/>
    <x v="3"/>
    <s v="Makerere University"/>
    <m/>
    <x v="13"/>
    <s v="Young Scientist Award in the category of Phytochemicals &amp; Medicinal Plants, -2024 "/>
    <m/>
    <s v="Society for Plant Research (SPR), in India"/>
    <n v="12"/>
    <x v="9"/>
    <x v="8"/>
    <m/>
    <x v="2"/>
    <d v="2024-12-26T00:00:00"/>
    <m/>
    <m/>
    <m/>
    <s v="The prestigious Young Scientist Award in the category of Phytochemicals &amp; Medicinal Plants, -2024 by the Society for Plant Research (SPR), in India"/>
    <m/>
  </r>
  <r>
    <n v="457"/>
    <x v="28"/>
    <x v="65"/>
    <s v="Esan"/>
    <s v="Taiwo"/>
    <s v="Oluwaseun"/>
    <x v="2"/>
    <x v="7"/>
    <s v="Obafemi Awolowo University"/>
    <m/>
    <x v="14"/>
    <s v="Enhancing Doctoral Supervision Capacity at the Obafemi  Awolowo University (EDUCATE OAU) "/>
    <n v="19008"/>
    <s v=" African Population and Health Research Centre (APHRC) and Sida"/>
    <n v="6"/>
    <x v="10"/>
    <x v="8"/>
    <m/>
    <x v="2"/>
    <d v="2024-08-01T00:00:00"/>
    <m/>
    <m/>
    <m/>
    <s v="The purpose of the award is to co-create and adapt the CARTA doctoral supervision curriculum and improve the quality of doctoral program and research at the Obafemi Awolowo University, with real-time monitoring of the PhD program. "/>
    <m/>
  </r>
  <r>
    <n v="458"/>
    <x v="28"/>
    <x v="133"/>
    <s v="FEHINTOLA"/>
    <s v="OMOLOLA"/>
    <s v="FUNMITO"/>
    <x v="2"/>
    <x v="8"/>
    <s v="Obafemi Awolowo University"/>
    <m/>
    <x v="1"/>
    <s v="NIL"/>
    <n v="0"/>
    <s v="NIL"/>
    <n v="10"/>
    <x v="1"/>
    <x v="8"/>
    <m/>
    <x v="2"/>
    <m/>
    <m/>
    <m/>
    <m/>
    <s v="NIL"/>
    <m/>
  </r>
  <r>
    <n v="459"/>
    <x v="28"/>
    <x v="72"/>
    <s v="Arije"/>
    <s v="Olusesan"/>
    <s v="Olujide"/>
    <x v="1"/>
    <x v="8"/>
    <s v="Obafemi Awolowo University"/>
    <m/>
    <x v="3"/>
    <s v="TETFUND Institutional-Based Research (IBR) Grant"/>
    <n v="2500"/>
    <s v="TETFUND"/>
    <n v="12"/>
    <x v="3"/>
    <x v="8"/>
    <m/>
    <x v="2"/>
    <d v="2024-08-01T00:00:00"/>
    <s v="Principal Investigator"/>
    <m/>
    <m/>
    <s v=" This research focuses on assessing the CARTA initiative, with an emphasis on its future prospects for Obafemi Awolowo University (OAU). While the primary objective of this study is to evaluate the impact and trajectory of the CARTA grant at OAU, it also includes a component to create a dedicated website for CARTA fellows and activities, hosted on the oauife.edu.ng domain.    "/>
    <m/>
  </r>
  <r>
    <n v="460"/>
    <x v="28"/>
    <x v="108"/>
    <s v="van Stormbroek"/>
    <m/>
    <s v="Kirsty"/>
    <x v="2"/>
    <x v="8"/>
    <s v="University of the WItwatersrand"/>
    <m/>
    <x v="4"/>
    <s v="WitsFRC Travel Grant for Local Conference Attendance"/>
    <n v="388"/>
    <s v="Wits Research Office "/>
    <n v="1"/>
    <x v="4"/>
    <x v="8"/>
    <m/>
    <x v="2"/>
    <d v="2024-08-31T00:00:00"/>
    <m/>
    <m/>
    <m/>
    <s v="Awarded Conference Grant to present oral presentation at the 53rd Congress of the South African Society of Surgery for the Hand "/>
    <m/>
  </r>
  <r>
    <n v="461"/>
    <x v="29"/>
    <x v="134"/>
    <s v="Mwakalinga"/>
    <m/>
    <s v="Victoria"/>
    <x v="2"/>
    <x v="5"/>
    <s v="Ardhi University"/>
    <m/>
    <x v="3"/>
    <s v="Young people and relational wellbeing (RWB) in urban and peri-urban environments,"/>
    <n v="200000"/>
    <s v="The National Research Foundation (NRF), the Fondation Botnar (FB), and the Human Science Research Council (HSRC)"/>
    <n v="36"/>
    <x v="3"/>
    <x v="9"/>
    <s v="Spatial Temporal Modelling of Localized Relational Impacts on Youth Livelihoods Under Changing Climate in Informal Peri-urban Settlements in Dar es Salaam, Tanzania."/>
    <x v="2"/>
    <d v="2024-12-23T00:00:00"/>
    <s v="Principal Investigator"/>
    <m/>
    <m/>
    <m/>
    <m/>
  </r>
  <r>
    <n v="462"/>
    <x v="28"/>
    <x v="122"/>
    <s v="Akinwaare"/>
    <s v="Omowaleola"/>
    <s v="Margaret"/>
    <x v="2"/>
    <x v="7"/>
    <s v="University of Ibadan"/>
    <s v="University of Ibadan"/>
    <x v="3"/>
    <s v="one-year  postdoctoral fellowship by Harvard University, Boston University, Northwestern University and New Mexico University (HBNU) Global Health Consortium. "/>
    <n v="15000"/>
    <s v="Fogarty International Centre, National Institutes of Health,through Harvard University, Boston University, Northwestern University and New Mexico University (HBNU) Global Health Consortium. "/>
    <n v="12"/>
    <x v="3"/>
    <x v="8"/>
    <s v="Effects of digitalized antenatal education on prevention of mother-to-child transmission among pregnant women and recently-delivered mothers living with HIV in Southwestern Nigeria."/>
    <x v="2"/>
    <d v="2024-07-01T00:00:00"/>
    <s v="Principal Investigator"/>
    <m/>
    <m/>
    <m/>
    <m/>
  </r>
  <r>
    <n v="463"/>
    <x v="28"/>
    <x v="62"/>
    <s v="Mbindyo"/>
    <s v="Minoo"/>
    <s v="Christine"/>
    <x v="2"/>
    <x v="7"/>
    <s v="University of Nairobi"/>
    <m/>
    <x v="3"/>
    <s v="Capacitating One Health in Eastern and Southern Africa"/>
    <n v="35700"/>
    <s v="UK AID"/>
    <n v="12"/>
    <x v="3"/>
    <x v="8"/>
    <s v="Antibiotics are not always the answer: Enhancing biosecurity measures for reduced broiler chicken morbidity and mortality in Kajiado County."/>
    <x v="2"/>
    <d v="2024-11-01T00:00:00"/>
    <s v="Principal Investigator"/>
    <m/>
    <m/>
    <m/>
    <m/>
  </r>
  <r>
    <n v="464"/>
    <x v="29"/>
    <x v="135"/>
    <s v="Alex "/>
    <s v="John"/>
    <s v="Ntamatungiro"/>
    <x v="1"/>
    <x v="8"/>
    <s v="Ifakara Health Institute"/>
    <m/>
    <x v="3"/>
    <s v="collegium helveticum fellowship"/>
    <n v="85000"/>
    <s v="ETH Zurich"/>
    <n v="10"/>
    <x v="7"/>
    <x v="9"/>
    <s v="Adapting Sequencing Approaches for Cost-Effective HIV Drug Resistance Monitoring in Tanzania"/>
    <x v="2"/>
    <d v="2025-01-01T00:00:00"/>
    <s v="Early-Career Fellow"/>
    <m/>
    <m/>
    <m/>
    <m/>
  </r>
  <r>
    <n v="465"/>
    <x v="29"/>
    <x v="31"/>
    <s v="Zakumumpa"/>
    <m/>
    <s v="Henry"/>
    <x v="1"/>
    <x v="1"/>
    <s v="Makerere University"/>
    <m/>
    <x v="15"/>
    <s v="Conference attendance grant_x000a_"/>
    <n v="1000"/>
    <s v="International Society of Pharmacovigilance_x000a_"/>
    <n v="3"/>
    <x v="1"/>
    <x v="9"/>
    <m/>
    <x v="2"/>
    <d v="2025-05-13T00:00:00"/>
    <m/>
    <m/>
    <m/>
    <s v="I was selected after submiting an abstract. I was competitively selected among hundreds of applicants"/>
    <m/>
  </r>
  <r>
    <n v="466"/>
    <x v="29"/>
    <x v="31"/>
    <s v="Zakumumpa"/>
    <m/>
    <s v="Henry"/>
    <x v="1"/>
    <x v="1"/>
    <s v="Makerere University"/>
    <m/>
    <x v="3"/>
    <s v="Institutionalizing knowledge systems for health policy and systems research_x000a_"/>
    <n v="100000"/>
    <s v="WHO/ Alliance for Health Policy and Systems Research_x000a_"/>
    <n v="24"/>
    <x v="3"/>
    <x v="9"/>
    <s v="Using research evidence in increasing domestic financial responsibility for the national HIV response in the context of donor transitions in Uganda"/>
    <x v="2"/>
    <d v="2025-01-20T00:00:00"/>
    <s v="Co-investigator"/>
    <m/>
    <m/>
    <s v="It has a strong partnership element with government bodies such as the National Planning Authority, Economic Policy Research Centre and Ministry of Health"/>
    <m/>
  </r>
  <r>
    <n v="467"/>
    <x v="29"/>
    <x v="36"/>
    <s v="Adebayo"/>
    <s v="Oluwatoyin"/>
    <s v="Kudus"/>
    <x v="1"/>
    <x v="3"/>
    <s v="University of Ibadan"/>
    <m/>
    <x v="3"/>
    <s v="BA/Leverhulme Small Research Grants_x000a_"/>
    <n v="13425"/>
    <s v="British Academy"/>
    <n v="24"/>
    <x v="3"/>
    <x v="9"/>
    <s v="&quot;Everyday Violence&quot; and (Im)mobility Experiences of LGBTQ+ Persons in Nigeria and the UK"/>
    <x v="2"/>
    <d v="2025-08-01T00:00:00"/>
    <s v="Co-investigator"/>
    <m/>
    <m/>
    <s v="The BA/Leverhulme Small Research Grants are available to support primary research in the humanities and social sciences. These awards, up to Â£10,000 in value and tenable for up to 24 months, are provided to cover the cost of the expenses arising from a defined research project."/>
    <m/>
  </r>
  <r>
    <n v="468"/>
    <x v="29"/>
    <x v="6"/>
    <s v="Kaunda-Khangamwa"/>
    <s v="Nyasilia"/>
    <s v="Blessings"/>
    <x v="2"/>
    <x v="2"/>
    <s v="University of Malawi"/>
    <m/>
    <x v="3"/>
    <s v="Project 14032025 , Population Health In Practice: Towards A Comparative Historical Ethnography Of The Demographic Health Survey- Drs John Nott and Blessings N. Kaunda-Khangamwa- An ODA &amp; British Academy Grant"/>
    <n v="190000"/>
    <s v="British Academy"/>
    <n v="12"/>
    <x v="3"/>
    <x v="9"/>
    <s v="Population Health In Practice: Towards A Comparative Historical Ethnography Of The Demographic Health Survey"/>
    <x v="2"/>
    <d v="2025-01-28T00:00:00"/>
    <s v="Principal Investigator"/>
    <m/>
    <m/>
    <s v="This study employs a comparative historical ethnography of national Demographic and Health Surveys (DHS) projects in Malawi, Tanzania, and Ghana. It includes ethnographic observations, expert interviews, focus group discussions, and archival research. The research integrates institutional ethnography with critical analysis of public health statistics, combining qualitative and quantitative analyses of DHS publications, academic works, forum discussions, and raw data.  I am a Co-investigator in the study due to my skill set and expertise in medical anthropology and public health-related areas."/>
    <m/>
  </r>
  <r>
    <n v="469"/>
    <x v="29"/>
    <x v="130"/>
    <s v="Sawe"/>
    <s v="Jepkoech"/>
    <s v="Caroline "/>
    <x v="2"/>
    <x v="1"/>
    <s v="Moi University"/>
    <m/>
    <x v="3"/>
    <s v="African Health Collaborative "/>
    <n v="22000"/>
    <s v="Master card foundation "/>
    <n v="24"/>
    <x v="3"/>
    <x v="9"/>
    <s v="Building Capacities in Planetary Health and One Health   competencies among primary health workers for health system strengthening in Kenya"/>
    <x v="2"/>
    <d v="2025-05-21T00:00:00"/>
    <s v="Principal Investigator"/>
    <m/>
    <m/>
    <s v="was competitive application.The research aims at Building Capacities in Planetary Health and One Health   competencies among primary health workers for health system strengthening in Kenya"/>
    <m/>
  </r>
  <r>
    <n v="470"/>
    <x v="29"/>
    <x v="136"/>
    <s v="Alamukii "/>
    <s v="Abiket"/>
    <s v="Nanfizat "/>
    <x v="2"/>
    <x v="8"/>
    <s v="University of Ibadan"/>
    <m/>
    <x v="3"/>
    <s v="Assar Gabrielsson`s Foundation for the Research Grant"/>
    <n v="7244.36"/>
    <s v="ASSAR GABRIELSSONS FOND "/>
    <n v="12"/>
    <x v="3"/>
    <x v="8"/>
    <s v=" Characterization of Cytokines and Microbiota in the Tumour   Micro-environment of Breast Cancer Patients: A Pathway to Targeted Therapeutic Strategies."/>
    <x v="2"/>
    <m/>
    <m/>
    <m/>
    <m/>
    <m/>
    <m/>
  </r>
  <r>
    <n v="471"/>
    <x v="29"/>
    <x v="133"/>
    <s v="FEHINTOLA"/>
    <s v="OMOLOLA"/>
    <s v="FUNMITO"/>
    <x v="2"/>
    <x v="8"/>
    <s v="Obafemi Awolowo University"/>
    <m/>
    <x v="4"/>
    <s v="EU-SARAH Project"/>
    <n v="157"/>
    <s v="UNICEF NIGERIA"/>
    <n v="1"/>
    <x v="4"/>
    <x v="9"/>
    <m/>
    <x v="2"/>
    <d v="2025-04-11T00:00:00"/>
    <m/>
    <m/>
    <m/>
    <s v="It is a travel grant to attend training of trainer on adolescent Friendly Health Services"/>
    <m/>
  </r>
  <r>
    <n v="472"/>
    <x v="29"/>
    <x v="99"/>
    <s v="Moya"/>
    <s v="Yamie"/>
    <s v="Ernest"/>
    <x v="1"/>
    <x v="8"/>
    <s v="University of Malawi"/>
    <s v="University of Malawi"/>
    <x v="4"/>
    <s v="HCoR Grant Writing and Researcher Leadership Workshop"/>
    <n v="5000"/>
    <s v="MRC Unit The Gambia"/>
    <m/>
    <x v="4"/>
    <x v="9"/>
    <m/>
    <x v="2"/>
    <m/>
    <m/>
    <m/>
    <m/>
    <s v="To attend Researchers Leadership and Grant writing workshop"/>
    <m/>
  </r>
  <r>
    <n v="473"/>
    <x v="29"/>
    <x v="132"/>
    <s v="Ugalahi"/>
    <s v="Ogbenyi"/>
    <s v="Mary"/>
    <x v="2"/>
    <x v="10"/>
    <s v="University of Ibadan"/>
    <s v="University of Ibadan"/>
    <x v="16"/>
    <s v="TETFUND IBR_x000a_"/>
    <n v="2500"/>
    <s v="TETFUND"/>
    <n v="12"/>
    <x v="3"/>
    <x v="9"/>
    <s v="Ocular Surface Bacteria Culture following instillation of 5% povidone plus moxifloxacillin eye drops versus 5% povidone iodine alone:An RCT"/>
    <x v="1"/>
    <d v="2025-05-26T00:00:00"/>
    <s v="Principal Investigator"/>
    <m/>
    <m/>
    <s v="The Skills acquired during the grant training received in JAS 4 assisted us in preparing the grant proposal"/>
    <m/>
  </r>
  <r>
    <n v="474"/>
    <x v="29"/>
    <x v="6"/>
    <s v="Kaunda-Khangamwa"/>
    <s v="Nyasilia"/>
    <s v="Blessings"/>
    <x v="2"/>
    <x v="2"/>
    <s v="University of Malawi"/>
    <m/>
    <x v="3"/>
    <s v="Equitable Partnerships Workshops Follow-On Funding programme "/>
    <n v="39000"/>
    <s v="British Academy"/>
    <n v="12"/>
    <x v="3"/>
    <x v="9"/>
    <s v="Fostering Equitable Partnerships: Enhancing Professional Development and Careers for Female Social Scientists in Health Research across Malawi, Kenya and South Africa"/>
    <x v="2"/>
    <d v="2025-05-30T00:00:00"/>
    <s v="Principal Investigator"/>
    <m/>
    <m/>
    <s v="his proposed workshop is part of a south-to-south initiative aimed at strengthening the professional development planning (PDP) of early career researchers (ECRs) working on health and well-being, particularly female social scientists, medical anthropologists, sociologist, anthropologists, and specialists in development, humanities and public health, in sub-Saharan Africa. We aim to establish a Kenya-Malawi-South Africa research network focusing on writing workshops and PDP programs that will bring together ECRs, alongside professors of interdisciplinary research and seasoned researchers who are well-acquainted with the critical challenges faced by early career scholars in sub-Saharan Africa. Participants will collaborate on framing their PDPs and grant applications and writing and publishing journal articles and policy briefs. Drs Dorine Lugendo and Stephen Okumu from the University of Maseno, Kenya, Dr John Nott the University of Edinburgh, Prof Andries Bezuidehout, University of Fort Hare and Dr. Blessings Kaunda-Khangamwa from Kamuzu University of Health Sciences and the University of Fort Hare, prioritizing the female gender, who are a minority in research, particularly from the global south."/>
    <m/>
  </r>
  <r>
    <n v="475"/>
    <x v="29"/>
    <x v="73"/>
    <s v="Adams"/>
    <s v="Nandi "/>
    <s v="Skye"/>
    <x v="2"/>
    <x v="8"/>
    <s v="University of the WItwatersrand"/>
    <m/>
    <x v="15"/>
    <s v=" Knowledge Interchange &amp; Collaboration "/>
    <n v="2000"/>
    <s v="National Research Foundation "/>
    <n v="1"/>
    <x v="1"/>
    <x v="9"/>
    <m/>
    <x v="2"/>
    <d v="2025-01-01T00:00:00"/>
    <m/>
    <m/>
    <m/>
    <s v="Funding to attend International Hand surgery/therapy conference - to present oral presentation and represent South Africa at the International Federation of Societies of Hand Therapy Meeting "/>
    <m/>
  </r>
  <r>
    <n v="476"/>
    <x v="29"/>
    <x v="115"/>
    <s v="Ingabire"/>
    <s v="Allen"/>
    <s v="Jean de la Croix"/>
    <x v="1"/>
    <x v="10"/>
    <s v="University of Rwanda"/>
    <s v="University of the WItwatersrand"/>
    <x v="3"/>
    <s v="COSECSA Global Surgery Research Mentorship Program Grant, funded by the Intuitive Foundation."/>
    <n v="5000"/>
    <s v=" Intuitive Foundation"/>
    <n v="12"/>
    <x v="3"/>
    <x v="9"/>
    <m/>
    <x v="2"/>
    <d v="2025-06-01T00:00:00"/>
    <s v="Principal Investigator"/>
    <m/>
    <m/>
    <s v="The COSECSA Global Surgery Research Mentorship Program Grant, funded by the Intuitive Foundation, supports promising early-career researchers advancing surgical education and practice in sub-Saharan Africa. I was awarded the grant for my project titled &quot;Impact of High-Fidelity Simulation on the Management of Open Fractures for Medical Students in Senior Clerkship&quot;, based on my track record in surgical education, prior publications, and leadership in implementing research that addresses key training gaps in Rwanda's healthcare system. CARTA's mentorship and my institutional role as a senior surgical educator further strengthened my candidacy."/>
    <m/>
  </r>
  <r>
    <n v="477"/>
    <x v="29"/>
    <x v="75"/>
    <s v="Njagi"/>
    <s v="Nkirote"/>
    <s v="Lilian"/>
    <x v="2"/>
    <x v="8"/>
    <s v="University of Nairobi"/>
    <s v="University of Nairobi"/>
    <x v="17"/>
    <s v="Afrique Research Support Hub (ARSH) Seed Grant Award"/>
    <n v="7500"/>
    <s v="African Population and Health Research Center (APHRC) through the Afrique Research Support Hub (ARSH)"/>
    <n v="8"/>
    <x v="11"/>
    <x v="9"/>
    <m/>
    <x v="2"/>
    <d v="2025-06-01T00:00:00"/>
    <m/>
    <m/>
    <m/>
    <s v="This Award aims to support the implementation of a research proposal aimed at strengthening the Awardee's capacity to conceptualize, pilot, and scale fundable research ideas."/>
    <m/>
  </r>
  <r>
    <n v="478"/>
    <x v="29"/>
    <x v="75"/>
    <s v="Njagi"/>
    <s v="Nkirote"/>
    <s v="Lilian"/>
    <x v="2"/>
    <x v="8"/>
    <s v="University of Nairobi"/>
    <s v="University of Nairobi"/>
    <x v="3"/>
    <s v="University of Washington/Fred Hutch Center for AIDS Research (CFAR) New Investigator Award (NIA)"/>
    <n v="73690"/>
    <s v="NIH through University of Washington/Fred Hutch Center for AIDS Research"/>
    <n v="24"/>
    <x v="3"/>
    <x v="9"/>
    <s v="Immunopathogenesis of TB Aerobiology and Infectiousness in HIV Co-infection"/>
    <x v="2"/>
    <d v="2025-09-01T00:00:00"/>
    <s v="Principal Investigator"/>
    <m/>
    <m/>
    <s v="Based on a good score, the relevance of the topic, strong demonstration of my capabilities, and the exceptional mentorship team"/>
    <m/>
  </r>
  <r>
    <n v="479"/>
    <x v="30"/>
    <x v="137"/>
    <s v="Kubo"/>
    <s v="Nigandi"/>
    <s v="Mary"/>
    <x v="2"/>
    <x v="11"/>
    <s v="University of Nairobi"/>
    <s v="University of Nairobi"/>
    <x v="3"/>
    <s v="Quality Improvement Grant Award as part of the Stanford African Scholars in Global Health Program"/>
    <n v="50000"/>
    <s v="Pfizer"/>
    <n v="12"/>
    <x v="0"/>
    <x v="9"/>
    <s v="Improving pneumococcal vaccine uptake among patients with Chronic Kidney Disease at the Kenyatta National Hospital: A quality improvement project"/>
    <x v="1"/>
    <d v="2025-09-01T00:00:00"/>
    <s v="Principal Investigator"/>
    <m/>
    <m/>
    <s v="Writing skills taught during CARTA JAS 1 were very helpful when applying for the grant."/>
    <m/>
  </r>
  <r>
    <n v="480"/>
    <x v="30"/>
    <x v="138"/>
    <s v="Orherhe"/>
    <s v="Maureen"/>
    <s v="Ochuko"/>
    <x v="2"/>
    <x v="11"/>
    <s v="Obafemi Awolowo University"/>
    <s v="Obafemi Awolowo University"/>
    <x v="4"/>
    <s v="Travel Grant to attend the 2026 ASCPT (American Society for Clinical Pharmacology and Therapeutics) Annual Meeting."/>
    <n v="7500"/>
    <s v="American Society of Clinical Pharmacology and Therapeutics (ASCPT)"/>
    <n v="12"/>
    <x v="0"/>
    <x v="9"/>
    <m/>
    <x v="1"/>
    <d v="2025-09-05T00:00:00"/>
    <m/>
    <m/>
    <m/>
    <m/>
    <m/>
  </r>
  <r>
    <n v="481"/>
    <x v="30"/>
    <x v="93"/>
    <s v="Adeyinka"/>
    <s v="Olufolake"/>
    <s v="Adefolarin"/>
    <x v="2"/>
    <x v="6"/>
    <s v="University of Ibadan"/>
    <m/>
    <x v="3"/>
    <s v="TETFUND"/>
    <n v="27754"/>
    <s v="Federal Government of Nigeria"/>
    <n v="2"/>
    <x v="12"/>
    <x v="9"/>
    <s v="EFFECT OF WATER, SANITATION HYGIENE, AND NUTRITION ON INTELLIGENCE QUOTIENTS ON SCHOOL CHILDREN IN AYETE COMMUNITY, OYO STATE"/>
    <x v="2"/>
    <d v="2026-01-15T00:00:00"/>
    <s v="Co-investigator"/>
    <m/>
    <m/>
    <s v="The persistent high burden of malnutrition in Nigeria and Oyo state is disturbing and have multiple causes.  Poor water, sanitation, and hygiene (WASH) predispose to recurrent infections, and consequently malnutrition. In return, malnutrition impairs both physical and cognitive development, including Intelligence Quotient (IQ) and academic performance. Few studies in Nigeria have documented the consequences of malnutrition on academic performance among school-age children. Understanding the link between WASH and nutrition is crucial for shaping health and academic outcomes for school children, generating local evidence for policy design, and creating an environment conducive to optimal learning for school-age children. This study is designed to determine the impact of WASH and nutrition on the intelligence quotient of school-age children in Ayete community, thereby providing a holistic understanding to inform policy and intervention programmes."/>
    <m/>
  </r>
  <r>
    <n v="482"/>
    <x v="30"/>
    <x v="31"/>
    <s v="Zakumumpa"/>
    <s v="Not applicable"/>
    <s v="Henry"/>
    <x v="1"/>
    <x v="1"/>
    <s v="Makerere University"/>
    <m/>
    <x v="3"/>
    <s v="Research grant for evaluating CDC-supported HIV programming at sub-national level in Uganda"/>
    <n v="54000"/>
    <s v="Centers for Disease Control"/>
    <n v="12"/>
    <x v="13"/>
    <x v="9"/>
    <s v="I am a co- Principal Investigator and qualitative lead of the research grant"/>
    <x v="2"/>
    <d v="2025-11-07T00:00:00"/>
    <s v="Co-investigator"/>
    <m/>
    <m/>
    <s v="The selection was in large part to my pedigree in conducting program evaluations of donor-funded HIV programs."/>
    <m/>
  </r>
  <r>
    <n v="483"/>
    <x v="30"/>
    <x v="86"/>
    <s v="Mangeni"/>
    <s v="Nekesa"/>
    <s v="Judith"/>
    <x v="2"/>
    <x v="6"/>
    <s v="Moi University"/>
    <m/>
    <x v="2"/>
    <s v="a scholarship for a short course"/>
    <n v="2000"/>
    <s v="MRC"/>
    <n v="1"/>
    <x v="14"/>
    <x v="9"/>
    <m/>
    <x v="2"/>
    <d v="2025-11-05T00:00:00"/>
    <m/>
    <m/>
    <m/>
    <s v="I was selected to attend the training competitively from a pool of many applicants. I was the only kenyan. "/>
    <m/>
  </r>
  <r>
    <n v="484"/>
    <x v="30"/>
    <x v="122"/>
    <s v="Akinwaare "/>
    <s v="Omowaleola "/>
    <s v="Margaret "/>
    <x v="2"/>
    <x v="7"/>
    <s v="University of Ibadan"/>
    <m/>
    <x v="3"/>
    <s v="HBNU research fund"/>
    <n v="15000"/>
    <s v="Fogarty International Center, NIH"/>
    <n v="12"/>
    <x v="13"/>
    <x v="9"/>
    <s v="Effect of digitalized antenatal education on prevention of mother-to-child transmission among pregnant women living with HIV in Southwestern Nigeria."/>
    <x v="2"/>
    <d v="2024-07-01T00:00:00"/>
    <s v="Principal Investigator"/>
    <m/>
    <m/>
    <m/>
    <m/>
  </r>
  <r>
    <n v="485"/>
    <x v="30"/>
    <x v="29"/>
    <s v="Anywar "/>
    <s v="Upoki"/>
    <s v="Godwin"/>
    <x v="1"/>
    <x v="3"/>
    <s v="Makerere University"/>
    <m/>
    <x v="4"/>
    <s v="Post-doctoral Travel Grant at the 73 International Congress &amp; AGM of the Society for Medicinal Plant and Natural Product Research (GA) "/>
    <n v="1180"/>
    <s v=" The Society for Medicinal Plant and Natural Product Research (GA) "/>
    <n v="1"/>
    <x v="14"/>
    <x v="9"/>
    <m/>
    <x v="2"/>
    <d v="2025-09-01T00:00:00"/>
    <m/>
    <m/>
    <m/>
    <s v="Post-doctoral Travel Grant at the 73 International Congress &amp; AGM of the Society for Medicinal Plant and Natural Product Research (GA) in Naples, Italy, Aug 31-Sept 3/2025 at the Royal Continental Hotel"/>
    <m/>
  </r>
  <r>
    <n v="486"/>
    <x v="30"/>
    <x v="29"/>
    <s v="Anywar "/>
    <s v="Upoki"/>
    <s v="Godwin"/>
    <x v="1"/>
    <x v="3"/>
    <s v="Makerere University"/>
    <m/>
    <x v="3"/>
    <s v="TRACEPLANT: Tracing Medical Plants' Origins with Blockchain Solutions German Alliance for Global Health Research (GLOHRA) "/>
    <n v="142000"/>
    <s v="German Alliance for Global Health Research (GLOHRA) "/>
    <n v="12"/>
    <x v="13"/>
    <x v="9"/>
    <s v="TRACEPLANT: Tracing Medical Plants' Origins with Blockchain Solutions "/>
    <x v="2"/>
    <d v="2025-10-11T00:00:00"/>
    <s v="Co-investigator"/>
    <m/>
    <m/>
    <s v="This study aims to develop an evidence-based policy framework for regulating the medicinal plant and herbal medicine market in Uganda, with a focus on improving quality assurance, traceability, and patient safety. It further seeks to design and assess the feasibility of a blockchain-enabled supply-chain architecture to reduce information asymmetries related to source, quality, and sustainability of medicinal plant products."/>
    <m/>
  </r>
  <r>
    <n v="487"/>
    <x v="30"/>
    <x v="62"/>
    <s v="Mbindyo"/>
    <s v="Minoo"/>
    <s v="Christine"/>
    <x v="2"/>
    <x v="7"/>
    <s v="University of Nairobi"/>
    <m/>
    <x v="3"/>
    <s v="Colistin in one health "/>
    <n v="200827"/>
    <s v="USA Army"/>
    <n v="1"/>
    <x v="14"/>
    <x v="9"/>
    <s v="one-Health Surveillance for Colistin Resistance in Priority Gram-negative bacteria across East Africa&quot;  "/>
    <x v="2"/>
    <m/>
    <s v="Co-investigator"/>
    <m/>
    <m/>
    <s v="We were selected due to one health collaboration  and using the skills i learned through doctoral and post doctoral through CARTA"/>
    <m/>
  </r>
  <r>
    <n v="488"/>
    <x v="30"/>
    <x v="101"/>
    <s v="Olorunmoteni"/>
    <s v="Eunice"/>
    <s v="Oluwatosin"/>
    <x v="2"/>
    <x v="10"/>
    <s v="Obafemi Awolowo University"/>
    <m/>
    <x v="18"/>
    <s v="UK Department of Health and Social Care, the Global Health Workforce Programme (GHWP) Extension phase Grant "/>
    <n v="67215.39"/>
    <s v=" UK Department of Health and Social Care, through Tropical Health and Education Trust now Global Health Partnerships"/>
    <n v="6"/>
    <x v="15"/>
    <x v="9"/>
    <m/>
    <x v="2"/>
    <d v="2026-03-01T00:00:00"/>
    <m/>
    <m/>
    <m/>
    <s v="To aid the completion of the outstanding project aims from the first phase of the project. I was selected because I was the country director for the first phase of the Early Childhood Development (ECD) project.  "/>
    <m/>
  </r>
  <r>
    <n v="489"/>
    <x v="30"/>
    <x v="75"/>
    <s v="Njagi"/>
    <s v="Nkirote"/>
    <s v="Lilian"/>
    <x v="2"/>
    <x v="8"/>
    <s v="University of Nairobi"/>
    <m/>
    <x v="19"/>
    <s v="CFAR International Infrastructure Award"/>
    <n v="10000"/>
    <s v="University of Washington / Fred Hutch Center for AIDS Research (CFAR)"/>
    <n v="6"/>
    <x v="15"/>
    <x v="9"/>
    <m/>
    <x v="2"/>
    <d v="2025-11-01T00:00:00"/>
    <m/>
    <m/>
    <m/>
    <s v="The award is to support the renovation of TB clinics. Each of the proposals was screened through a careful review process conducted by 10 reviewers from CFAR-affiliated institutions, so I was selected based on a competitive application"/>
    <m/>
  </r>
  <r>
    <n v="490"/>
    <x v="30"/>
    <x v="77"/>
    <s v="Silaule"/>
    <s v="Mkhonto"/>
    <s v="Olindah"/>
    <x v="2"/>
    <x v="8"/>
    <s v="University of the WItwatersrand"/>
    <m/>
    <x v="3"/>
    <s v="Faculty of Health Sciences URC start-up grant"/>
    <n v="4500"/>
    <s v="University of Cape Town, Faculty of Health Sciences"/>
    <n v="24"/>
    <x v="16"/>
    <x v="9"/>
    <s v="Evidence map of strategies to alleviate the burden experienced by informal  caregivers of persons with severe mental disorders in developing countries"/>
    <x v="2"/>
    <d v="2025-09-17T00:00:00"/>
    <s v="Principal Investigator"/>
    <m/>
    <m/>
    <s v="This is a university start-up grant aimed at supporting early-career researchers in the first 3 years of appointment. My application was deemed competitive. "/>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1C2CDB-7398-421C-88CA-55BBA8F543FA}" name="PivotTable1" cacheId="4555"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5:D18" firstHeaderRow="1" firstDataRow="2" firstDataCol="1" rowPageCount="3" colPageCount="1"/>
  <pivotFields count="25">
    <pivotField compact="0" outline="0" showAll="0"/>
    <pivotField compact="0" outline="0" showAll="0"/>
    <pivotField axis="axisRow" compact="0" outline="0" showAll="0" sortType="descending">
      <items count="140">
        <item x="0"/>
        <item x="94"/>
        <item x="92"/>
        <item x="55"/>
        <item x="87"/>
        <item x="102"/>
        <item x="115"/>
        <item x="116"/>
        <item x="110"/>
        <item x="111"/>
        <item x="100"/>
        <item x="124"/>
        <item x="101"/>
        <item x="119"/>
        <item x="127"/>
        <item x="84"/>
        <item x="96"/>
        <item x="82"/>
        <item x="88"/>
        <item x="93"/>
        <item x="91"/>
        <item x="90"/>
        <item x="89"/>
        <item x="120"/>
        <item x="128"/>
        <item x="83"/>
        <item x="86"/>
        <item x="81"/>
        <item x="80"/>
        <item x="57"/>
        <item x="1"/>
        <item x="2"/>
        <item x="103"/>
        <item x="85"/>
        <item x="11"/>
        <item x="130"/>
        <item x="14"/>
        <item x="17"/>
        <item x="112"/>
        <item x="26"/>
        <item x="31"/>
        <item x="129"/>
        <item x="35"/>
        <item x="125"/>
        <item x="43"/>
        <item x="98"/>
        <item x="46"/>
        <item x="97"/>
        <item x="58"/>
        <item x="10"/>
        <item x="95"/>
        <item x="16"/>
        <item x="18"/>
        <item x="19"/>
        <item x="20"/>
        <item x="21"/>
        <item x="23"/>
        <item x="25"/>
        <item x="30"/>
        <item x="32"/>
        <item x="33"/>
        <item x="39"/>
        <item x="48"/>
        <item x="7"/>
        <item x="117"/>
        <item x="9"/>
        <item x="15"/>
        <item x="27"/>
        <item x="29"/>
        <item x="126"/>
        <item x="34"/>
        <item x="36"/>
        <item x="37"/>
        <item x="41"/>
        <item x="45"/>
        <item x="51"/>
        <item x="53"/>
        <item x="54"/>
        <item x="60"/>
        <item x="3"/>
        <item x="4"/>
        <item x="5"/>
        <item x="6"/>
        <item x="8"/>
        <item x="12"/>
        <item x="13"/>
        <item x="105"/>
        <item x="22"/>
        <item x="24"/>
        <item x="28"/>
        <item x="38"/>
        <item x="40"/>
        <item x="42"/>
        <item x="44"/>
        <item x="47"/>
        <item x="49"/>
        <item x="50"/>
        <item x="52"/>
        <item x="56"/>
        <item x="59"/>
        <item x="106"/>
        <item x="113"/>
        <item x="61"/>
        <item x="118"/>
        <item x="62"/>
        <item x="122"/>
        <item x="63"/>
        <item x="64"/>
        <item x="65"/>
        <item x="66"/>
        <item x="67"/>
        <item x="68"/>
        <item x="69"/>
        <item x="70"/>
        <item x="104"/>
        <item x="71"/>
        <item x="99"/>
        <item x="72"/>
        <item x="73"/>
        <item x="74"/>
        <item x="123"/>
        <item x="75"/>
        <item x="107"/>
        <item x="76"/>
        <item x="114"/>
        <item x="108"/>
        <item x="77"/>
        <item x="78"/>
        <item x="109"/>
        <item x="79"/>
        <item x="121"/>
        <item x="131"/>
        <item x="132"/>
        <item x="133"/>
        <item x="135"/>
        <item x="134"/>
        <item x="136"/>
        <item x="137"/>
        <item x="138"/>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axis="axisCol" compact="0" outline="0" showAll="0">
      <items count="5">
        <item x="2"/>
        <item x="1"/>
        <item x="0"/>
        <item m="1" x="3"/>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multipleItemSelectionAllowed="1" showAll="0">
      <items count="19">
        <item x="1"/>
        <item x="8"/>
        <item x="6"/>
        <item x="5"/>
        <item x="3"/>
        <item x="2"/>
        <item x="7"/>
        <item x="4"/>
        <item h="1" m="1" x="17"/>
        <item x="0"/>
        <item h="1" x="9"/>
        <item h="1" x="10"/>
        <item h="1" x="11"/>
        <item h="1" x="12"/>
        <item h="1" x="13"/>
        <item h="1" x="14"/>
        <item h="1" x="15"/>
        <item h="1" x="16"/>
        <item t="default"/>
      </items>
    </pivotField>
    <pivotField axis="axisPage" compact="0" outline="0" multipleItemSelectionAllowed="1" showAll="0">
      <items count="11">
        <item h="1" x="0"/>
        <item h="1" x="1"/>
        <item h="1" x="2"/>
        <item h="1" x="3"/>
        <item h="1" x="4"/>
        <item h="1" x="5"/>
        <item h="1" x="6"/>
        <item h="1" x="7"/>
        <item h="1" x="8"/>
        <item x="9"/>
        <item t="default"/>
      </items>
    </pivotField>
    <pivotField compact="0" outline="0" showAll="0"/>
    <pivotField axis="axisPage" compact="0" outline="0" multipleItemSelectionAllowed="1" showAll="0">
      <items count="10">
        <item m="1" x="7"/>
        <item m="1" x="4"/>
        <item m="1" x="3"/>
        <item x="2"/>
        <item h="1" x="1"/>
        <item m="1" x="8"/>
        <item m="1" x="5"/>
        <item m="1" x="6"/>
        <item h="1" x="0"/>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12">
    <i>
      <x v="82"/>
    </i>
    <i>
      <x v="135"/>
    </i>
    <i>
      <x v="40"/>
    </i>
    <i>
      <x v="134"/>
    </i>
    <i>
      <x v="121"/>
    </i>
    <i>
      <x v="35"/>
    </i>
    <i>
      <x v="71"/>
    </i>
    <i>
      <x v="6"/>
    </i>
    <i>
      <x v="116"/>
    </i>
    <i>
      <x v="118"/>
    </i>
    <i>
      <x v="133"/>
    </i>
    <i t="grand">
      <x/>
    </i>
  </rowItems>
  <colFields count="1">
    <field x="6"/>
  </colFields>
  <colItems count="3">
    <i>
      <x/>
    </i>
    <i>
      <x v="1"/>
    </i>
    <i t="grand">
      <x/>
    </i>
  </colItems>
  <pageFields count="3">
    <pageField fld="15" hier="-1"/>
    <pageField fld="16" hier="-1"/>
    <pageField fld="18" hier="-1"/>
  </pageFields>
  <dataFields count="1">
    <dataField name="Sum of Total amount in $" fld="12" baseField="3" baseItem="0" numFmtId="166"/>
  </dataFields>
  <formats count="2">
    <format dxfId="65">
      <pivotArea outline="0" collapsedLevelsAreSubtotals="1" fieldPosition="0"/>
    </format>
    <format dxfId="6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4555"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82:B134" firstHeaderRow="1" firstDataRow="1" firstDataCol="1" rowPageCount="4" colPageCount="1"/>
  <pivotFields count="25">
    <pivotField compact="0" outline="0" showAll="0"/>
    <pivotField compact="0" outline="0" showAll="0"/>
    <pivotField axis="axisRow" compact="0" outline="0" showAll="0">
      <items count="140">
        <item x="0"/>
        <item x="94"/>
        <item x="92"/>
        <item x="55"/>
        <item x="87"/>
        <item x="102"/>
        <item x="115"/>
        <item x="116"/>
        <item x="110"/>
        <item x="111"/>
        <item x="100"/>
        <item x="101"/>
        <item x="119"/>
        <item x="84"/>
        <item x="96"/>
        <item x="82"/>
        <item x="88"/>
        <item x="93"/>
        <item x="91"/>
        <item x="90"/>
        <item x="89"/>
        <item x="120"/>
        <item x="83"/>
        <item x="86"/>
        <item x="81"/>
        <item x="80"/>
        <item x="57"/>
        <item x="1"/>
        <item x="2"/>
        <item x="103"/>
        <item x="85"/>
        <item x="11"/>
        <item x="14"/>
        <item x="17"/>
        <item x="112"/>
        <item x="26"/>
        <item x="31"/>
        <item x="35"/>
        <item x="43"/>
        <item x="98"/>
        <item x="46"/>
        <item x="97"/>
        <item x="58"/>
        <item x="10"/>
        <item x="95"/>
        <item x="16"/>
        <item x="18"/>
        <item x="19"/>
        <item x="20"/>
        <item x="21"/>
        <item x="23"/>
        <item x="25"/>
        <item x="30"/>
        <item x="32"/>
        <item x="33"/>
        <item x="39"/>
        <item x="48"/>
        <item x="7"/>
        <item x="117"/>
        <item x="9"/>
        <item x="15"/>
        <item x="27"/>
        <item x="29"/>
        <item x="34"/>
        <item x="36"/>
        <item x="37"/>
        <item x="41"/>
        <item x="45"/>
        <item x="51"/>
        <item x="53"/>
        <item x="54"/>
        <item x="60"/>
        <item x="3"/>
        <item x="4"/>
        <item x="5"/>
        <item x="6"/>
        <item x="8"/>
        <item x="12"/>
        <item x="13"/>
        <item x="105"/>
        <item x="22"/>
        <item x="24"/>
        <item x="28"/>
        <item x="38"/>
        <item x="40"/>
        <item x="42"/>
        <item x="44"/>
        <item x="47"/>
        <item x="49"/>
        <item x="50"/>
        <item x="52"/>
        <item x="56"/>
        <item x="59"/>
        <item x="106"/>
        <item x="113"/>
        <item x="61"/>
        <item x="118"/>
        <item x="62"/>
        <item x="63"/>
        <item x="64"/>
        <item x="65"/>
        <item x="66"/>
        <item x="67"/>
        <item x="68"/>
        <item x="69"/>
        <item x="70"/>
        <item x="104"/>
        <item x="71"/>
        <item x="99"/>
        <item x="72"/>
        <item x="73"/>
        <item x="74"/>
        <item x="75"/>
        <item x="107"/>
        <item x="76"/>
        <item x="114"/>
        <item x="108"/>
        <item x="77"/>
        <item x="78"/>
        <item x="109"/>
        <item x="79"/>
        <item x="121"/>
        <item x="122"/>
        <item x="123"/>
        <item x="124"/>
        <item x="125"/>
        <item x="126"/>
        <item x="127"/>
        <item x="128"/>
        <item x="129"/>
        <item x="130"/>
        <item x="131"/>
        <item x="132"/>
        <item x="133"/>
        <item x="135"/>
        <item x="134"/>
        <item x="136"/>
        <item x="137"/>
        <item x="138"/>
        <item t="default"/>
      </items>
    </pivotField>
    <pivotField compact="0" outline="0" showAll="0"/>
    <pivotField compact="0" outline="0" showAll="0"/>
    <pivotField compact="0" outline="0" showAll="0"/>
    <pivotField compact="0" outline="0" showAll="0">
      <items count="5">
        <item x="2"/>
        <item x="1"/>
        <item m="1" x="3"/>
        <item x="0"/>
        <item t="default"/>
      </items>
    </pivotField>
    <pivotField axis="axisPage" compact="0" outline="0" multipleItemSelectionAllowed="1"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Page" compact="0" outline="0" multipleItemSelectionAllowed="1" showAll="0">
      <items count="11">
        <item h="1" x="1"/>
        <item h="1" x="2"/>
        <item h="1" x="3"/>
        <item h="1" x="4"/>
        <item h="1" x="5"/>
        <item h="1" x="0"/>
        <item x="6"/>
        <item x="7"/>
        <item h="1" x="8"/>
        <item h="1"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2"/>
  </rowFields>
  <rowItems count="52">
    <i>
      <x v="5"/>
    </i>
    <i>
      <x v="6"/>
    </i>
    <i>
      <x v="7"/>
    </i>
    <i>
      <x v="8"/>
    </i>
    <i>
      <x v="11"/>
    </i>
    <i>
      <x v="12"/>
    </i>
    <i>
      <x v="13"/>
    </i>
    <i>
      <x v="15"/>
    </i>
    <i>
      <x v="20"/>
    </i>
    <i>
      <x v="24"/>
    </i>
    <i>
      <x v="27"/>
    </i>
    <i>
      <x v="30"/>
    </i>
    <i>
      <x v="34"/>
    </i>
    <i>
      <x v="36"/>
    </i>
    <i>
      <x v="39"/>
    </i>
    <i>
      <x v="42"/>
    </i>
    <i>
      <x v="47"/>
    </i>
    <i>
      <x v="54"/>
    </i>
    <i>
      <x v="61"/>
    </i>
    <i>
      <x v="62"/>
    </i>
    <i>
      <x v="63"/>
    </i>
    <i>
      <x v="64"/>
    </i>
    <i>
      <x v="70"/>
    </i>
    <i>
      <x v="75"/>
    </i>
    <i>
      <x v="76"/>
    </i>
    <i>
      <x v="77"/>
    </i>
    <i>
      <x v="79"/>
    </i>
    <i>
      <x v="81"/>
    </i>
    <i>
      <x v="84"/>
    </i>
    <i>
      <x v="85"/>
    </i>
    <i>
      <x v="86"/>
    </i>
    <i>
      <x v="87"/>
    </i>
    <i>
      <x v="90"/>
    </i>
    <i>
      <x v="95"/>
    </i>
    <i>
      <x v="96"/>
    </i>
    <i>
      <x v="97"/>
    </i>
    <i>
      <x v="100"/>
    </i>
    <i>
      <x v="101"/>
    </i>
    <i>
      <x v="104"/>
    </i>
    <i>
      <x v="110"/>
    </i>
    <i>
      <x v="112"/>
    </i>
    <i>
      <x v="114"/>
    </i>
    <i>
      <x v="118"/>
    </i>
    <i>
      <x v="119"/>
    </i>
    <i>
      <x v="122"/>
    </i>
    <i>
      <x v="123"/>
    </i>
    <i>
      <x v="124"/>
    </i>
    <i>
      <x v="125"/>
    </i>
    <i>
      <x v="126"/>
    </i>
    <i>
      <x v="127"/>
    </i>
    <i>
      <x v="128"/>
    </i>
    <i t="grand">
      <x/>
    </i>
  </rowItems>
  <colItems count="1">
    <i/>
  </colItems>
  <pageFields count="4">
    <pageField fld="16" hier="-1"/>
    <pageField fld="10" hier="-1"/>
    <pageField fld="7" hier="-1"/>
    <pageField fld="18" hier="-1"/>
  </pageFields>
  <dataFields count="1">
    <dataField name="Sum of Total amount in $" fld="12" baseField="2" baseItem="5"/>
  </dataFields>
  <formats count="9">
    <format dxfId="56">
      <pivotArea type="all" dataOnly="0" outline="0" fieldPosition="0"/>
    </format>
    <format dxfId="57">
      <pivotArea outline="0" collapsedLevelsAreSubtotals="1" fieldPosition="0"/>
    </format>
    <format dxfId="58">
      <pivotArea type="origin" dataOnly="0" labelOnly="1" outline="0" fieldPosition="0"/>
    </format>
    <format dxfId="59">
      <pivotArea field="6" type="button" dataOnly="0" labelOnly="1" outline="0"/>
    </format>
    <format dxfId="60">
      <pivotArea type="topRight" dataOnly="0" labelOnly="1" outline="0" fieldPosition="0"/>
    </format>
    <format dxfId="61">
      <pivotArea field="16" type="button" dataOnly="0" labelOnly="1" outline="0" axis="axisPage" fieldPosition="0"/>
    </format>
    <format dxfId="62">
      <pivotArea dataOnly="0" labelOnly="1" outline="0" fieldPosition="0">
        <references count="1">
          <reference field="16" count="0"/>
        </references>
      </pivotArea>
    </format>
    <format dxfId="63">
      <pivotArea dataOnly="0" labelOnly="1" grandRow="1" outline="0" fieldPosition="0"/>
    </format>
    <format dxfId="64">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5" cacheId="4555"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10">
  <location ref="A6:E18" firstHeaderRow="1" firstDataRow="2" firstDataCol="1" rowPageCount="4" colPageCount="1"/>
  <pivotFields count="25">
    <pivotField compact="0" outline="0" showAll="0"/>
    <pivotField axis="axisPage" compact="0" outline="0" multipleItemSelectionAllowed="1"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1">
    <i>
      <x/>
    </i>
    <i>
      <x v="1"/>
    </i>
    <i>
      <x v="2"/>
    </i>
    <i>
      <x v="3"/>
    </i>
    <i>
      <x v="4"/>
    </i>
    <i>
      <x v="5"/>
    </i>
    <i>
      <x v="6"/>
    </i>
    <i>
      <x v="7"/>
    </i>
    <i>
      <x v="8"/>
    </i>
    <i>
      <x v="9"/>
    </i>
    <i t="grand">
      <x/>
    </i>
  </rowItems>
  <colFields count="1">
    <field x="6"/>
  </colFields>
  <colItems count="4">
    <i>
      <x/>
    </i>
    <i>
      <x v="1"/>
    </i>
    <i>
      <x v="3"/>
    </i>
    <i t="grand">
      <x/>
    </i>
  </colItems>
  <pageFields count="4">
    <pageField fld="7" hier="-1"/>
    <pageField fld="18" hier="-1"/>
    <pageField fld="10" hier="-1"/>
    <pageField fld="1" hier="-1"/>
  </pageFields>
  <dataFields count="1">
    <dataField name="Sum of Total amount in $" fld="12" baseField="16" baseItem="4"/>
  </dataFields>
  <formats count="2">
    <format dxfId="54">
      <pivotArea outline="0" collapsedLevelsAreSubtotals="1" fieldPosition="0"/>
    </format>
    <format dxfId="55">
      <pivotArea outline="0" collapsedLevelsAreSubtotals="1" fieldPosition="0"/>
    </format>
  </formats>
  <conditionalFormats count="1">
    <conditionalFormat priority="3">
      <pivotAreas count="1">
        <pivotArea type="data" outline="0" collapsedLevelsAreSubtotals="1" fieldPosition="0">
          <references count="2">
            <reference field="4294967294" count="1" selected="0">
              <x v="0"/>
            </reference>
            <reference field="16" count="9" selected="0">
              <x v="0"/>
              <x v="1"/>
              <x v="2"/>
              <x v="3"/>
              <x v="4"/>
              <x v="5"/>
              <x v="6"/>
              <x v="7"/>
              <x v="8"/>
            </reference>
          </references>
        </pivotArea>
      </pivotAreas>
    </conditionalFormat>
  </conditionalFormats>
  <chartFormats count="7">
    <chartFormat chart="2" format="9" series="1">
      <pivotArea type="data" outline="0" fieldPosition="0">
        <references count="1">
          <reference field="6" count="1" selected="0">
            <x v="0"/>
          </reference>
        </references>
      </pivotArea>
    </chartFormat>
    <chartFormat chart="2" format="10" series="1">
      <pivotArea type="data" outline="0" fieldPosition="0">
        <references count="1">
          <reference field="6" count="1" selected="0">
            <x v="1"/>
          </reference>
        </references>
      </pivotArea>
    </chartFormat>
    <chartFormat chart="2" format="11" series="1">
      <pivotArea type="data" outline="0" fieldPosition="0">
        <references count="1">
          <reference field="6" count="1" selected="0">
            <x v="3"/>
          </reference>
        </references>
      </pivotArea>
    </chartFormat>
    <chartFormat chart="2" format="12" series="1">
      <pivotArea type="data" outline="0" fieldPosition="0">
        <references count="2">
          <reference field="4294967294" count="1" selected="0">
            <x v="0"/>
          </reference>
          <reference field="6" count="1" selected="0">
            <x v="0"/>
          </reference>
        </references>
      </pivotArea>
    </chartFormat>
    <chartFormat chart="2" format="13" series="1">
      <pivotArea type="data" outline="0" fieldPosition="0">
        <references count="2">
          <reference field="4294967294" count="1" selected="0">
            <x v="0"/>
          </reference>
          <reference field="6" count="1" selected="0">
            <x v="1"/>
          </reference>
        </references>
      </pivotArea>
    </chartFormat>
    <chartFormat chart="2" format="14" series="1">
      <pivotArea type="data" outline="0" fieldPosition="0">
        <references count="2">
          <reference field="4294967294" count="1" selected="0">
            <x v="0"/>
          </reference>
          <reference field="6" count="1" selected="0">
            <x v="3"/>
          </reference>
        </references>
      </pivotArea>
    </chartFormat>
    <chartFormat chart="2" format="15"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4555"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55:E67" firstHeaderRow="1" firstDataRow="2" firstDataCol="1" rowPageCount="3" colPageCount="1"/>
  <pivotFields count="25">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items count="11">
        <item x="1"/>
        <item x="2"/>
        <item x="3"/>
        <item x="4"/>
        <item x="5"/>
        <item x="0"/>
        <item x="6"/>
        <item x="7"/>
        <item x="8"/>
        <item x="9"/>
        <item t="default"/>
      </items>
    </pivotField>
    <pivotField compact="0" outline="0" showAll="0"/>
    <pivotField axis="axisPage" compact="0" outline="0" multipleItemSelectionAllowed="1" showAll="0">
      <items count="10">
        <item x="2"/>
        <item x="1"/>
        <item x="0"/>
        <item h="1" m="1" x="7"/>
        <item h="1" m="1" x="8"/>
        <item h="1" m="1" x="3"/>
        <item h="1" m="1" x="4"/>
        <item h="1" m="1" x="5"/>
        <item h="1"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1">
    <i>
      <x/>
    </i>
    <i>
      <x v="1"/>
    </i>
    <i>
      <x v="2"/>
    </i>
    <i>
      <x v="3"/>
    </i>
    <i>
      <x v="4"/>
    </i>
    <i>
      <x v="5"/>
    </i>
    <i>
      <x v="6"/>
    </i>
    <i>
      <x v="7"/>
    </i>
    <i>
      <x v="8"/>
    </i>
    <i>
      <x v="9"/>
    </i>
    <i t="grand">
      <x/>
    </i>
  </rowItems>
  <colFields count="1">
    <field x="6"/>
  </colFields>
  <colItems count="4">
    <i>
      <x/>
    </i>
    <i>
      <x v="1"/>
    </i>
    <i>
      <x v="3"/>
    </i>
    <i t="grand">
      <x/>
    </i>
  </colItems>
  <pageFields count="3">
    <pageField fld="7" hier="-1"/>
    <pageField fld="18" hier="-1"/>
    <pageField fld="10" hier="-1"/>
  </pageFields>
  <dataFields count="1">
    <dataField name="Count of Total amount in $" fld="12" subtotal="count" baseField="16" baseItem="2" numFmtId="1"/>
  </dataFields>
  <formats count="10">
    <format dxfId="44">
      <pivotArea type="all" dataOnly="0" outline="0" fieldPosition="0"/>
    </format>
    <format dxfId="45">
      <pivotArea outline="0" collapsedLevelsAreSubtotals="1" fieldPosition="0"/>
    </format>
    <format dxfId="46">
      <pivotArea type="origin" dataOnly="0" labelOnly="1" outline="0" fieldPosition="0"/>
    </format>
    <format dxfId="47">
      <pivotArea field="6" type="button" dataOnly="0" labelOnly="1" outline="0" axis="axisCol" fieldPosition="0"/>
    </format>
    <format dxfId="48">
      <pivotArea type="topRight" dataOnly="0" labelOnly="1" outline="0" fieldPosition="0"/>
    </format>
    <format dxfId="49">
      <pivotArea field="16" type="button" dataOnly="0" labelOnly="1" outline="0" axis="axisRow" fieldPosition="0"/>
    </format>
    <format dxfId="50">
      <pivotArea dataOnly="0" labelOnly="1" outline="0" fieldPosition="0">
        <references count="1">
          <reference field="16" count="0"/>
        </references>
      </pivotArea>
    </format>
    <format dxfId="51">
      <pivotArea dataOnly="0" labelOnly="1" grandRow="1" outline="0" fieldPosition="0"/>
    </format>
    <format dxfId="52">
      <pivotArea dataOnly="0" labelOnly="1" outline="0" fieldPosition="0">
        <references count="1">
          <reference field="6" count="0"/>
        </references>
      </pivotArea>
    </format>
    <format dxfId="53">
      <pivotArea dataOnly="0" labelOnly="1" grandCol="1" outline="0" fieldPosition="0"/>
    </format>
  </formats>
  <conditionalFormats count="2">
    <conditionalFormat priority="4">
      <pivotAreas count="1">
        <pivotArea type="data" outline="0" collapsedLevelsAreSubtotals="1" fieldPosition="0">
          <references count="2">
            <reference field="4294967294" count="1" selected="0">
              <x v="0"/>
            </reference>
            <reference field="16" count="3" selected="0">
              <x v="5"/>
              <x v="6"/>
              <x v="7"/>
            </reference>
          </references>
        </pivotArea>
      </pivotAreas>
    </conditionalFormat>
    <conditionalFormat priority="9">
      <pivotAreas count="1">
        <pivotArea type="data" collapsedLevelsAreSubtotals="1" fieldPosition="0">
          <references count="2">
            <reference field="4294967294" count="1" selected="0">
              <x v="0"/>
            </reference>
            <reference field="16" count="5">
              <x v="0"/>
              <x v="1"/>
              <x v="2"/>
              <x v="3"/>
              <x v="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ivotTable6" cacheId="4555"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27:E29" firstHeaderRow="1" firstDataRow="2" firstDataCol="1" rowPageCount="1" colPageCount="1"/>
  <pivotFields count="25">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19">
        <item x="1"/>
        <item x="5"/>
        <item x="3"/>
        <item x="2"/>
        <item x="4"/>
        <item x="0"/>
        <item x="7"/>
        <item x="6"/>
        <item x="8"/>
        <item m="1" x="17"/>
        <item x="9"/>
        <item x="10"/>
        <item x="11"/>
        <item x="12"/>
        <item x="13"/>
        <item x="14"/>
        <item x="15"/>
        <item x="16"/>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Items count="1">
    <i/>
  </rowItems>
  <colFields count="1">
    <field x="6"/>
  </colFields>
  <colItems count="4">
    <i>
      <x/>
    </i>
    <i>
      <x v="1"/>
    </i>
    <i>
      <x v="3"/>
    </i>
    <i t="grand">
      <x/>
    </i>
  </colItems>
  <pageFields count="1">
    <pageField fld="15" hier="-1"/>
  </pageFields>
  <dataFields count="1">
    <dataField name="Sum of Total amount in $" fld="12" baseField="8" baseItem="5" numFmtId="166"/>
  </dataFields>
  <formats count="1">
    <format dxfId="4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B407599-BB24-4523-B687-82A24A40E00E}" name="PivotTable3" cacheId="4555"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7">
  <location ref="A141:E155" firstHeaderRow="1" firstDataRow="2" firstDataCol="1" rowPageCount="1" colPageCount="1"/>
  <pivotFields count="25">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Row" compact="0" outline="0" showAll="0">
      <items count="14">
        <item x="5"/>
        <item x="9"/>
        <item x="6"/>
        <item x="1"/>
        <item x="4"/>
        <item x="3"/>
        <item x="2"/>
        <item x="7"/>
        <item x="8"/>
        <item x="10"/>
        <item m="1" x="12"/>
        <item x="0"/>
        <item x="11"/>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19">
        <item x="1"/>
        <item x="5"/>
        <item x="3"/>
        <item x="2"/>
        <item x="4"/>
        <item x="0"/>
        <item x="7"/>
        <item x="6"/>
        <item x="8"/>
        <item m="1" x="17"/>
        <item x="9"/>
        <item x="10"/>
        <item x="11"/>
        <item x="12"/>
        <item x="13"/>
        <item x="14"/>
        <item x="15"/>
        <item x="16"/>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7"/>
  </rowFields>
  <rowItems count="13">
    <i>
      <x/>
    </i>
    <i>
      <x v="1"/>
    </i>
    <i>
      <x v="2"/>
    </i>
    <i>
      <x v="3"/>
    </i>
    <i>
      <x v="4"/>
    </i>
    <i>
      <x v="5"/>
    </i>
    <i>
      <x v="6"/>
    </i>
    <i>
      <x v="7"/>
    </i>
    <i>
      <x v="8"/>
    </i>
    <i>
      <x v="9"/>
    </i>
    <i>
      <x v="11"/>
    </i>
    <i>
      <x v="12"/>
    </i>
    <i t="grand">
      <x/>
    </i>
  </rowItems>
  <colFields count="1">
    <field x="6"/>
  </colFields>
  <colItems count="4">
    <i>
      <x/>
    </i>
    <i>
      <x v="1"/>
    </i>
    <i>
      <x v="3"/>
    </i>
    <i t="grand">
      <x/>
    </i>
  </colItems>
  <pageFields count="1">
    <pageField fld="15" hier="-1"/>
  </pageFields>
  <dataFields count="1">
    <dataField name="Sum of Total amount in $" fld="12" baseField="8" baseItem="5" numFmtId="166"/>
  </dataFields>
  <formats count="1">
    <format dxfId="42">
      <pivotArea outline="0" collapsedLevelsAreSubtotals="1" fieldPosition="0"/>
    </format>
  </formats>
  <chartFormats count="3">
    <chartFormat chart="5" format="6" series="1">
      <pivotArea type="data" outline="0" fieldPosition="0">
        <references count="2">
          <reference field="4294967294" count="1" selected="0">
            <x v="0"/>
          </reference>
          <reference field="6" count="1" selected="0">
            <x v="0"/>
          </reference>
        </references>
      </pivotArea>
    </chartFormat>
    <chartFormat chart="5" format="7" series="1">
      <pivotArea type="data" outline="0" fieldPosition="0">
        <references count="2">
          <reference field="4294967294" count="1" selected="0">
            <x v="0"/>
          </reference>
          <reference field="6" count="1" selected="0">
            <x v="1"/>
          </reference>
        </references>
      </pivotArea>
    </chartFormat>
    <chartFormat chart="5" format="8"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18325C7-055A-4FD7-8A8B-DEB66D95FD13}" name="PivotTable1" cacheId="4555"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22">
  <location ref="B74:C78" firstHeaderRow="1" firstDataRow="1" firstDataCol="1" rowPageCount="4" colPageCount="1"/>
  <pivotFields count="25">
    <pivotField compact="0" outline="0" showAll="0"/>
    <pivotField axis="axisPage" compact="0" outline="0" multipleItemSelectionAllowed="1"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Row"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compact="0" outline="0" showAll="0" sortType="ascending"/>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6"/>
  </rowFields>
  <rowItems count="4">
    <i>
      <x/>
    </i>
    <i>
      <x v="1"/>
    </i>
    <i>
      <x v="3"/>
    </i>
    <i t="grand">
      <x/>
    </i>
  </rowItems>
  <colItems count="1">
    <i/>
  </colItems>
  <pageFields count="4">
    <pageField fld="7" hier="-1"/>
    <pageField fld="1" hier="-1"/>
    <pageField fld="18" hier="-1"/>
    <pageField fld="10" hier="-1"/>
  </pageFields>
  <dataFields count="1">
    <dataField name="Sum of Total amount in $" fld="12" baseField="16" baseItem="4"/>
  </dataFields>
  <formats count="2">
    <format dxfId="40">
      <pivotArea outline="0" collapsedLevelsAreSubtotals="1" fieldPosition="0"/>
    </format>
    <format dxfId="41">
      <pivotArea outline="0" collapsedLevelsAreSubtotals="1" fieldPosition="0"/>
    </format>
  </formats>
  <chartFormats count="16">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 chart="6" format="0" series="1">
      <pivotArea type="data" outline="0" fieldPosition="0">
        <references count="2">
          <reference field="4294967294" count="1" selected="0">
            <x v="0"/>
          </reference>
          <reference field="6" count="1" selected="0">
            <x v="0"/>
          </reference>
        </references>
      </pivotArea>
    </chartFormat>
    <chartFormat chart="6" format="1" series="1">
      <pivotArea type="data" outline="0" fieldPosition="0">
        <references count="2">
          <reference field="4294967294" count="1" selected="0">
            <x v="0"/>
          </reference>
          <reference field="6" count="1" selected="0">
            <x v="1"/>
          </reference>
        </references>
      </pivotArea>
    </chartFormat>
    <chartFormat chart="6" format="2" series="1">
      <pivotArea type="data" outline="0" fieldPosition="0">
        <references count="2">
          <reference field="4294967294" count="1" selected="0">
            <x v="0"/>
          </reference>
          <reference field="6" count="1" selected="0">
            <x v="3"/>
          </reference>
        </references>
      </pivotArea>
    </chartFormat>
    <chartFormat chart="9" format="6" series="1">
      <pivotArea type="data" outline="0" fieldPosition="0">
        <references count="2">
          <reference field="4294967294" count="1" selected="0">
            <x v="0"/>
          </reference>
          <reference field="6" count="1" selected="0">
            <x v="0"/>
          </reference>
        </references>
      </pivotArea>
    </chartFormat>
    <chartFormat chart="9" format="7" series="1">
      <pivotArea type="data" outline="0" fieldPosition="0">
        <references count="2">
          <reference field="4294967294" count="1" selected="0">
            <x v="0"/>
          </reference>
          <reference field="6" count="1" selected="0">
            <x v="1"/>
          </reference>
        </references>
      </pivotArea>
    </chartFormat>
    <chartFormat chart="9" format="8" series="1">
      <pivotArea type="data" outline="0" fieldPosition="0">
        <references count="2">
          <reference field="4294967294" count="1" selected="0">
            <x v="0"/>
          </reference>
          <reference field="6" count="1" selected="0">
            <x v="3"/>
          </reference>
        </references>
      </pivotArea>
    </chartFormat>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6" count="1" selected="0">
            <x v="0"/>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6" count="1" selected="0">
            <x v="0"/>
          </reference>
        </references>
      </pivotArea>
    </chartFormat>
    <chartFormat chart="17" format="8">
      <pivotArea type="data" outline="0" fieldPosition="0">
        <references count="2">
          <reference field="4294967294" count="1" selected="0">
            <x v="0"/>
          </reference>
          <reference field="6" count="1" selected="0">
            <x v="1"/>
          </reference>
        </references>
      </pivotArea>
    </chartFormat>
    <chartFormat chart="17" format="9">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AF8FCFC-489E-4F8D-895C-35AB7CBDA56C}" name="PivotTable11" cacheId="4555"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13">
  <location ref="B50:F62" firstHeaderRow="1" firstDataRow="2" firstDataCol="1" rowPageCount="4" colPageCount="1"/>
  <pivotFields count="25">
    <pivotField compact="0" outline="0" showAll="0"/>
    <pivotField axis="axisPage" compact="0" outline="0" multipleItemSelectionAllowed="1"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1">
    <i>
      <x/>
    </i>
    <i>
      <x v="1"/>
    </i>
    <i>
      <x v="2"/>
    </i>
    <i>
      <x v="3"/>
    </i>
    <i>
      <x v="4"/>
    </i>
    <i>
      <x v="5"/>
    </i>
    <i>
      <x v="6"/>
    </i>
    <i>
      <x v="7"/>
    </i>
    <i>
      <x v="8"/>
    </i>
    <i>
      <x v="9"/>
    </i>
    <i t="grand">
      <x/>
    </i>
  </rowItems>
  <colFields count="1">
    <field x="6"/>
  </colFields>
  <colItems count="4">
    <i>
      <x/>
    </i>
    <i>
      <x v="1"/>
    </i>
    <i>
      <x v="3"/>
    </i>
    <i t="grand">
      <x/>
    </i>
  </colItems>
  <pageFields count="4">
    <pageField fld="7" hier="-1"/>
    <pageField fld="1" hier="-1"/>
    <pageField fld="18" hier="-1"/>
    <pageField fld="10" hier="-1"/>
  </pageFields>
  <dataFields count="1">
    <dataField name="Sum of Total amount in $" fld="12" baseField="16" baseItem="4"/>
  </dataFields>
  <formats count="2">
    <format dxfId="38">
      <pivotArea outline="0" collapsedLevelsAreSubtotals="1" fieldPosition="0"/>
    </format>
    <format dxfId="39">
      <pivotArea outline="0" collapsedLevelsAreSubtotals="1" fieldPosition="0"/>
    </format>
  </formats>
  <conditionalFormats count="2">
    <conditionalFormat priority="4">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 priority="3">
      <pivotAreas count="1">
        <pivotArea type="data" outline="0" collapsedLevelsAreSubtotals="1" fieldPosition="0">
          <references count="2">
            <reference field="4294967294" count="1" selected="0">
              <x v="0"/>
            </reference>
            <reference field="16" count="4" selected="0">
              <x v="6"/>
              <x v="7"/>
              <x v="8"/>
              <x v="9"/>
            </reference>
          </references>
        </pivotArea>
      </pivotAreas>
    </conditionalFormat>
  </conditionalFormats>
  <chartFormats count="13">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 chart="6" format="0" series="1">
      <pivotArea type="data" outline="0" fieldPosition="0">
        <references count="2">
          <reference field="4294967294" count="1" selected="0">
            <x v="0"/>
          </reference>
          <reference field="6" count="1" selected="0">
            <x v="0"/>
          </reference>
        </references>
      </pivotArea>
    </chartFormat>
    <chartFormat chart="6" format="1" series="1">
      <pivotArea type="data" outline="0" fieldPosition="0">
        <references count="2">
          <reference field="4294967294" count="1" selected="0">
            <x v="0"/>
          </reference>
          <reference field="6" count="1" selected="0">
            <x v="1"/>
          </reference>
        </references>
      </pivotArea>
    </chartFormat>
    <chartFormat chart="6" format="2" series="1">
      <pivotArea type="data" outline="0" fieldPosition="0">
        <references count="2">
          <reference field="4294967294" count="1" selected="0">
            <x v="0"/>
          </reference>
          <reference field="6" count="1" selected="0">
            <x v="3"/>
          </reference>
        </references>
      </pivotArea>
    </chartFormat>
    <chartFormat chart="9" format="6" series="1">
      <pivotArea type="data" outline="0" fieldPosition="0">
        <references count="2">
          <reference field="4294967294" count="1" selected="0">
            <x v="0"/>
          </reference>
          <reference field="6" count="1" selected="0">
            <x v="0"/>
          </reference>
        </references>
      </pivotArea>
    </chartFormat>
    <chartFormat chart="9" format="7" series="1">
      <pivotArea type="data" outline="0" fieldPosition="0">
        <references count="2">
          <reference field="4294967294" count="1" selected="0">
            <x v="0"/>
          </reference>
          <reference field="6" count="1" selected="0">
            <x v="1"/>
          </reference>
        </references>
      </pivotArea>
    </chartFormat>
    <chartFormat chart="9" format="8" series="1">
      <pivotArea type="data" outline="0" fieldPosition="0">
        <references count="2">
          <reference field="4294967294" count="1" selected="0">
            <x v="0"/>
          </reference>
          <reference field="6" count="1" selected="0">
            <x v="3"/>
          </reference>
        </references>
      </pivotArea>
    </chartFormat>
    <chartFormat chart="12" format="0" series="1">
      <pivotArea type="data" outline="0" fieldPosition="0">
        <references count="2">
          <reference field="4294967294" count="1" selected="0">
            <x v="0"/>
          </reference>
          <reference field="6" count="1" selected="0">
            <x v="0"/>
          </reference>
        </references>
      </pivotArea>
    </chartFormat>
    <chartFormat chart="12" format="1" series="1">
      <pivotArea type="data" outline="0" fieldPosition="0">
        <references count="2">
          <reference field="4294967294" count="1" selected="0">
            <x v="0"/>
          </reference>
          <reference field="6" count="1" selected="0">
            <x v="1"/>
          </reference>
        </references>
      </pivotArea>
    </chartFormat>
    <chartFormat chart="12" format="2"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325BBC9-6471-430A-8157-D1A40160D7A8}" name="PivotTable10" cacheId="4555"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3">
  <location ref="B28:E39" firstHeaderRow="1" firstDataRow="2" firstDataCol="1" rowPageCount="4" colPageCount="1"/>
  <pivotFields count="25">
    <pivotField compact="0" outline="0" showAll="0"/>
    <pivotField axis="axisPage" compact="0" outline="0" multipleItemSelectionAllowed="1"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h="1" x="2"/>
        <item x="1"/>
        <item h="1"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0">
    <i>
      <x v="1"/>
    </i>
    <i>
      <x v="2"/>
    </i>
    <i>
      <x v="3"/>
    </i>
    <i>
      <x v="4"/>
    </i>
    <i>
      <x v="5"/>
    </i>
    <i>
      <x v="6"/>
    </i>
    <i>
      <x v="7"/>
    </i>
    <i>
      <x v="8"/>
    </i>
    <i>
      <x v="9"/>
    </i>
    <i t="grand">
      <x/>
    </i>
  </rowItems>
  <colFields count="1">
    <field x="6"/>
  </colFields>
  <colItems count="3">
    <i>
      <x/>
    </i>
    <i>
      <x v="1"/>
    </i>
    <i t="grand">
      <x/>
    </i>
  </colItems>
  <pageFields count="4">
    <pageField fld="7" hier="-1"/>
    <pageField fld="1" hier="-1"/>
    <pageField fld="18" hier="-1"/>
    <pageField fld="10" hier="-1"/>
  </pageFields>
  <dataFields count="1">
    <dataField name="Sum of Total amount in $" fld="12" baseField="16" baseItem="4"/>
  </dataFields>
  <formats count="2">
    <format dxfId="36">
      <pivotArea outline="0" collapsedLevelsAreSubtotals="1" fieldPosition="0"/>
    </format>
    <format dxfId="37">
      <pivotArea outline="0" collapsedLevelsAreSubtotals="1" fieldPosition="0"/>
    </format>
  </formats>
  <conditionalFormats count="1">
    <conditionalFormat priority="5">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s>
  <chartFormats count="4">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3" cacheId="4555"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3">
  <location ref="B7:E11" firstHeaderRow="1" firstDataRow="2" firstDataCol="1" rowPageCount="4" colPageCount="1"/>
  <pivotFields count="25">
    <pivotField compact="0" outline="0" showAll="0"/>
    <pivotField axis="axisPage" compact="0" outline="0" multipleItemSelectionAllowed="1" showAll="0">
      <items count="34">
        <item h="1" x="1"/>
        <item h="1" x="4"/>
        <item h="1" x="12"/>
        <item h="1" x="6"/>
        <item h="1" x="18"/>
        <item h="1" x="23"/>
        <item h="1" x="3"/>
        <item h="1" x="2"/>
        <item h="1" x="5"/>
        <item h="1" x="14"/>
        <item h="1" x="20"/>
        <item h="1" x="8"/>
        <item h="1" x="11"/>
        <item h="1" x="17"/>
        <item m="1" x="32"/>
        <item h="1" x="9"/>
        <item h="1" x="13"/>
        <item h="1" x="19"/>
        <item h="1" x="10"/>
        <item h="1" x="15"/>
        <item h="1" x="22"/>
        <item h="1" x="7"/>
        <item h="1" x="16"/>
        <item h="1" x="21"/>
        <item h="1" x="0"/>
        <item h="1" x="24"/>
        <item h="1" m="1" x="31"/>
        <item h="1" x="25"/>
        <item h="1" x="26"/>
        <item h="1" x="27"/>
        <item x="29"/>
        <item x="28"/>
        <item h="1"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3">
    <i>
      <x v="8"/>
    </i>
    <i>
      <x v="9"/>
    </i>
    <i t="grand">
      <x/>
    </i>
  </rowItems>
  <colFields count="1">
    <field x="6"/>
  </colFields>
  <colItems count="3">
    <i>
      <x/>
    </i>
    <i>
      <x v="1"/>
    </i>
    <i t="grand">
      <x/>
    </i>
  </colItems>
  <pageFields count="4">
    <pageField fld="7" hier="-1"/>
    <pageField fld="1" hier="-1"/>
    <pageField fld="18" hier="-1"/>
    <pageField fld="10" hier="-1"/>
  </pageFields>
  <dataFields count="1">
    <dataField name="Count of Total amount in $" fld="12" subtotal="count" baseField="16" baseItem="0" numFmtId="166"/>
  </dataFields>
  <formats count="2">
    <format dxfId="34">
      <pivotArea outline="0" collapsedLevelsAreSubtotals="1" fieldPosition="0"/>
    </format>
    <format dxfId="35">
      <pivotArea outline="0" collapsedLevelsAreSubtotals="1" fieldPosition="0"/>
    </format>
  </formats>
  <conditionalFormats count="1">
    <conditionalFormat priority="6">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s>
  <chartFormats count="4">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4" cacheId="4555"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B5:F38" firstHeaderRow="1" firstDataRow="2" firstDataCol="1" rowPageCount="1" colPageCount="1"/>
  <pivotFields count="25">
    <pivotField compact="0" outline="0" showAll="0"/>
    <pivotField axis="axisRow" compact="0" outline="0"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19">
        <item x="1"/>
        <item x="5"/>
        <item x="3"/>
        <item x="2"/>
        <item x="4"/>
        <item x="0"/>
        <item x="7"/>
        <item x="6"/>
        <item x="8"/>
        <item m="1" x="17"/>
        <item x="9"/>
        <item x="10"/>
        <item x="11"/>
        <item x="12"/>
        <item x="13"/>
        <item x="14"/>
        <item x="15"/>
        <item x="16"/>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
  </rowFields>
  <rowItems count="32">
    <i>
      <x/>
    </i>
    <i>
      <x v="1"/>
    </i>
    <i>
      <x v="2"/>
    </i>
    <i>
      <x v="3"/>
    </i>
    <i>
      <x v="4"/>
    </i>
    <i>
      <x v="5"/>
    </i>
    <i>
      <x v="6"/>
    </i>
    <i>
      <x v="7"/>
    </i>
    <i>
      <x v="8"/>
    </i>
    <i>
      <x v="9"/>
    </i>
    <i>
      <x v="10"/>
    </i>
    <i>
      <x v="11"/>
    </i>
    <i>
      <x v="12"/>
    </i>
    <i>
      <x v="13"/>
    </i>
    <i>
      <x v="15"/>
    </i>
    <i>
      <x v="16"/>
    </i>
    <i>
      <x v="17"/>
    </i>
    <i>
      <x v="18"/>
    </i>
    <i>
      <x v="19"/>
    </i>
    <i>
      <x v="20"/>
    </i>
    <i>
      <x v="21"/>
    </i>
    <i>
      <x v="22"/>
    </i>
    <i>
      <x v="23"/>
    </i>
    <i>
      <x v="24"/>
    </i>
    <i>
      <x v="25"/>
    </i>
    <i>
      <x v="27"/>
    </i>
    <i>
      <x v="28"/>
    </i>
    <i>
      <x v="29"/>
    </i>
    <i>
      <x v="30"/>
    </i>
    <i>
      <x v="31"/>
    </i>
    <i>
      <x v="32"/>
    </i>
    <i t="grand">
      <x/>
    </i>
  </rowItems>
  <colFields count="1">
    <field x="6"/>
  </colFields>
  <colItems count="4">
    <i>
      <x/>
    </i>
    <i>
      <x v="1"/>
    </i>
    <i>
      <x v="3"/>
    </i>
    <i t="grand">
      <x/>
    </i>
  </colItems>
  <pageFields count="1">
    <pageField fld="15" hier="-1"/>
  </pageFields>
  <dataFields count="1">
    <dataField name="Sum of Total amount in $" fld="12" baseField="16" baseItem="0" numFmtId="166"/>
  </dataFields>
  <formats count="5">
    <format dxfId="29">
      <pivotArea outline="0" collapsedLevelsAreSubtotals="1" fieldPosition="0"/>
    </format>
    <format dxfId="30">
      <pivotArea outline="0" collapsedLevelsAreSubtotals="1" fieldPosition="0"/>
    </format>
    <format dxfId="31">
      <pivotArea outline="0" collapsedLevelsAreSubtotals="1" fieldPosition="0"/>
    </format>
    <format dxfId="32">
      <pivotArea outline="0" collapsedLevelsAreSubtotals="1" fieldPosition="0"/>
    </format>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Y491" totalsRowShown="0" headerRowDxfId="28" headerRowBorderDxfId="26" tableBorderDxfId="27" totalsRowBorderDxfId="25">
  <autoFilter ref="A1:Y491" xr:uid="{00000000-0009-0000-0100-000001000000}"/>
  <tableColumns count="25">
    <tableColumn id="1" xr3:uid="{00000000-0010-0000-0000-000001000000}" name="No." dataDxfId="24"/>
    <tableColumn id="2" xr3:uid="{00000000-0010-0000-0000-000002000000}" name="Reporting Period" dataDxfId="23"/>
    <tableColumn id="3" xr3:uid="{00000000-0010-0000-0000-000003000000}" name="Unique ID" dataDxfId="22"/>
    <tableColumn id="4" xr3:uid="{00000000-0010-0000-0000-000004000000}" name="Surname" dataDxfId="21"/>
    <tableColumn id="5" xr3:uid="{00000000-0010-0000-0000-000005000000}" name="Middle name" dataDxfId="20"/>
    <tableColumn id="6" xr3:uid="{00000000-0010-0000-0000-000006000000}" name="First Name" dataDxfId="19"/>
    <tableColumn id="7" xr3:uid="{00000000-0010-0000-0000-000007000000}" name="Sex" dataDxfId="18"/>
    <tableColumn id="8" xr3:uid="{00000000-0010-0000-0000-000008000000}" name="Cohort Number" dataDxfId="17">
      <calculatedColumnFormula>VALUE(MID(LEFT(Table1[[#This Row],[Unique ID]], FIND("/", Table1[[#This Row],[Unique ID]]) - 1), 2, LEN(Table1[[#This Row],[Unique ID]])))</calculatedColumnFormula>
    </tableColumn>
    <tableColumn id="9" xr3:uid="{00000000-0010-0000-0000-000009000000}" name="Institution of employment at registration " dataDxfId="16"/>
    <tableColumn id="10" xr3:uid="{00000000-0010-0000-0000-00000A000000}" name="Institution of PhD Registration " dataDxfId="15"/>
    <tableColumn id="11" xr3:uid="{00000000-0010-0000-0000-00000B000000}" name="Type of Achievement Award " dataDxfId="14"/>
    <tableColumn id="12" xr3:uid="{00000000-0010-0000-0000-00000C000000}" name="Name of Grant Awarded" dataDxfId="13"/>
    <tableColumn id="13" xr3:uid="{00000000-0010-0000-0000-00000D000000}" name="Total amount in $" dataDxfId="12"/>
    <tableColumn id="14" xr3:uid="{00000000-0010-0000-0000-00000E000000}" name="Name of Funder" dataDxfId="11"/>
    <tableColumn id="15" xr3:uid="{00000000-0010-0000-0000-00000F000000}" name="Duration of Funding (in months)" dataDxfId="10"/>
    <tableColumn id="16" xr3:uid="{00000000-0010-0000-0000-000010000000}" name="Type of Grant" dataDxfId="9"/>
    <tableColumn id="17" xr3:uid="{00000000-0010-0000-0000-000011000000}" name="Year" dataDxfId="8"/>
    <tableColumn id="18" xr3:uid="{00000000-0010-0000-0000-000012000000}" name="Research title" dataDxfId="7"/>
    <tableColumn id="19" xr3:uid="{00000000-0010-0000-0000-000013000000}" name="Grant type" dataDxfId="6"/>
    <tableColumn id="20" xr3:uid="{00000000-0010-0000-0000-000014000000}" name="Award date" dataDxfId="5"/>
    <tableColumn id="22" xr3:uid="{00000000-0010-0000-0000-000016000000}" name="Role in research grants" dataDxfId="4"/>
    <tableColumn id="23" xr3:uid="{00000000-0010-0000-0000-000017000000}" name="CARTA fellows collaborating" dataDxfId="3"/>
    <tableColumn id="21" xr3:uid="{00000000-0010-0000-0000-000015000000}" name="Quotes if any" dataDxfId="2"/>
    <tableColumn id="24" xr3:uid="{8F739350-F194-4949-8FB8-3B5117495301}" name="Please, give a brief description of the award and tell us why you were selected for the award?" dataDxfId="1"/>
    <tableColumn id="25" xr3:uid="{DEC15114-D51E-40AE-ABE3-49AF6027BB3A}" name="Column1"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rinterSettings" Target="../printerSettings/printerSettings3.bin"/><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0EB51-A6FF-4583-ADCF-A378C8A433B2}">
  <sheetPr codeName="Sheet1"/>
  <dimension ref="A2:N3"/>
  <sheetViews>
    <sheetView showGridLines="0" topLeftCell="B1" zoomScale="83" zoomScaleNormal="83" workbookViewId="0">
      <selection activeCell="G2" sqref="G2"/>
    </sheetView>
  </sheetViews>
  <sheetFormatPr defaultRowHeight="14.45"/>
  <cols>
    <col min="1" max="1" width="5.85546875" hidden="1" customWidth="1"/>
    <col min="8" max="8" width="11.42578125" customWidth="1"/>
    <col min="9" max="9" width="2.85546875" customWidth="1"/>
  </cols>
  <sheetData>
    <row r="2" spans="2:14">
      <c r="B2" s="20" t="s">
        <v>0</v>
      </c>
      <c r="C2" s="21"/>
      <c r="D2" s="21"/>
      <c r="E2" s="21"/>
      <c r="F2" s="21"/>
      <c r="J2" s="20" t="s">
        <v>1</v>
      </c>
      <c r="K2" s="21"/>
      <c r="L2" s="21"/>
      <c r="M2" s="21"/>
      <c r="N2" s="21"/>
    </row>
    <row r="3" spans="2:14">
      <c r="B3" s="21"/>
      <c r="C3" s="21"/>
      <c r="D3" s="21"/>
      <c r="E3" s="21"/>
      <c r="F3" s="21"/>
      <c r="J3" s="21"/>
      <c r="K3" s="21"/>
      <c r="L3" s="21"/>
      <c r="M3" s="21"/>
      <c r="N3" s="21"/>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Y494"/>
  <sheetViews>
    <sheetView tabSelected="1" zoomScale="83" zoomScaleNormal="83" workbookViewId="0">
      <selection activeCell="M508" sqref="M508"/>
    </sheetView>
  </sheetViews>
  <sheetFormatPr defaultRowHeight="14.45"/>
  <cols>
    <col min="2" max="2" width="17" customWidth="1"/>
    <col min="3" max="3" width="14" customWidth="1"/>
    <col min="4" max="4" width="17.140625" customWidth="1"/>
    <col min="5" max="5" width="15.42578125" customWidth="1"/>
    <col min="6" max="6" width="21" customWidth="1"/>
    <col min="7" max="7" width="13.5703125" customWidth="1"/>
    <col min="8" max="8" width="12.42578125" customWidth="1"/>
    <col min="9" max="9" width="36.42578125" customWidth="1"/>
    <col min="10" max="10" width="31" customWidth="1"/>
    <col min="11" max="11" width="27.140625" customWidth="1"/>
    <col min="12" max="12" width="58.42578125" customWidth="1"/>
    <col min="13" max="13" width="22.5703125" style="23" customWidth="1"/>
    <col min="14" max="14" width="26.85546875" customWidth="1"/>
    <col min="15" max="15" width="29.85546875" style="46" customWidth="1"/>
    <col min="16" max="16" width="20.42578125" customWidth="1"/>
    <col min="17" max="17" width="15.5703125" customWidth="1"/>
    <col min="18" max="18" width="14.42578125" customWidth="1"/>
    <col min="19" max="19" width="8.85546875" customWidth="1"/>
    <col min="20" max="20" width="27.7109375" style="34" customWidth="1"/>
    <col min="21" max="21" width="19.42578125" style="1" customWidth="1"/>
    <col min="22" max="22" width="18.5703125" style="1" customWidth="1"/>
    <col min="23" max="23" width="13" customWidth="1"/>
    <col min="24" max="24" width="21.28515625" customWidth="1"/>
  </cols>
  <sheetData>
    <row r="1" spans="1:25" s="2" customFormat="1" ht="13.7" customHeight="1">
      <c r="A1" s="8" t="s">
        <v>2</v>
      </c>
      <c r="B1" s="9" t="s">
        <v>3</v>
      </c>
      <c r="C1" s="9" t="s">
        <v>4</v>
      </c>
      <c r="D1" s="9" t="s">
        <v>5</v>
      </c>
      <c r="E1" s="9" t="s">
        <v>6</v>
      </c>
      <c r="F1" s="9" t="s">
        <v>7</v>
      </c>
      <c r="G1" s="9" t="s">
        <v>8</v>
      </c>
      <c r="H1" s="9" t="s">
        <v>9</v>
      </c>
      <c r="I1" s="9" t="s">
        <v>10</v>
      </c>
      <c r="J1" s="9" t="s">
        <v>11</v>
      </c>
      <c r="K1" s="9" t="s">
        <v>12</v>
      </c>
      <c r="L1" s="9" t="s">
        <v>13</v>
      </c>
      <c r="M1" s="22" t="s">
        <v>14</v>
      </c>
      <c r="N1" s="9" t="s">
        <v>15</v>
      </c>
      <c r="O1" s="40" t="s">
        <v>16</v>
      </c>
      <c r="P1" s="9" t="s">
        <v>17</v>
      </c>
      <c r="Q1" s="9" t="s">
        <v>18</v>
      </c>
      <c r="R1" s="9" t="s">
        <v>19</v>
      </c>
      <c r="S1" s="9" t="s">
        <v>20</v>
      </c>
      <c r="T1" s="36" t="s">
        <v>21</v>
      </c>
      <c r="U1" s="36" t="s">
        <v>22</v>
      </c>
      <c r="V1" s="36" t="s">
        <v>23</v>
      </c>
      <c r="W1" s="37" t="s">
        <v>24</v>
      </c>
      <c r="X1" s="37" t="s">
        <v>25</v>
      </c>
      <c r="Y1" s="60" t="s">
        <v>26</v>
      </c>
    </row>
    <row r="2" spans="1:25" s="54" customFormat="1">
      <c r="A2" s="48">
        <v>1</v>
      </c>
      <c r="B2" s="48" t="s">
        <v>27</v>
      </c>
      <c r="C2" s="48">
        <v>2016</v>
      </c>
      <c r="D2" s="48" t="s">
        <v>28</v>
      </c>
      <c r="E2" s="48" t="s">
        <v>28</v>
      </c>
      <c r="F2" s="48" t="s">
        <v>28</v>
      </c>
      <c r="G2" s="48" t="s">
        <v>29</v>
      </c>
      <c r="H2" s="48" t="e">
        <f>VALUE(MID(LEFT(Table1[[#This Row],[Unique ID]], FIND("/", Table1[[#This Row],[Unique ID]]) - 1), 2, LEN(Table1[[#This Row],[Unique ID]])))</f>
        <v>#VALUE!</v>
      </c>
      <c r="I2" s="48" t="s">
        <v>29</v>
      </c>
      <c r="J2" s="48"/>
      <c r="K2" s="48"/>
      <c r="L2" s="48"/>
      <c r="M2" s="49">
        <v>5227040</v>
      </c>
      <c r="N2" s="48"/>
      <c r="O2" s="50"/>
      <c r="P2" s="48"/>
      <c r="Q2" s="48">
        <v>2016</v>
      </c>
      <c r="R2" s="48"/>
      <c r="S2" s="48"/>
      <c r="T2" s="51"/>
      <c r="U2" s="52"/>
      <c r="V2" s="52"/>
      <c r="W2" s="48"/>
      <c r="X2" s="53"/>
      <c r="Y2" s="53"/>
    </row>
    <row r="3" spans="1:25">
      <c r="A3" s="3">
        <v>2</v>
      </c>
      <c r="B3" s="3" t="s">
        <v>30</v>
      </c>
      <c r="C3" s="3" t="s">
        <v>31</v>
      </c>
      <c r="D3" s="3" t="s">
        <v>32</v>
      </c>
      <c r="E3" s="3" t="s">
        <v>33</v>
      </c>
      <c r="F3" s="3" t="s">
        <v>34</v>
      </c>
      <c r="G3" s="3" t="s">
        <v>35</v>
      </c>
      <c r="H3" s="3">
        <f>VALUE(MID(LEFT(Table1[[#This Row],[Unique ID]], FIND("/", Table1[[#This Row],[Unique ID]]) - 1), 2, LEN(Table1[[#This Row],[Unique ID]])))</f>
        <v>4</v>
      </c>
      <c r="I3" s="3" t="s">
        <v>36</v>
      </c>
      <c r="J3" s="3" t="s">
        <v>37</v>
      </c>
      <c r="K3" s="3" t="s">
        <v>38</v>
      </c>
      <c r="L3" s="3" t="s">
        <v>39</v>
      </c>
      <c r="M3" s="24">
        <v>800</v>
      </c>
      <c r="N3" s="3" t="s">
        <v>40</v>
      </c>
      <c r="O3" s="41" t="s">
        <v>41</v>
      </c>
      <c r="P3" s="3" t="s">
        <v>42</v>
      </c>
      <c r="Q3" s="3">
        <v>2017</v>
      </c>
      <c r="R3" s="3"/>
      <c r="S3" s="3" t="s">
        <v>43</v>
      </c>
      <c r="T3" s="33"/>
      <c r="U3" s="4"/>
      <c r="V3" s="4"/>
      <c r="W3" s="3"/>
      <c r="X3" s="4"/>
      <c r="Y3" s="4"/>
    </row>
    <row r="4" spans="1:25">
      <c r="A4" s="3">
        <v>3</v>
      </c>
      <c r="B4" s="3" t="s">
        <v>44</v>
      </c>
      <c r="C4" s="3" t="s">
        <v>45</v>
      </c>
      <c r="D4" s="3" t="s">
        <v>46</v>
      </c>
      <c r="E4" s="3" t="s">
        <v>47</v>
      </c>
      <c r="F4" s="3" t="s">
        <v>48</v>
      </c>
      <c r="G4" s="3" t="s">
        <v>35</v>
      </c>
      <c r="H4" s="3">
        <f>VALUE(MID(LEFT(Table1[[#This Row],[Unique ID]], FIND("/", Table1[[#This Row],[Unique ID]]) - 1), 2, LEN(Table1[[#This Row],[Unique ID]])))</f>
        <v>4</v>
      </c>
      <c r="I4" s="3" t="s">
        <v>49</v>
      </c>
      <c r="J4" s="3" t="s">
        <v>49</v>
      </c>
      <c r="K4" s="3" t="s">
        <v>50</v>
      </c>
      <c r="L4" s="3" t="s">
        <v>51</v>
      </c>
      <c r="M4" s="24">
        <v>10000</v>
      </c>
      <c r="N4" s="3" t="s">
        <v>52</v>
      </c>
      <c r="O4" s="41">
        <v>12</v>
      </c>
      <c r="P4" s="3" t="s">
        <v>53</v>
      </c>
      <c r="Q4" s="3">
        <v>2018</v>
      </c>
      <c r="R4" s="3"/>
      <c r="S4" s="3" t="s">
        <v>43</v>
      </c>
      <c r="T4" s="33"/>
      <c r="U4" s="4"/>
      <c r="V4" s="4"/>
      <c r="W4" s="3"/>
      <c r="X4" s="4"/>
      <c r="Y4" s="4"/>
    </row>
    <row r="5" spans="1:25">
      <c r="A5" s="3">
        <v>4</v>
      </c>
      <c r="B5" s="3" t="s">
        <v>44</v>
      </c>
      <c r="C5" s="3" t="s">
        <v>45</v>
      </c>
      <c r="D5" s="3" t="s">
        <v>46</v>
      </c>
      <c r="E5" s="3" t="s">
        <v>47</v>
      </c>
      <c r="F5" s="3" t="s">
        <v>48</v>
      </c>
      <c r="G5" s="3" t="s">
        <v>35</v>
      </c>
      <c r="H5" s="3">
        <f>VALUE(MID(LEFT(Table1[[#This Row],[Unique ID]], FIND("/", Table1[[#This Row],[Unique ID]]) - 1), 2, LEN(Table1[[#This Row],[Unique ID]])))</f>
        <v>4</v>
      </c>
      <c r="I5" s="3" t="s">
        <v>49</v>
      </c>
      <c r="J5" s="3" t="s">
        <v>49</v>
      </c>
      <c r="K5" s="3" t="s">
        <v>42</v>
      </c>
      <c r="L5" s="3" t="s">
        <v>54</v>
      </c>
      <c r="M5" s="24">
        <v>5000</v>
      </c>
      <c r="N5" s="3" t="s">
        <v>55</v>
      </c>
      <c r="O5" s="41">
        <v>1</v>
      </c>
      <c r="P5" s="3" t="s">
        <v>56</v>
      </c>
      <c r="Q5" s="3">
        <v>2018</v>
      </c>
      <c r="R5" s="3"/>
      <c r="S5" s="3" t="s">
        <v>43</v>
      </c>
      <c r="T5" s="33"/>
      <c r="U5" s="4"/>
      <c r="V5" s="4"/>
      <c r="W5" s="3"/>
      <c r="X5" s="4"/>
      <c r="Y5" s="4"/>
    </row>
    <row r="6" spans="1:25">
      <c r="A6" s="3">
        <v>5</v>
      </c>
      <c r="B6" s="3" t="s">
        <v>30</v>
      </c>
      <c r="C6" s="3" t="s">
        <v>57</v>
      </c>
      <c r="D6" s="3" t="s">
        <v>58</v>
      </c>
      <c r="E6" s="3" t="s">
        <v>59</v>
      </c>
      <c r="F6" s="3" t="s">
        <v>60</v>
      </c>
      <c r="G6" s="3" t="s">
        <v>61</v>
      </c>
      <c r="H6" s="3">
        <f>VALUE(MID(LEFT(Table1[[#This Row],[Unique ID]], FIND("/", Table1[[#This Row],[Unique ID]]) - 1), 2, LEN(Table1[[#This Row],[Unique ID]])))</f>
        <v>7</v>
      </c>
      <c r="I6" s="3" t="s">
        <v>49</v>
      </c>
      <c r="J6" s="3" t="s">
        <v>49</v>
      </c>
      <c r="K6" s="3" t="s">
        <v>62</v>
      </c>
      <c r="L6" s="3" t="s">
        <v>63</v>
      </c>
      <c r="M6" s="24">
        <v>21100</v>
      </c>
      <c r="N6" s="3" t="s">
        <v>52</v>
      </c>
      <c r="O6" s="41" t="s">
        <v>64</v>
      </c>
      <c r="P6" s="3" t="s">
        <v>56</v>
      </c>
      <c r="Q6" s="3">
        <v>2017</v>
      </c>
      <c r="R6" s="3"/>
      <c r="S6" s="3" t="s">
        <v>43</v>
      </c>
      <c r="T6" s="33"/>
      <c r="U6" s="4"/>
      <c r="V6" s="4"/>
      <c r="W6" s="3"/>
      <c r="X6" s="4"/>
      <c r="Y6" s="4"/>
    </row>
    <row r="7" spans="1:25">
      <c r="A7" s="3">
        <v>6</v>
      </c>
      <c r="B7" s="3" t="s">
        <v>65</v>
      </c>
      <c r="C7" s="3" t="s">
        <v>57</v>
      </c>
      <c r="D7" s="3" t="s">
        <v>58</v>
      </c>
      <c r="E7" s="3" t="s">
        <v>59</v>
      </c>
      <c r="F7" s="3" t="s">
        <v>60</v>
      </c>
      <c r="G7" s="3" t="s">
        <v>61</v>
      </c>
      <c r="H7" s="3">
        <f>VALUE(MID(LEFT(Table1[[#This Row],[Unique ID]], FIND("/", Table1[[#This Row],[Unique ID]]) - 1), 2, LEN(Table1[[#This Row],[Unique ID]])))</f>
        <v>7</v>
      </c>
      <c r="I7" s="3" t="s">
        <v>49</v>
      </c>
      <c r="J7" s="3" t="s">
        <v>49</v>
      </c>
      <c r="K7" s="3" t="s">
        <v>56</v>
      </c>
      <c r="L7" s="3" t="s">
        <v>66</v>
      </c>
      <c r="M7" s="24">
        <v>20000</v>
      </c>
      <c r="N7" s="3" t="s">
        <v>67</v>
      </c>
      <c r="O7" s="41" t="s">
        <v>64</v>
      </c>
      <c r="P7" s="3" t="s">
        <v>56</v>
      </c>
      <c r="Q7" s="3">
        <v>2017</v>
      </c>
      <c r="R7" s="3"/>
      <c r="S7" s="3" t="s">
        <v>43</v>
      </c>
      <c r="T7" s="33"/>
      <c r="U7" s="4"/>
      <c r="V7" s="4"/>
      <c r="W7" s="3"/>
      <c r="X7" s="4"/>
      <c r="Y7" s="4"/>
    </row>
    <row r="8" spans="1:25">
      <c r="A8" s="3">
        <v>7</v>
      </c>
      <c r="B8" s="3" t="s">
        <v>68</v>
      </c>
      <c r="C8" s="3" t="s">
        <v>57</v>
      </c>
      <c r="D8" s="3" t="s">
        <v>58</v>
      </c>
      <c r="E8" s="3" t="s">
        <v>59</v>
      </c>
      <c r="F8" s="3" t="s">
        <v>60</v>
      </c>
      <c r="G8" s="3" t="s">
        <v>61</v>
      </c>
      <c r="H8" s="3">
        <f>VALUE(MID(LEFT(Table1[[#This Row],[Unique ID]], FIND("/", Table1[[#This Row],[Unique ID]]) - 1), 2, LEN(Table1[[#This Row],[Unique ID]])))</f>
        <v>7</v>
      </c>
      <c r="I8" s="3" t="s">
        <v>49</v>
      </c>
      <c r="J8" s="3" t="s">
        <v>49</v>
      </c>
      <c r="K8" s="3" t="s">
        <v>62</v>
      </c>
      <c r="L8" s="3" t="s">
        <v>69</v>
      </c>
      <c r="M8" s="24">
        <v>12388</v>
      </c>
      <c r="N8" s="3" t="s">
        <v>70</v>
      </c>
      <c r="O8" s="41">
        <v>12</v>
      </c>
      <c r="P8" s="3" t="s">
        <v>56</v>
      </c>
      <c r="Q8" s="3">
        <v>2018</v>
      </c>
      <c r="R8" s="3"/>
      <c r="S8" s="3" t="s">
        <v>43</v>
      </c>
      <c r="T8" s="33"/>
      <c r="U8" s="4"/>
      <c r="V8" s="4"/>
      <c r="W8" s="3"/>
      <c r="X8" s="4"/>
      <c r="Y8" s="4"/>
    </row>
    <row r="9" spans="1:25">
      <c r="A9" s="3">
        <v>8</v>
      </c>
      <c r="B9" s="3" t="s">
        <v>44</v>
      </c>
      <c r="C9" s="3" t="s">
        <v>57</v>
      </c>
      <c r="D9" s="3" t="s">
        <v>58</v>
      </c>
      <c r="E9" s="3" t="s">
        <v>59</v>
      </c>
      <c r="F9" s="3" t="s">
        <v>60</v>
      </c>
      <c r="G9" s="3" t="s">
        <v>61</v>
      </c>
      <c r="H9" s="3">
        <f>VALUE(MID(LEFT(Table1[[#This Row],[Unique ID]], FIND("/", Table1[[#This Row],[Unique ID]]) - 1), 2, LEN(Table1[[#This Row],[Unique ID]])))</f>
        <v>7</v>
      </c>
      <c r="I9" s="3" t="s">
        <v>49</v>
      </c>
      <c r="J9" s="3" t="s">
        <v>49</v>
      </c>
      <c r="K9" s="3" t="s">
        <v>62</v>
      </c>
      <c r="L9" s="3">
        <v>8685</v>
      </c>
      <c r="M9" s="24">
        <v>12000</v>
      </c>
      <c r="N9" s="3" t="s">
        <v>71</v>
      </c>
      <c r="O9" s="41">
        <v>12</v>
      </c>
      <c r="P9" s="3" t="s">
        <v>56</v>
      </c>
      <c r="Q9" s="3">
        <v>2018</v>
      </c>
      <c r="R9" s="3"/>
      <c r="S9" s="3" t="s">
        <v>43</v>
      </c>
      <c r="T9" s="33"/>
      <c r="U9" s="4"/>
      <c r="V9" s="4"/>
      <c r="W9" s="3"/>
      <c r="X9" s="4"/>
      <c r="Y9" s="4"/>
    </row>
    <row r="10" spans="1:25">
      <c r="A10" s="3">
        <v>9</v>
      </c>
      <c r="B10" s="3" t="s">
        <v>44</v>
      </c>
      <c r="C10" s="3" t="s">
        <v>72</v>
      </c>
      <c r="D10" s="3" t="s">
        <v>73</v>
      </c>
      <c r="E10" s="3" t="s">
        <v>74</v>
      </c>
      <c r="F10" s="3" t="s">
        <v>75</v>
      </c>
      <c r="G10" s="3" t="s">
        <v>35</v>
      </c>
      <c r="H10" s="3">
        <f>VALUE(MID(LEFT(Table1[[#This Row],[Unique ID]], FIND("/", Table1[[#This Row],[Unique ID]]) - 1), 2, LEN(Table1[[#This Row],[Unique ID]])))</f>
        <v>7</v>
      </c>
      <c r="I10" s="3" t="s">
        <v>76</v>
      </c>
      <c r="J10" s="3" t="s">
        <v>49</v>
      </c>
      <c r="K10" s="3" t="s">
        <v>50</v>
      </c>
      <c r="L10" s="3" t="s">
        <v>77</v>
      </c>
      <c r="M10" s="24">
        <v>8250</v>
      </c>
      <c r="N10" s="3" t="s">
        <v>78</v>
      </c>
      <c r="O10" s="41">
        <v>24</v>
      </c>
      <c r="P10" s="3" t="s">
        <v>53</v>
      </c>
      <c r="Q10" s="3">
        <v>2018</v>
      </c>
      <c r="R10" s="3"/>
      <c r="S10" s="3" t="s">
        <v>43</v>
      </c>
      <c r="T10" s="33"/>
      <c r="U10" s="4"/>
      <c r="V10" s="4"/>
      <c r="W10" s="3"/>
      <c r="X10" s="4"/>
      <c r="Y10" s="4"/>
    </row>
    <row r="11" spans="1:25">
      <c r="A11" s="3">
        <v>10</v>
      </c>
      <c r="B11" s="3" t="s">
        <v>79</v>
      </c>
      <c r="C11" s="3" t="s">
        <v>72</v>
      </c>
      <c r="D11" s="3" t="s">
        <v>73</v>
      </c>
      <c r="E11" s="3" t="s">
        <v>74</v>
      </c>
      <c r="F11" s="3" t="s">
        <v>75</v>
      </c>
      <c r="G11" s="3" t="s">
        <v>35</v>
      </c>
      <c r="H11" s="3">
        <f>VALUE(MID(LEFT(Table1[[#This Row],[Unique ID]], FIND("/", Table1[[#This Row],[Unique ID]]) - 1), 2, LEN(Table1[[#This Row],[Unique ID]])))</f>
        <v>7</v>
      </c>
      <c r="I11" s="3" t="s">
        <v>76</v>
      </c>
      <c r="J11" s="3" t="s">
        <v>49</v>
      </c>
      <c r="K11" s="3" t="s">
        <v>50</v>
      </c>
      <c r="L11" s="3" t="s">
        <v>80</v>
      </c>
      <c r="M11" s="24">
        <v>10000</v>
      </c>
      <c r="N11" s="3" t="s">
        <v>81</v>
      </c>
      <c r="O11" s="41">
        <v>24</v>
      </c>
      <c r="P11" s="3" t="s">
        <v>53</v>
      </c>
      <c r="Q11" s="3">
        <v>2019</v>
      </c>
      <c r="R11" s="3"/>
      <c r="S11" s="3" t="s">
        <v>43</v>
      </c>
      <c r="T11" s="33"/>
      <c r="U11" s="4"/>
      <c r="V11" s="4"/>
      <c r="W11" s="3"/>
      <c r="X11" s="4"/>
      <c r="Y11" s="4"/>
    </row>
    <row r="12" spans="1:25">
      <c r="A12" s="3">
        <v>11</v>
      </c>
      <c r="B12" s="3" t="s">
        <v>79</v>
      </c>
      <c r="C12" s="3" t="s">
        <v>82</v>
      </c>
      <c r="D12" s="3" t="s">
        <v>83</v>
      </c>
      <c r="E12" s="3" t="s">
        <v>84</v>
      </c>
      <c r="F12" s="3" t="s">
        <v>85</v>
      </c>
      <c r="G12" s="3" t="s">
        <v>61</v>
      </c>
      <c r="H12" s="3">
        <f>VALUE(MID(LEFT(Table1[[#This Row],[Unique ID]], FIND("/", Table1[[#This Row],[Unique ID]]) - 1), 2, LEN(Table1[[#This Row],[Unique ID]])))</f>
        <v>7</v>
      </c>
      <c r="I12" s="3" t="s">
        <v>86</v>
      </c>
      <c r="J12" s="3" t="s">
        <v>86</v>
      </c>
      <c r="K12" s="3" t="s">
        <v>50</v>
      </c>
      <c r="L12" s="3" t="s">
        <v>87</v>
      </c>
      <c r="M12" s="24">
        <v>2000</v>
      </c>
      <c r="N12" s="3" t="s">
        <v>88</v>
      </c>
      <c r="O12" s="41"/>
      <c r="P12" s="3" t="s">
        <v>42</v>
      </c>
      <c r="Q12" s="3">
        <v>2019</v>
      </c>
      <c r="R12" s="3"/>
      <c r="S12" s="3" t="s">
        <v>43</v>
      </c>
      <c r="T12" s="33"/>
      <c r="U12" s="4"/>
      <c r="V12" s="4"/>
      <c r="W12" s="3"/>
      <c r="X12" s="4"/>
      <c r="Y12" s="4"/>
    </row>
    <row r="13" spans="1:25">
      <c r="A13" s="3">
        <v>12</v>
      </c>
      <c r="B13" s="3" t="s">
        <v>30</v>
      </c>
      <c r="C13" s="3" t="s">
        <v>89</v>
      </c>
      <c r="D13" s="3" t="s">
        <v>90</v>
      </c>
      <c r="E13" s="3" t="s">
        <v>91</v>
      </c>
      <c r="F13" s="3" t="s">
        <v>92</v>
      </c>
      <c r="G13" s="3" t="s">
        <v>61</v>
      </c>
      <c r="H13" s="3">
        <f>VALUE(MID(LEFT(Table1[[#This Row],[Unique ID]], FIND("/", Table1[[#This Row],[Unique ID]]) - 1), 2, LEN(Table1[[#This Row],[Unique ID]])))</f>
        <v>7</v>
      </c>
      <c r="I13" s="3" t="s">
        <v>93</v>
      </c>
      <c r="J13" s="3" t="s">
        <v>49</v>
      </c>
      <c r="K13" s="3" t="s">
        <v>62</v>
      </c>
      <c r="L13" s="3" t="s">
        <v>94</v>
      </c>
      <c r="M13" s="24">
        <v>15630</v>
      </c>
      <c r="N13" s="3" t="s">
        <v>95</v>
      </c>
      <c r="O13" s="41" t="s">
        <v>96</v>
      </c>
      <c r="P13" s="3" t="s">
        <v>56</v>
      </c>
      <c r="Q13" s="3">
        <v>2017</v>
      </c>
      <c r="R13" s="3"/>
      <c r="S13" s="3" t="s">
        <v>43</v>
      </c>
      <c r="T13" s="33"/>
      <c r="U13" s="4"/>
      <c r="V13" s="4"/>
      <c r="W13" s="3"/>
      <c r="X13" s="4"/>
      <c r="Y13" s="4"/>
    </row>
    <row r="14" spans="1:25">
      <c r="A14" s="3">
        <v>13</v>
      </c>
      <c r="B14" s="3" t="s">
        <v>65</v>
      </c>
      <c r="C14" s="3" t="s">
        <v>89</v>
      </c>
      <c r="D14" s="3" t="s">
        <v>90</v>
      </c>
      <c r="E14" s="3" t="s">
        <v>91</v>
      </c>
      <c r="F14" s="3" t="s">
        <v>92</v>
      </c>
      <c r="G14" s="3" t="s">
        <v>61</v>
      </c>
      <c r="H14" s="3">
        <f>VALUE(MID(LEFT(Table1[[#This Row],[Unique ID]], FIND("/", Table1[[#This Row],[Unique ID]]) - 1), 2, LEN(Table1[[#This Row],[Unique ID]])))</f>
        <v>7</v>
      </c>
      <c r="I14" s="3" t="s">
        <v>93</v>
      </c>
      <c r="J14" s="3" t="s">
        <v>49</v>
      </c>
      <c r="K14" s="3" t="s">
        <v>62</v>
      </c>
      <c r="L14" s="3" t="s">
        <v>97</v>
      </c>
      <c r="M14" s="24">
        <v>1500</v>
      </c>
      <c r="N14" s="3" t="s">
        <v>98</v>
      </c>
      <c r="O14" s="41" t="s">
        <v>99</v>
      </c>
      <c r="P14" s="3" t="s">
        <v>56</v>
      </c>
      <c r="Q14" s="3">
        <v>2017</v>
      </c>
      <c r="R14" s="3"/>
      <c r="S14" s="3" t="s">
        <v>43</v>
      </c>
      <c r="T14" s="33"/>
      <c r="U14" s="4"/>
      <c r="V14" s="4"/>
      <c r="W14" s="3"/>
      <c r="X14" s="4"/>
      <c r="Y14" s="4"/>
    </row>
    <row r="15" spans="1:25">
      <c r="A15" s="3">
        <v>14</v>
      </c>
      <c r="B15" s="3" t="s">
        <v>65</v>
      </c>
      <c r="C15" s="3" t="s">
        <v>100</v>
      </c>
      <c r="D15" s="3" t="s">
        <v>101</v>
      </c>
      <c r="E15" s="3" t="s">
        <v>102</v>
      </c>
      <c r="F15" s="3" t="s">
        <v>103</v>
      </c>
      <c r="G15" s="3" t="s">
        <v>61</v>
      </c>
      <c r="H15" s="3">
        <f>VALUE(MID(LEFT(Table1[[#This Row],[Unique ID]], FIND("/", Table1[[#This Row],[Unique ID]]) - 1), 2, LEN(Table1[[#This Row],[Unique ID]])))</f>
        <v>6</v>
      </c>
      <c r="I15" s="3" t="s">
        <v>81</v>
      </c>
      <c r="J15" s="3" t="s">
        <v>49</v>
      </c>
      <c r="K15" s="3" t="s">
        <v>62</v>
      </c>
      <c r="L15" s="3" t="s">
        <v>104</v>
      </c>
      <c r="M15" s="24">
        <v>150561</v>
      </c>
      <c r="N15" s="3" t="s">
        <v>105</v>
      </c>
      <c r="O15" s="41" t="s">
        <v>106</v>
      </c>
      <c r="P15" s="3" t="s">
        <v>56</v>
      </c>
      <c r="Q15" s="3">
        <v>2017</v>
      </c>
      <c r="R15" s="3"/>
      <c r="S15" s="3" t="s">
        <v>43</v>
      </c>
      <c r="T15" s="33"/>
      <c r="U15" s="4"/>
      <c r="V15" s="4"/>
      <c r="W15" s="3"/>
      <c r="X15" s="4"/>
      <c r="Y15" s="4"/>
    </row>
    <row r="16" spans="1:25">
      <c r="A16" s="3">
        <v>15</v>
      </c>
      <c r="B16" s="3" t="s">
        <v>68</v>
      </c>
      <c r="C16" s="3" t="s">
        <v>107</v>
      </c>
      <c r="D16" s="3" t="s">
        <v>108</v>
      </c>
      <c r="E16" s="3"/>
      <c r="F16" s="3" t="s">
        <v>109</v>
      </c>
      <c r="G16" s="3" t="s">
        <v>35</v>
      </c>
      <c r="H16" s="3">
        <f>VALUE(MID(LEFT(Table1[[#This Row],[Unique ID]], FIND("/", Table1[[#This Row],[Unique ID]]) - 1), 2, LEN(Table1[[#This Row],[Unique ID]])))</f>
        <v>7</v>
      </c>
      <c r="I16" s="3" t="s">
        <v>110</v>
      </c>
      <c r="J16" s="3" t="s">
        <v>76</v>
      </c>
      <c r="K16" s="3" t="s">
        <v>50</v>
      </c>
      <c r="L16" s="3" t="s">
        <v>111</v>
      </c>
      <c r="M16" s="24">
        <v>15993</v>
      </c>
      <c r="N16" s="3" t="s">
        <v>112</v>
      </c>
      <c r="O16" s="41">
        <v>12</v>
      </c>
      <c r="P16" s="3" t="s">
        <v>53</v>
      </c>
      <c r="Q16" s="3">
        <v>2018</v>
      </c>
      <c r="R16" s="3"/>
      <c r="S16" s="3" t="s">
        <v>43</v>
      </c>
      <c r="T16" s="33"/>
      <c r="U16" s="4"/>
      <c r="V16" s="4"/>
      <c r="W16" s="3"/>
      <c r="X16" s="4"/>
      <c r="Y16" s="4"/>
    </row>
    <row r="17" spans="1:25">
      <c r="A17" s="3">
        <v>16</v>
      </c>
      <c r="B17" s="3" t="s">
        <v>113</v>
      </c>
      <c r="C17" s="3" t="s">
        <v>114</v>
      </c>
      <c r="D17" s="3" t="s">
        <v>115</v>
      </c>
      <c r="E17" s="3" t="s">
        <v>116</v>
      </c>
      <c r="F17" s="3" t="s">
        <v>117</v>
      </c>
      <c r="G17" s="3" t="s">
        <v>61</v>
      </c>
      <c r="H17" s="3">
        <f>VALUE(MID(LEFT(Table1[[#This Row],[Unique ID]], FIND("/", Table1[[#This Row],[Unique ID]]) - 1), 2, LEN(Table1[[#This Row],[Unique ID]])))</f>
        <v>6</v>
      </c>
      <c r="I17" s="3" t="s">
        <v>93</v>
      </c>
      <c r="J17" s="3" t="s">
        <v>93</v>
      </c>
      <c r="K17" s="3" t="s">
        <v>38</v>
      </c>
      <c r="L17" s="3" t="s">
        <v>118</v>
      </c>
      <c r="M17" s="24"/>
      <c r="N17" s="3" t="s">
        <v>119</v>
      </c>
      <c r="O17" s="41">
        <v>1</v>
      </c>
      <c r="P17" s="3" t="s">
        <v>42</v>
      </c>
      <c r="Q17" s="3">
        <v>2019</v>
      </c>
      <c r="R17" s="3"/>
      <c r="S17" s="3" t="s">
        <v>43</v>
      </c>
      <c r="T17" s="33"/>
      <c r="U17" s="4"/>
      <c r="V17" s="4"/>
      <c r="W17" s="3"/>
      <c r="X17" s="4"/>
      <c r="Y17" s="4"/>
    </row>
    <row r="18" spans="1:25">
      <c r="A18" s="3">
        <v>17</v>
      </c>
      <c r="B18" s="3" t="s">
        <v>65</v>
      </c>
      <c r="C18" s="3" t="s">
        <v>120</v>
      </c>
      <c r="D18" s="3" t="s">
        <v>121</v>
      </c>
      <c r="E18" s="3"/>
      <c r="F18" s="3" t="s">
        <v>122</v>
      </c>
      <c r="G18" s="3" t="s">
        <v>35</v>
      </c>
      <c r="H18" s="3">
        <f>VALUE(MID(LEFT(Table1[[#This Row],[Unique ID]], FIND("/", Table1[[#This Row],[Unique ID]]) - 1), 2, LEN(Table1[[#This Row],[Unique ID]])))</f>
        <v>5</v>
      </c>
      <c r="I18" s="3" t="s">
        <v>81</v>
      </c>
      <c r="J18" s="3" t="s">
        <v>49</v>
      </c>
      <c r="K18" s="3" t="s">
        <v>62</v>
      </c>
      <c r="L18" s="3" t="s">
        <v>123</v>
      </c>
      <c r="M18" s="24">
        <v>550552</v>
      </c>
      <c r="N18" s="3" t="s">
        <v>124</v>
      </c>
      <c r="O18" s="41" t="s">
        <v>125</v>
      </c>
      <c r="P18" s="3" t="s">
        <v>56</v>
      </c>
      <c r="Q18" s="3">
        <v>2017</v>
      </c>
      <c r="R18" s="3"/>
      <c r="S18" s="3" t="s">
        <v>43</v>
      </c>
      <c r="T18" s="33"/>
      <c r="U18" s="4"/>
      <c r="V18" s="4"/>
      <c r="W18" s="3"/>
      <c r="X18" s="4"/>
      <c r="Y18" s="4"/>
    </row>
    <row r="19" spans="1:25">
      <c r="A19" s="3">
        <v>18</v>
      </c>
      <c r="B19" s="3" t="s">
        <v>65</v>
      </c>
      <c r="C19" s="3" t="s">
        <v>120</v>
      </c>
      <c r="D19" s="3" t="s">
        <v>121</v>
      </c>
      <c r="E19" s="3"/>
      <c r="F19" s="3" t="s">
        <v>122</v>
      </c>
      <c r="G19" s="3" t="s">
        <v>35</v>
      </c>
      <c r="H19" s="3">
        <f>VALUE(MID(LEFT(Table1[[#This Row],[Unique ID]], FIND("/", Table1[[#This Row],[Unique ID]]) - 1), 2, LEN(Table1[[#This Row],[Unique ID]])))</f>
        <v>5</v>
      </c>
      <c r="I19" s="3" t="s">
        <v>81</v>
      </c>
      <c r="J19" s="3" t="s">
        <v>49</v>
      </c>
      <c r="K19" s="3" t="s">
        <v>62</v>
      </c>
      <c r="L19" s="3" t="s">
        <v>126</v>
      </c>
      <c r="M19" s="24">
        <v>23000</v>
      </c>
      <c r="N19" s="3" t="s">
        <v>127</v>
      </c>
      <c r="O19" s="41" t="s">
        <v>99</v>
      </c>
      <c r="P19" s="3" t="s">
        <v>42</v>
      </c>
      <c r="Q19" s="3">
        <v>2017</v>
      </c>
      <c r="R19" s="3"/>
      <c r="S19" s="3" t="s">
        <v>43</v>
      </c>
      <c r="T19" s="33"/>
      <c r="U19" s="4"/>
      <c r="V19" s="4"/>
      <c r="W19" s="3"/>
      <c r="X19" s="4"/>
      <c r="Y19" s="4"/>
    </row>
    <row r="20" spans="1:25">
      <c r="A20" s="3">
        <v>19</v>
      </c>
      <c r="B20" s="3" t="s">
        <v>68</v>
      </c>
      <c r="C20" s="3" t="s">
        <v>120</v>
      </c>
      <c r="D20" s="3" t="s">
        <v>121</v>
      </c>
      <c r="E20" s="3"/>
      <c r="F20" s="3" t="s">
        <v>122</v>
      </c>
      <c r="G20" s="3" t="s">
        <v>35</v>
      </c>
      <c r="H20" s="3">
        <f>VALUE(MID(LEFT(Table1[[#This Row],[Unique ID]], FIND("/", Table1[[#This Row],[Unique ID]]) - 1), 2, LEN(Table1[[#This Row],[Unique ID]])))</f>
        <v>5</v>
      </c>
      <c r="I20" s="3" t="s">
        <v>81</v>
      </c>
      <c r="J20" s="3" t="s">
        <v>49</v>
      </c>
      <c r="K20" s="3" t="s">
        <v>62</v>
      </c>
      <c r="L20" s="3" t="s">
        <v>128</v>
      </c>
      <c r="M20" s="24">
        <v>257000</v>
      </c>
      <c r="N20" s="3" t="s">
        <v>129</v>
      </c>
      <c r="O20" s="41">
        <v>4</v>
      </c>
      <c r="P20" s="3" t="s">
        <v>56</v>
      </c>
      <c r="Q20" s="3">
        <v>2018</v>
      </c>
      <c r="R20" s="3"/>
      <c r="S20" s="3" t="s">
        <v>43</v>
      </c>
      <c r="T20" s="33"/>
      <c r="U20" s="4"/>
      <c r="V20" s="4"/>
      <c r="W20" s="3"/>
      <c r="X20" s="4"/>
      <c r="Y20" s="4"/>
    </row>
    <row r="21" spans="1:25">
      <c r="A21" s="3">
        <v>20</v>
      </c>
      <c r="B21" s="3" t="s">
        <v>44</v>
      </c>
      <c r="C21" s="3" t="s">
        <v>120</v>
      </c>
      <c r="D21" s="3" t="s">
        <v>121</v>
      </c>
      <c r="E21" s="3"/>
      <c r="F21" s="3" t="s">
        <v>122</v>
      </c>
      <c r="G21" s="3" t="s">
        <v>35</v>
      </c>
      <c r="H21" s="3">
        <f>VALUE(MID(LEFT(Table1[[#This Row],[Unique ID]], FIND("/", Table1[[#This Row],[Unique ID]]) - 1), 2, LEN(Table1[[#This Row],[Unique ID]])))</f>
        <v>5</v>
      </c>
      <c r="I21" s="3" t="s">
        <v>81</v>
      </c>
      <c r="J21" s="3" t="s">
        <v>49</v>
      </c>
      <c r="K21" s="3" t="s">
        <v>62</v>
      </c>
      <c r="L21" s="3" t="s">
        <v>130</v>
      </c>
      <c r="M21" s="24">
        <v>162000</v>
      </c>
      <c r="N21" s="3" t="s">
        <v>131</v>
      </c>
      <c r="O21" s="41">
        <v>3</v>
      </c>
      <c r="P21" s="3" t="s">
        <v>56</v>
      </c>
      <c r="Q21" s="3">
        <v>2018</v>
      </c>
      <c r="R21" s="3"/>
      <c r="S21" s="3" t="s">
        <v>43</v>
      </c>
      <c r="T21" s="33"/>
      <c r="U21" s="4"/>
      <c r="V21" s="4"/>
      <c r="W21" s="3"/>
      <c r="X21" s="4"/>
      <c r="Y21" s="4"/>
    </row>
    <row r="22" spans="1:25">
      <c r="A22" s="3">
        <v>21</v>
      </c>
      <c r="B22" s="3" t="s">
        <v>44</v>
      </c>
      <c r="C22" s="3" t="s">
        <v>120</v>
      </c>
      <c r="D22" s="3" t="s">
        <v>121</v>
      </c>
      <c r="E22" s="3"/>
      <c r="F22" s="3" t="s">
        <v>122</v>
      </c>
      <c r="G22" s="3" t="s">
        <v>35</v>
      </c>
      <c r="H22" s="3">
        <f>VALUE(MID(LEFT(Table1[[#This Row],[Unique ID]], FIND("/", Table1[[#This Row],[Unique ID]]) - 1), 2, LEN(Table1[[#This Row],[Unique ID]])))</f>
        <v>5</v>
      </c>
      <c r="I22" s="3" t="s">
        <v>81</v>
      </c>
      <c r="J22" s="3" t="s">
        <v>49</v>
      </c>
      <c r="K22" s="3" t="s">
        <v>62</v>
      </c>
      <c r="L22" s="3" t="s">
        <v>132</v>
      </c>
      <c r="M22" s="24">
        <v>110000</v>
      </c>
      <c r="N22" s="3" t="s">
        <v>133</v>
      </c>
      <c r="O22" s="41">
        <v>6</v>
      </c>
      <c r="P22" s="3" t="s">
        <v>56</v>
      </c>
      <c r="Q22" s="3">
        <v>2018</v>
      </c>
      <c r="R22" s="3"/>
      <c r="S22" s="3" t="s">
        <v>43</v>
      </c>
      <c r="T22" s="33"/>
      <c r="U22" s="4"/>
      <c r="V22" s="4"/>
      <c r="W22" s="3"/>
      <c r="X22" s="4"/>
      <c r="Y22" s="4"/>
    </row>
    <row r="23" spans="1:25">
      <c r="A23" s="3">
        <v>22</v>
      </c>
      <c r="B23" s="3" t="s">
        <v>79</v>
      </c>
      <c r="C23" s="3" t="s">
        <v>134</v>
      </c>
      <c r="D23" s="3" t="s">
        <v>135</v>
      </c>
      <c r="E23" s="3" t="s">
        <v>74</v>
      </c>
      <c r="F23" s="3" t="s">
        <v>136</v>
      </c>
      <c r="G23" s="3" t="s">
        <v>35</v>
      </c>
      <c r="H23" s="3">
        <f>VALUE(MID(LEFT(Table1[[#This Row],[Unique ID]], FIND("/", Table1[[#This Row],[Unique ID]]) - 1), 2, LEN(Table1[[#This Row],[Unique ID]])))</f>
        <v>4</v>
      </c>
      <c r="I23" s="3" t="s">
        <v>76</v>
      </c>
      <c r="J23" s="3" t="s">
        <v>49</v>
      </c>
      <c r="K23" s="3" t="s">
        <v>62</v>
      </c>
      <c r="L23" s="3" t="s">
        <v>137</v>
      </c>
      <c r="M23" s="24">
        <v>58000</v>
      </c>
      <c r="N23" s="3" t="s">
        <v>138</v>
      </c>
      <c r="O23" s="41">
        <v>6</v>
      </c>
      <c r="P23" s="3" t="s">
        <v>56</v>
      </c>
      <c r="Q23" s="3">
        <v>2019</v>
      </c>
      <c r="R23" s="3"/>
      <c r="S23" s="3" t="s">
        <v>43</v>
      </c>
      <c r="T23" s="33"/>
      <c r="U23" s="4"/>
      <c r="V23" s="4"/>
      <c r="W23" s="3"/>
      <c r="X23" s="4"/>
      <c r="Y23" s="4"/>
    </row>
    <row r="24" spans="1:25">
      <c r="A24" s="3">
        <v>23</v>
      </c>
      <c r="B24" s="3" t="s">
        <v>79</v>
      </c>
      <c r="C24" s="3" t="s">
        <v>134</v>
      </c>
      <c r="D24" s="3" t="s">
        <v>135</v>
      </c>
      <c r="E24" s="3" t="s">
        <v>74</v>
      </c>
      <c r="F24" s="3" t="s">
        <v>136</v>
      </c>
      <c r="G24" s="3" t="s">
        <v>35</v>
      </c>
      <c r="H24" s="3">
        <f>VALUE(MID(LEFT(Table1[[#This Row],[Unique ID]], FIND("/", Table1[[#This Row],[Unique ID]]) - 1), 2, LEN(Table1[[#This Row],[Unique ID]])))</f>
        <v>4</v>
      </c>
      <c r="I24" s="3" t="s">
        <v>76</v>
      </c>
      <c r="J24" s="3" t="s">
        <v>49</v>
      </c>
      <c r="K24" s="3" t="s">
        <v>62</v>
      </c>
      <c r="L24" s="3" t="s">
        <v>139</v>
      </c>
      <c r="M24" s="24">
        <v>50000</v>
      </c>
      <c r="N24" s="3" t="s">
        <v>140</v>
      </c>
      <c r="O24" s="41">
        <v>8</v>
      </c>
      <c r="P24" s="3" t="s">
        <v>56</v>
      </c>
      <c r="Q24" s="3">
        <v>2019</v>
      </c>
      <c r="R24" s="3"/>
      <c r="S24" s="3" t="s">
        <v>43</v>
      </c>
      <c r="T24" s="33"/>
      <c r="U24" s="4"/>
      <c r="V24" s="4"/>
      <c r="W24" s="3"/>
      <c r="X24" s="4"/>
      <c r="Y24" s="4"/>
    </row>
    <row r="25" spans="1:25">
      <c r="A25" s="3">
        <v>24</v>
      </c>
      <c r="B25" s="3" t="s">
        <v>68</v>
      </c>
      <c r="C25" s="3" t="s">
        <v>141</v>
      </c>
      <c r="D25" s="3" t="s">
        <v>142</v>
      </c>
      <c r="E25" s="3" t="s">
        <v>143</v>
      </c>
      <c r="F25" s="3" t="s">
        <v>144</v>
      </c>
      <c r="G25" s="3" t="s">
        <v>61</v>
      </c>
      <c r="H25" s="3">
        <f>VALUE(MID(LEFT(Table1[[#This Row],[Unique ID]], FIND("/", Table1[[#This Row],[Unique ID]]) - 1), 2, LEN(Table1[[#This Row],[Unique ID]])))</f>
        <v>7</v>
      </c>
      <c r="I25" s="3" t="s">
        <v>37</v>
      </c>
      <c r="J25" s="3" t="s">
        <v>37</v>
      </c>
      <c r="K25" s="3" t="s">
        <v>50</v>
      </c>
      <c r="L25" s="3" t="s">
        <v>145</v>
      </c>
      <c r="M25" s="24">
        <v>6820</v>
      </c>
      <c r="N25" s="3" t="s">
        <v>146</v>
      </c>
      <c r="O25" s="41">
        <v>12</v>
      </c>
      <c r="P25" s="3" t="s">
        <v>53</v>
      </c>
      <c r="Q25" s="3">
        <v>2018</v>
      </c>
      <c r="R25" s="3"/>
      <c r="S25" s="3" t="s">
        <v>43</v>
      </c>
      <c r="T25" s="33"/>
      <c r="U25" s="4"/>
      <c r="V25" s="4"/>
      <c r="W25" s="3"/>
      <c r="X25" s="4"/>
      <c r="Y25" s="4"/>
    </row>
    <row r="26" spans="1:25">
      <c r="A26" s="3">
        <v>25</v>
      </c>
      <c r="B26" s="3" t="s">
        <v>44</v>
      </c>
      <c r="C26" s="3" t="s">
        <v>141</v>
      </c>
      <c r="D26" s="3" t="s">
        <v>142</v>
      </c>
      <c r="E26" s="3" t="s">
        <v>143</v>
      </c>
      <c r="F26" s="3" t="s">
        <v>144</v>
      </c>
      <c r="G26" s="3" t="s">
        <v>61</v>
      </c>
      <c r="H26" s="3">
        <f>VALUE(MID(LEFT(Table1[[#This Row],[Unique ID]], FIND("/", Table1[[#This Row],[Unique ID]]) - 1), 2, LEN(Table1[[#This Row],[Unique ID]])))</f>
        <v>7</v>
      </c>
      <c r="I26" s="3" t="s">
        <v>37</v>
      </c>
      <c r="J26" s="3" t="s">
        <v>37</v>
      </c>
      <c r="K26" s="3" t="s">
        <v>50</v>
      </c>
      <c r="L26" s="3" t="s">
        <v>147</v>
      </c>
      <c r="M26" s="24">
        <v>10177.58</v>
      </c>
      <c r="N26" s="3" t="s">
        <v>148</v>
      </c>
      <c r="O26" s="41">
        <v>12</v>
      </c>
      <c r="P26" s="3" t="s">
        <v>53</v>
      </c>
      <c r="Q26" s="3">
        <v>2018</v>
      </c>
      <c r="R26" s="3"/>
      <c r="S26" s="3" t="s">
        <v>43</v>
      </c>
      <c r="T26" s="33"/>
      <c r="U26" s="4"/>
      <c r="V26" s="4"/>
      <c r="W26" s="3"/>
      <c r="X26" s="4"/>
      <c r="Y26" s="4"/>
    </row>
    <row r="27" spans="1:25">
      <c r="A27" s="3">
        <v>26</v>
      </c>
      <c r="B27" s="3" t="s">
        <v>113</v>
      </c>
      <c r="C27" s="3" t="s">
        <v>141</v>
      </c>
      <c r="D27" s="3" t="s">
        <v>142</v>
      </c>
      <c r="E27" s="3" t="s">
        <v>143</v>
      </c>
      <c r="F27" s="3" t="s">
        <v>144</v>
      </c>
      <c r="G27" s="3" t="s">
        <v>61</v>
      </c>
      <c r="H27" s="3">
        <f>VALUE(MID(LEFT(Table1[[#This Row],[Unique ID]], FIND("/", Table1[[#This Row],[Unique ID]]) - 1), 2, LEN(Table1[[#This Row],[Unique ID]])))</f>
        <v>7</v>
      </c>
      <c r="I27" s="3" t="s">
        <v>37</v>
      </c>
      <c r="J27" s="3" t="s">
        <v>37</v>
      </c>
      <c r="K27" s="3" t="s">
        <v>50</v>
      </c>
      <c r="L27" s="3" t="s">
        <v>149</v>
      </c>
      <c r="M27" s="24">
        <v>9554.2800000000007</v>
      </c>
      <c r="N27" s="3" t="s">
        <v>112</v>
      </c>
      <c r="O27" s="41">
        <v>12</v>
      </c>
      <c r="P27" s="3" t="s">
        <v>53</v>
      </c>
      <c r="Q27" s="3">
        <v>2019</v>
      </c>
      <c r="R27" s="3"/>
      <c r="S27" s="3" t="s">
        <v>43</v>
      </c>
      <c r="T27" s="33"/>
      <c r="U27" s="4"/>
      <c r="V27" s="4"/>
      <c r="W27" s="3"/>
      <c r="X27" s="4"/>
      <c r="Y27" s="4"/>
    </row>
    <row r="28" spans="1:25">
      <c r="A28" s="3">
        <v>27</v>
      </c>
      <c r="B28" s="3" t="s">
        <v>79</v>
      </c>
      <c r="C28" s="3" t="s">
        <v>141</v>
      </c>
      <c r="D28" s="3" t="s">
        <v>142</v>
      </c>
      <c r="E28" s="3" t="s">
        <v>143</v>
      </c>
      <c r="F28" s="3" t="s">
        <v>144</v>
      </c>
      <c r="G28" s="3" t="s">
        <v>61</v>
      </c>
      <c r="H28" s="3">
        <f>VALUE(MID(LEFT(Table1[[#This Row],[Unique ID]], FIND("/", Table1[[#This Row],[Unique ID]]) - 1), 2, LEN(Table1[[#This Row],[Unique ID]])))</f>
        <v>7</v>
      </c>
      <c r="I28" s="3" t="s">
        <v>37</v>
      </c>
      <c r="J28" s="3" t="s">
        <v>37</v>
      </c>
      <c r="K28" s="3" t="s">
        <v>50</v>
      </c>
      <c r="L28" s="3" t="s">
        <v>150</v>
      </c>
      <c r="M28" s="24">
        <v>12290.66</v>
      </c>
      <c r="N28" s="3" t="s">
        <v>112</v>
      </c>
      <c r="O28" s="41">
        <v>12</v>
      </c>
      <c r="P28" s="3" t="s">
        <v>53</v>
      </c>
      <c r="Q28" s="3">
        <v>2019</v>
      </c>
      <c r="R28" s="3"/>
      <c r="S28" s="3" t="s">
        <v>43</v>
      </c>
      <c r="T28" s="33"/>
      <c r="U28" s="4"/>
      <c r="V28" s="4"/>
      <c r="W28" s="3"/>
      <c r="X28" s="4"/>
      <c r="Y28" s="4"/>
    </row>
    <row r="29" spans="1:25">
      <c r="A29" s="3">
        <v>28</v>
      </c>
      <c r="B29" s="3" t="s">
        <v>30</v>
      </c>
      <c r="C29" s="3" t="s">
        <v>151</v>
      </c>
      <c r="D29" s="3" t="s">
        <v>152</v>
      </c>
      <c r="E29" s="3" t="s">
        <v>153</v>
      </c>
      <c r="F29" s="3" t="s">
        <v>154</v>
      </c>
      <c r="G29" s="3" t="s">
        <v>61</v>
      </c>
      <c r="H29" s="3">
        <f>VALUE(MID(LEFT(Table1[[#This Row],[Unique ID]], FIND("/", Table1[[#This Row],[Unique ID]]) - 1), 2, LEN(Table1[[#This Row],[Unique ID]])))</f>
        <v>7</v>
      </c>
      <c r="I29" s="3" t="s">
        <v>36</v>
      </c>
      <c r="J29" s="3" t="s">
        <v>36</v>
      </c>
      <c r="K29" s="3" t="s">
        <v>38</v>
      </c>
      <c r="L29" s="3" t="s">
        <v>155</v>
      </c>
      <c r="M29" s="24">
        <v>4665</v>
      </c>
      <c r="N29" s="3" t="s">
        <v>156</v>
      </c>
      <c r="O29" s="41" t="s">
        <v>157</v>
      </c>
      <c r="P29" s="3" t="s">
        <v>42</v>
      </c>
      <c r="Q29" s="3">
        <v>2017</v>
      </c>
      <c r="R29" s="3"/>
      <c r="S29" s="3" t="s">
        <v>43</v>
      </c>
      <c r="T29" s="33"/>
      <c r="U29" s="4"/>
      <c r="V29" s="4"/>
      <c r="W29" s="3"/>
      <c r="X29" s="4"/>
      <c r="Y29" s="4"/>
    </row>
    <row r="30" spans="1:25">
      <c r="A30" s="3">
        <v>29</v>
      </c>
      <c r="B30" s="3" t="s">
        <v>65</v>
      </c>
      <c r="C30" s="3" t="s">
        <v>151</v>
      </c>
      <c r="D30" s="3" t="s">
        <v>152</v>
      </c>
      <c r="E30" s="3" t="s">
        <v>153</v>
      </c>
      <c r="F30" s="3" t="s">
        <v>154</v>
      </c>
      <c r="G30" s="3" t="s">
        <v>61</v>
      </c>
      <c r="H30" s="3">
        <f>VALUE(MID(LEFT(Table1[[#This Row],[Unique ID]], FIND("/", Table1[[#This Row],[Unique ID]]) - 1), 2, LEN(Table1[[#This Row],[Unique ID]])))</f>
        <v>7</v>
      </c>
      <c r="I30" s="3" t="s">
        <v>36</v>
      </c>
      <c r="J30" s="3" t="s">
        <v>36</v>
      </c>
      <c r="K30" s="3" t="s">
        <v>38</v>
      </c>
      <c r="L30" s="3" t="s">
        <v>158</v>
      </c>
      <c r="M30" s="24"/>
      <c r="N30" s="3" t="s">
        <v>159</v>
      </c>
      <c r="O30" s="41" t="s">
        <v>157</v>
      </c>
      <c r="P30" s="3" t="s">
        <v>160</v>
      </c>
      <c r="Q30" s="3">
        <v>2017</v>
      </c>
      <c r="R30" s="3"/>
      <c r="S30" s="3" t="s">
        <v>43</v>
      </c>
      <c r="T30" s="33"/>
      <c r="U30" s="4"/>
      <c r="V30" s="4"/>
      <c r="W30" s="3"/>
      <c r="X30" s="4"/>
      <c r="Y30" s="4"/>
    </row>
    <row r="31" spans="1:25">
      <c r="A31" s="3">
        <v>30</v>
      </c>
      <c r="B31" s="3" t="s">
        <v>68</v>
      </c>
      <c r="C31" s="3" t="s">
        <v>151</v>
      </c>
      <c r="D31" s="3" t="s">
        <v>152</v>
      </c>
      <c r="E31" s="3" t="s">
        <v>153</v>
      </c>
      <c r="F31" s="3" t="s">
        <v>154</v>
      </c>
      <c r="G31" s="3" t="s">
        <v>61</v>
      </c>
      <c r="H31" s="3">
        <f>VALUE(MID(LEFT(Table1[[#This Row],[Unique ID]], FIND("/", Table1[[#This Row],[Unique ID]]) - 1), 2, LEN(Table1[[#This Row],[Unique ID]])))</f>
        <v>7</v>
      </c>
      <c r="I31" s="3" t="s">
        <v>36</v>
      </c>
      <c r="J31" s="3" t="s">
        <v>36</v>
      </c>
      <c r="K31" s="3" t="s">
        <v>38</v>
      </c>
      <c r="L31" s="3" t="s">
        <v>161</v>
      </c>
      <c r="M31" s="24"/>
      <c r="N31" s="3" t="s">
        <v>159</v>
      </c>
      <c r="O31" s="41"/>
      <c r="P31" s="3" t="s">
        <v>42</v>
      </c>
      <c r="Q31" s="3">
        <v>2018</v>
      </c>
      <c r="R31" s="3"/>
      <c r="S31" s="3" t="s">
        <v>43</v>
      </c>
      <c r="T31" s="33"/>
      <c r="U31" s="4"/>
      <c r="V31" s="4"/>
      <c r="W31" s="3"/>
      <c r="X31" s="4"/>
      <c r="Y31" s="4"/>
    </row>
    <row r="32" spans="1:25">
      <c r="A32" s="3">
        <v>31</v>
      </c>
      <c r="B32" s="3" t="s">
        <v>113</v>
      </c>
      <c r="C32" s="3" t="s">
        <v>151</v>
      </c>
      <c r="D32" s="3" t="s">
        <v>152</v>
      </c>
      <c r="E32" s="3" t="s">
        <v>153</v>
      </c>
      <c r="F32" s="3" t="s">
        <v>154</v>
      </c>
      <c r="G32" s="3" t="s">
        <v>61</v>
      </c>
      <c r="H32" s="3">
        <f>VALUE(MID(LEFT(Table1[[#This Row],[Unique ID]], FIND("/", Table1[[#This Row],[Unique ID]]) - 1), 2, LEN(Table1[[#This Row],[Unique ID]])))</f>
        <v>7</v>
      </c>
      <c r="I32" s="3" t="s">
        <v>36</v>
      </c>
      <c r="J32" s="3" t="s">
        <v>36</v>
      </c>
      <c r="K32" s="3" t="s">
        <v>38</v>
      </c>
      <c r="L32" s="3" t="s">
        <v>162</v>
      </c>
      <c r="M32" s="24">
        <v>775</v>
      </c>
      <c r="N32" s="3" t="s">
        <v>163</v>
      </c>
      <c r="O32" s="41">
        <v>1</v>
      </c>
      <c r="P32" s="3" t="s">
        <v>42</v>
      </c>
      <c r="Q32" s="3">
        <v>2019</v>
      </c>
      <c r="R32" s="3"/>
      <c r="S32" s="3" t="s">
        <v>43</v>
      </c>
      <c r="T32" s="33"/>
      <c r="U32" s="4"/>
      <c r="V32" s="4"/>
      <c r="W32" s="3"/>
      <c r="X32" s="4"/>
      <c r="Y32" s="4"/>
    </row>
    <row r="33" spans="1:25">
      <c r="A33" s="3">
        <v>32</v>
      </c>
      <c r="B33" s="3" t="s">
        <v>113</v>
      </c>
      <c r="C33" s="3" t="s">
        <v>151</v>
      </c>
      <c r="D33" s="3" t="s">
        <v>152</v>
      </c>
      <c r="E33" s="3" t="s">
        <v>153</v>
      </c>
      <c r="F33" s="3" t="s">
        <v>154</v>
      </c>
      <c r="G33" s="3" t="s">
        <v>61</v>
      </c>
      <c r="H33" s="3">
        <f>VALUE(MID(LEFT(Table1[[#This Row],[Unique ID]], FIND("/", Table1[[#This Row],[Unique ID]]) - 1), 2, LEN(Table1[[#This Row],[Unique ID]])))</f>
        <v>7</v>
      </c>
      <c r="I33" s="3" t="s">
        <v>36</v>
      </c>
      <c r="J33" s="3" t="s">
        <v>36</v>
      </c>
      <c r="K33" s="3" t="s">
        <v>164</v>
      </c>
      <c r="L33" s="3" t="s">
        <v>165</v>
      </c>
      <c r="M33" s="24"/>
      <c r="N33" s="3" t="s">
        <v>166</v>
      </c>
      <c r="O33" s="41">
        <v>1</v>
      </c>
      <c r="P33" s="3" t="s">
        <v>160</v>
      </c>
      <c r="Q33" s="3">
        <v>2019</v>
      </c>
      <c r="R33" s="3"/>
      <c r="S33" s="3" t="s">
        <v>43</v>
      </c>
      <c r="T33" s="33"/>
      <c r="U33" s="4"/>
      <c r="V33" s="4"/>
      <c r="W33" s="3"/>
      <c r="X33" s="4"/>
      <c r="Y33" s="4"/>
    </row>
    <row r="34" spans="1:25">
      <c r="A34" s="3">
        <v>33</v>
      </c>
      <c r="B34" s="3" t="s">
        <v>113</v>
      </c>
      <c r="C34" s="3" t="s">
        <v>151</v>
      </c>
      <c r="D34" s="3" t="s">
        <v>152</v>
      </c>
      <c r="E34" s="3" t="s">
        <v>153</v>
      </c>
      <c r="F34" s="3" t="s">
        <v>154</v>
      </c>
      <c r="G34" s="3" t="s">
        <v>61</v>
      </c>
      <c r="H34" s="3">
        <f>VALUE(MID(LEFT(Table1[[#This Row],[Unique ID]], FIND("/", Table1[[#This Row],[Unique ID]]) - 1), 2, LEN(Table1[[#This Row],[Unique ID]])))</f>
        <v>7</v>
      </c>
      <c r="I34" s="3" t="s">
        <v>36</v>
      </c>
      <c r="J34" s="3" t="s">
        <v>36</v>
      </c>
      <c r="K34" s="3" t="s">
        <v>164</v>
      </c>
      <c r="L34" s="3" t="s">
        <v>167</v>
      </c>
      <c r="M34" s="24"/>
      <c r="N34" s="3"/>
      <c r="O34" s="41">
        <v>1</v>
      </c>
      <c r="P34" s="3" t="s">
        <v>160</v>
      </c>
      <c r="Q34" s="3">
        <v>2019</v>
      </c>
      <c r="R34" s="3"/>
      <c r="S34" s="3" t="s">
        <v>43</v>
      </c>
      <c r="T34" s="33"/>
      <c r="U34" s="4"/>
      <c r="V34" s="4"/>
      <c r="W34" s="3"/>
      <c r="X34" s="4"/>
      <c r="Y34" s="4"/>
    </row>
    <row r="35" spans="1:25">
      <c r="A35" s="3">
        <v>34</v>
      </c>
      <c r="B35" s="3" t="s">
        <v>79</v>
      </c>
      <c r="C35" s="3" t="s">
        <v>151</v>
      </c>
      <c r="D35" s="3" t="s">
        <v>152</v>
      </c>
      <c r="E35" s="3" t="s">
        <v>153</v>
      </c>
      <c r="F35" s="3" t="s">
        <v>154</v>
      </c>
      <c r="G35" s="3" t="s">
        <v>61</v>
      </c>
      <c r="H35" s="3">
        <f>VALUE(MID(LEFT(Table1[[#This Row],[Unique ID]], FIND("/", Table1[[#This Row],[Unique ID]]) - 1), 2, LEN(Table1[[#This Row],[Unique ID]])))</f>
        <v>7</v>
      </c>
      <c r="I35" s="3" t="s">
        <v>36</v>
      </c>
      <c r="J35" s="3" t="s">
        <v>36</v>
      </c>
      <c r="K35" s="3" t="s">
        <v>62</v>
      </c>
      <c r="L35" s="3" t="s">
        <v>168</v>
      </c>
      <c r="M35" s="24"/>
      <c r="N35" s="3" t="s">
        <v>169</v>
      </c>
      <c r="O35" s="41">
        <v>24</v>
      </c>
      <c r="P35" s="3" t="s">
        <v>56</v>
      </c>
      <c r="Q35" s="3">
        <v>2019</v>
      </c>
      <c r="R35" s="3"/>
      <c r="S35" s="3" t="s">
        <v>43</v>
      </c>
      <c r="T35" s="33"/>
      <c r="U35" s="4"/>
      <c r="V35" s="4"/>
      <c r="W35" s="3"/>
      <c r="X35" s="4"/>
      <c r="Y35" s="4"/>
    </row>
    <row r="36" spans="1:25">
      <c r="A36" s="3">
        <v>35</v>
      </c>
      <c r="B36" s="3" t="s">
        <v>79</v>
      </c>
      <c r="C36" s="3" t="s">
        <v>151</v>
      </c>
      <c r="D36" s="3" t="s">
        <v>152</v>
      </c>
      <c r="E36" s="3" t="s">
        <v>153</v>
      </c>
      <c r="F36" s="3" t="s">
        <v>154</v>
      </c>
      <c r="G36" s="3" t="s">
        <v>61</v>
      </c>
      <c r="H36" s="3">
        <f>VALUE(MID(LEFT(Table1[[#This Row],[Unique ID]], FIND("/", Table1[[#This Row],[Unique ID]]) - 1), 2, LEN(Table1[[#This Row],[Unique ID]])))</f>
        <v>7</v>
      </c>
      <c r="I36" s="3" t="s">
        <v>36</v>
      </c>
      <c r="J36" s="3" t="s">
        <v>36</v>
      </c>
      <c r="K36" s="3" t="s">
        <v>164</v>
      </c>
      <c r="L36" s="3" t="s">
        <v>170</v>
      </c>
      <c r="M36" s="24"/>
      <c r="N36" s="3" t="s">
        <v>171</v>
      </c>
      <c r="O36" s="41">
        <v>1</v>
      </c>
      <c r="P36" s="3" t="s">
        <v>160</v>
      </c>
      <c r="Q36" s="3">
        <v>2019</v>
      </c>
      <c r="R36" s="3"/>
      <c r="S36" s="3" t="s">
        <v>43</v>
      </c>
      <c r="T36" s="33"/>
      <c r="U36" s="4"/>
      <c r="V36" s="4"/>
      <c r="W36" s="3"/>
      <c r="X36" s="4"/>
      <c r="Y36" s="4"/>
    </row>
    <row r="37" spans="1:25">
      <c r="A37" s="3">
        <v>36</v>
      </c>
      <c r="B37" s="3" t="s">
        <v>44</v>
      </c>
      <c r="C37" s="3" t="s">
        <v>172</v>
      </c>
      <c r="D37" s="3" t="s">
        <v>173</v>
      </c>
      <c r="E37" s="3"/>
      <c r="F37" s="3" t="s">
        <v>174</v>
      </c>
      <c r="G37" s="3" t="s">
        <v>35</v>
      </c>
      <c r="H37" s="3">
        <f>VALUE(MID(LEFT(Table1[[#This Row],[Unique ID]], FIND("/", Table1[[#This Row],[Unique ID]]) - 1), 2, LEN(Table1[[#This Row],[Unique ID]])))</f>
        <v>4</v>
      </c>
      <c r="I37" s="3" t="s">
        <v>49</v>
      </c>
      <c r="J37" s="3" t="s">
        <v>49</v>
      </c>
      <c r="K37" s="3" t="s">
        <v>175</v>
      </c>
      <c r="L37" s="3" t="s">
        <v>176</v>
      </c>
      <c r="M37" s="24">
        <v>7500</v>
      </c>
      <c r="N37" s="3" t="s">
        <v>177</v>
      </c>
      <c r="O37" s="41"/>
      <c r="P37" s="3" t="s">
        <v>178</v>
      </c>
      <c r="Q37" s="3">
        <v>2018</v>
      </c>
      <c r="R37" s="3"/>
      <c r="S37" s="3" t="s">
        <v>43</v>
      </c>
      <c r="T37" s="33"/>
      <c r="U37" s="4"/>
      <c r="V37" s="4"/>
      <c r="W37" s="3"/>
      <c r="X37" s="4"/>
      <c r="Y37" s="4"/>
    </row>
    <row r="38" spans="1:25">
      <c r="A38" s="3">
        <v>37</v>
      </c>
      <c r="B38" s="3" t="s">
        <v>65</v>
      </c>
      <c r="C38" s="3" t="s">
        <v>179</v>
      </c>
      <c r="D38" s="3" t="s">
        <v>180</v>
      </c>
      <c r="E38" s="3" t="s">
        <v>181</v>
      </c>
      <c r="F38" s="3" t="s">
        <v>182</v>
      </c>
      <c r="G38" s="3" t="s">
        <v>61</v>
      </c>
      <c r="H38" s="3">
        <f>VALUE(MID(LEFT(Table1[[#This Row],[Unique ID]], FIND("/", Table1[[#This Row],[Unique ID]]) - 1), 2, LEN(Table1[[#This Row],[Unique ID]])))</f>
        <v>6</v>
      </c>
      <c r="I38" s="3" t="s">
        <v>49</v>
      </c>
      <c r="J38" s="3" t="s">
        <v>49</v>
      </c>
      <c r="K38" s="3" t="s">
        <v>164</v>
      </c>
      <c r="L38" s="3"/>
      <c r="M38" s="24">
        <v>600</v>
      </c>
      <c r="N38" s="3" t="s">
        <v>183</v>
      </c>
      <c r="O38" s="41"/>
      <c r="P38" s="3" t="s">
        <v>160</v>
      </c>
      <c r="Q38" s="3">
        <v>2017</v>
      </c>
      <c r="R38" s="3"/>
      <c r="S38" s="3" t="s">
        <v>43</v>
      </c>
      <c r="T38" s="33"/>
      <c r="U38" s="4"/>
      <c r="V38" s="4"/>
      <c r="W38" s="3"/>
      <c r="X38" s="4"/>
      <c r="Y38" s="4"/>
    </row>
    <row r="39" spans="1:25">
      <c r="A39" s="3">
        <v>38</v>
      </c>
      <c r="B39" s="3" t="s">
        <v>44</v>
      </c>
      <c r="C39" s="3" t="s">
        <v>179</v>
      </c>
      <c r="D39" s="3" t="s">
        <v>180</v>
      </c>
      <c r="E39" s="3" t="s">
        <v>181</v>
      </c>
      <c r="F39" s="3" t="s">
        <v>182</v>
      </c>
      <c r="G39" s="3" t="s">
        <v>61</v>
      </c>
      <c r="H39" s="3">
        <f>VALUE(MID(LEFT(Table1[[#This Row],[Unique ID]], FIND("/", Table1[[#This Row],[Unique ID]]) - 1), 2, LEN(Table1[[#This Row],[Unique ID]])))</f>
        <v>6</v>
      </c>
      <c r="I39" s="3" t="s">
        <v>49</v>
      </c>
      <c r="J39" s="3" t="s">
        <v>49</v>
      </c>
      <c r="K39" s="3" t="s">
        <v>164</v>
      </c>
      <c r="L39" s="3" t="s">
        <v>160</v>
      </c>
      <c r="M39" s="24">
        <v>1180</v>
      </c>
      <c r="N39" s="3" t="s">
        <v>184</v>
      </c>
      <c r="O39" s="41"/>
      <c r="P39" s="3" t="s">
        <v>160</v>
      </c>
      <c r="Q39" s="3">
        <v>2018</v>
      </c>
      <c r="R39" s="3"/>
      <c r="S39" s="3" t="s">
        <v>43</v>
      </c>
      <c r="T39" s="33"/>
      <c r="U39" s="4"/>
      <c r="V39" s="4"/>
      <c r="W39" s="3"/>
      <c r="X39" s="4"/>
      <c r="Y39" s="4"/>
    </row>
    <row r="40" spans="1:25">
      <c r="A40" s="3">
        <v>39</v>
      </c>
      <c r="B40" s="3" t="s">
        <v>30</v>
      </c>
      <c r="C40" s="3" t="s">
        <v>185</v>
      </c>
      <c r="D40" s="3" t="s">
        <v>186</v>
      </c>
      <c r="E40" s="3" t="s">
        <v>187</v>
      </c>
      <c r="F40" s="3" t="s">
        <v>188</v>
      </c>
      <c r="G40" s="3" t="s">
        <v>61</v>
      </c>
      <c r="H40" s="3">
        <f>VALUE(MID(LEFT(Table1[[#This Row],[Unique ID]], FIND("/", Table1[[#This Row],[Unique ID]]) - 1), 2, LEN(Table1[[#This Row],[Unique ID]])))</f>
        <v>5</v>
      </c>
      <c r="I40" s="3" t="s">
        <v>49</v>
      </c>
      <c r="J40" s="3" t="s">
        <v>49</v>
      </c>
      <c r="K40" s="3" t="s">
        <v>62</v>
      </c>
      <c r="L40" s="3" t="s">
        <v>189</v>
      </c>
      <c r="M40" s="24">
        <v>1380</v>
      </c>
      <c r="N40" s="3" t="s">
        <v>190</v>
      </c>
      <c r="O40" s="41" t="s">
        <v>191</v>
      </c>
      <c r="P40" s="3" t="s">
        <v>56</v>
      </c>
      <c r="Q40" s="3">
        <v>2017</v>
      </c>
      <c r="R40" s="3"/>
      <c r="S40" s="3" t="s">
        <v>43</v>
      </c>
      <c r="T40" s="33"/>
      <c r="U40" s="4"/>
      <c r="V40" s="4"/>
      <c r="W40" s="3"/>
      <c r="X40" s="4"/>
      <c r="Y40" s="4"/>
    </row>
    <row r="41" spans="1:25">
      <c r="A41" s="3">
        <v>40</v>
      </c>
      <c r="B41" s="3" t="s">
        <v>30</v>
      </c>
      <c r="C41" s="3" t="s">
        <v>192</v>
      </c>
      <c r="D41" s="3" t="s">
        <v>193</v>
      </c>
      <c r="E41" s="3" t="s">
        <v>194</v>
      </c>
      <c r="F41" s="3" t="s">
        <v>195</v>
      </c>
      <c r="G41" s="3" t="s">
        <v>61</v>
      </c>
      <c r="H41" s="3">
        <f>VALUE(MID(LEFT(Table1[[#This Row],[Unique ID]], FIND("/", Table1[[#This Row],[Unique ID]]) - 1), 2, LEN(Table1[[#This Row],[Unique ID]])))</f>
        <v>4</v>
      </c>
      <c r="I41" s="3" t="s">
        <v>37</v>
      </c>
      <c r="J41" s="3" t="s">
        <v>37</v>
      </c>
      <c r="K41" s="3" t="s">
        <v>62</v>
      </c>
      <c r="L41" s="3" t="s">
        <v>196</v>
      </c>
      <c r="M41" s="24">
        <v>20000</v>
      </c>
      <c r="N41" s="3" t="s">
        <v>197</v>
      </c>
      <c r="O41" s="41" t="s">
        <v>198</v>
      </c>
      <c r="P41" s="3" t="s">
        <v>56</v>
      </c>
      <c r="Q41" s="3">
        <v>2017</v>
      </c>
      <c r="R41" s="3"/>
      <c r="S41" s="3" t="s">
        <v>43</v>
      </c>
      <c r="T41" s="33"/>
      <c r="U41" s="4"/>
      <c r="V41" s="4"/>
      <c r="W41" s="3"/>
      <c r="X41" s="4"/>
      <c r="Y41" s="4"/>
    </row>
    <row r="42" spans="1:25">
      <c r="A42" s="3">
        <v>41</v>
      </c>
      <c r="B42" s="3" t="s">
        <v>68</v>
      </c>
      <c r="C42" s="3" t="s">
        <v>199</v>
      </c>
      <c r="D42" s="3" t="s">
        <v>200</v>
      </c>
      <c r="E42" s="3" t="s">
        <v>201</v>
      </c>
      <c r="F42" s="3" t="s">
        <v>202</v>
      </c>
      <c r="G42" s="3" t="s">
        <v>35</v>
      </c>
      <c r="H42" s="3">
        <f>VALUE(MID(LEFT(Table1[[#This Row],[Unique ID]], FIND("/", Table1[[#This Row],[Unique ID]]) - 1), 2, LEN(Table1[[#This Row],[Unique ID]])))</f>
        <v>5</v>
      </c>
      <c r="I42" s="3" t="s">
        <v>36</v>
      </c>
      <c r="J42" s="3" t="s">
        <v>49</v>
      </c>
      <c r="K42" s="3" t="s">
        <v>178</v>
      </c>
      <c r="L42" s="3" t="s">
        <v>203</v>
      </c>
      <c r="M42" s="24"/>
      <c r="N42" s="3" t="s">
        <v>204</v>
      </c>
      <c r="O42" s="41">
        <v>12</v>
      </c>
      <c r="P42" s="3" t="s">
        <v>56</v>
      </c>
      <c r="Q42" s="3">
        <v>2018</v>
      </c>
      <c r="R42" s="3"/>
      <c r="S42" s="3" t="s">
        <v>43</v>
      </c>
      <c r="T42" s="33"/>
      <c r="U42" s="4"/>
      <c r="V42" s="4"/>
      <c r="W42" s="3"/>
      <c r="X42" s="4"/>
      <c r="Y42" s="4"/>
    </row>
    <row r="43" spans="1:25">
      <c r="A43" s="3">
        <v>42</v>
      </c>
      <c r="B43" s="3" t="s">
        <v>65</v>
      </c>
      <c r="C43" s="3" t="s">
        <v>205</v>
      </c>
      <c r="D43" s="3" t="s">
        <v>206</v>
      </c>
      <c r="E43" s="3" t="s">
        <v>207</v>
      </c>
      <c r="F43" s="3" t="s">
        <v>208</v>
      </c>
      <c r="G43" s="3" t="s">
        <v>35</v>
      </c>
      <c r="H43" s="3">
        <f>VALUE(MID(LEFT(Table1[[#This Row],[Unique ID]], FIND("/", Table1[[#This Row],[Unique ID]]) - 1), 2, LEN(Table1[[#This Row],[Unique ID]])))</f>
        <v>5</v>
      </c>
      <c r="I43" s="3" t="s">
        <v>209</v>
      </c>
      <c r="J43" s="3" t="s">
        <v>49</v>
      </c>
      <c r="K43" s="3" t="s">
        <v>62</v>
      </c>
      <c r="L43" s="3" t="s">
        <v>210</v>
      </c>
      <c r="M43" s="24">
        <v>715000</v>
      </c>
      <c r="N43" s="3" t="s">
        <v>211</v>
      </c>
      <c r="O43" s="41" t="s">
        <v>212</v>
      </c>
      <c r="P43" s="3" t="s">
        <v>56</v>
      </c>
      <c r="Q43" s="3">
        <v>2017</v>
      </c>
      <c r="R43" s="3"/>
      <c r="S43" s="3" t="s">
        <v>43</v>
      </c>
      <c r="T43" s="33"/>
      <c r="U43" s="4"/>
      <c r="V43" s="4"/>
      <c r="W43" s="3"/>
      <c r="X43" s="4"/>
      <c r="Y43" s="4"/>
    </row>
    <row r="44" spans="1:25">
      <c r="A44" s="3">
        <v>43</v>
      </c>
      <c r="B44" s="3" t="s">
        <v>65</v>
      </c>
      <c r="C44" s="3" t="s">
        <v>213</v>
      </c>
      <c r="D44" s="3" t="s">
        <v>214</v>
      </c>
      <c r="E44" s="3" t="s">
        <v>215</v>
      </c>
      <c r="F44" s="3" t="s">
        <v>216</v>
      </c>
      <c r="G44" s="3" t="s">
        <v>61</v>
      </c>
      <c r="H44" s="3">
        <f>VALUE(MID(LEFT(Table1[[#This Row],[Unique ID]], FIND("/", Table1[[#This Row],[Unique ID]]) - 1), 2, LEN(Table1[[#This Row],[Unique ID]])))</f>
        <v>5</v>
      </c>
      <c r="I44" s="3" t="s">
        <v>37</v>
      </c>
      <c r="J44" s="3" t="s">
        <v>37</v>
      </c>
      <c r="K44" s="3" t="s">
        <v>50</v>
      </c>
      <c r="L44" s="3" t="s">
        <v>217</v>
      </c>
      <c r="M44" s="24"/>
      <c r="N44" s="3" t="s">
        <v>112</v>
      </c>
      <c r="O44" s="41" t="s">
        <v>96</v>
      </c>
      <c r="P44" s="3" t="s">
        <v>53</v>
      </c>
      <c r="Q44" s="3">
        <v>2017</v>
      </c>
      <c r="R44" s="3"/>
      <c r="S44" s="3" t="s">
        <v>43</v>
      </c>
      <c r="T44" s="33"/>
      <c r="U44" s="4"/>
      <c r="V44" s="4"/>
      <c r="W44" s="3"/>
      <c r="X44" s="4"/>
      <c r="Y44" s="4"/>
    </row>
    <row r="45" spans="1:25">
      <c r="A45" s="3">
        <v>44</v>
      </c>
      <c r="B45" s="3" t="s">
        <v>68</v>
      </c>
      <c r="C45" s="3" t="s">
        <v>218</v>
      </c>
      <c r="D45" s="3" t="s">
        <v>219</v>
      </c>
      <c r="E45" s="3" t="s">
        <v>220</v>
      </c>
      <c r="F45" s="3" t="s">
        <v>221</v>
      </c>
      <c r="G45" s="3" t="s">
        <v>61</v>
      </c>
      <c r="H45" s="3">
        <f>VALUE(MID(LEFT(Table1[[#This Row],[Unique ID]], FIND("/", Table1[[#This Row],[Unique ID]]) - 1), 2, LEN(Table1[[#This Row],[Unique ID]])))</f>
        <v>5</v>
      </c>
      <c r="I45" s="3" t="s">
        <v>36</v>
      </c>
      <c r="J45" s="3" t="s">
        <v>36</v>
      </c>
      <c r="K45" s="3" t="s">
        <v>62</v>
      </c>
      <c r="L45" s="3" t="s">
        <v>222</v>
      </c>
      <c r="M45" s="24">
        <v>100000</v>
      </c>
      <c r="N45" s="3" t="s">
        <v>223</v>
      </c>
      <c r="O45" s="41">
        <v>18</v>
      </c>
      <c r="P45" s="3" t="s">
        <v>56</v>
      </c>
      <c r="Q45" s="3">
        <v>2018</v>
      </c>
      <c r="R45" s="3"/>
      <c r="S45" s="3" t="s">
        <v>43</v>
      </c>
      <c r="T45" s="33"/>
      <c r="U45" s="4"/>
      <c r="V45" s="4"/>
      <c r="W45" s="3"/>
      <c r="X45" s="4"/>
      <c r="Y45" s="4"/>
    </row>
    <row r="46" spans="1:25">
      <c r="A46" s="3">
        <v>45</v>
      </c>
      <c r="B46" s="3" t="s">
        <v>44</v>
      </c>
      <c r="C46" s="3" t="s">
        <v>218</v>
      </c>
      <c r="D46" s="3" t="s">
        <v>219</v>
      </c>
      <c r="E46" s="3" t="s">
        <v>220</v>
      </c>
      <c r="F46" s="3" t="s">
        <v>221</v>
      </c>
      <c r="G46" s="3" t="s">
        <v>61</v>
      </c>
      <c r="H46" s="3">
        <f>VALUE(MID(LEFT(Table1[[#This Row],[Unique ID]], FIND("/", Table1[[#This Row],[Unique ID]]) - 1), 2, LEN(Table1[[#This Row],[Unique ID]])))</f>
        <v>5</v>
      </c>
      <c r="I46" s="3" t="s">
        <v>36</v>
      </c>
      <c r="J46" s="3" t="s">
        <v>36</v>
      </c>
      <c r="K46" s="3" t="s">
        <v>38</v>
      </c>
      <c r="L46" s="3"/>
      <c r="M46" s="24"/>
      <c r="N46" s="3" t="s">
        <v>224</v>
      </c>
      <c r="O46" s="41"/>
      <c r="P46" s="3" t="s">
        <v>42</v>
      </c>
      <c r="Q46" s="3">
        <v>2018</v>
      </c>
      <c r="R46" s="3"/>
      <c r="S46" s="3" t="s">
        <v>43</v>
      </c>
      <c r="T46" s="33"/>
      <c r="U46" s="4"/>
      <c r="V46" s="4"/>
      <c r="W46" s="3"/>
      <c r="X46" s="4"/>
      <c r="Y46" s="4"/>
    </row>
    <row r="47" spans="1:25">
      <c r="A47" s="3">
        <v>46</v>
      </c>
      <c r="B47" s="3" t="s">
        <v>30</v>
      </c>
      <c r="C47" s="3" t="s">
        <v>225</v>
      </c>
      <c r="D47" s="3" t="s">
        <v>226</v>
      </c>
      <c r="E47" s="3" t="s">
        <v>227</v>
      </c>
      <c r="F47" s="3" t="s">
        <v>228</v>
      </c>
      <c r="G47" s="3" t="s">
        <v>61</v>
      </c>
      <c r="H47" s="3">
        <f>VALUE(MID(LEFT(Table1[[#This Row],[Unique ID]], FIND("/", Table1[[#This Row],[Unique ID]]) - 1), 2, LEN(Table1[[#This Row],[Unique ID]])))</f>
        <v>7</v>
      </c>
      <c r="I47" s="3" t="s">
        <v>229</v>
      </c>
      <c r="J47" s="3" t="s">
        <v>229</v>
      </c>
      <c r="K47" s="3" t="s">
        <v>50</v>
      </c>
      <c r="L47" s="3" t="s">
        <v>230</v>
      </c>
      <c r="M47" s="24">
        <v>13000</v>
      </c>
      <c r="N47" s="3" t="s">
        <v>148</v>
      </c>
      <c r="O47" s="41" t="s">
        <v>231</v>
      </c>
      <c r="P47" s="3" t="s">
        <v>53</v>
      </c>
      <c r="Q47" s="3">
        <v>2017</v>
      </c>
      <c r="R47" s="3"/>
      <c r="S47" s="3" t="s">
        <v>43</v>
      </c>
      <c r="T47" s="33"/>
      <c r="U47" s="4"/>
      <c r="V47" s="4"/>
      <c r="W47" s="3"/>
      <c r="X47" s="4"/>
      <c r="Y47" s="4"/>
    </row>
    <row r="48" spans="1:25">
      <c r="A48" s="3">
        <v>47</v>
      </c>
      <c r="B48" s="3" t="s">
        <v>65</v>
      </c>
      <c r="C48" s="3" t="s">
        <v>225</v>
      </c>
      <c r="D48" s="3" t="s">
        <v>226</v>
      </c>
      <c r="E48" s="3" t="s">
        <v>227</v>
      </c>
      <c r="F48" s="3" t="s">
        <v>228</v>
      </c>
      <c r="G48" s="3" t="s">
        <v>61</v>
      </c>
      <c r="H48" s="3">
        <f>VALUE(MID(LEFT(Table1[[#This Row],[Unique ID]], FIND("/", Table1[[#This Row],[Unique ID]]) - 1), 2, LEN(Table1[[#This Row],[Unique ID]])))</f>
        <v>7</v>
      </c>
      <c r="I48" s="3" t="s">
        <v>229</v>
      </c>
      <c r="J48" s="3" t="s">
        <v>229</v>
      </c>
      <c r="K48" s="3" t="s">
        <v>50</v>
      </c>
      <c r="L48" s="3" t="s">
        <v>232</v>
      </c>
      <c r="M48" s="24">
        <v>920</v>
      </c>
      <c r="N48" s="3" t="s">
        <v>112</v>
      </c>
      <c r="O48" s="41" t="s">
        <v>96</v>
      </c>
      <c r="P48" s="3" t="s">
        <v>53</v>
      </c>
      <c r="Q48" s="3">
        <v>2017</v>
      </c>
      <c r="R48" s="3"/>
      <c r="S48" s="3" t="s">
        <v>43</v>
      </c>
      <c r="T48" s="33"/>
      <c r="U48" s="4"/>
      <c r="V48" s="4"/>
      <c r="W48" s="3"/>
      <c r="X48" s="4"/>
      <c r="Y48" s="4"/>
    </row>
    <row r="49" spans="1:25">
      <c r="A49" s="3">
        <v>48</v>
      </c>
      <c r="B49" s="3" t="s">
        <v>68</v>
      </c>
      <c r="C49" s="3" t="s">
        <v>225</v>
      </c>
      <c r="D49" s="3" t="s">
        <v>226</v>
      </c>
      <c r="E49" s="3" t="s">
        <v>227</v>
      </c>
      <c r="F49" s="3" t="s">
        <v>228</v>
      </c>
      <c r="G49" s="3" t="s">
        <v>61</v>
      </c>
      <c r="H49" s="3">
        <f>VALUE(MID(LEFT(Table1[[#This Row],[Unique ID]], FIND("/", Table1[[#This Row],[Unique ID]]) - 1), 2, LEN(Table1[[#This Row],[Unique ID]])))</f>
        <v>7</v>
      </c>
      <c r="I49" s="3" t="s">
        <v>229</v>
      </c>
      <c r="J49" s="3" t="s">
        <v>229</v>
      </c>
      <c r="K49" s="3" t="s">
        <v>50</v>
      </c>
      <c r="L49" s="3" t="s">
        <v>233</v>
      </c>
      <c r="M49" s="24">
        <v>1703</v>
      </c>
      <c r="N49" s="3" t="s">
        <v>112</v>
      </c>
      <c r="O49" s="41">
        <v>12</v>
      </c>
      <c r="P49" s="3" t="s">
        <v>53</v>
      </c>
      <c r="Q49" s="3">
        <v>2018</v>
      </c>
      <c r="R49" s="3"/>
      <c r="S49" s="3" t="s">
        <v>43</v>
      </c>
      <c r="T49" s="33"/>
      <c r="U49" s="4"/>
      <c r="V49" s="4"/>
      <c r="W49" s="3"/>
      <c r="X49" s="4"/>
      <c r="Y49" s="4"/>
    </row>
    <row r="50" spans="1:25">
      <c r="A50" s="3">
        <v>49</v>
      </c>
      <c r="B50" s="3" t="s">
        <v>44</v>
      </c>
      <c r="C50" s="3" t="s">
        <v>225</v>
      </c>
      <c r="D50" s="3" t="s">
        <v>226</v>
      </c>
      <c r="E50" s="3" t="s">
        <v>227</v>
      </c>
      <c r="F50" s="3" t="s">
        <v>228</v>
      </c>
      <c r="G50" s="3" t="s">
        <v>61</v>
      </c>
      <c r="H50" s="3">
        <f>VALUE(MID(LEFT(Table1[[#This Row],[Unique ID]], FIND("/", Table1[[#This Row],[Unique ID]]) - 1), 2, LEN(Table1[[#This Row],[Unique ID]])))</f>
        <v>7</v>
      </c>
      <c r="I50" s="3" t="s">
        <v>229</v>
      </c>
      <c r="J50" s="3" t="s">
        <v>229</v>
      </c>
      <c r="K50" s="3" t="s">
        <v>50</v>
      </c>
      <c r="L50" s="3" t="s">
        <v>234</v>
      </c>
      <c r="M50" s="24">
        <v>920</v>
      </c>
      <c r="N50" s="3" t="s">
        <v>112</v>
      </c>
      <c r="O50" s="41">
        <v>12</v>
      </c>
      <c r="P50" s="3" t="s">
        <v>53</v>
      </c>
      <c r="Q50" s="3">
        <v>2018</v>
      </c>
      <c r="R50" s="3"/>
      <c r="S50" s="3" t="s">
        <v>43</v>
      </c>
      <c r="T50" s="33"/>
      <c r="U50" s="4"/>
      <c r="V50" s="4"/>
      <c r="W50" s="3"/>
      <c r="X50" s="4"/>
      <c r="Y50" s="4"/>
    </row>
    <row r="51" spans="1:25">
      <c r="A51" s="3">
        <v>50</v>
      </c>
      <c r="B51" s="3" t="s">
        <v>30</v>
      </c>
      <c r="C51" s="3" t="s">
        <v>235</v>
      </c>
      <c r="D51" s="3" t="s">
        <v>236</v>
      </c>
      <c r="E51" s="3"/>
      <c r="F51" s="3" t="s">
        <v>237</v>
      </c>
      <c r="G51" s="3" t="s">
        <v>35</v>
      </c>
      <c r="H51" s="3">
        <f>VALUE(MID(LEFT(Table1[[#This Row],[Unique ID]], FIND("/", Table1[[#This Row],[Unique ID]]) - 1), 2, LEN(Table1[[#This Row],[Unique ID]])))</f>
        <v>5</v>
      </c>
      <c r="I51" s="3" t="s">
        <v>93</v>
      </c>
      <c r="J51" s="3" t="s">
        <v>93</v>
      </c>
      <c r="K51" s="3" t="s">
        <v>62</v>
      </c>
      <c r="L51" s="3" t="s">
        <v>238</v>
      </c>
      <c r="M51" s="24">
        <v>5009</v>
      </c>
      <c r="N51" s="3" t="s">
        <v>239</v>
      </c>
      <c r="O51" s="41" t="s">
        <v>240</v>
      </c>
      <c r="P51" s="3" t="s">
        <v>56</v>
      </c>
      <c r="Q51" s="3">
        <v>2017</v>
      </c>
      <c r="R51" s="3"/>
      <c r="S51" s="3" t="s">
        <v>43</v>
      </c>
      <c r="T51" s="33"/>
      <c r="U51" s="4"/>
      <c r="V51" s="4"/>
      <c r="W51" s="3"/>
      <c r="X51" s="4"/>
      <c r="Y51" s="4"/>
    </row>
    <row r="52" spans="1:25">
      <c r="A52" s="3">
        <v>51</v>
      </c>
      <c r="B52" s="3" t="s">
        <v>30</v>
      </c>
      <c r="C52" s="3" t="s">
        <v>235</v>
      </c>
      <c r="D52" s="3" t="s">
        <v>236</v>
      </c>
      <c r="E52" s="3"/>
      <c r="F52" s="3" t="s">
        <v>237</v>
      </c>
      <c r="G52" s="3" t="s">
        <v>35</v>
      </c>
      <c r="H52" s="3">
        <f>VALUE(MID(LEFT(Table1[[#This Row],[Unique ID]], FIND("/", Table1[[#This Row],[Unique ID]]) - 1), 2, LEN(Table1[[#This Row],[Unique ID]])))</f>
        <v>5</v>
      </c>
      <c r="I52" s="3" t="s">
        <v>93</v>
      </c>
      <c r="J52" s="3" t="s">
        <v>93</v>
      </c>
      <c r="K52" s="3" t="s">
        <v>62</v>
      </c>
      <c r="L52" s="3" t="s">
        <v>241</v>
      </c>
      <c r="M52" s="24">
        <v>1950</v>
      </c>
      <c r="N52" s="3" t="s">
        <v>242</v>
      </c>
      <c r="O52" s="41" t="s">
        <v>243</v>
      </c>
      <c r="P52" s="3" t="s">
        <v>56</v>
      </c>
      <c r="Q52" s="3">
        <v>2017</v>
      </c>
      <c r="R52" s="3"/>
      <c r="S52" s="3" t="s">
        <v>43</v>
      </c>
      <c r="T52" s="33"/>
      <c r="U52" s="4"/>
      <c r="V52" s="4"/>
      <c r="W52" s="3"/>
      <c r="X52" s="4"/>
      <c r="Y52" s="4"/>
    </row>
    <row r="53" spans="1:25">
      <c r="A53" s="3">
        <v>52</v>
      </c>
      <c r="B53" s="3" t="s">
        <v>65</v>
      </c>
      <c r="C53" s="3" t="s">
        <v>235</v>
      </c>
      <c r="D53" s="3" t="s">
        <v>236</v>
      </c>
      <c r="E53" s="3"/>
      <c r="F53" s="3" t="s">
        <v>237</v>
      </c>
      <c r="G53" s="3" t="s">
        <v>35</v>
      </c>
      <c r="H53" s="3">
        <f>VALUE(MID(LEFT(Table1[[#This Row],[Unique ID]], FIND("/", Table1[[#This Row],[Unique ID]]) - 1), 2, LEN(Table1[[#This Row],[Unique ID]])))</f>
        <v>5</v>
      </c>
      <c r="I53" s="3" t="s">
        <v>93</v>
      </c>
      <c r="J53" s="3" t="s">
        <v>93</v>
      </c>
      <c r="K53" s="3" t="s">
        <v>178</v>
      </c>
      <c r="L53" s="3" t="s">
        <v>244</v>
      </c>
      <c r="M53" s="24">
        <v>500000</v>
      </c>
      <c r="N53" s="3" t="s">
        <v>245</v>
      </c>
      <c r="O53" s="41" t="s">
        <v>246</v>
      </c>
      <c r="P53" s="3" t="s">
        <v>56</v>
      </c>
      <c r="Q53" s="3">
        <v>2017</v>
      </c>
      <c r="R53" s="3"/>
      <c r="S53" s="3" t="s">
        <v>43</v>
      </c>
      <c r="T53" s="33"/>
      <c r="U53" s="4"/>
      <c r="V53" s="4"/>
      <c r="W53" s="3"/>
      <c r="X53" s="4"/>
      <c r="Y53" s="4"/>
    </row>
    <row r="54" spans="1:25">
      <c r="A54" s="3">
        <v>53</v>
      </c>
      <c r="B54" s="3" t="s">
        <v>44</v>
      </c>
      <c r="C54" s="3" t="s">
        <v>235</v>
      </c>
      <c r="D54" s="3" t="s">
        <v>236</v>
      </c>
      <c r="E54" s="3"/>
      <c r="F54" s="3" t="s">
        <v>237</v>
      </c>
      <c r="G54" s="3" t="s">
        <v>35</v>
      </c>
      <c r="H54" s="3">
        <f>VALUE(MID(LEFT(Table1[[#This Row],[Unique ID]], FIND("/", Table1[[#This Row],[Unique ID]]) - 1), 2, LEN(Table1[[#This Row],[Unique ID]])))</f>
        <v>5</v>
      </c>
      <c r="I54" s="3" t="s">
        <v>93</v>
      </c>
      <c r="J54" s="3" t="s">
        <v>93</v>
      </c>
      <c r="K54" s="3" t="s">
        <v>38</v>
      </c>
      <c r="L54" s="3" t="s">
        <v>247</v>
      </c>
      <c r="M54" s="24">
        <v>5000</v>
      </c>
      <c r="N54" s="3" t="s">
        <v>248</v>
      </c>
      <c r="O54" s="41"/>
      <c r="P54" s="3" t="s">
        <v>42</v>
      </c>
      <c r="Q54" s="3">
        <v>2018</v>
      </c>
      <c r="R54" s="3"/>
      <c r="S54" s="3" t="s">
        <v>43</v>
      </c>
      <c r="T54" s="33"/>
      <c r="U54" s="4"/>
      <c r="V54" s="4"/>
      <c r="W54" s="3"/>
      <c r="X54" s="4"/>
      <c r="Y54" s="4"/>
    </row>
    <row r="55" spans="1:25">
      <c r="A55" s="3">
        <v>54</v>
      </c>
      <c r="B55" s="3" t="s">
        <v>30</v>
      </c>
      <c r="C55" s="3" t="s">
        <v>249</v>
      </c>
      <c r="D55" s="3" t="s">
        <v>250</v>
      </c>
      <c r="E55" s="3" t="s">
        <v>251</v>
      </c>
      <c r="F55" s="3" t="s">
        <v>252</v>
      </c>
      <c r="G55" s="3" t="s">
        <v>61</v>
      </c>
      <c r="H55" s="3">
        <f>VALUE(MID(LEFT(Table1[[#This Row],[Unique ID]], FIND("/", Table1[[#This Row],[Unique ID]]) - 1), 2, LEN(Table1[[#This Row],[Unique ID]])))</f>
        <v>7</v>
      </c>
      <c r="I55" s="3" t="s">
        <v>36</v>
      </c>
      <c r="J55" s="3" t="s">
        <v>36</v>
      </c>
      <c r="K55" s="3" t="s">
        <v>62</v>
      </c>
      <c r="L55" s="3" t="s">
        <v>253</v>
      </c>
      <c r="M55" s="24">
        <v>5398.92</v>
      </c>
      <c r="N55" s="3" t="s">
        <v>254</v>
      </c>
      <c r="O55" s="41" t="s">
        <v>255</v>
      </c>
      <c r="P55" s="3" t="s">
        <v>56</v>
      </c>
      <c r="Q55" s="3">
        <v>2017</v>
      </c>
      <c r="R55" s="3"/>
      <c r="S55" s="3" t="s">
        <v>43</v>
      </c>
      <c r="T55" s="33"/>
      <c r="U55" s="4"/>
      <c r="V55" s="4"/>
      <c r="W55" s="3"/>
      <c r="X55" s="4"/>
      <c r="Y55" s="4"/>
    </row>
    <row r="56" spans="1:25">
      <c r="A56" s="3">
        <v>55</v>
      </c>
      <c r="B56" s="3" t="s">
        <v>113</v>
      </c>
      <c r="C56" s="3" t="s">
        <v>249</v>
      </c>
      <c r="D56" s="3" t="s">
        <v>250</v>
      </c>
      <c r="E56" s="3" t="s">
        <v>251</v>
      </c>
      <c r="F56" s="3" t="s">
        <v>252</v>
      </c>
      <c r="G56" s="3" t="s">
        <v>61</v>
      </c>
      <c r="H56" s="3">
        <f>VALUE(MID(LEFT(Table1[[#This Row],[Unique ID]], FIND("/", Table1[[#This Row],[Unique ID]]) - 1), 2, LEN(Table1[[#This Row],[Unique ID]])))</f>
        <v>7</v>
      </c>
      <c r="I56" s="3" t="s">
        <v>36</v>
      </c>
      <c r="J56" s="3" t="s">
        <v>36</v>
      </c>
      <c r="K56" s="3" t="s">
        <v>164</v>
      </c>
      <c r="L56" s="3" t="s">
        <v>256</v>
      </c>
      <c r="M56" s="24">
        <v>564.41999999999996</v>
      </c>
      <c r="N56" s="3" t="s">
        <v>257</v>
      </c>
      <c r="O56" s="41"/>
      <c r="P56" s="3" t="s">
        <v>160</v>
      </c>
      <c r="Q56" s="3">
        <v>2019</v>
      </c>
      <c r="R56" s="3"/>
      <c r="S56" s="3" t="s">
        <v>43</v>
      </c>
      <c r="T56" s="33"/>
      <c r="U56" s="4"/>
      <c r="V56" s="4"/>
      <c r="W56" s="3"/>
      <c r="X56" s="4"/>
      <c r="Y56" s="4"/>
    </row>
    <row r="57" spans="1:25">
      <c r="A57" s="3">
        <v>56</v>
      </c>
      <c r="B57" s="3" t="s">
        <v>79</v>
      </c>
      <c r="C57" s="3" t="s">
        <v>249</v>
      </c>
      <c r="D57" s="3" t="s">
        <v>250</v>
      </c>
      <c r="E57" s="3" t="s">
        <v>251</v>
      </c>
      <c r="F57" s="3" t="s">
        <v>252</v>
      </c>
      <c r="G57" s="3" t="s">
        <v>61</v>
      </c>
      <c r="H57" s="3">
        <f>VALUE(MID(LEFT(Table1[[#This Row],[Unique ID]], FIND("/", Table1[[#This Row],[Unique ID]]) - 1), 2, LEN(Table1[[#This Row],[Unique ID]])))</f>
        <v>7</v>
      </c>
      <c r="I57" s="3" t="s">
        <v>36</v>
      </c>
      <c r="J57" s="3" t="s">
        <v>36</v>
      </c>
      <c r="K57" s="3" t="s">
        <v>164</v>
      </c>
      <c r="L57" s="3" t="s">
        <v>256</v>
      </c>
      <c r="M57" s="24">
        <v>554.04999999999995</v>
      </c>
      <c r="N57" s="3" t="s">
        <v>257</v>
      </c>
      <c r="O57" s="41"/>
      <c r="P57" s="3" t="s">
        <v>160</v>
      </c>
      <c r="Q57" s="3">
        <v>2019</v>
      </c>
      <c r="R57" s="3"/>
      <c r="S57" s="3" t="s">
        <v>43</v>
      </c>
      <c r="T57" s="33"/>
      <c r="U57" s="4"/>
      <c r="V57" s="4"/>
      <c r="W57" s="3"/>
      <c r="X57" s="4"/>
      <c r="Y57" s="4"/>
    </row>
    <row r="58" spans="1:25">
      <c r="A58" s="3">
        <v>57</v>
      </c>
      <c r="B58" s="3" t="s">
        <v>30</v>
      </c>
      <c r="C58" s="3" t="s">
        <v>258</v>
      </c>
      <c r="D58" s="3" t="s">
        <v>259</v>
      </c>
      <c r="E58" s="3"/>
      <c r="F58" s="3" t="s">
        <v>260</v>
      </c>
      <c r="G58" s="3" t="s">
        <v>35</v>
      </c>
      <c r="H58" s="3">
        <f>VALUE(MID(LEFT(Table1[[#This Row],[Unique ID]], FIND("/", Table1[[#This Row],[Unique ID]]) - 1), 2, LEN(Table1[[#This Row],[Unique ID]])))</f>
        <v>5</v>
      </c>
      <c r="I58" s="3" t="s">
        <v>76</v>
      </c>
      <c r="J58" s="3" t="s">
        <v>76</v>
      </c>
      <c r="K58" s="3" t="s">
        <v>50</v>
      </c>
      <c r="L58" s="3" t="s">
        <v>261</v>
      </c>
      <c r="M58" s="24"/>
      <c r="N58" s="3" t="s">
        <v>76</v>
      </c>
      <c r="O58" s="41" t="s">
        <v>262</v>
      </c>
      <c r="P58" s="3" t="s">
        <v>53</v>
      </c>
      <c r="Q58" s="3">
        <v>2017</v>
      </c>
      <c r="R58" s="3"/>
      <c r="S58" s="3" t="s">
        <v>43</v>
      </c>
      <c r="T58" s="33"/>
      <c r="U58" s="4"/>
      <c r="V58" s="4"/>
      <c r="W58" s="3"/>
      <c r="X58" s="4"/>
      <c r="Y58" s="4"/>
    </row>
    <row r="59" spans="1:25">
      <c r="A59" s="3">
        <v>58</v>
      </c>
      <c r="B59" s="3" t="s">
        <v>79</v>
      </c>
      <c r="C59" s="3" t="s">
        <v>263</v>
      </c>
      <c r="D59" s="3" t="s">
        <v>264</v>
      </c>
      <c r="E59" s="3" t="s">
        <v>265</v>
      </c>
      <c r="F59" s="3" t="s">
        <v>266</v>
      </c>
      <c r="G59" s="3" t="s">
        <v>61</v>
      </c>
      <c r="H59" s="3">
        <f>VALUE(MID(LEFT(Table1[[#This Row],[Unique ID]], FIND("/", Table1[[#This Row],[Unique ID]]) - 1), 2, LEN(Table1[[#This Row],[Unique ID]])))</f>
        <v>4</v>
      </c>
      <c r="I59" s="3" t="s">
        <v>76</v>
      </c>
      <c r="J59" s="3" t="s">
        <v>49</v>
      </c>
      <c r="K59" s="3" t="s">
        <v>62</v>
      </c>
      <c r="L59" s="3" t="s">
        <v>267</v>
      </c>
      <c r="M59" s="24">
        <v>725264.68</v>
      </c>
      <c r="N59" s="3" t="s">
        <v>268</v>
      </c>
      <c r="O59" s="41">
        <v>36</v>
      </c>
      <c r="P59" s="3" t="s">
        <v>56</v>
      </c>
      <c r="Q59" s="3">
        <v>2019</v>
      </c>
      <c r="R59" s="3"/>
      <c r="S59" s="3" t="s">
        <v>43</v>
      </c>
      <c r="T59" s="33"/>
      <c r="U59" s="4"/>
      <c r="V59" s="4"/>
      <c r="W59" s="3"/>
      <c r="X59" s="4"/>
      <c r="Y59" s="4"/>
    </row>
    <row r="60" spans="1:25">
      <c r="A60" s="3">
        <v>59</v>
      </c>
      <c r="B60" s="3" t="s">
        <v>65</v>
      </c>
      <c r="C60" s="3" t="s">
        <v>269</v>
      </c>
      <c r="D60" s="3" t="s">
        <v>270</v>
      </c>
      <c r="E60" s="3" t="s">
        <v>271</v>
      </c>
      <c r="F60" s="3" t="s">
        <v>272</v>
      </c>
      <c r="G60" s="3" t="s">
        <v>61</v>
      </c>
      <c r="H60" s="3">
        <f>VALUE(MID(LEFT(Table1[[#This Row],[Unique ID]], FIND("/", Table1[[#This Row],[Unique ID]]) - 1), 2, LEN(Table1[[#This Row],[Unique ID]])))</f>
        <v>6</v>
      </c>
      <c r="I60" s="3" t="s">
        <v>49</v>
      </c>
      <c r="J60" s="3" t="s">
        <v>49</v>
      </c>
      <c r="K60" s="3" t="s">
        <v>62</v>
      </c>
      <c r="L60" s="3" t="s">
        <v>273</v>
      </c>
      <c r="M60" s="24">
        <v>4900</v>
      </c>
      <c r="N60" s="3" t="s">
        <v>274</v>
      </c>
      <c r="O60" s="41" t="s">
        <v>275</v>
      </c>
      <c r="P60" s="3" t="s">
        <v>56</v>
      </c>
      <c r="Q60" s="3">
        <v>2017</v>
      </c>
      <c r="R60" s="3"/>
      <c r="S60" s="3" t="s">
        <v>43</v>
      </c>
      <c r="T60" s="33"/>
      <c r="U60" s="4"/>
      <c r="V60" s="4"/>
      <c r="W60" s="3"/>
      <c r="X60" s="4"/>
      <c r="Y60" s="4"/>
    </row>
    <row r="61" spans="1:25">
      <c r="A61" s="3">
        <v>60</v>
      </c>
      <c r="B61" s="3" t="s">
        <v>68</v>
      </c>
      <c r="C61" s="3" t="s">
        <v>269</v>
      </c>
      <c r="D61" s="3" t="s">
        <v>270</v>
      </c>
      <c r="E61" s="3" t="s">
        <v>271</v>
      </c>
      <c r="F61" s="3" t="s">
        <v>272</v>
      </c>
      <c r="G61" s="3" t="s">
        <v>61</v>
      </c>
      <c r="H61" s="3">
        <f>VALUE(MID(LEFT(Table1[[#This Row],[Unique ID]], FIND("/", Table1[[#This Row],[Unique ID]]) - 1), 2, LEN(Table1[[#This Row],[Unique ID]])))</f>
        <v>6</v>
      </c>
      <c r="I61" s="3" t="s">
        <v>49</v>
      </c>
      <c r="J61" s="3" t="s">
        <v>49</v>
      </c>
      <c r="K61" s="3" t="s">
        <v>62</v>
      </c>
      <c r="L61" s="3" t="s">
        <v>276</v>
      </c>
      <c r="M61" s="24"/>
      <c r="N61" s="3" t="s">
        <v>277</v>
      </c>
      <c r="O61" s="41">
        <v>36</v>
      </c>
      <c r="P61" s="3" t="s">
        <v>56</v>
      </c>
      <c r="Q61" s="3">
        <v>2018</v>
      </c>
      <c r="R61" s="3"/>
      <c r="S61" s="3" t="s">
        <v>43</v>
      </c>
      <c r="T61" s="33"/>
      <c r="U61" s="4"/>
      <c r="V61" s="4"/>
      <c r="W61" s="3"/>
      <c r="X61" s="4"/>
      <c r="Y61" s="4"/>
    </row>
    <row r="62" spans="1:25">
      <c r="A62" s="3">
        <v>61</v>
      </c>
      <c r="B62" s="3" t="s">
        <v>30</v>
      </c>
      <c r="C62" s="3" t="s">
        <v>278</v>
      </c>
      <c r="D62" s="3" t="s">
        <v>279</v>
      </c>
      <c r="E62" s="3" t="s">
        <v>280</v>
      </c>
      <c r="F62" s="3" t="s">
        <v>281</v>
      </c>
      <c r="G62" s="3" t="s">
        <v>61</v>
      </c>
      <c r="H62" s="3">
        <f>VALUE(MID(LEFT(Table1[[#This Row],[Unique ID]], FIND("/", Table1[[#This Row],[Unique ID]]) - 1), 2, LEN(Table1[[#This Row],[Unique ID]])))</f>
        <v>7</v>
      </c>
      <c r="I62" s="3" t="s">
        <v>86</v>
      </c>
      <c r="J62" s="3" t="s">
        <v>86</v>
      </c>
      <c r="K62" s="3" t="s">
        <v>62</v>
      </c>
      <c r="L62" s="3" t="s">
        <v>282</v>
      </c>
      <c r="M62" s="24">
        <v>3000</v>
      </c>
      <c r="N62" s="3" t="s">
        <v>283</v>
      </c>
      <c r="O62" s="41" t="s">
        <v>64</v>
      </c>
      <c r="P62" s="3" t="s">
        <v>56</v>
      </c>
      <c r="Q62" s="3">
        <v>2017</v>
      </c>
      <c r="R62" s="3"/>
      <c r="S62" s="3" t="s">
        <v>43</v>
      </c>
      <c r="T62" s="33"/>
      <c r="U62" s="4"/>
      <c r="V62" s="4"/>
      <c r="W62" s="3"/>
      <c r="X62" s="4"/>
      <c r="Y62" s="4"/>
    </row>
    <row r="63" spans="1:25">
      <c r="A63" s="3">
        <v>62</v>
      </c>
      <c r="B63" s="3" t="s">
        <v>65</v>
      </c>
      <c r="C63" s="3" t="s">
        <v>278</v>
      </c>
      <c r="D63" s="3" t="s">
        <v>279</v>
      </c>
      <c r="E63" s="3" t="s">
        <v>280</v>
      </c>
      <c r="F63" s="3" t="s">
        <v>281</v>
      </c>
      <c r="G63" s="3" t="s">
        <v>61</v>
      </c>
      <c r="H63" s="3">
        <f>VALUE(MID(LEFT(Table1[[#This Row],[Unique ID]], FIND("/", Table1[[#This Row],[Unique ID]]) - 1), 2, LEN(Table1[[#This Row],[Unique ID]])))</f>
        <v>7</v>
      </c>
      <c r="I63" s="3" t="s">
        <v>86</v>
      </c>
      <c r="J63" s="3" t="s">
        <v>86</v>
      </c>
      <c r="K63" s="3" t="s">
        <v>62</v>
      </c>
      <c r="L63" s="3" t="s">
        <v>284</v>
      </c>
      <c r="M63" s="24">
        <v>3000</v>
      </c>
      <c r="N63" s="3" t="s">
        <v>285</v>
      </c>
      <c r="O63" s="41" t="s">
        <v>286</v>
      </c>
      <c r="P63" s="3" t="s">
        <v>56</v>
      </c>
      <c r="Q63" s="3">
        <v>2017</v>
      </c>
      <c r="R63" s="3"/>
      <c r="S63" s="3" t="s">
        <v>43</v>
      </c>
      <c r="T63" s="33"/>
      <c r="U63" s="4"/>
      <c r="V63" s="4"/>
      <c r="W63" s="3"/>
      <c r="X63" s="4"/>
      <c r="Y63" s="4"/>
    </row>
    <row r="64" spans="1:25">
      <c r="A64" s="3">
        <v>63</v>
      </c>
      <c r="B64" s="3" t="s">
        <v>68</v>
      </c>
      <c r="C64" s="3" t="s">
        <v>287</v>
      </c>
      <c r="D64" s="3" t="s">
        <v>288</v>
      </c>
      <c r="E64" s="3"/>
      <c r="F64" s="3" t="s">
        <v>289</v>
      </c>
      <c r="G64" s="3" t="s">
        <v>35</v>
      </c>
      <c r="H64" s="3">
        <f>VALUE(MID(LEFT(Table1[[#This Row],[Unique ID]], FIND("/", Table1[[#This Row],[Unique ID]]) - 1), 2, LEN(Table1[[#This Row],[Unique ID]])))</f>
        <v>6</v>
      </c>
      <c r="I64" s="3" t="s">
        <v>76</v>
      </c>
      <c r="J64" s="3" t="s">
        <v>76</v>
      </c>
      <c r="K64" s="3" t="s">
        <v>50</v>
      </c>
      <c r="L64" s="3" t="s">
        <v>290</v>
      </c>
      <c r="M64" s="24">
        <v>8162.79</v>
      </c>
      <c r="N64" s="3" t="s">
        <v>112</v>
      </c>
      <c r="O64" s="41">
        <v>6</v>
      </c>
      <c r="P64" s="3" t="s">
        <v>160</v>
      </c>
      <c r="Q64" s="3">
        <v>2018</v>
      </c>
      <c r="R64" s="3"/>
      <c r="S64" s="3" t="s">
        <v>43</v>
      </c>
      <c r="T64" s="33"/>
      <c r="U64" s="4"/>
      <c r="V64" s="4"/>
      <c r="W64" s="3"/>
      <c r="X64" s="4"/>
      <c r="Y64" s="4"/>
    </row>
    <row r="65" spans="1:25">
      <c r="A65" s="3">
        <v>64</v>
      </c>
      <c r="B65" s="3" t="s">
        <v>44</v>
      </c>
      <c r="C65" s="3" t="s">
        <v>287</v>
      </c>
      <c r="D65" s="3" t="s">
        <v>288</v>
      </c>
      <c r="E65" s="3"/>
      <c r="F65" s="3" t="s">
        <v>289</v>
      </c>
      <c r="G65" s="3" t="s">
        <v>35</v>
      </c>
      <c r="H65" s="3">
        <f>VALUE(MID(LEFT(Table1[[#This Row],[Unique ID]], FIND("/", Table1[[#This Row],[Unique ID]]) - 1), 2, LEN(Table1[[#This Row],[Unique ID]])))</f>
        <v>6</v>
      </c>
      <c r="I65" s="3" t="s">
        <v>76</v>
      </c>
      <c r="J65" s="3" t="s">
        <v>76</v>
      </c>
      <c r="K65" s="3" t="s">
        <v>164</v>
      </c>
      <c r="L65" s="3" t="s">
        <v>291</v>
      </c>
      <c r="M65" s="24"/>
      <c r="N65" s="3" t="s">
        <v>292</v>
      </c>
      <c r="O65" s="41">
        <v>1</v>
      </c>
      <c r="P65" s="3" t="s">
        <v>160</v>
      </c>
      <c r="Q65" s="3">
        <v>2018</v>
      </c>
      <c r="R65" s="3"/>
      <c r="S65" s="3" t="s">
        <v>43</v>
      </c>
      <c r="T65" s="33"/>
      <c r="U65" s="4"/>
      <c r="V65" s="4"/>
      <c r="W65" s="3"/>
      <c r="X65" s="4"/>
      <c r="Y65" s="4"/>
    </row>
    <row r="66" spans="1:25">
      <c r="A66" s="3">
        <v>65</v>
      </c>
      <c r="B66" s="3" t="s">
        <v>113</v>
      </c>
      <c r="C66" s="3" t="s">
        <v>287</v>
      </c>
      <c r="D66" s="3" t="s">
        <v>288</v>
      </c>
      <c r="E66" s="3"/>
      <c r="F66" s="3" t="s">
        <v>289</v>
      </c>
      <c r="G66" s="3" t="s">
        <v>35</v>
      </c>
      <c r="H66" s="3">
        <f>VALUE(MID(LEFT(Table1[[#This Row],[Unique ID]], FIND("/", Table1[[#This Row],[Unique ID]]) - 1), 2, LEN(Table1[[#This Row],[Unique ID]])))</f>
        <v>6</v>
      </c>
      <c r="I66" s="3" t="s">
        <v>76</v>
      </c>
      <c r="J66" s="3" t="s">
        <v>76</v>
      </c>
      <c r="K66" s="3" t="s">
        <v>178</v>
      </c>
      <c r="L66" s="3" t="s">
        <v>293</v>
      </c>
      <c r="M66" s="24">
        <v>650</v>
      </c>
      <c r="N66" s="3" t="s">
        <v>294</v>
      </c>
      <c r="O66" s="41">
        <v>1</v>
      </c>
      <c r="P66" s="3" t="s">
        <v>160</v>
      </c>
      <c r="Q66" s="3">
        <v>2019</v>
      </c>
      <c r="R66" s="3"/>
      <c r="S66" s="3" t="s">
        <v>43</v>
      </c>
      <c r="T66" s="33"/>
      <c r="U66" s="4"/>
      <c r="V66" s="4"/>
      <c r="W66" s="3"/>
      <c r="X66" s="4"/>
      <c r="Y66" s="4"/>
    </row>
    <row r="67" spans="1:25">
      <c r="A67" s="3">
        <v>66</v>
      </c>
      <c r="B67" s="3" t="s">
        <v>113</v>
      </c>
      <c r="C67" s="3" t="s">
        <v>287</v>
      </c>
      <c r="D67" s="3" t="s">
        <v>288</v>
      </c>
      <c r="E67" s="3"/>
      <c r="F67" s="3" t="s">
        <v>289</v>
      </c>
      <c r="G67" s="3" t="s">
        <v>35</v>
      </c>
      <c r="H67" s="3">
        <f>VALUE(MID(LEFT(Table1[[#This Row],[Unique ID]], FIND("/", Table1[[#This Row],[Unique ID]]) - 1), 2, LEN(Table1[[#This Row],[Unique ID]])))</f>
        <v>6</v>
      </c>
      <c r="I67" s="3" t="s">
        <v>76</v>
      </c>
      <c r="J67" s="3" t="s">
        <v>76</v>
      </c>
      <c r="K67" s="3" t="s">
        <v>62</v>
      </c>
      <c r="L67" s="3" t="s">
        <v>295</v>
      </c>
      <c r="M67" s="24">
        <v>234207.6</v>
      </c>
      <c r="N67" s="3" t="s">
        <v>112</v>
      </c>
      <c r="O67" s="41">
        <v>36</v>
      </c>
      <c r="P67" s="3" t="s">
        <v>56</v>
      </c>
      <c r="Q67" s="3">
        <v>2019</v>
      </c>
      <c r="R67" s="3"/>
      <c r="S67" s="3" t="s">
        <v>43</v>
      </c>
      <c r="T67" s="33"/>
      <c r="U67" s="4"/>
      <c r="V67" s="4"/>
      <c r="W67" s="3"/>
      <c r="X67" s="4"/>
      <c r="Y67" s="4"/>
    </row>
    <row r="68" spans="1:25">
      <c r="A68" s="3">
        <v>67</v>
      </c>
      <c r="B68" s="3" t="s">
        <v>30</v>
      </c>
      <c r="C68" s="3" t="s">
        <v>296</v>
      </c>
      <c r="D68" s="3" t="s">
        <v>297</v>
      </c>
      <c r="E68" s="3" t="s">
        <v>297</v>
      </c>
      <c r="F68" s="3" t="s">
        <v>298</v>
      </c>
      <c r="G68" s="3" t="s">
        <v>61</v>
      </c>
      <c r="H68" s="3">
        <f>VALUE(MID(LEFT(Table1[[#This Row],[Unique ID]], FIND("/", Table1[[#This Row],[Unique ID]]) - 1), 2, LEN(Table1[[#This Row],[Unique ID]])))</f>
        <v>5</v>
      </c>
      <c r="I68" s="3" t="s">
        <v>229</v>
      </c>
      <c r="J68" s="3" t="s">
        <v>229</v>
      </c>
      <c r="K68" s="3" t="s">
        <v>50</v>
      </c>
      <c r="L68" s="3" t="s">
        <v>299</v>
      </c>
      <c r="M68" s="24">
        <v>1150</v>
      </c>
      <c r="N68" s="3" t="s">
        <v>229</v>
      </c>
      <c r="O68" s="41" t="s">
        <v>300</v>
      </c>
      <c r="P68" s="3" t="s">
        <v>53</v>
      </c>
      <c r="Q68" s="3">
        <v>2017</v>
      </c>
      <c r="R68" s="3"/>
      <c r="S68" s="3" t="s">
        <v>43</v>
      </c>
      <c r="T68" s="33"/>
      <c r="U68" s="4"/>
      <c r="V68" s="4"/>
      <c r="W68" s="3"/>
      <c r="X68" s="4"/>
      <c r="Y68" s="4"/>
    </row>
    <row r="69" spans="1:25">
      <c r="A69" s="3">
        <v>68</v>
      </c>
      <c r="B69" s="3" t="s">
        <v>44</v>
      </c>
      <c r="C69" s="3" t="s">
        <v>296</v>
      </c>
      <c r="D69" s="3" t="s">
        <v>297</v>
      </c>
      <c r="E69" s="3" t="s">
        <v>297</v>
      </c>
      <c r="F69" s="3" t="s">
        <v>298</v>
      </c>
      <c r="G69" s="3" t="s">
        <v>61</v>
      </c>
      <c r="H69" s="3">
        <f>VALUE(MID(LEFT(Table1[[#This Row],[Unique ID]], FIND("/", Table1[[#This Row],[Unique ID]]) - 1), 2, LEN(Table1[[#This Row],[Unique ID]])))</f>
        <v>5</v>
      </c>
      <c r="I69" s="3" t="s">
        <v>229</v>
      </c>
      <c r="J69" s="3" t="s">
        <v>229</v>
      </c>
      <c r="K69" s="3" t="s">
        <v>50</v>
      </c>
      <c r="L69" s="3" t="s">
        <v>301</v>
      </c>
      <c r="M69" s="24"/>
      <c r="N69" s="3" t="s">
        <v>302</v>
      </c>
      <c r="O69" s="41">
        <v>24</v>
      </c>
      <c r="P69" s="3" t="s">
        <v>53</v>
      </c>
      <c r="Q69" s="3">
        <v>2018</v>
      </c>
      <c r="R69" s="3"/>
      <c r="S69" s="3" t="s">
        <v>43</v>
      </c>
      <c r="T69" s="33"/>
      <c r="U69" s="4"/>
      <c r="V69" s="4"/>
      <c r="W69" s="3"/>
      <c r="X69" s="4"/>
      <c r="Y69" s="4"/>
    </row>
    <row r="70" spans="1:25">
      <c r="A70" s="3">
        <v>69</v>
      </c>
      <c r="B70" s="3" t="s">
        <v>68</v>
      </c>
      <c r="C70" s="3" t="s">
        <v>303</v>
      </c>
      <c r="D70" s="3" t="s">
        <v>304</v>
      </c>
      <c r="E70" s="3"/>
      <c r="F70" s="3" t="s">
        <v>305</v>
      </c>
      <c r="G70" s="3" t="s">
        <v>35</v>
      </c>
      <c r="H70" s="3">
        <f>VALUE(MID(LEFT(Table1[[#This Row],[Unique ID]], FIND("/", Table1[[#This Row],[Unique ID]]) - 1), 2, LEN(Table1[[#This Row],[Unique ID]])))</f>
        <v>4</v>
      </c>
      <c r="I70" s="3" t="s">
        <v>76</v>
      </c>
      <c r="J70" s="3" t="s">
        <v>76</v>
      </c>
      <c r="K70" s="3" t="s">
        <v>306</v>
      </c>
      <c r="L70" s="3" t="s">
        <v>307</v>
      </c>
      <c r="M70" s="24">
        <v>7800</v>
      </c>
      <c r="N70" s="3" t="s">
        <v>308</v>
      </c>
      <c r="O70" s="41">
        <v>12</v>
      </c>
      <c r="P70" s="3" t="s">
        <v>56</v>
      </c>
      <c r="Q70" s="3">
        <v>2018</v>
      </c>
      <c r="R70" s="3"/>
      <c r="S70" s="3" t="s">
        <v>43</v>
      </c>
      <c r="T70" s="33"/>
      <c r="U70" s="4"/>
      <c r="V70" s="4"/>
      <c r="W70" s="3"/>
      <c r="X70" s="4"/>
      <c r="Y70" s="4"/>
    </row>
    <row r="71" spans="1:25">
      <c r="A71" s="3">
        <v>70</v>
      </c>
      <c r="B71" s="3" t="s">
        <v>68</v>
      </c>
      <c r="C71" s="3" t="s">
        <v>303</v>
      </c>
      <c r="D71" s="3" t="s">
        <v>304</v>
      </c>
      <c r="E71" s="3"/>
      <c r="F71" s="3" t="s">
        <v>305</v>
      </c>
      <c r="G71" s="3" t="s">
        <v>35</v>
      </c>
      <c r="H71" s="3">
        <f>VALUE(MID(LEFT(Table1[[#This Row],[Unique ID]], FIND("/", Table1[[#This Row],[Unique ID]]) - 1), 2, LEN(Table1[[#This Row],[Unique ID]])))</f>
        <v>4</v>
      </c>
      <c r="I71" s="3" t="s">
        <v>76</v>
      </c>
      <c r="J71" s="3" t="s">
        <v>76</v>
      </c>
      <c r="K71" s="3" t="s">
        <v>164</v>
      </c>
      <c r="L71" s="3" t="s">
        <v>309</v>
      </c>
      <c r="M71" s="24">
        <v>800</v>
      </c>
      <c r="N71" s="3" t="s">
        <v>310</v>
      </c>
      <c r="O71" s="41">
        <v>1</v>
      </c>
      <c r="P71" s="3" t="s">
        <v>160</v>
      </c>
      <c r="Q71" s="3">
        <v>2018</v>
      </c>
      <c r="R71" s="3"/>
      <c r="S71" s="3" t="s">
        <v>43</v>
      </c>
      <c r="T71" s="33"/>
      <c r="U71" s="4"/>
      <c r="V71" s="4"/>
      <c r="W71" s="3"/>
      <c r="X71" s="4"/>
      <c r="Y71" s="4"/>
    </row>
    <row r="72" spans="1:25">
      <c r="A72" s="3">
        <v>71</v>
      </c>
      <c r="B72" s="3" t="s">
        <v>68</v>
      </c>
      <c r="C72" s="3" t="s">
        <v>303</v>
      </c>
      <c r="D72" s="3" t="s">
        <v>304</v>
      </c>
      <c r="E72" s="3"/>
      <c r="F72" s="3" t="s">
        <v>305</v>
      </c>
      <c r="G72" s="3" t="s">
        <v>35</v>
      </c>
      <c r="H72" s="3">
        <f>VALUE(MID(LEFT(Table1[[#This Row],[Unique ID]], FIND("/", Table1[[#This Row],[Unique ID]]) - 1), 2, LEN(Table1[[#This Row],[Unique ID]])))</f>
        <v>4</v>
      </c>
      <c r="I72" s="3" t="s">
        <v>76</v>
      </c>
      <c r="J72" s="3" t="s">
        <v>76</v>
      </c>
      <c r="K72" s="3" t="s">
        <v>38</v>
      </c>
      <c r="L72" s="3" t="s">
        <v>311</v>
      </c>
      <c r="M72" s="24"/>
      <c r="N72" s="3" t="s">
        <v>308</v>
      </c>
      <c r="O72" s="41">
        <v>1</v>
      </c>
      <c r="P72" s="3" t="s">
        <v>42</v>
      </c>
      <c r="Q72" s="3">
        <v>2018</v>
      </c>
      <c r="R72" s="3"/>
      <c r="S72" s="3" t="s">
        <v>43</v>
      </c>
      <c r="T72" s="33"/>
      <c r="U72" s="4"/>
      <c r="V72" s="4"/>
      <c r="W72" s="3"/>
      <c r="X72" s="4"/>
      <c r="Y72" s="4"/>
    </row>
    <row r="73" spans="1:25">
      <c r="A73" s="3">
        <v>72</v>
      </c>
      <c r="B73" s="3" t="s">
        <v>44</v>
      </c>
      <c r="C73" s="3" t="s">
        <v>303</v>
      </c>
      <c r="D73" s="3" t="s">
        <v>304</v>
      </c>
      <c r="E73" s="3"/>
      <c r="F73" s="3" t="s">
        <v>305</v>
      </c>
      <c r="G73" s="3" t="s">
        <v>35</v>
      </c>
      <c r="H73" s="3">
        <f>VALUE(MID(LEFT(Table1[[#This Row],[Unique ID]], FIND("/", Table1[[#This Row],[Unique ID]]) - 1), 2, LEN(Table1[[#This Row],[Unique ID]])))</f>
        <v>4</v>
      </c>
      <c r="I73" s="3" t="s">
        <v>76</v>
      </c>
      <c r="J73" s="3" t="s">
        <v>76</v>
      </c>
      <c r="K73" s="3" t="s">
        <v>62</v>
      </c>
      <c r="L73" s="3" t="s">
        <v>312</v>
      </c>
      <c r="M73" s="24">
        <v>4.7300000000000004</v>
      </c>
      <c r="N73" s="3" t="s">
        <v>313</v>
      </c>
      <c r="O73" s="41">
        <v>8</v>
      </c>
      <c r="P73" s="3" t="s">
        <v>56</v>
      </c>
      <c r="Q73" s="3">
        <v>2018</v>
      </c>
      <c r="R73" s="3"/>
      <c r="S73" s="3" t="s">
        <v>43</v>
      </c>
      <c r="T73" s="33"/>
      <c r="U73" s="4"/>
      <c r="V73" s="4"/>
      <c r="W73" s="3"/>
      <c r="X73" s="4"/>
      <c r="Y73" s="4"/>
    </row>
    <row r="74" spans="1:25">
      <c r="A74" s="3">
        <v>73</v>
      </c>
      <c r="B74" s="3" t="s">
        <v>65</v>
      </c>
      <c r="C74" s="3" t="s">
        <v>314</v>
      </c>
      <c r="D74" s="3" t="s">
        <v>315</v>
      </c>
      <c r="E74" s="3" t="s">
        <v>316</v>
      </c>
      <c r="F74" s="3" t="s">
        <v>317</v>
      </c>
      <c r="G74" s="3" t="s">
        <v>61</v>
      </c>
      <c r="H74" s="3">
        <f>VALUE(MID(LEFT(Table1[[#This Row],[Unique ID]], FIND("/", Table1[[#This Row],[Unique ID]]) - 1), 2, LEN(Table1[[#This Row],[Unique ID]])))</f>
        <v>5</v>
      </c>
      <c r="I74" s="3" t="s">
        <v>76</v>
      </c>
      <c r="J74" s="3" t="s">
        <v>76</v>
      </c>
      <c r="K74" s="3" t="s">
        <v>164</v>
      </c>
      <c r="L74" s="3" t="s">
        <v>318</v>
      </c>
      <c r="M74" s="24">
        <v>610</v>
      </c>
      <c r="N74" s="3" t="s">
        <v>319</v>
      </c>
      <c r="O74" s="41" t="s">
        <v>320</v>
      </c>
      <c r="P74" s="3" t="s">
        <v>160</v>
      </c>
      <c r="Q74" s="3">
        <v>2017</v>
      </c>
      <c r="R74" s="3"/>
      <c r="S74" s="3" t="s">
        <v>43</v>
      </c>
      <c r="T74" s="33"/>
      <c r="U74" s="4"/>
      <c r="V74" s="4"/>
      <c r="W74" s="3"/>
      <c r="X74" s="4"/>
      <c r="Y74" s="4"/>
    </row>
    <row r="75" spans="1:25">
      <c r="A75" s="3">
        <v>74</v>
      </c>
      <c r="B75" s="3" t="s">
        <v>30</v>
      </c>
      <c r="C75" s="3" t="s">
        <v>321</v>
      </c>
      <c r="D75" s="3" t="s">
        <v>322</v>
      </c>
      <c r="E75" s="3"/>
      <c r="F75" s="3" t="s">
        <v>323</v>
      </c>
      <c r="G75" s="3" t="s">
        <v>61</v>
      </c>
      <c r="H75" s="3">
        <f>VALUE(MID(LEFT(Table1[[#This Row],[Unique ID]], FIND("/", Table1[[#This Row],[Unique ID]]) - 1), 2, LEN(Table1[[#This Row],[Unique ID]])))</f>
        <v>5</v>
      </c>
      <c r="I75" s="3" t="s">
        <v>229</v>
      </c>
      <c r="J75" s="3" t="s">
        <v>49</v>
      </c>
      <c r="K75" s="3" t="s">
        <v>62</v>
      </c>
      <c r="L75" s="3" t="s">
        <v>324</v>
      </c>
      <c r="M75" s="24">
        <v>292000</v>
      </c>
      <c r="N75" s="3" t="s">
        <v>325</v>
      </c>
      <c r="O75" s="41" t="s">
        <v>64</v>
      </c>
      <c r="P75" s="3" t="s">
        <v>56</v>
      </c>
      <c r="Q75" s="3">
        <v>2017</v>
      </c>
      <c r="R75" s="3"/>
      <c r="S75" s="3" t="s">
        <v>43</v>
      </c>
      <c r="T75" s="33"/>
      <c r="U75" s="4"/>
      <c r="V75" s="4"/>
      <c r="W75" s="3"/>
      <c r="X75" s="4"/>
      <c r="Y75" s="4"/>
    </row>
    <row r="76" spans="1:25">
      <c r="A76" s="3">
        <v>75</v>
      </c>
      <c r="B76" s="3" t="s">
        <v>30</v>
      </c>
      <c r="C76" s="3" t="s">
        <v>326</v>
      </c>
      <c r="D76" s="3" t="s">
        <v>327</v>
      </c>
      <c r="E76" s="3" t="s">
        <v>328</v>
      </c>
      <c r="F76" s="3" t="s">
        <v>329</v>
      </c>
      <c r="G76" s="3" t="s">
        <v>61</v>
      </c>
      <c r="H76" s="3">
        <f>VALUE(MID(LEFT(Table1[[#This Row],[Unique ID]], FIND("/", Table1[[#This Row],[Unique ID]]) - 1), 2, LEN(Table1[[#This Row],[Unique ID]])))</f>
        <v>6</v>
      </c>
      <c r="I76" s="3" t="s">
        <v>76</v>
      </c>
      <c r="J76" s="3" t="s">
        <v>76</v>
      </c>
      <c r="K76" s="3" t="s">
        <v>164</v>
      </c>
      <c r="L76" s="3" t="s">
        <v>330</v>
      </c>
      <c r="M76" s="24">
        <v>1500</v>
      </c>
      <c r="N76" s="3" t="s">
        <v>331</v>
      </c>
      <c r="O76" s="41" t="s">
        <v>332</v>
      </c>
      <c r="P76" s="3" t="s">
        <v>160</v>
      </c>
      <c r="Q76" s="3">
        <v>2017</v>
      </c>
      <c r="R76" s="3"/>
      <c r="S76" s="3" t="s">
        <v>43</v>
      </c>
      <c r="T76" s="33"/>
      <c r="U76" s="4"/>
      <c r="V76" s="4"/>
      <c r="W76" s="3"/>
      <c r="X76" s="4"/>
      <c r="Y76" s="4"/>
    </row>
    <row r="77" spans="1:25">
      <c r="A77" s="3">
        <v>76</v>
      </c>
      <c r="B77" s="3" t="s">
        <v>113</v>
      </c>
      <c r="C77" s="3" t="s">
        <v>326</v>
      </c>
      <c r="D77" s="3" t="s">
        <v>327</v>
      </c>
      <c r="E77" s="3" t="s">
        <v>328</v>
      </c>
      <c r="F77" s="3" t="s">
        <v>329</v>
      </c>
      <c r="G77" s="3" t="s">
        <v>61</v>
      </c>
      <c r="H77" s="3">
        <f>VALUE(MID(LEFT(Table1[[#This Row],[Unique ID]], FIND("/", Table1[[#This Row],[Unique ID]]) - 1), 2, LEN(Table1[[#This Row],[Unique ID]])))</f>
        <v>6</v>
      </c>
      <c r="I77" s="3" t="s">
        <v>76</v>
      </c>
      <c r="J77" s="3" t="s">
        <v>76</v>
      </c>
      <c r="K77" s="3" t="s">
        <v>62</v>
      </c>
      <c r="L77" s="3" t="s">
        <v>333</v>
      </c>
      <c r="M77" s="24">
        <v>150000</v>
      </c>
      <c r="N77" s="3" t="s">
        <v>334</v>
      </c>
      <c r="O77" s="41" t="s">
        <v>335</v>
      </c>
      <c r="P77" s="3" t="s">
        <v>56</v>
      </c>
      <c r="Q77" s="3">
        <v>2019</v>
      </c>
      <c r="R77" s="3"/>
      <c r="S77" s="3" t="s">
        <v>43</v>
      </c>
      <c r="T77" s="33"/>
      <c r="U77" s="4"/>
      <c r="V77" s="4"/>
      <c r="W77" s="3"/>
      <c r="X77" s="4"/>
      <c r="Y77" s="4"/>
    </row>
    <row r="78" spans="1:25">
      <c r="A78" s="3">
        <v>77</v>
      </c>
      <c r="B78" s="3" t="s">
        <v>30</v>
      </c>
      <c r="C78" s="3" t="s">
        <v>336</v>
      </c>
      <c r="D78" s="3" t="s">
        <v>337</v>
      </c>
      <c r="E78" s="3" t="s">
        <v>338</v>
      </c>
      <c r="F78" s="3" t="s">
        <v>339</v>
      </c>
      <c r="G78" s="3" t="s">
        <v>61</v>
      </c>
      <c r="H78" s="3">
        <f>VALUE(MID(LEFT(Table1[[#This Row],[Unique ID]], FIND("/", Table1[[#This Row],[Unique ID]]) - 1), 2, LEN(Table1[[#This Row],[Unique ID]])))</f>
        <v>4</v>
      </c>
      <c r="I78" s="3" t="s">
        <v>229</v>
      </c>
      <c r="J78" s="3" t="s">
        <v>49</v>
      </c>
      <c r="K78" s="3" t="s">
        <v>62</v>
      </c>
      <c r="L78" s="3" t="s">
        <v>340</v>
      </c>
      <c r="M78" s="24">
        <v>10000</v>
      </c>
      <c r="N78" s="3" t="s">
        <v>341</v>
      </c>
      <c r="O78" s="41" t="s">
        <v>342</v>
      </c>
      <c r="P78" s="3" t="s">
        <v>56</v>
      </c>
      <c r="Q78" s="3">
        <v>2017</v>
      </c>
      <c r="R78" s="3"/>
      <c r="S78" s="3" t="s">
        <v>43</v>
      </c>
      <c r="T78" s="33"/>
      <c r="U78" s="4"/>
      <c r="V78" s="4"/>
      <c r="W78" s="3"/>
      <c r="X78" s="4"/>
      <c r="Y78" s="4"/>
    </row>
    <row r="79" spans="1:25">
      <c r="A79" s="3">
        <v>78</v>
      </c>
      <c r="B79" s="3" t="s">
        <v>30</v>
      </c>
      <c r="C79" s="3" t="s">
        <v>336</v>
      </c>
      <c r="D79" s="3" t="s">
        <v>337</v>
      </c>
      <c r="E79" s="3" t="s">
        <v>338</v>
      </c>
      <c r="F79" s="3" t="s">
        <v>339</v>
      </c>
      <c r="G79" s="3" t="s">
        <v>61</v>
      </c>
      <c r="H79" s="3">
        <f>VALUE(MID(LEFT(Table1[[#This Row],[Unique ID]], FIND("/", Table1[[#This Row],[Unique ID]]) - 1), 2, LEN(Table1[[#This Row],[Unique ID]])))</f>
        <v>4</v>
      </c>
      <c r="I79" s="3" t="s">
        <v>229</v>
      </c>
      <c r="J79" s="3" t="s">
        <v>49</v>
      </c>
      <c r="K79" s="3" t="s">
        <v>38</v>
      </c>
      <c r="L79" s="3" t="s">
        <v>343</v>
      </c>
      <c r="M79" s="24">
        <v>1500</v>
      </c>
      <c r="N79" s="3" t="s">
        <v>344</v>
      </c>
      <c r="O79" s="41" t="s">
        <v>345</v>
      </c>
      <c r="P79" s="3" t="s">
        <v>160</v>
      </c>
      <c r="Q79" s="3">
        <v>2017</v>
      </c>
      <c r="R79" s="3"/>
      <c r="S79" s="3" t="s">
        <v>43</v>
      </c>
      <c r="T79" s="33"/>
      <c r="U79" s="4"/>
      <c r="V79" s="4"/>
      <c r="W79" s="3"/>
      <c r="X79" s="4"/>
      <c r="Y79" s="4"/>
    </row>
    <row r="80" spans="1:25">
      <c r="A80" s="3">
        <v>79</v>
      </c>
      <c r="B80" s="3" t="s">
        <v>65</v>
      </c>
      <c r="C80" s="3" t="s">
        <v>336</v>
      </c>
      <c r="D80" s="3" t="s">
        <v>337</v>
      </c>
      <c r="E80" s="3" t="s">
        <v>338</v>
      </c>
      <c r="F80" s="3" t="s">
        <v>339</v>
      </c>
      <c r="G80" s="3" t="s">
        <v>61</v>
      </c>
      <c r="H80" s="3">
        <f>VALUE(MID(LEFT(Table1[[#This Row],[Unique ID]], FIND("/", Table1[[#This Row],[Unique ID]]) - 1), 2, LEN(Table1[[#This Row],[Unique ID]])))</f>
        <v>4</v>
      </c>
      <c r="I80" s="3" t="s">
        <v>229</v>
      </c>
      <c r="J80" s="3" t="s">
        <v>49</v>
      </c>
      <c r="K80" s="3" t="s">
        <v>38</v>
      </c>
      <c r="L80" s="3"/>
      <c r="M80" s="24">
        <v>2000</v>
      </c>
      <c r="N80" s="3" t="s">
        <v>346</v>
      </c>
      <c r="O80" s="41"/>
      <c r="P80" s="3" t="s">
        <v>42</v>
      </c>
      <c r="Q80" s="3">
        <v>2017</v>
      </c>
      <c r="R80" s="3"/>
      <c r="S80" s="3" t="s">
        <v>43</v>
      </c>
      <c r="T80" s="33"/>
      <c r="U80" s="4"/>
      <c r="V80" s="4"/>
      <c r="W80" s="3"/>
      <c r="X80" s="4"/>
      <c r="Y80" s="4"/>
    </row>
    <row r="81" spans="1:25">
      <c r="A81" s="3">
        <v>80</v>
      </c>
      <c r="B81" s="3" t="s">
        <v>30</v>
      </c>
      <c r="C81" s="3" t="s">
        <v>347</v>
      </c>
      <c r="D81" s="3" t="s">
        <v>348</v>
      </c>
      <c r="E81" s="3" t="s">
        <v>349</v>
      </c>
      <c r="F81" s="3" t="s">
        <v>350</v>
      </c>
      <c r="G81" s="3" t="s">
        <v>35</v>
      </c>
      <c r="H81" s="3">
        <f>VALUE(MID(LEFT(Table1[[#This Row],[Unique ID]], FIND("/", Table1[[#This Row],[Unique ID]]) - 1), 2, LEN(Table1[[#This Row],[Unique ID]])))</f>
        <v>6</v>
      </c>
      <c r="I81" s="3" t="s">
        <v>36</v>
      </c>
      <c r="J81" s="3" t="s">
        <v>36</v>
      </c>
      <c r="K81" s="3" t="s">
        <v>164</v>
      </c>
      <c r="L81" s="3" t="s">
        <v>351</v>
      </c>
      <c r="M81" s="24">
        <v>1112</v>
      </c>
      <c r="N81" s="3" t="s">
        <v>352</v>
      </c>
      <c r="O81" s="41" t="s">
        <v>353</v>
      </c>
      <c r="P81" s="3" t="s">
        <v>160</v>
      </c>
      <c r="Q81" s="3">
        <v>2017</v>
      </c>
      <c r="R81" s="3"/>
      <c r="S81" s="3" t="s">
        <v>43</v>
      </c>
      <c r="T81" s="33"/>
      <c r="U81" s="4"/>
      <c r="V81" s="4"/>
      <c r="W81" s="3"/>
      <c r="X81" s="4"/>
      <c r="Y81" s="4"/>
    </row>
    <row r="82" spans="1:25">
      <c r="A82" s="3">
        <v>81</v>
      </c>
      <c r="B82" s="3" t="s">
        <v>30</v>
      </c>
      <c r="C82" s="3" t="s">
        <v>347</v>
      </c>
      <c r="D82" s="3" t="s">
        <v>348</v>
      </c>
      <c r="E82" s="3" t="s">
        <v>349</v>
      </c>
      <c r="F82" s="3" t="s">
        <v>350</v>
      </c>
      <c r="G82" s="3" t="s">
        <v>35</v>
      </c>
      <c r="H82" s="3">
        <f>VALUE(MID(LEFT(Table1[[#This Row],[Unique ID]], FIND("/", Table1[[#This Row],[Unique ID]]) - 1), 2, LEN(Table1[[#This Row],[Unique ID]])))</f>
        <v>6</v>
      </c>
      <c r="I82" s="3" t="s">
        <v>36</v>
      </c>
      <c r="J82" s="3" t="s">
        <v>36</v>
      </c>
      <c r="K82" s="3" t="s">
        <v>38</v>
      </c>
      <c r="L82" s="3" t="s">
        <v>354</v>
      </c>
      <c r="M82" s="24"/>
      <c r="N82" s="3" t="s">
        <v>355</v>
      </c>
      <c r="O82" s="41" t="s">
        <v>353</v>
      </c>
      <c r="P82" s="3" t="s">
        <v>42</v>
      </c>
      <c r="Q82" s="3">
        <v>2017</v>
      </c>
      <c r="R82" s="3"/>
      <c r="S82" s="3" t="s">
        <v>43</v>
      </c>
      <c r="T82" s="33"/>
      <c r="U82" s="4"/>
      <c r="V82" s="4"/>
      <c r="W82" s="3"/>
      <c r="X82" s="4"/>
      <c r="Y82" s="4"/>
    </row>
    <row r="83" spans="1:25">
      <c r="A83" s="3">
        <v>82</v>
      </c>
      <c r="B83" s="3" t="s">
        <v>68</v>
      </c>
      <c r="C83" s="3" t="s">
        <v>347</v>
      </c>
      <c r="D83" s="3" t="s">
        <v>348</v>
      </c>
      <c r="E83" s="3" t="s">
        <v>349</v>
      </c>
      <c r="F83" s="3" t="s">
        <v>350</v>
      </c>
      <c r="G83" s="3" t="s">
        <v>35</v>
      </c>
      <c r="H83" s="3">
        <f>VALUE(MID(LEFT(Table1[[#This Row],[Unique ID]], FIND("/", Table1[[#This Row],[Unique ID]]) - 1), 2, LEN(Table1[[#This Row],[Unique ID]])))</f>
        <v>6</v>
      </c>
      <c r="I83" s="3" t="s">
        <v>36</v>
      </c>
      <c r="J83" s="3" t="s">
        <v>36</v>
      </c>
      <c r="K83" s="3" t="s">
        <v>164</v>
      </c>
      <c r="L83" s="3" t="s">
        <v>356</v>
      </c>
      <c r="M83" s="24">
        <v>761</v>
      </c>
      <c r="N83" s="3" t="s">
        <v>357</v>
      </c>
      <c r="O83" s="41">
        <v>1</v>
      </c>
      <c r="P83" s="3" t="s">
        <v>160</v>
      </c>
      <c r="Q83" s="3">
        <v>2018</v>
      </c>
      <c r="R83" s="3"/>
      <c r="S83" s="3" t="s">
        <v>43</v>
      </c>
      <c r="T83" s="33"/>
      <c r="U83" s="4"/>
      <c r="V83" s="4"/>
      <c r="W83" s="3"/>
      <c r="X83" s="4"/>
      <c r="Y83" s="4"/>
    </row>
    <row r="84" spans="1:25">
      <c r="A84" s="3">
        <v>83</v>
      </c>
      <c r="B84" s="3" t="s">
        <v>44</v>
      </c>
      <c r="C84" s="3" t="s">
        <v>347</v>
      </c>
      <c r="D84" s="3" t="s">
        <v>348</v>
      </c>
      <c r="E84" s="3" t="s">
        <v>349</v>
      </c>
      <c r="F84" s="3" t="s">
        <v>350</v>
      </c>
      <c r="G84" s="3" t="s">
        <v>35</v>
      </c>
      <c r="H84" s="3">
        <f>VALUE(MID(LEFT(Table1[[#This Row],[Unique ID]], FIND("/", Table1[[#This Row],[Unique ID]]) - 1), 2, LEN(Table1[[#This Row],[Unique ID]])))</f>
        <v>6</v>
      </c>
      <c r="I84" s="3" t="s">
        <v>36</v>
      </c>
      <c r="J84" s="3" t="s">
        <v>36</v>
      </c>
      <c r="K84" s="3" t="s">
        <v>164</v>
      </c>
      <c r="L84" s="3" t="s">
        <v>164</v>
      </c>
      <c r="M84" s="24">
        <v>744.22</v>
      </c>
      <c r="N84" s="3" t="s">
        <v>358</v>
      </c>
      <c r="O84" s="41">
        <v>1</v>
      </c>
      <c r="P84" s="3" t="s">
        <v>160</v>
      </c>
      <c r="Q84" s="3">
        <v>2018</v>
      </c>
      <c r="R84" s="3"/>
      <c r="S84" s="3" t="s">
        <v>43</v>
      </c>
      <c r="T84" s="33"/>
      <c r="U84" s="4"/>
      <c r="V84" s="4"/>
      <c r="W84" s="3"/>
      <c r="X84" s="4"/>
      <c r="Y84" s="4"/>
    </row>
    <row r="85" spans="1:25">
      <c r="A85" s="3">
        <v>84</v>
      </c>
      <c r="B85" s="3" t="s">
        <v>44</v>
      </c>
      <c r="C85" s="3" t="s">
        <v>347</v>
      </c>
      <c r="D85" s="3" t="s">
        <v>348</v>
      </c>
      <c r="E85" s="3" t="s">
        <v>349</v>
      </c>
      <c r="F85" s="3" t="s">
        <v>350</v>
      </c>
      <c r="G85" s="3" t="s">
        <v>35</v>
      </c>
      <c r="H85" s="3">
        <f>VALUE(MID(LEFT(Table1[[#This Row],[Unique ID]], FIND("/", Table1[[#This Row],[Unique ID]]) - 1), 2, LEN(Table1[[#This Row],[Unique ID]])))</f>
        <v>6</v>
      </c>
      <c r="I85" s="3" t="s">
        <v>36</v>
      </c>
      <c r="J85" s="3" t="s">
        <v>36</v>
      </c>
      <c r="K85" s="3" t="s">
        <v>164</v>
      </c>
      <c r="L85" s="3" t="s">
        <v>164</v>
      </c>
      <c r="M85" s="24"/>
      <c r="N85" s="3" t="s">
        <v>359</v>
      </c>
      <c r="O85" s="41">
        <v>1</v>
      </c>
      <c r="P85" s="3" t="s">
        <v>160</v>
      </c>
      <c r="Q85" s="3">
        <v>2018</v>
      </c>
      <c r="R85" s="3"/>
      <c r="S85" s="3" t="s">
        <v>43</v>
      </c>
      <c r="T85" s="33"/>
      <c r="U85" s="4"/>
      <c r="V85" s="4"/>
      <c r="W85" s="3"/>
      <c r="X85" s="4"/>
      <c r="Y85" s="4"/>
    </row>
    <row r="86" spans="1:25">
      <c r="A86" s="3">
        <v>85</v>
      </c>
      <c r="B86" s="3" t="s">
        <v>113</v>
      </c>
      <c r="C86" s="3" t="s">
        <v>347</v>
      </c>
      <c r="D86" s="3" t="s">
        <v>348</v>
      </c>
      <c r="E86" s="3" t="s">
        <v>349</v>
      </c>
      <c r="F86" s="3" t="s">
        <v>350</v>
      </c>
      <c r="G86" s="3" t="s">
        <v>35</v>
      </c>
      <c r="H86" s="3">
        <f>VALUE(MID(LEFT(Table1[[#This Row],[Unique ID]], FIND("/", Table1[[#This Row],[Unique ID]]) - 1), 2, LEN(Table1[[#This Row],[Unique ID]])))</f>
        <v>6</v>
      </c>
      <c r="I86" s="3" t="s">
        <v>36</v>
      </c>
      <c r="J86" s="3" t="s">
        <v>36</v>
      </c>
      <c r="K86" s="3" t="s">
        <v>164</v>
      </c>
      <c r="L86" s="3" t="s">
        <v>164</v>
      </c>
      <c r="M86" s="24">
        <v>350</v>
      </c>
      <c r="N86" s="3" t="s">
        <v>360</v>
      </c>
      <c r="O86" s="41">
        <v>1</v>
      </c>
      <c r="P86" s="3" t="s">
        <v>160</v>
      </c>
      <c r="Q86" s="3">
        <v>2019</v>
      </c>
      <c r="R86" s="3"/>
      <c r="S86" s="3" t="s">
        <v>43</v>
      </c>
      <c r="T86" s="33"/>
      <c r="U86" s="4"/>
      <c r="V86" s="4"/>
      <c r="W86" s="3"/>
      <c r="X86" s="4"/>
      <c r="Y86" s="4"/>
    </row>
    <row r="87" spans="1:25">
      <c r="A87" s="3">
        <v>86</v>
      </c>
      <c r="B87" s="3" t="s">
        <v>113</v>
      </c>
      <c r="C87" s="3" t="s">
        <v>361</v>
      </c>
      <c r="D87" s="3" t="s">
        <v>362</v>
      </c>
      <c r="E87" s="3" t="s">
        <v>363</v>
      </c>
      <c r="F87" s="3" t="s">
        <v>364</v>
      </c>
      <c r="G87" s="3" t="s">
        <v>35</v>
      </c>
      <c r="H87" s="3">
        <f>VALUE(MID(LEFT(Table1[[#This Row],[Unique ID]], FIND("/", Table1[[#This Row],[Unique ID]]) - 1), 2, LEN(Table1[[#This Row],[Unique ID]])))</f>
        <v>6</v>
      </c>
      <c r="I87" s="3" t="s">
        <v>86</v>
      </c>
      <c r="J87" s="3" t="s">
        <v>86</v>
      </c>
      <c r="K87" s="3" t="s">
        <v>164</v>
      </c>
      <c r="L87" s="3" t="s">
        <v>365</v>
      </c>
      <c r="M87" s="24">
        <v>1300</v>
      </c>
      <c r="N87" s="3" t="s">
        <v>366</v>
      </c>
      <c r="O87" s="41"/>
      <c r="P87" s="3" t="s">
        <v>160</v>
      </c>
      <c r="Q87" s="3">
        <v>2019</v>
      </c>
      <c r="R87" s="3"/>
      <c r="S87" s="3" t="s">
        <v>43</v>
      </c>
      <c r="T87" s="33"/>
      <c r="U87" s="4"/>
      <c r="V87" s="4"/>
      <c r="W87" s="3"/>
      <c r="X87" s="4"/>
      <c r="Y87" s="4"/>
    </row>
    <row r="88" spans="1:25">
      <c r="A88" s="3">
        <v>87</v>
      </c>
      <c r="B88" s="3" t="s">
        <v>68</v>
      </c>
      <c r="C88" s="3" t="s">
        <v>367</v>
      </c>
      <c r="D88" s="3" t="s">
        <v>368</v>
      </c>
      <c r="E88" s="3" t="s">
        <v>369</v>
      </c>
      <c r="F88" s="3" t="s">
        <v>370</v>
      </c>
      <c r="G88" s="3" t="s">
        <v>61</v>
      </c>
      <c r="H88" s="3">
        <f>VALUE(MID(LEFT(Table1[[#This Row],[Unique ID]], FIND("/", Table1[[#This Row],[Unique ID]]) - 1), 2, LEN(Table1[[#This Row],[Unique ID]])))</f>
        <v>7</v>
      </c>
      <c r="I88" s="3" t="s">
        <v>37</v>
      </c>
      <c r="J88" s="3" t="s">
        <v>49</v>
      </c>
      <c r="K88" s="3" t="s">
        <v>50</v>
      </c>
      <c r="L88" s="3" t="s">
        <v>371</v>
      </c>
      <c r="M88" s="24">
        <v>25434</v>
      </c>
      <c r="N88" s="3" t="s">
        <v>112</v>
      </c>
      <c r="O88" s="41">
        <v>36</v>
      </c>
      <c r="P88" s="3" t="s">
        <v>53</v>
      </c>
      <c r="Q88" s="3">
        <v>2018</v>
      </c>
      <c r="R88" s="3"/>
      <c r="S88" s="3" t="s">
        <v>43</v>
      </c>
      <c r="T88" s="33"/>
      <c r="U88" s="4"/>
      <c r="V88" s="4"/>
      <c r="W88" s="3"/>
      <c r="X88" s="4"/>
      <c r="Y88" s="4"/>
    </row>
    <row r="89" spans="1:25">
      <c r="A89" s="3">
        <v>88</v>
      </c>
      <c r="B89" s="3" t="s">
        <v>65</v>
      </c>
      <c r="C89" s="3" t="s">
        <v>372</v>
      </c>
      <c r="D89" s="3" t="s">
        <v>373</v>
      </c>
      <c r="E89" s="3"/>
      <c r="F89" s="3" t="s">
        <v>374</v>
      </c>
      <c r="G89" s="3" t="s">
        <v>35</v>
      </c>
      <c r="H89" s="3">
        <f>VALUE(MID(LEFT(Table1[[#This Row],[Unique ID]], FIND("/", Table1[[#This Row],[Unique ID]]) - 1), 2, LEN(Table1[[#This Row],[Unique ID]])))</f>
        <v>5</v>
      </c>
      <c r="I89" s="3" t="s">
        <v>93</v>
      </c>
      <c r="J89" s="3" t="s">
        <v>93</v>
      </c>
      <c r="K89" s="3" t="s">
        <v>38</v>
      </c>
      <c r="L89" s="3" t="s">
        <v>375</v>
      </c>
      <c r="M89" s="24">
        <v>21</v>
      </c>
      <c r="N89" s="3" t="s">
        <v>376</v>
      </c>
      <c r="O89" s="41" t="s">
        <v>377</v>
      </c>
      <c r="P89" s="3" t="s">
        <v>42</v>
      </c>
      <c r="Q89" s="3">
        <v>2017</v>
      </c>
      <c r="R89" s="3"/>
      <c r="S89" s="3" t="s">
        <v>43</v>
      </c>
      <c r="T89" s="33"/>
      <c r="U89" s="4"/>
      <c r="V89" s="4"/>
      <c r="W89" s="3"/>
      <c r="X89" s="4"/>
      <c r="Y89" s="4"/>
    </row>
    <row r="90" spans="1:25">
      <c r="A90" s="3">
        <v>89</v>
      </c>
      <c r="B90" s="3" t="s">
        <v>68</v>
      </c>
      <c r="C90" s="3" t="s">
        <v>372</v>
      </c>
      <c r="D90" s="3" t="s">
        <v>373</v>
      </c>
      <c r="E90" s="3"/>
      <c r="F90" s="3" t="s">
        <v>374</v>
      </c>
      <c r="G90" s="3" t="s">
        <v>35</v>
      </c>
      <c r="H90" s="3">
        <f>VALUE(MID(LEFT(Table1[[#This Row],[Unique ID]], FIND("/", Table1[[#This Row],[Unique ID]]) - 1), 2, LEN(Table1[[#This Row],[Unique ID]])))</f>
        <v>5</v>
      </c>
      <c r="I90" s="3" t="s">
        <v>93</v>
      </c>
      <c r="J90" s="3" t="s">
        <v>93</v>
      </c>
      <c r="K90" s="3" t="s">
        <v>38</v>
      </c>
      <c r="L90" s="3" t="s">
        <v>378</v>
      </c>
      <c r="M90" s="24">
        <v>3000</v>
      </c>
      <c r="N90" s="3" t="s">
        <v>379</v>
      </c>
      <c r="O90" s="41">
        <v>1</v>
      </c>
      <c r="P90" s="3" t="s">
        <v>42</v>
      </c>
      <c r="Q90" s="3">
        <v>2018</v>
      </c>
      <c r="R90" s="3"/>
      <c r="S90" s="3" t="s">
        <v>43</v>
      </c>
      <c r="T90" s="33"/>
      <c r="U90" s="4"/>
      <c r="V90" s="4"/>
      <c r="W90" s="3"/>
      <c r="X90" s="4"/>
      <c r="Y90" s="4"/>
    </row>
    <row r="91" spans="1:25">
      <c r="A91" s="3">
        <v>90</v>
      </c>
      <c r="B91" s="3" t="s">
        <v>44</v>
      </c>
      <c r="C91" s="3" t="s">
        <v>372</v>
      </c>
      <c r="D91" s="3" t="s">
        <v>373</v>
      </c>
      <c r="E91" s="3"/>
      <c r="F91" s="3" t="s">
        <v>374</v>
      </c>
      <c r="G91" s="3" t="s">
        <v>35</v>
      </c>
      <c r="H91" s="3">
        <f>VALUE(MID(LEFT(Table1[[#This Row],[Unique ID]], FIND("/", Table1[[#This Row],[Unique ID]]) - 1), 2, LEN(Table1[[#This Row],[Unique ID]])))</f>
        <v>5</v>
      </c>
      <c r="I91" s="3" t="s">
        <v>93</v>
      </c>
      <c r="J91" s="3" t="s">
        <v>93</v>
      </c>
      <c r="K91" s="3" t="s">
        <v>38</v>
      </c>
      <c r="L91" s="3" t="s">
        <v>380</v>
      </c>
      <c r="M91" s="24">
        <v>2000</v>
      </c>
      <c r="N91" s="3" t="s">
        <v>379</v>
      </c>
      <c r="O91" s="41">
        <v>1</v>
      </c>
      <c r="P91" s="3" t="s">
        <v>42</v>
      </c>
      <c r="Q91" s="3">
        <v>2018</v>
      </c>
      <c r="R91" s="3"/>
      <c r="S91" s="3" t="s">
        <v>43</v>
      </c>
      <c r="T91" s="33"/>
      <c r="U91" s="4"/>
      <c r="V91" s="4"/>
      <c r="W91" s="3"/>
      <c r="X91" s="4"/>
      <c r="Y91" s="4"/>
    </row>
    <row r="92" spans="1:25">
      <c r="A92" s="3">
        <v>91</v>
      </c>
      <c r="B92" s="3" t="s">
        <v>44</v>
      </c>
      <c r="C92" s="3" t="s">
        <v>381</v>
      </c>
      <c r="D92" s="3" t="s">
        <v>382</v>
      </c>
      <c r="E92" s="3" t="s">
        <v>383</v>
      </c>
      <c r="F92" s="3" t="s">
        <v>384</v>
      </c>
      <c r="G92" s="3" t="s">
        <v>61</v>
      </c>
      <c r="H92" s="3">
        <f>VALUE(MID(LEFT(Table1[[#This Row],[Unique ID]], FIND("/", Table1[[#This Row],[Unique ID]]) - 1), 2, LEN(Table1[[#This Row],[Unique ID]])))</f>
        <v>7</v>
      </c>
      <c r="I92" s="3" t="s">
        <v>209</v>
      </c>
      <c r="J92" s="3" t="s">
        <v>49</v>
      </c>
      <c r="K92" s="3" t="s">
        <v>62</v>
      </c>
      <c r="L92" s="3" t="s">
        <v>385</v>
      </c>
      <c r="M92" s="24">
        <v>46080</v>
      </c>
      <c r="N92" s="3" t="s">
        <v>386</v>
      </c>
      <c r="O92" s="41">
        <v>12</v>
      </c>
      <c r="P92" s="3" t="s">
        <v>56</v>
      </c>
      <c r="Q92" s="3">
        <v>2018</v>
      </c>
      <c r="R92" s="3"/>
      <c r="S92" s="3" t="s">
        <v>43</v>
      </c>
      <c r="T92" s="33"/>
      <c r="U92" s="4"/>
      <c r="V92" s="4"/>
      <c r="W92" s="3"/>
      <c r="X92" s="4"/>
      <c r="Y92" s="4"/>
    </row>
    <row r="93" spans="1:25">
      <c r="A93" s="3">
        <v>92</v>
      </c>
      <c r="B93" s="3" t="s">
        <v>113</v>
      </c>
      <c r="C93" s="3" t="s">
        <v>381</v>
      </c>
      <c r="D93" s="3" t="s">
        <v>382</v>
      </c>
      <c r="E93" s="3" t="s">
        <v>383</v>
      </c>
      <c r="F93" s="3" t="s">
        <v>384</v>
      </c>
      <c r="G93" s="3" t="s">
        <v>61</v>
      </c>
      <c r="H93" s="3">
        <f>VALUE(MID(LEFT(Table1[[#This Row],[Unique ID]], FIND("/", Table1[[#This Row],[Unique ID]]) - 1), 2, LEN(Table1[[#This Row],[Unique ID]])))</f>
        <v>7</v>
      </c>
      <c r="I93" s="3" t="s">
        <v>209</v>
      </c>
      <c r="J93" s="3" t="s">
        <v>49</v>
      </c>
      <c r="K93" s="3" t="s">
        <v>62</v>
      </c>
      <c r="L93" s="3" t="s">
        <v>387</v>
      </c>
      <c r="M93" s="24">
        <v>71209.509999999995</v>
      </c>
      <c r="N93" s="3" t="s">
        <v>388</v>
      </c>
      <c r="O93" s="41">
        <v>12</v>
      </c>
      <c r="P93" s="3" t="s">
        <v>56</v>
      </c>
      <c r="Q93" s="3">
        <v>2019</v>
      </c>
      <c r="R93" s="3"/>
      <c r="S93" s="3" t="s">
        <v>43</v>
      </c>
      <c r="T93" s="33"/>
      <c r="U93" s="4"/>
      <c r="V93" s="4"/>
      <c r="W93" s="3"/>
      <c r="X93" s="4"/>
      <c r="Y93" s="4"/>
    </row>
    <row r="94" spans="1:25">
      <c r="A94" s="3">
        <v>93</v>
      </c>
      <c r="B94" s="3" t="s">
        <v>79</v>
      </c>
      <c r="C94" s="3" t="s">
        <v>389</v>
      </c>
      <c r="D94" s="3" t="s">
        <v>390</v>
      </c>
      <c r="E94" s="3" t="s">
        <v>391</v>
      </c>
      <c r="F94" s="3" t="s">
        <v>392</v>
      </c>
      <c r="G94" s="3" t="s">
        <v>61</v>
      </c>
      <c r="H94" s="3">
        <f>VALUE(MID(LEFT(Table1[[#This Row],[Unique ID]], FIND("/", Table1[[#This Row],[Unique ID]]) - 1), 2, LEN(Table1[[#This Row],[Unique ID]])))</f>
        <v>6</v>
      </c>
      <c r="I94" s="3" t="s">
        <v>86</v>
      </c>
      <c r="J94" s="3" t="s">
        <v>86</v>
      </c>
      <c r="K94" s="3" t="s">
        <v>38</v>
      </c>
      <c r="L94" s="3" t="s">
        <v>393</v>
      </c>
      <c r="M94" s="24">
        <v>4150</v>
      </c>
      <c r="N94" s="3" t="s">
        <v>393</v>
      </c>
      <c r="O94" s="41">
        <v>1</v>
      </c>
      <c r="P94" s="3" t="s">
        <v>42</v>
      </c>
      <c r="Q94" s="3">
        <v>2019</v>
      </c>
      <c r="R94" s="3"/>
      <c r="S94" s="3" t="s">
        <v>43</v>
      </c>
      <c r="T94" s="33"/>
      <c r="U94" s="4"/>
      <c r="V94" s="4"/>
      <c r="W94" s="3"/>
      <c r="X94" s="4"/>
      <c r="Y94" s="4"/>
    </row>
    <row r="95" spans="1:25">
      <c r="A95" s="3">
        <v>94</v>
      </c>
      <c r="B95" s="3" t="s">
        <v>30</v>
      </c>
      <c r="C95" s="3" t="s">
        <v>394</v>
      </c>
      <c r="D95" s="3" t="s">
        <v>395</v>
      </c>
      <c r="E95" s="3" t="s">
        <v>396</v>
      </c>
      <c r="F95" s="3" t="s">
        <v>397</v>
      </c>
      <c r="G95" s="3" t="s">
        <v>61</v>
      </c>
      <c r="H95" s="3">
        <f>VALUE(MID(LEFT(Table1[[#This Row],[Unique ID]], FIND("/", Table1[[#This Row],[Unique ID]]) - 1), 2, LEN(Table1[[#This Row],[Unique ID]])))</f>
        <v>7</v>
      </c>
      <c r="I95" s="3" t="s">
        <v>93</v>
      </c>
      <c r="J95" s="3" t="s">
        <v>49</v>
      </c>
      <c r="K95" s="3" t="s">
        <v>62</v>
      </c>
      <c r="L95" s="3" t="s">
        <v>398</v>
      </c>
      <c r="M95" s="24">
        <v>50000</v>
      </c>
      <c r="N95" s="3" t="s">
        <v>399</v>
      </c>
      <c r="O95" s="41" t="s">
        <v>96</v>
      </c>
      <c r="P95" s="3" t="s">
        <v>56</v>
      </c>
      <c r="Q95" s="3">
        <v>2017</v>
      </c>
      <c r="R95" s="3"/>
      <c r="S95" s="3" t="s">
        <v>43</v>
      </c>
      <c r="T95" s="33"/>
      <c r="U95" s="4"/>
      <c r="V95" s="4"/>
      <c r="W95" s="3"/>
      <c r="X95" s="4"/>
      <c r="Y95" s="4"/>
    </row>
    <row r="96" spans="1:25">
      <c r="A96" s="3">
        <v>95</v>
      </c>
      <c r="B96" s="3" t="s">
        <v>65</v>
      </c>
      <c r="C96" s="3" t="s">
        <v>394</v>
      </c>
      <c r="D96" s="3" t="s">
        <v>395</v>
      </c>
      <c r="E96" s="3" t="s">
        <v>396</v>
      </c>
      <c r="F96" s="3" t="s">
        <v>397</v>
      </c>
      <c r="G96" s="3" t="s">
        <v>61</v>
      </c>
      <c r="H96" s="3">
        <f>VALUE(MID(LEFT(Table1[[#This Row],[Unique ID]], FIND("/", Table1[[#This Row],[Unique ID]]) - 1), 2, LEN(Table1[[#This Row],[Unique ID]])))</f>
        <v>7</v>
      </c>
      <c r="I96" s="3" t="s">
        <v>93</v>
      </c>
      <c r="J96" s="3" t="s">
        <v>49</v>
      </c>
      <c r="K96" s="3" t="s">
        <v>62</v>
      </c>
      <c r="L96" s="3" t="s">
        <v>400</v>
      </c>
      <c r="M96" s="24">
        <v>582098</v>
      </c>
      <c r="N96" s="3" t="s">
        <v>401</v>
      </c>
      <c r="O96" s="41" t="s">
        <v>402</v>
      </c>
      <c r="P96" s="3" t="s">
        <v>56</v>
      </c>
      <c r="Q96" s="3">
        <v>2017</v>
      </c>
      <c r="R96" s="3"/>
      <c r="S96" s="3" t="s">
        <v>43</v>
      </c>
      <c r="T96" s="33"/>
      <c r="U96" s="4"/>
      <c r="V96" s="4"/>
      <c r="W96" s="3"/>
      <c r="X96" s="4"/>
      <c r="Y96" s="4"/>
    </row>
    <row r="97" spans="1:25">
      <c r="A97" s="3">
        <v>96</v>
      </c>
      <c r="B97" s="3" t="s">
        <v>68</v>
      </c>
      <c r="C97" s="3" t="s">
        <v>394</v>
      </c>
      <c r="D97" s="3" t="s">
        <v>395</v>
      </c>
      <c r="E97" s="3" t="s">
        <v>396</v>
      </c>
      <c r="F97" s="3" t="s">
        <v>397</v>
      </c>
      <c r="G97" s="3" t="s">
        <v>61</v>
      </c>
      <c r="H97" s="3">
        <f>VALUE(MID(LEFT(Table1[[#This Row],[Unique ID]], FIND("/", Table1[[#This Row],[Unique ID]]) - 1), 2, LEN(Table1[[#This Row],[Unique ID]])))</f>
        <v>7</v>
      </c>
      <c r="I97" s="3" t="s">
        <v>93</v>
      </c>
      <c r="J97" s="3" t="s">
        <v>49</v>
      </c>
      <c r="K97" s="3" t="s">
        <v>164</v>
      </c>
      <c r="L97" s="3" t="s">
        <v>403</v>
      </c>
      <c r="M97" s="24">
        <v>300</v>
      </c>
      <c r="N97" s="3" t="s">
        <v>404</v>
      </c>
      <c r="O97" s="41">
        <v>1</v>
      </c>
      <c r="P97" s="3" t="s">
        <v>42</v>
      </c>
      <c r="Q97" s="3">
        <v>2018</v>
      </c>
      <c r="R97" s="3"/>
      <c r="S97" s="3" t="s">
        <v>43</v>
      </c>
      <c r="T97" s="33"/>
      <c r="U97" s="4"/>
      <c r="V97" s="4"/>
      <c r="W97" s="3"/>
      <c r="X97" s="4"/>
      <c r="Y97" s="4"/>
    </row>
    <row r="98" spans="1:25">
      <c r="A98" s="3">
        <v>97</v>
      </c>
      <c r="B98" s="3" t="s">
        <v>44</v>
      </c>
      <c r="C98" s="3" t="s">
        <v>394</v>
      </c>
      <c r="D98" s="3" t="s">
        <v>395</v>
      </c>
      <c r="E98" s="3" t="s">
        <v>396</v>
      </c>
      <c r="F98" s="3" t="s">
        <v>397</v>
      </c>
      <c r="G98" s="3" t="s">
        <v>61</v>
      </c>
      <c r="H98" s="3">
        <f>VALUE(MID(LEFT(Table1[[#This Row],[Unique ID]], FIND("/", Table1[[#This Row],[Unique ID]]) - 1), 2, LEN(Table1[[#This Row],[Unique ID]])))</f>
        <v>7</v>
      </c>
      <c r="I98" s="3" t="s">
        <v>93</v>
      </c>
      <c r="J98" s="3" t="s">
        <v>49</v>
      </c>
      <c r="K98" s="3" t="s">
        <v>38</v>
      </c>
      <c r="L98" s="3" t="s">
        <v>405</v>
      </c>
      <c r="M98" s="24">
        <v>700</v>
      </c>
      <c r="N98" s="3" t="s">
        <v>406</v>
      </c>
      <c r="O98" s="41">
        <v>1</v>
      </c>
      <c r="P98" s="3" t="s">
        <v>42</v>
      </c>
      <c r="Q98" s="3">
        <v>2018</v>
      </c>
      <c r="R98" s="3"/>
      <c r="S98" s="3" t="s">
        <v>43</v>
      </c>
      <c r="T98" s="33"/>
      <c r="U98" s="4"/>
      <c r="V98" s="4"/>
      <c r="W98" s="3"/>
      <c r="X98" s="4"/>
      <c r="Y98" s="4"/>
    </row>
    <row r="99" spans="1:25">
      <c r="A99" s="3">
        <v>98</v>
      </c>
      <c r="B99" s="3" t="s">
        <v>113</v>
      </c>
      <c r="C99" s="3" t="s">
        <v>394</v>
      </c>
      <c r="D99" s="3" t="s">
        <v>395</v>
      </c>
      <c r="E99" s="3" t="s">
        <v>396</v>
      </c>
      <c r="F99" s="3" t="s">
        <v>397</v>
      </c>
      <c r="G99" s="3" t="s">
        <v>61</v>
      </c>
      <c r="H99" s="3">
        <f>VALUE(MID(LEFT(Table1[[#This Row],[Unique ID]], FIND("/", Table1[[#This Row],[Unique ID]]) - 1), 2, LEN(Table1[[#This Row],[Unique ID]])))</f>
        <v>7</v>
      </c>
      <c r="I99" s="3" t="s">
        <v>93</v>
      </c>
      <c r="J99" s="3" t="s">
        <v>49</v>
      </c>
      <c r="K99" s="3" t="s">
        <v>164</v>
      </c>
      <c r="L99" s="3" t="s">
        <v>407</v>
      </c>
      <c r="M99" s="24">
        <v>700</v>
      </c>
      <c r="N99" s="3" t="s">
        <v>408</v>
      </c>
      <c r="O99" s="41">
        <v>1</v>
      </c>
      <c r="P99" s="3" t="s">
        <v>160</v>
      </c>
      <c r="Q99" s="3">
        <v>2019</v>
      </c>
      <c r="R99" s="3"/>
      <c r="S99" s="3" t="s">
        <v>43</v>
      </c>
      <c r="T99" s="33"/>
      <c r="U99" s="4"/>
      <c r="V99" s="4"/>
      <c r="W99" s="3"/>
      <c r="X99" s="4"/>
      <c r="Y99" s="4"/>
    </row>
    <row r="100" spans="1:25">
      <c r="A100" s="3">
        <v>99</v>
      </c>
      <c r="B100" s="3" t="s">
        <v>44</v>
      </c>
      <c r="C100" s="3" t="s">
        <v>409</v>
      </c>
      <c r="D100" s="3" t="s">
        <v>410</v>
      </c>
      <c r="E100" s="3" t="s">
        <v>411</v>
      </c>
      <c r="F100" s="3" t="s">
        <v>412</v>
      </c>
      <c r="G100" s="3" t="s">
        <v>35</v>
      </c>
      <c r="H100" s="3">
        <f>VALUE(MID(LEFT(Table1[[#This Row],[Unique ID]], FIND("/", Table1[[#This Row],[Unique ID]]) - 1), 2, LEN(Table1[[#This Row],[Unique ID]])))</f>
        <v>4</v>
      </c>
      <c r="I100" s="3" t="s">
        <v>81</v>
      </c>
      <c r="J100" s="3" t="s">
        <v>49</v>
      </c>
      <c r="K100" s="3" t="s">
        <v>62</v>
      </c>
      <c r="L100" s="3" t="s">
        <v>413</v>
      </c>
      <c r="M100" s="24">
        <v>375000</v>
      </c>
      <c r="N100" s="3" t="s">
        <v>211</v>
      </c>
      <c r="O100" s="41">
        <v>20</v>
      </c>
      <c r="P100" s="3" t="s">
        <v>56</v>
      </c>
      <c r="Q100" s="3">
        <v>2018</v>
      </c>
      <c r="R100" s="3"/>
      <c r="S100" s="3" t="s">
        <v>43</v>
      </c>
      <c r="T100" s="33"/>
      <c r="U100" s="4"/>
      <c r="V100" s="4"/>
      <c r="W100" s="3"/>
      <c r="X100" s="4"/>
      <c r="Y100" s="4"/>
    </row>
    <row r="101" spans="1:25">
      <c r="A101" s="3">
        <v>100</v>
      </c>
      <c r="B101" s="3" t="s">
        <v>68</v>
      </c>
      <c r="C101" s="3" t="s">
        <v>414</v>
      </c>
      <c r="D101" s="3" t="s">
        <v>415</v>
      </c>
      <c r="E101" s="3" t="s">
        <v>74</v>
      </c>
      <c r="F101" s="3" t="s">
        <v>416</v>
      </c>
      <c r="G101" s="3" t="s">
        <v>61</v>
      </c>
      <c r="H101" s="3">
        <f>VALUE(MID(LEFT(Table1[[#This Row],[Unique ID]], FIND("/", Table1[[#This Row],[Unique ID]]) - 1), 2, LEN(Table1[[#This Row],[Unique ID]])))</f>
        <v>7</v>
      </c>
      <c r="I101" s="3" t="s">
        <v>110</v>
      </c>
      <c r="J101" s="3" t="s">
        <v>49</v>
      </c>
      <c r="K101" s="3" t="s">
        <v>62</v>
      </c>
      <c r="L101" s="3" t="s">
        <v>417</v>
      </c>
      <c r="M101" s="24">
        <v>3000</v>
      </c>
      <c r="N101" s="3" t="s">
        <v>418</v>
      </c>
      <c r="O101" s="41">
        <v>2</v>
      </c>
      <c r="P101" s="3" t="s">
        <v>56</v>
      </c>
      <c r="Q101" s="3">
        <v>2018</v>
      </c>
      <c r="R101" s="3"/>
      <c r="S101" s="3" t="s">
        <v>43</v>
      </c>
      <c r="T101" s="33"/>
      <c r="U101" s="4"/>
      <c r="V101" s="4"/>
      <c r="W101" s="3"/>
      <c r="X101" s="4"/>
      <c r="Y101" s="4"/>
    </row>
    <row r="102" spans="1:25">
      <c r="A102" s="3">
        <v>101</v>
      </c>
      <c r="B102" s="3" t="s">
        <v>65</v>
      </c>
      <c r="C102" s="3" t="s">
        <v>419</v>
      </c>
      <c r="D102" s="3" t="s">
        <v>420</v>
      </c>
      <c r="E102" s="3" t="s">
        <v>421</v>
      </c>
      <c r="F102" s="3" t="s">
        <v>422</v>
      </c>
      <c r="G102" s="3" t="s">
        <v>61</v>
      </c>
      <c r="H102" s="3">
        <f>VALUE(MID(LEFT(Table1[[#This Row],[Unique ID]], FIND("/", Table1[[#This Row],[Unique ID]]) - 1), 2, LEN(Table1[[#This Row],[Unique ID]])))</f>
        <v>6</v>
      </c>
      <c r="I102" s="3" t="s">
        <v>49</v>
      </c>
      <c r="J102" s="3" t="s">
        <v>49</v>
      </c>
      <c r="K102" s="3" t="s">
        <v>38</v>
      </c>
      <c r="L102" s="3" t="s">
        <v>423</v>
      </c>
      <c r="M102" s="24">
        <v>800</v>
      </c>
      <c r="N102" s="3" t="s">
        <v>424</v>
      </c>
      <c r="O102" s="41" t="s">
        <v>425</v>
      </c>
      <c r="P102" s="3" t="s">
        <v>42</v>
      </c>
      <c r="Q102" s="3">
        <v>2017</v>
      </c>
      <c r="R102" s="3"/>
      <c r="S102" s="3" t="s">
        <v>43</v>
      </c>
      <c r="T102" s="33"/>
      <c r="U102" s="4"/>
      <c r="V102" s="4"/>
      <c r="W102" s="3"/>
      <c r="X102" s="4"/>
      <c r="Y102" s="4"/>
    </row>
    <row r="103" spans="1:25">
      <c r="A103" s="3">
        <v>102</v>
      </c>
      <c r="B103" s="3" t="s">
        <v>65</v>
      </c>
      <c r="C103" s="3" t="s">
        <v>426</v>
      </c>
      <c r="D103" s="3" t="s">
        <v>427</v>
      </c>
      <c r="E103" s="3" t="s">
        <v>428</v>
      </c>
      <c r="F103" s="3" t="s">
        <v>429</v>
      </c>
      <c r="G103" s="3" t="s">
        <v>61</v>
      </c>
      <c r="H103" s="3">
        <f>VALUE(MID(LEFT(Table1[[#This Row],[Unique ID]], FIND("/", Table1[[#This Row],[Unique ID]]) - 1), 2, LEN(Table1[[#This Row],[Unique ID]])))</f>
        <v>4</v>
      </c>
      <c r="I103" s="3" t="s">
        <v>37</v>
      </c>
      <c r="J103" s="3" t="s">
        <v>37</v>
      </c>
      <c r="K103" s="3" t="s">
        <v>50</v>
      </c>
      <c r="L103" s="3" t="s">
        <v>430</v>
      </c>
      <c r="M103" s="24">
        <v>3500</v>
      </c>
      <c r="N103" s="3" t="s">
        <v>431</v>
      </c>
      <c r="O103" s="41" t="s">
        <v>96</v>
      </c>
      <c r="P103" s="3" t="s">
        <v>56</v>
      </c>
      <c r="Q103" s="3">
        <v>2017</v>
      </c>
      <c r="R103" s="3"/>
      <c r="S103" s="3" t="s">
        <v>43</v>
      </c>
      <c r="T103" s="33"/>
      <c r="U103" s="4"/>
      <c r="V103" s="4"/>
      <c r="W103" s="3"/>
      <c r="X103" s="4"/>
      <c r="Y103" s="4"/>
    </row>
    <row r="104" spans="1:25">
      <c r="A104" s="3">
        <v>103</v>
      </c>
      <c r="B104" s="3" t="s">
        <v>30</v>
      </c>
      <c r="C104" s="3" t="s">
        <v>432</v>
      </c>
      <c r="D104" s="3" t="s">
        <v>433</v>
      </c>
      <c r="E104" s="3" t="s">
        <v>434</v>
      </c>
      <c r="F104" s="3" t="s">
        <v>435</v>
      </c>
      <c r="G104" s="3" t="s">
        <v>35</v>
      </c>
      <c r="H104" s="3">
        <f>VALUE(MID(LEFT(Table1[[#This Row],[Unique ID]], FIND("/", Table1[[#This Row],[Unique ID]]) - 1), 2, LEN(Table1[[#This Row],[Unique ID]])))</f>
        <v>7</v>
      </c>
      <c r="I104" s="3" t="s">
        <v>86</v>
      </c>
      <c r="J104" s="3" t="s">
        <v>86</v>
      </c>
      <c r="K104" s="3" t="s">
        <v>50</v>
      </c>
      <c r="L104" s="3" t="s">
        <v>436</v>
      </c>
      <c r="M104" s="24"/>
      <c r="N104" s="3" t="s">
        <v>437</v>
      </c>
      <c r="O104" s="41" t="s">
        <v>438</v>
      </c>
      <c r="P104" s="3" t="s">
        <v>56</v>
      </c>
      <c r="Q104" s="3">
        <v>2017</v>
      </c>
      <c r="R104" s="3"/>
      <c r="S104" s="3" t="s">
        <v>43</v>
      </c>
      <c r="T104" s="33"/>
      <c r="U104" s="4"/>
      <c r="V104" s="4"/>
      <c r="W104" s="3"/>
      <c r="X104" s="4"/>
      <c r="Y104" s="4"/>
    </row>
    <row r="105" spans="1:25">
      <c r="A105" s="3">
        <v>104</v>
      </c>
      <c r="B105" s="3" t="s">
        <v>65</v>
      </c>
      <c r="C105" s="3" t="s">
        <v>432</v>
      </c>
      <c r="D105" s="3" t="s">
        <v>433</v>
      </c>
      <c r="E105" s="3" t="s">
        <v>434</v>
      </c>
      <c r="F105" s="3" t="s">
        <v>435</v>
      </c>
      <c r="G105" s="3" t="s">
        <v>35</v>
      </c>
      <c r="H105" s="3">
        <f>VALUE(MID(LEFT(Table1[[#This Row],[Unique ID]], FIND("/", Table1[[#This Row],[Unique ID]]) - 1), 2, LEN(Table1[[#This Row],[Unique ID]])))</f>
        <v>7</v>
      </c>
      <c r="I105" s="3" t="s">
        <v>86</v>
      </c>
      <c r="J105" s="3" t="s">
        <v>86</v>
      </c>
      <c r="K105" s="3" t="s">
        <v>50</v>
      </c>
      <c r="L105" s="3" t="s">
        <v>439</v>
      </c>
      <c r="M105" s="24">
        <v>2000</v>
      </c>
      <c r="N105" s="3" t="s">
        <v>440</v>
      </c>
      <c r="O105" s="41" t="s">
        <v>441</v>
      </c>
      <c r="P105" s="3" t="s">
        <v>56</v>
      </c>
      <c r="Q105" s="3">
        <v>2017</v>
      </c>
      <c r="R105" s="3"/>
      <c r="S105" s="3" t="s">
        <v>43</v>
      </c>
      <c r="T105" s="33"/>
      <c r="U105" s="4"/>
      <c r="V105" s="4"/>
      <c r="W105" s="3"/>
      <c r="X105" s="4"/>
      <c r="Y105" s="4"/>
    </row>
    <row r="106" spans="1:25">
      <c r="A106" s="3">
        <v>105</v>
      </c>
      <c r="B106" s="3" t="s">
        <v>65</v>
      </c>
      <c r="C106" s="3" t="s">
        <v>442</v>
      </c>
      <c r="D106" s="3" t="s">
        <v>443</v>
      </c>
      <c r="E106" s="3" t="s">
        <v>434</v>
      </c>
      <c r="F106" s="3" t="s">
        <v>444</v>
      </c>
      <c r="G106" s="3" t="s">
        <v>35</v>
      </c>
      <c r="H106" s="3">
        <f>VALUE(MID(LEFT(Table1[[#This Row],[Unique ID]], FIND("/", Table1[[#This Row],[Unique ID]]) - 1), 2, LEN(Table1[[#This Row],[Unique ID]])))</f>
        <v>5</v>
      </c>
      <c r="I106" s="3" t="s">
        <v>36</v>
      </c>
      <c r="J106" s="3" t="s">
        <v>36</v>
      </c>
      <c r="K106" s="3" t="s">
        <v>38</v>
      </c>
      <c r="L106" s="3" t="s">
        <v>445</v>
      </c>
      <c r="M106" s="24"/>
      <c r="N106" s="3" t="s">
        <v>446</v>
      </c>
      <c r="O106" s="41" t="s">
        <v>447</v>
      </c>
      <c r="P106" s="3" t="s">
        <v>42</v>
      </c>
      <c r="Q106" s="3">
        <v>2017</v>
      </c>
      <c r="R106" s="3"/>
      <c r="S106" s="3" t="s">
        <v>43</v>
      </c>
      <c r="T106" s="33"/>
      <c r="U106" s="4"/>
      <c r="V106" s="4"/>
      <c r="W106" s="3"/>
      <c r="X106" s="4"/>
      <c r="Y106" s="4"/>
    </row>
    <row r="107" spans="1:25">
      <c r="A107" s="3">
        <v>106</v>
      </c>
      <c r="B107" s="3" t="s">
        <v>113</v>
      </c>
      <c r="C107" s="3" t="s">
        <v>442</v>
      </c>
      <c r="D107" s="3" t="s">
        <v>443</v>
      </c>
      <c r="E107" s="3" t="s">
        <v>434</v>
      </c>
      <c r="F107" s="3" t="s">
        <v>444</v>
      </c>
      <c r="G107" s="3" t="s">
        <v>35</v>
      </c>
      <c r="H107" s="3">
        <f>VALUE(MID(LEFT(Table1[[#This Row],[Unique ID]], FIND("/", Table1[[#This Row],[Unique ID]]) - 1), 2, LEN(Table1[[#This Row],[Unique ID]])))</f>
        <v>5</v>
      </c>
      <c r="I107" s="3" t="s">
        <v>36</v>
      </c>
      <c r="J107" s="3" t="s">
        <v>36</v>
      </c>
      <c r="K107" s="3" t="s">
        <v>164</v>
      </c>
      <c r="L107" s="3" t="s">
        <v>448</v>
      </c>
      <c r="M107" s="24">
        <v>1669.62</v>
      </c>
      <c r="N107" s="3" t="s">
        <v>449</v>
      </c>
      <c r="O107" s="41"/>
      <c r="P107" s="3" t="s">
        <v>160</v>
      </c>
      <c r="Q107" s="3">
        <v>2019</v>
      </c>
      <c r="R107" s="3"/>
      <c r="S107" s="3" t="s">
        <v>43</v>
      </c>
      <c r="T107" s="33"/>
      <c r="U107" s="4"/>
      <c r="V107" s="4"/>
      <c r="W107" s="3"/>
      <c r="X107" s="4"/>
      <c r="Y107" s="4"/>
    </row>
    <row r="108" spans="1:25">
      <c r="A108" s="3">
        <v>107</v>
      </c>
      <c r="B108" s="3" t="s">
        <v>30</v>
      </c>
      <c r="C108" s="3" t="s">
        <v>450</v>
      </c>
      <c r="D108" s="3" t="s">
        <v>451</v>
      </c>
      <c r="E108" s="3" t="s">
        <v>452</v>
      </c>
      <c r="F108" s="3" t="s">
        <v>453</v>
      </c>
      <c r="G108" s="3" t="s">
        <v>61</v>
      </c>
      <c r="H108" s="3">
        <f>VALUE(MID(LEFT(Table1[[#This Row],[Unique ID]], FIND("/", Table1[[#This Row],[Unique ID]]) - 1), 2, LEN(Table1[[#This Row],[Unique ID]])))</f>
        <v>7</v>
      </c>
      <c r="I108" s="3" t="s">
        <v>36</v>
      </c>
      <c r="J108" s="3" t="s">
        <v>36</v>
      </c>
      <c r="K108" s="3" t="s">
        <v>50</v>
      </c>
      <c r="L108" s="3" t="s">
        <v>454</v>
      </c>
      <c r="M108" s="24" t="s">
        <v>455</v>
      </c>
      <c r="N108" s="3" t="s">
        <v>456</v>
      </c>
      <c r="O108" s="41" t="s">
        <v>96</v>
      </c>
      <c r="P108" s="3" t="s">
        <v>53</v>
      </c>
      <c r="Q108" s="3">
        <v>2017</v>
      </c>
      <c r="R108" s="3"/>
      <c r="S108" s="3" t="s">
        <v>43</v>
      </c>
      <c r="T108" s="33"/>
      <c r="U108" s="4"/>
      <c r="V108" s="4"/>
      <c r="W108" s="3"/>
      <c r="X108" s="4"/>
      <c r="Y108" s="4"/>
    </row>
    <row r="109" spans="1:25">
      <c r="A109" s="3">
        <v>108</v>
      </c>
      <c r="B109" s="3" t="s">
        <v>65</v>
      </c>
      <c r="C109" s="3" t="s">
        <v>457</v>
      </c>
      <c r="D109" s="3" t="s">
        <v>458</v>
      </c>
      <c r="E109" s="3" t="s">
        <v>459</v>
      </c>
      <c r="F109" s="3" t="s">
        <v>460</v>
      </c>
      <c r="G109" s="3" t="s">
        <v>35</v>
      </c>
      <c r="H109" s="3">
        <f>VALUE(MID(LEFT(Table1[[#This Row],[Unique ID]], FIND("/", Table1[[#This Row],[Unique ID]]) - 1), 2, LEN(Table1[[#This Row],[Unique ID]])))</f>
        <v>7</v>
      </c>
      <c r="I109" s="3" t="s">
        <v>86</v>
      </c>
      <c r="J109" s="3" t="s">
        <v>86</v>
      </c>
      <c r="K109" s="3" t="s">
        <v>178</v>
      </c>
      <c r="L109" s="3" t="s">
        <v>461</v>
      </c>
      <c r="M109" s="24"/>
      <c r="N109" s="3" t="s">
        <v>462</v>
      </c>
      <c r="O109" s="41"/>
      <c r="P109" s="3" t="s">
        <v>42</v>
      </c>
      <c r="Q109" s="3">
        <v>2017</v>
      </c>
      <c r="R109" s="3"/>
      <c r="S109" s="3" t="s">
        <v>43</v>
      </c>
      <c r="T109" s="33"/>
      <c r="U109" s="4"/>
      <c r="V109" s="4"/>
      <c r="W109" s="3"/>
      <c r="X109" s="4"/>
      <c r="Y109" s="4"/>
    </row>
    <row r="110" spans="1:25">
      <c r="A110" s="3">
        <v>109</v>
      </c>
      <c r="B110" s="3" t="s">
        <v>30</v>
      </c>
      <c r="C110" s="3" t="s">
        <v>463</v>
      </c>
      <c r="D110" s="3" t="s">
        <v>464</v>
      </c>
      <c r="E110" s="3" t="s">
        <v>465</v>
      </c>
      <c r="F110" s="3" t="s">
        <v>466</v>
      </c>
      <c r="G110" s="3" t="s">
        <v>61</v>
      </c>
      <c r="H110" s="3">
        <f>VALUE(MID(LEFT(Table1[[#This Row],[Unique ID]], FIND("/", Table1[[#This Row],[Unique ID]]) - 1), 2, LEN(Table1[[#This Row],[Unique ID]])))</f>
        <v>6</v>
      </c>
      <c r="I110" s="3" t="s">
        <v>86</v>
      </c>
      <c r="J110" s="3" t="s">
        <v>86</v>
      </c>
      <c r="K110" s="3" t="s">
        <v>62</v>
      </c>
      <c r="L110" s="3" t="s">
        <v>467</v>
      </c>
      <c r="M110" s="24">
        <v>1500</v>
      </c>
      <c r="N110" s="3" t="s">
        <v>468</v>
      </c>
      <c r="O110" s="41" t="s">
        <v>96</v>
      </c>
      <c r="P110" s="3" t="s">
        <v>56</v>
      </c>
      <c r="Q110" s="3">
        <v>2017</v>
      </c>
      <c r="R110" s="3"/>
      <c r="S110" s="3" t="s">
        <v>43</v>
      </c>
      <c r="T110" s="33"/>
      <c r="U110" s="4"/>
      <c r="V110" s="4"/>
      <c r="W110" s="3"/>
      <c r="X110" s="4"/>
      <c r="Y110" s="4"/>
    </row>
    <row r="111" spans="1:25">
      <c r="A111" s="3">
        <v>110</v>
      </c>
      <c r="B111" s="3" t="s">
        <v>65</v>
      </c>
      <c r="C111" s="3" t="s">
        <v>469</v>
      </c>
      <c r="D111" s="3" t="s">
        <v>470</v>
      </c>
      <c r="E111" s="3" t="s">
        <v>471</v>
      </c>
      <c r="F111" s="3" t="s">
        <v>472</v>
      </c>
      <c r="G111" s="3" t="s">
        <v>61</v>
      </c>
      <c r="H111" s="3">
        <f>VALUE(MID(LEFT(Table1[[#This Row],[Unique ID]], FIND("/", Table1[[#This Row],[Unique ID]]) - 1), 2, LEN(Table1[[#This Row],[Unique ID]])))</f>
        <v>7</v>
      </c>
      <c r="I111" s="3" t="s">
        <v>36</v>
      </c>
      <c r="J111" s="3" t="s">
        <v>36</v>
      </c>
      <c r="K111" s="3" t="s">
        <v>62</v>
      </c>
      <c r="L111" s="3" t="s">
        <v>473</v>
      </c>
      <c r="M111" s="24">
        <v>3680000</v>
      </c>
      <c r="N111" s="3" t="s">
        <v>474</v>
      </c>
      <c r="O111" s="41" t="s">
        <v>212</v>
      </c>
      <c r="P111" s="3" t="s">
        <v>56</v>
      </c>
      <c r="Q111" s="3">
        <v>2017</v>
      </c>
      <c r="R111" s="3"/>
      <c r="S111" s="3" t="s">
        <v>43</v>
      </c>
      <c r="T111" s="33"/>
      <c r="U111" s="4"/>
      <c r="V111" s="4"/>
      <c r="W111" s="3"/>
      <c r="X111" s="4"/>
      <c r="Y111" s="4"/>
    </row>
    <row r="112" spans="1:25">
      <c r="A112" s="3">
        <v>111</v>
      </c>
      <c r="B112" s="3" t="s">
        <v>44</v>
      </c>
      <c r="C112" s="3" t="s">
        <v>469</v>
      </c>
      <c r="D112" s="3" t="s">
        <v>470</v>
      </c>
      <c r="E112" s="3" t="s">
        <v>471</v>
      </c>
      <c r="F112" s="3" t="s">
        <v>472</v>
      </c>
      <c r="G112" s="3" t="s">
        <v>61</v>
      </c>
      <c r="H112" s="3">
        <f>VALUE(MID(LEFT(Table1[[#This Row],[Unique ID]], FIND("/", Table1[[#This Row],[Unique ID]]) - 1), 2, LEN(Table1[[#This Row],[Unique ID]])))</f>
        <v>7</v>
      </c>
      <c r="I112" s="3" t="s">
        <v>36</v>
      </c>
      <c r="J112" s="3" t="s">
        <v>36</v>
      </c>
      <c r="K112" s="3" t="s">
        <v>164</v>
      </c>
      <c r="L112" s="3" t="s">
        <v>475</v>
      </c>
      <c r="M112" s="24"/>
      <c r="N112" s="3" t="s">
        <v>476</v>
      </c>
      <c r="O112" s="41"/>
      <c r="P112" s="3" t="s">
        <v>160</v>
      </c>
      <c r="Q112" s="3">
        <v>2018</v>
      </c>
      <c r="R112" s="3"/>
      <c r="S112" s="3" t="s">
        <v>43</v>
      </c>
      <c r="T112" s="33"/>
      <c r="U112" s="4"/>
      <c r="V112" s="4"/>
      <c r="W112" s="3"/>
      <c r="X112" s="4"/>
      <c r="Y112" s="4"/>
    </row>
    <row r="113" spans="1:25">
      <c r="A113" s="3">
        <v>112</v>
      </c>
      <c r="B113" s="3" t="s">
        <v>30</v>
      </c>
      <c r="C113" s="3" t="s">
        <v>477</v>
      </c>
      <c r="D113" s="3" t="s">
        <v>478</v>
      </c>
      <c r="E113" s="3" t="s">
        <v>479</v>
      </c>
      <c r="F113" s="3" t="s">
        <v>480</v>
      </c>
      <c r="G113" s="3" t="s">
        <v>61</v>
      </c>
      <c r="H113" s="3">
        <f>VALUE(MID(LEFT(Table1[[#This Row],[Unique ID]], FIND("/", Table1[[#This Row],[Unique ID]]) - 1), 2, LEN(Table1[[#This Row],[Unique ID]])))</f>
        <v>6</v>
      </c>
      <c r="I113" s="3" t="s">
        <v>37</v>
      </c>
      <c r="J113" s="3" t="s">
        <v>37</v>
      </c>
      <c r="K113" s="3" t="s">
        <v>50</v>
      </c>
      <c r="L113" s="3" t="s">
        <v>481</v>
      </c>
      <c r="M113" s="24">
        <v>10000</v>
      </c>
      <c r="N113" s="3" t="s">
        <v>482</v>
      </c>
      <c r="O113" s="41" t="s">
        <v>483</v>
      </c>
      <c r="P113" s="3" t="s">
        <v>56</v>
      </c>
      <c r="Q113" s="3">
        <v>2017</v>
      </c>
      <c r="R113" s="3"/>
      <c r="S113" s="3" t="s">
        <v>43</v>
      </c>
      <c r="T113" s="33"/>
      <c r="U113" s="4"/>
      <c r="V113" s="4"/>
      <c r="W113" s="3"/>
      <c r="X113" s="4"/>
      <c r="Y113" s="4"/>
    </row>
    <row r="114" spans="1:25">
      <c r="A114" s="3">
        <v>113</v>
      </c>
      <c r="B114" s="3" t="s">
        <v>30</v>
      </c>
      <c r="C114" s="3" t="s">
        <v>477</v>
      </c>
      <c r="D114" s="3" t="s">
        <v>478</v>
      </c>
      <c r="E114" s="3" t="s">
        <v>479</v>
      </c>
      <c r="F114" s="3" t="s">
        <v>480</v>
      </c>
      <c r="G114" s="3" t="s">
        <v>61</v>
      </c>
      <c r="H114" s="3">
        <f>VALUE(MID(LEFT(Table1[[#This Row],[Unique ID]], FIND("/", Table1[[#This Row],[Unique ID]]) - 1), 2, LEN(Table1[[#This Row],[Unique ID]])))</f>
        <v>6</v>
      </c>
      <c r="I114" s="3" t="s">
        <v>37</v>
      </c>
      <c r="J114" s="3" t="s">
        <v>37</v>
      </c>
      <c r="K114" s="3" t="s">
        <v>50</v>
      </c>
      <c r="L114" s="3" t="s">
        <v>484</v>
      </c>
      <c r="M114" s="24">
        <v>4000</v>
      </c>
      <c r="N114" s="3" t="s">
        <v>112</v>
      </c>
      <c r="O114" s="41" t="s">
        <v>485</v>
      </c>
      <c r="P114" s="3" t="s">
        <v>53</v>
      </c>
      <c r="Q114" s="3">
        <v>2017</v>
      </c>
      <c r="R114" s="3"/>
      <c r="S114" s="3" t="s">
        <v>43</v>
      </c>
      <c r="T114" s="33"/>
      <c r="U114" s="4"/>
      <c r="V114" s="4"/>
      <c r="W114" s="3"/>
      <c r="X114" s="4"/>
      <c r="Y114" s="4"/>
    </row>
    <row r="115" spans="1:25">
      <c r="A115" s="3">
        <v>114</v>
      </c>
      <c r="B115" s="3" t="s">
        <v>65</v>
      </c>
      <c r="C115" s="3" t="s">
        <v>477</v>
      </c>
      <c r="D115" s="3" t="s">
        <v>478</v>
      </c>
      <c r="E115" s="3" t="s">
        <v>479</v>
      </c>
      <c r="F115" s="3" t="s">
        <v>480</v>
      </c>
      <c r="G115" s="3" t="s">
        <v>61</v>
      </c>
      <c r="H115" s="3">
        <f>VALUE(MID(LEFT(Table1[[#This Row],[Unique ID]], FIND("/", Table1[[#This Row],[Unique ID]]) - 1), 2, LEN(Table1[[#This Row],[Unique ID]])))</f>
        <v>6</v>
      </c>
      <c r="I115" s="3" t="s">
        <v>37</v>
      </c>
      <c r="J115" s="3" t="s">
        <v>37</v>
      </c>
      <c r="K115" s="3" t="s">
        <v>50</v>
      </c>
      <c r="L115" s="3" t="s">
        <v>486</v>
      </c>
      <c r="M115" s="24"/>
      <c r="N115" s="3" t="s">
        <v>112</v>
      </c>
      <c r="O115" s="41" t="s">
        <v>487</v>
      </c>
      <c r="P115" s="3" t="s">
        <v>53</v>
      </c>
      <c r="Q115" s="3">
        <v>2017</v>
      </c>
      <c r="R115" s="3"/>
      <c r="S115" s="3" t="s">
        <v>43</v>
      </c>
      <c r="T115" s="33"/>
      <c r="U115" s="4"/>
      <c r="V115" s="4"/>
      <c r="W115" s="3"/>
      <c r="X115" s="4"/>
      <c r="Y115" s="4"/>
    </row>
    <row r="116" spans="1:25">
      <c r="A116" s="3">
        <v>115</v>
      </c>
      <c r="B116" s="3" t="s">
        <v>68</v>
      </c>
      <c r="C116" s="3" t="s">
        <v>477</v>
      </c>
      <c r="D116" s="3" t="s">
        <v>478</v>
      </c>
      <c r="E116" s="3" t="s">
        <v>479</v>
      </c>
      <c r="F116" s="3" t="s">
        <v>480</v>
      </c>
      <c r="G116" s="3" t="s">
        <v>61</v>
      </c>
      <c r="H116" s="3">
        <f>VALUE(MID(LEFT(Table1[[#This Row],[Unique ID]], FIND("/", Table1[[#This Row],[Unique ID]]) - 1), 2, LEN(Table1[[#This Row],[Unique ID]])))</f>
        <v>6</v>
      </c>
      <c r="I116" s="3" t="s">
        <v>37</v>
      </c>
      <c r="J116" s="3" t="s">
        <v>37</v>
      </c>
      <c r="K116" s="3" t="s">
        <v>164</v>
      </c>
      <c r="L116" s="3" t="s">
        <v>488</v>
      </c>
      <c r="M116" s="24">
        <v>3000</v>
      </c>
      <c r="N116" s="3" t="s">
        <v>112</v>
      </c>
      <c r="O116" s="41">
        <v>2</v>
      </c>
      <c r="P116" s="3" t="s">
        <v>160</v>
      </c>
      <c r="Q116" s="3">
        <v>2018</v>
      </c>
      <c r="R116" s="3"/>
      <c r="S116" s="3" t="s">
        <v>43</v>
      </c>
      <c r="T116" s="33"/>
      <c r="U116" s="4"/>
      <c r="V116" s="4"/>
      <c r="W116" s="3"/>
      <c r="X116" s="4"/>
      <c r="Y116" s="4"/>
    </row>
    <row r="117" spans="1:25">
      <c r="A117" s="3">
        <v>116</v>
      </c>
      <c r="B117" s="3" t="s">
        <v>65</v>
      </c>
      <c r="C117" s="3" t="s">
        <v>489</v>
      </c>
      <c r="D117" s="3" t="s">
        <v>490</v>
      </c>
      <c r="E117" s="3" t="s">
        <v>491</v>
      </c>
      <c r="F117" s="3" t="s">
        <v>492</v>
      </c>
      <c r="G117" s="3" t="s">
        <v>61</v>
      </c>
      <c r="H117" s="3">
        <f>VALUE(MID(LEFT(Table1[[#This Row],[Unique ID]], FIND("/", Table1[[#This Row],[Unique ID]]) - 1), 2, LEN(Table1[[#This Row],[Unique ID]])))</f>
        <v>6</v>
      </c>
      <c r="I117" s="3" t="s">
        <v>49</v>
      </c>
      <c r="J117" s="3" t="s">
        <v>49</v>
      </c>
      <c r="K117" s="3" t="s">
        <v>50</v>
      </c>
      <c r="L117" s="3" t="s">
        <v>493</v>
      </c>
      <c r="M117" s="24">
        <v>385</v>
      </c>
      <c r="N117" s="3" t="s">
        <v>494</v>
      </c>
      <c r="O117" s="41" t="s">
        <v>495</v>
      </c>
      <c r="P117" s="3" t="s">
        <v>56</v>
      </c>
      <c r="Q117" s="3">
        <v>2017</v>
      </c>
      <c r="R117" s="3"/>
      <c r="S117" s="3" t="s">
        <v>43</v>
      </c>
      <c r="T117" s="33"/>
      <c r="U117" s="4"/>
      <c r="V117" s="4"/>
      <c r="W117" s="3"/>
      <c r="X117" s="4"/>
      <c r="Y117" s="4"/>
    </row>
    <row r="118" spans="1:25">
      <c r="A118" s="3">
        <v>117</v>
      </c>
      <c r="B118" s="3" t="s">
        <v>68</v>
      </c>
      <c r="C118" s="3" t="s">
        <v>489</v>
      </c>
      <c r="D118" s="3" t="s">
        <v>490</v>
      </c>
      <c r="E118" s="3" t="s">
        <v>491</v>
      </c>
      <c r="F118" s="3" t="s">
        <v>492</v>
      </c>
      <c r="G118" s="3" t="s">
        <v>61</v>
      </c>
      <c r="H118" s="3">
        <f>VALUE(MID(LEFT(Table1[[#This Row],[Unique ID]], FIND("/", Table1[[#This Row],[Unique ID]]) - 1), 2, LEN(Table1[[#This Row],[Unique ID]])))</f>
        <v>6</v>
      </c>
      <c r="I118" s="3" t="s">
        <v>49</v>
      </c>
      <c r="J118" s="3" t="s">
        <v>49</v>
      </c>
      <c r="K118" s="3" t="s">
        <v>50</v>
      </c>
      <c r="L118" s="3" t="s">
        <v>496</v>
      </c>
      <c r="M118" s="24">
        <v>5000</v>
      </c>
      <c r="N118" s="3" t="s">
        <v>497</v>
      </c>
      <c r="O118" s="41">
        <v>12</v>
      </c>
      <c r="P118" s="3" t="s">
        <v>56</v>
      </c>
      <c r="Q118" s="3">
        <v>2018</v>
      </c>
      <c r="R118" s="3"/>
      <c r="S118" s="3" t="s">
        <v>43</v>
      </c>
      <c r="T118" s="33"/>
      <c r="U118" s="4"/>
      <c r="V118" s="4"/>
      <c r="W118" s="3"/>
      <c r="X118" s="4"/>
      <c r="Y118" s="4"/>
    </row>
    <row r="119" spans="1:25">
      <c r="A119" s="3">
        <v>118</v>
      </c>
      <c r="B119" s="3" t="s">
        <v>44</v>
      </c>
      <c r="C119" s="3" t="s">
        <v>489</v>
      </c>
      <c r="D119" s="3" t="s">
        <v>490</v>
      </c>
      <c r="E119" s="3" t="s">
        <v>491</v>
      </c>
      <c r="F119" s="3" t="s">
        <v>492</v>
      </c>
      <c r="G119" s="3" t="s">
        <v>61</v>
      </c>
      <c r="H119" s="3">
        <f>VALUE(MID(LEFT(Table1[[#This Row],[Unique ID]], FIND("/", Table1[[#This Row],[Unique ID]]) - 1), 2, LEN(Table1[[#This Row],[Unique ID]])))</f>
        <v>6</v>
      </c>
      <c r="I119" s="3" t="s">
        <v>49</v>
      </c>
      <c r="J119" s="3" t="s">
        <v>49</v>
      </c>
      <c r="K119" s="3" t="s">
        <v>62</v>
      </c>
      <c r="L119" s="3" t="s">
        <v>498</v>
      </c>
      <c r="M119" s="24">
        <v>5110</v>
      </c>
      <c r="N119" s="3" t="s">
        <v>70</v>
      </c>
      <c r="O119" s="41">
        <v>12</v>
      </c>
      <c r="P119" s="3" t="s">
        <v>56</v>
      </c>
      <c r="Q119" s="3">
        <v>2018</v>
      </c>
      <c r="R119" s="3"/>
      <c r="S119" s="3" t="s">
        <v>43</v>
      </c>
      <c r="T119" s="33"/>
      <c r="U119" s="4"/>
      <c r="V119" s="4"/>
      <c r="W119" s="3"/>
      <c r="X119" s="4"/>
      <c r="Y119" s="4"/>
    </row>
    <row r="120" spans="1:25">
      <c r="A120" s="3">
        <v>119</v>
      </c>
      <c r="B120" s="3" t="s">
        <v>113</v>
      </c>
      <c r="C120" s="3" t="s">
        <v>489</v>
      </c>
      <c r="D120" s="3" t="s">
        <v>490</v>
      </c>
      <c r="E120" s="3" t="s">
        <v>491</v>
      </c>
      <c r="F120" s="3" t="s">
        <v>492</v>
      </c>
      <c r="G120" s="3" t="s">
        <v>61</v>
      </c>
      <c r="H120" s="3">
        <f>VALUE(MID(LEFT(Table1[[#This Row],[Unique ID]], FIND("/", Table1[[#This Row],[Unique ID]]) - 1), 2, LEN(Table1[[#This Row],[Unique ID]])))</f>
        <v>6</v>
      </c>
      <c r="I120" s="3" t="s">
        <v>49</v>
      </c>
      <c r="J120" s="3" t="s">
        <v>49</v>
      </c>
      <c r="K120" s="3" t="s">
        <v>62</v>
      </c>
      <c r="L120" s="3" t="s">
        <v>499</v>
      </c>
      <c r="M120" s="24">
        <v>4928</v>
      </c>
      <c r="N120" s="3" t="s">
        <v>70</v>
      </c>
      <c r="O120" s="41">
        <v>12</v>
      </c>
      <c r="P120" s="3" t="s">
        <v>56</v>
      </c>
      <c r="Q120" s="3">
        <v>2019</v>
      </c>
      <c r="R120" s="3"/>
      <c r="S120" s="3" t="s">
        <v>43</v>
      </c>
      <c r="T120" s="33"/>
      <c r="U120" s="4"/>
      <c r="V120" s="4"/>
      <c r="W120" s="3"/>
      <c r="X120" s="4"/>
      <c r="Y120" s="4"/>
    </row>
    <row r="121" spans="1:25">
      <c r="A121" s="3">
        <v>120</v>
      </c>
      <c r="B121" s="3" t="s">
        <v>500</v>
      </c>
      <c r="C121" s="3" t="s">
        <v>501</v>
      </c>
      <c r="D121" s="3" t="s">
        <v>502</v>
      </c>
      <c r="E121" s="3" t="s">
        <v>503</v>
      </c>
      <c r="F121" s="3" t="s">
        <v>504</v>
      </c>
      <c r="G121" s="3" t="s">
        <v>61</v>
      </c>
      <c r="H121" s="3">
        <f>VALUE(MID(LEFT(Table1[[#This Row],[Unique ID]], FIND("/", Table1[[#This Row],[Unique ID]]) - 1), 2, LEN(Table1[[#This Row],[Unique ID]])))</f>
        <v>1</v>
      </c>
      <c r="I121" s="3" t="s">
        <v>37</v>
      </c>
      <c r="J121" s="3" t="s">
        <v>37</v>
      </c>
      <c r="K121" s="3" t="s">
        <v>38</v>
      </c>
      <c r="L121" s="3" t="s">
        <v>505</v>
      </c>
      <c r="M121" s="24">
        <v>820</v>
      </c>
      <c r="N121" s="3" t="s">
        <v>506</v>
      </c>
      <c r="O121" s="41">
        <v>1</v>
      </c>
      <c r="P121" s="3" t="s">
        <v>42</v>
      </c>
      <c r="Q121" s="3">
        <v>2019</v>
      </c>
      <c r="R121" s="3"/>
      <c r="S121" s="3" t="s">
        <v>507</v>
      </c>
      <c r="T121" s="33"/>
      <c r="U121" s="4"/>
      <c r="V121" s="4"/>
      <c r="W121" s="3"/>
      <c r="X121" s="4"/>
      <c r="Y121" s="4"/>
    </row>
    <row r="122" spans="1:25">
      <c r="A122" s="3">
        <v>121</v>
      </c>
      <c r="B122" s="3" t="s">
        <v>30</v>
      </c>
      <c r="C122" s="3" t="s">
        <v>508</v>
      </c>
      <c r="D122" s="3" t="s">
        <v>509</v>
      </c>
      <c r="E122" s="3" t="s">
        <v>510</v>
      </c>
      <c r="F122" s="3" t="s">
        <v>511</v>
      </c>
      <c r="G122" s="3" t="s">
        <v>35</v>
      </c>
      <c r="H122" s="3">
        <f>VALUE(MID(LEFT(Table1[[#This Row],[Unique ID]], FIND("/", Table1[[#This Row],[Unique ID]]) - 1), 2, LEN(Table1[[#This Row],[Unique ID]])))</f>
        <v>7</v>
      </c>
      <c r="I122" s="3" t="s">
        <v>76</v>
      </c>
      <c r="J122" s="3" t="s">
        <v>37</v>
      </c>
      <c r="K122" s="3" t="s">
        <v>50</v>
      </c>
      <c r="L122" s="3" t="s">
        <v>146</v>
      </c>
      <c r="M122" s="24">
        <v>10015.950000000001</v>
      </c>
      <c r="N122" s="3" t="s">
        <v>512</v>
      </c>
      <c r="O122" s="41" t="s">
        <v>64</v>
      </c>
      <c r="P122" s="3" t="s">
        <v>56</v>
      </c>
      <c r="Q122" s="3">
        <v>2017</v>
      </c>
      <c r="R122" s="3"/>
      <c r="S122" s="3" t="s">
        <v>43</v>
      </c>
      <c r="T122" s="33"/>
      <c r="U122" s="4"/>
      <c r="V122" s="4"/>
      <c r="W122" s="3"/>
      <c r="X122" s="4"/>
      <c r="Y122" s="4"/>
    </row>
    <row r="123" spans="1:25">
      <c r="A123" s="3">
        <v>122</v>
      </c>
      <c r="B123" s="3" t="s">
        <v>68</v>
      </c>
      <c r="C123" s="3" t="s">
        <v>508</v>
      </c>
      <c r="D123" s="3" t="s">
        <v>509</v>
      </c>
      <c r="E123" s="3" t="s">
        <v>510</v>
      </c>
      <c r="F123" s="3" t="s">
        <v>511</v>
      </c>
      <c r="G123" s="3" t="s">
        <v>35</v>
      </c>
      <c r="H123" s="3">
        <f>VALUE(MID(LEFT(Table1[[#This Row],[Unique ID]], FIND("/", Table1[[#This Row],[Unique ID]]) - 1), 2, LEN(Table1[[#This Row],[Unique ID]])))</f>
        <v>7</v>
      </c>
      <c r="I123" s="3" t="s">
        <v>76</v>
      </c>
      <c r="J123" s="3" t="s">
        <v>37</v>
      </c>
      <c r="K123" s="3" t="s">
        <v>62</v>
      </c>
      <c r="L123" s="3" t="s">
        <v>513</v>
      </c>
      <c r="M123" s="24">
        <v>5000</v>
      </c>
      <c r="N123" s="3" t="s">
        <v>514</v>
      </c>
      <c r="O123" s="41">
        <v>1</v>
      </c>
      <c r="P123" s="3" t="s">
        <v>56</v>
      </c>
      <c r="Q123" s="3">
        <v>2018</v>
      </c>
      <c r="R123" s="3"/>
      <c r="S123" s="3" t="s">
        <v>43</v>
      </c>
      <c r="T123" s="33"/>
      <c r="U123" s="4"/>
      <c r="V123" s="4"/>
      <c r="W123" s="3"/>
      <c r="X123" s="4"/>
      <c r="Y123" s="4"/>
    </row>
    <row r="124" spans="1:25">
      <c r="A124" s="3">
        <v>123</v>
      </c>
      <c r="B124" s="3" t="s">
        <v>68</v>
      </c>
      <c r="C124" s="3" t="s">
        <v>515</v>
      </c>
      <c r="D124" s="3" t="s">
        <v>516</v>
      </c>
      <c r="E124" s="3"/>
      <c r="F124" s="3" t="s">
        <v>517</v>
      </c>
      <c r="G124" s="3" t="s">
        <v>35</v>
      </c>
      <c r="H124" s="3">
        <f>VALUE(MID(LEFT(Table1[[#This Row],[Unique ID]], FIND("/", Table1[[#This Row],[Unique ID]]) - 1), 2, LEN(Table1[[#This Row],[Unique ID]])))</f>
        <v>3</v>
      </c>
      <c r="I124" s="3" t="s">
        <v>93</v>
      </c>
      <c r="J124" s="3" t="s">
        <v>93</v>
      </c>
      <c r="K124" s="3" t="s">
        <v>62</v>
      </c>
      <c r="L124" s="3" t="s">
        <v>518</v>
      </c>
      <c r="M124" s="24">
        <v>46500</v>
      </c>
      <c r="N124" s="3" t="s">
        <v>519</v>
      </c>
      <c r="O124" s="41">
        <v>28</v>
      </c>
      <c r="P124" s="3" t="s">
        <v>56</v>
      </c>
      <c r="Q124" s="3">
        <v>2018</v>
      </c>
      <c r="R124" s="3"/>
      <c r="S124" s="3" t="s">
        <v>43</v>
      </c>
      <c r="T124" s="33"/>
      <c r="U124" s="4"/>
      <c r="V124" s="4"/>
      <c r="W124" s="3"/>
      <c r="X124" s="4"/>
      <c r="Y124" s="4"/>
    </row>
    <row r="125" spans="1:25">
      <c r="A125" s="3">
        <v>124</v>
      </c>
      <c r="B125" s="3" t="s">
        <v>44</v>
      </c>
      <c r="C125" s="3" t="s">
        <v>520</v>
      </c>
      <c r="D125" s="3" t="s">
        <v>521</v>
      </c>
      <c r="E125" s="3" t="s">
        <v>522</v>
      </c>
      <c r="F125" s="3" t="s">
        <v>523</v>
      </c>
      <c r="G125" s="3" t="s">
        <v>61</v>
      </c>
      <c r="H125" s="3">
        <f>VALUE(MID(LEFT(Table1[[#This Row],[Unique ID]], FIND("/", Table1[[#This Row],[Unique ID]]) - 1), 2, LEN(Table1[[#This Row],[Unique ID]])))</f>
        <v>4</v>
      </c>
      <c r="I125" s="3" t="s">
        <v>49</v>
      </c>
      <c r="J125" s="3" t="s">
        <v>49</v>
      </c>
      <c r="K125" s="3" t="s">
        <v>178</v>
      </c>
      <c r="L125" s="3" t="s">
        <v>524</v>
      </c>
      <c r="M125" s="24">
        <v>200</v>
      </c>
      <c r="N125" s="3" t="s">
        <v>525</v>
      </c>
      <c r="O125" s="41"/>
      <c r="P125" s="3" t="s">
        <v>160</v>
      </c>
      <c r="Q125" s="3">
        <v>2018</v>
      </c>
      <c r="R125" s="3"/>
      <c r="S125" s="3" t="s">
        <v>43</v>
      </c>
      <c r="T125" s="33"/>
      <c r="U125" s="4"/>
      <c r="V125" s="4"/>
      <c r="W125" s="3"/>
      <c r="X125" s="4"/>
      <c r="Y125" s="4"/>
    </row>
    <row r="126" spans="1:25">
      <c r="A126" s="3">
        <v>125</v>
      </c>
      <c r="B126" s="3" t="s">
        <v>68</v>
      </c>
      <c r="C126" s="3" t="s">
        <v>526</v>
      </c>
      <c r="D126" s="3" t="s">
        <v>527</v>
      </c>
      <c r="E126" s="3" t="s">
        <v>528</v>
      </c>
      <c r="F126" s="3" t="s">
        <v>529</v>
      </c>
      <c r="G126" s="3" t="s">
        <v>61</v>
      </c>
      <c r="H126" s="3">
        <f>VALUE(MID(LEFT(Table1[[#This Row],[Unique ID]], FIND("/", Table1[[#This Row],[Unique ID]]) - 1), 2, LEN(Table1[[#This Row],[Unique ID]])))</f>
        <v>7</v>
      </c>
      <c r="I126" s="3" t="s">
        <v>49</v>
      </c>
      <c r="J126" s="3" t="s">
        <v>49</v>
      </c>
      <c r="K126" s="3" t="s">
        <v>62</v>
      </c>
      <c r="L126" s="3" t="s">
        <v>530</v>
      </c>
      <c r="M126" s="24">
        <v>25000</v>
      </c>
      <c r="N126" s="3" t="s">
        <v>531</v>
      </c>
      <c r="O126" s="41">
        <v>10</v>
      </c>
      <c r="P126" s="3" t="s">
        <v>56</v>
      </c>
      <c r="Q126" s="3">
        <v>2018</v>
      </c>
      <c r="R126" s="3"/>
      <c r="S126" s="3" t="s">
        <v>43</v>
      </c>
      <c r="T126" s="33"/>
      <c r="U126" s="4"/>
      <c r="V126" s="4"/>
      <c r="W126" s="3"/>
      <c r="X126" s="4"/>
      <c r="Y126" s="4"/>
    </row>
    <row r="127" spans="1:25">
      <c r="A127" s="3">
        <v>126</v>
      </c>
      <c r="B127" s="3" t="s">
        <v>44</v>
      </c>
      <c r="C127" s="3" t="s">
        <v>526</v>
      </c>
      <c r="D127" s="3" t="s">
        <v>527</v>
      </c>
      <c r="E127" s="3" t="s">
        <v>528</v>
      </c>
      <c r="F127" s="3" t="s">
        <v>529</v>
      </c>
      <c r="G127" s="3" t="s">
        <v>61</v>
      </c>
      <c r="H127" s="3">
        <f>VALUE(MID(LEFT(Table1[[#This Row],[Unique ID]], FIND("/", Table1[[#This Row],[Unique ID]]) - 1), 2, LEN(Table1[[#This Row],[Unique ID]])))</f>
        <v>7</v>
      </c>
      <c r="I127" s="3" t="s">
        <v>49</v>
      </c>
      <c r="J127" s="3" t="s">
        <v>49</v>
      </c>
      <c r="K127" s="3" t="s">
        <v>62</v>
      </c>
      <c r="L127" s="3" t="s">
        <v>532</v>
      </c>
      <c r="M127" s="24">
        <v>1061</v>
      </c>
      <c r="N127" s="3" t="s">
        <v>533</v>
      </c>
      <c r="O127" s="41">
        <v>12</v>
      </c>
      <c r="P127" s="3" t="s">
        <v>56</v>
      </c>
      <c r="Q127" s="3">
        <v>2018</v>
      </c>
      <c r="R127" s="3"/>
      <c r="S127" s="3" t="s">
        <v>43</v>
      </c>
      <c r="T127" s="33"/>
      <c r="U127" s="4"/>
      <c r="V127" s="4"/>
      <c r="W127" s="3"/>
      <c r="X127" s="4"/>
      <c r="Y127" s="4"/>
    </row>
    <row r="128" spans="1:25">
      <c r="A128" s="3">
        <v>127</v>
      </c>
      <c r="B128" s="3" t="s">
        <v>44</v>
      </c>
      <c r="C128" s="3" t="s">
        <v>526</v>
      </c>
      <c r="D128" s="3" t="s">
        <v>527</v>
      </c>
      <c r="E128" s="3" t="s">
        <v>528</v>
      </c>
      <c r="F128" s="3" t="s">
        <v>529</v>
      </c>
      <c r="G128" s="3" t="s">
        <v>61</v>
      </c>
      <c r="H128" s="3">
        <f>VALUE(MID(LEFT(Table1[[#This Row],[Unique ID]], FIND("/", Table1[[#This Row],[Unique ID]]) - 1), 2, LEN(Table1[[#This Row],[Unique ID]])))</f>
        <v>7</v>
      </c>
      <c r="I128" s="3" t="s">
        <v>49</v>
      </c>
      <c r="J128" s="3" t="s">
        <v>49</v>
      </c>
      <c r="K128" s="3" t="s">
        <v>62</v>
      </c>
      <c r="L128" s="3" t="s">
        <v>534</v>
      </c>
      <c r="M128" s="24">
        <v>10966.12</v>
      </c>
      <c r="N128" s="3" t="s">
        <v>535</v>
      </c>
      <c r="O128" s="41">
        <v>36</v>
      </c>
      <c r="P128" s="3" t="s">
        <v>56</v>
      </c>
      <c r="Q128" s="3">
        <v>2018</v>
      </c>
      <c r="R128" s="3"/>
      <c r="S128" s="3" t="s">
        <v>43</v>
      </c>
      <c r="T128" s="33"/>
      <c r="U128" s="4"/>
      <c r="V128" s="4"/>
      <c r="W128" s="3"/>
      <c r="X128" s="4"/>
      <c r="Y128" s="4"/>
    </row>
    <row r="129" spans="1:25">
      <c r="A129" s="3">
        <v>128</v>
      </c>
      <c r="B129" s="3" t="s">
        <v>44</v>
      </c>
      <c r="C129" s="3" t="s">
        <v>526</v>
      </c>
      <c r="D129" s="3" t="s">
        <v>527</v>
      </c>
      <c r="E129" s="3" t="s">
        <v>528</v>
      </c>
      <c r="F129" s="3" t="s">
        <v>529</v>
      </c>
      <c r="G129" s="3" t="s">
        <v>61</v>
      </c>
      <c r="H129" s="3">
        <f>VALUE(MID(LEFT(Table1[[#This Row],[Unique ID]], FIND("/", Table1[[#This Row],[Unique ID]]) - 1), 2, LEN(Table1[[#This Row],[Unique ID]])))</f>
        <v>7</v>
      </c>
      <c r="I129" s="3" t="s">
        <v>49</v>
      </c>
      <c r="J129" s="3" t="s">
        <v>49</v>
      </c>
      <c r="K129" s="3" t="s">
        <v>62</v>
      </c>
      <c r="L129" s="3" t="s">
        <v>536</v>
      </c>
      <c r="M129" s="24">
        <v>1061.23</v>
      </c>
      <c r="N129" s="3" t="s">
        <v>533</v>
      </c>
      <c r="O129" s="41">
        <v>12</v>
      </c>
      <c r="P129" s="3" t="s">
        <v>56</v>
      </c>
      <c r="Q129" s="3">
        <v>2018</v>
      </c>
      <c r="R129" s="3"/>
      <c r="S129" s="3" t="s">
        <v>43</v>
      </c>
      <c r="T129" s="33"/>
      <c r="U129" s="4"/>
      <c r="V129" s="4"/>
      <c r="W129" s="3"/>
      <c r="X129" s="4"/>
      <c r="Y129" s="4"/>
    </row>
    <row r="130" spans="1:25">
      <c r="A130" s="3">
        <v>129</v>
      </c>
      <c r="B130" s="3" t="s">
        <v>68</v>
      </c>
      <c r="C130" s="3" t="s">
        <v>537</v>
      </c>
      <c r="D130" s="3" t="s">
        <v>538</v>
      </c>
      <c r="E130" s="3" t="s">
        <v>539</v>
      </c>
      <c r="F130" s="3" t="s">
        <v>540</v>
      </c>
      <c r="G130" s="3" t="s">
        <v>61</v>
      </c>
      <c r="H130" s="3">
        <f>VALUE(MID(LEFT(Table1[[#This Row],[Unique ID]], FIND("/", Table1[[#This Row],[Unique ID]]) - 1), 2, LEN(Table1[[#This Row],[Unique ID]])))</f>
        <v>6</v>
      </c>
      <c r="I130" s="3" t="s">
        <v>209</v>
      </c>
      <c r="J130" s="3" t="s">
        <v>541</v>
      </c>
      <c r="K130" s="3" t="s">
        <v>62</v>
      </c>
      <c r="L130" s="3" t="s">
        <v>542</v>
      </c>
      <c r="M130" s="24">
        <v>40000</v>
      </c>
      <c r="N130" s="3" t="s">
        <v>209</v>
      </c>
      <c r="O130" s="41">
        <v>12</v>
      </c>
      <c r="P130" s="3" t="s">
        <v>56</v>
      </c>
      <c r="Q130" s="3">
        <v>2018</v>
      </c>
      <c r="R130" s="3"/>
      <c r="S130" s="3" t="s">
        <v>43</v>
      </c>
      <c r="T130" s="33"/>
      <c r="U130" s="4"/>
      <c r="V130" s="4"/>
      <c r="W130" s="3"/>
      <c r="X130" s="4"/>
      <c r="Y130" s="4"/>
    </row>
    <row r="131" spans="1:25">
      <c r="A131" s="3">
        <v>130</v>
      </c>
      <c r="B131" s="3" t="s">
        <v>68</v>
      </c>
      <c r="C131" s="3" t="s">
        <v>543</v>
      </c>
      <c r="D131" s="3" t="s">
        <v>544</v>
      </c>
      <c r="E131" s="3"/>
      <c r="F131" s="3" t="s">
        <v>545</v>
      </c>
      <c r="G131" s="3" t="s">
        <v>61</v>
      </c>
      <c r="H131" s="3">
        <f>VALUE(MID(LEFT(Table1[[#This Row],[Unique ID]], FIND("/", Table1[[#This Row],[Unique ID]]) - 1), 2, LEN(Table1[[#This Row],[Unique ID]])))</f>
        <v>8</v>
      </c>
      <c r="I131" s="3" t="s">
        <v>110</v>
      </c>
      <c r="J131" s="3" t="s">
        <v>49</v>
      </c>
      <c r="K131" s="3" t="s">
        <v>164</v>
      </c>
      <c r="L131" s="3" t="s">
        <v>546</v>
      </c>
      <c r="M131" s="24"/>
      <c r="N131" s="3" t="s">
        <v>547</v>
      </c>
      <c r="O131" s="41">
        <v>5</v>
      </c>
      <c r="P131" s="3" t="s">
        <v>160</v>
      </c>
      <c r="Q131" s="3">
        <v>2018</v>
      </c>
      <c r="R131" s="3"/>
      <c r="S131" s="3" t="s">
        <v>43</v>
      </c>
      <c r="T131" s="33"/>
      <c r="U131" s="4"/>
      <c r="V131" s="4"/>
      <c r="W131" s="3"/>
      <c r="X131" s="4"/>
      <c r="Y131" s="4"/>
    </row>
    <row r="132" spans="1:25">
      <c r="A132" s="3">
        <v>131</v>
      </c>
      <c r="B132" s="3" t="s">
        <v>44</v>
      </c>
      <c r="C132" s="3" t="s">
        <v>543</v>
      </c>
      <c r="D132" s="3" t="s">
        <v>544</v>
      </c>
      <c r="E132" s="3"/>
      <c r="F132" s="3" t="s">
        <v>545</v>
      </c>
      <c r="G132" s="3" t="s">
        <v>61</v>
      </c>
      <c r="H132" s="3">
        <f>VALUE(MID(LEFT(Table1[[#This Row],[Unique ID]], FIND("/", Table1[[#This Row],[Unique ID]]) - 1), 2, LEN(Table1[[#This Row],[Unique ID]])))</f>
        <v>8</v>
      </c>
      <c r="I132" s="3" t="s">
        <v>110</v>
      </c>
      <c r="J132" s="3" t="s">
        <v>49</v>
      </c>
      <c r="K132" s="3" t="s">
        <v>164</v>
      </c>
      <c r="L132" s="3" t="s">
        <v>548</v>
      </c>
      <c r="M132" s="24">
        <v>5000</v>
      </c>
      <c r="N132" s="3" t="s">
        <v>474</v>
      </c>
      <c r="O132" s="41">
        <v>3</v>
      </c>
      <c r="P132" s="3" t="s">
        <v>160</v>
      </c>
      <c r="Q132" s="3">
        <v>2018</v>
      </c>
      <c r="R132" s="3"/>
      <c r="S132" s="3" t="s">
        <v>43</v>
      </c>
      <c r="T132" s="33"/>
      <c r="U132" s="4"/>
      <c r="V132" s="4"/>
      <c r="W132" s="3"/>
      <c r="X132" s="4"/>
      <c r="Y132" s="4"/>
    </row>
    <row r="133" spans="1:25">
      <c r="A133" s="3">
        <v>132</v>
      </c>
      <c r="B133" s="3" t="s">
        <v>68</v>
      </c>
      <c r="C133" s="3" t="s">
        <v>549</v>
      </c>
      <c r="D133" s="3" t="s">
        <v>550</v>
      </c>
      <c r="E133" s="3" t="s">
        <v>551</v>
      </c>
      <c r="F133" s="3" t="s">
        <v>552</v>
      </c>
      <c r="G133" s="3" t="s">
        <v>61</v>
      </c>
      <c r="H133" s="3">
        <f>VALUE(MID(LEFT(Table1[[#This Row],[Unique ID]], FIND("/", Table1[[#This Row],[Unique ID]]) - 1), 2, LEN(Table1[[#This Row],[Unique ID]])))</f>
        <v>8</v>
      </c>
      <c r="I133" s="3" t="s">
        <v>37</v>
      </c>
      <c r="J133" s="3" t="s">
        <v>37</v>
      </c>
      <c r="K133" s="3" t="s">
        <v>38</v>
      </c>
      <c r="L133" s="3" t="s">
        <v>553</v>
      </c>
      <c r="M133" s="24">
        <v>3888.53</v>
      </c>
      <c r="N133" s="3" t="s">
        <v>554</v>
      </c>
      <c r="O133" s="41">
        <v>1</v>
      </c>
      <c r="P133" s="3" t="s">
        <v>42</v>
      </c>
      <c r="Q133" s="3">
        <v>2018</v>
      </c>
      <c r="R133" s="3"/>
      <c r="S133" s="3" t="s">
        <v>43</v>
      </c>
      <c r="T133" s="33"/>
      <c r="U133" s="4"/>
      <c r="V133" s="4"/>
      <c r="W133" s="3"/>
      <c r="X133" s="4"/>
      <c r="Y133" s="4"/>
    </row>
    <row r="134" spans="1:25">
      <c r="A134" s="3">
        <v>133</v>
      </c>
      <c r="B134" s="3" t="s">
        <v>113</v>
      </c>
      <c r="C134" s="3" t="s">
        <v>555</v>
      </c>
      <c r="D134" s="3" t="s">
        <v>556</v>
      </c>
      <c r="E134" s="3"/>
      <c r="F134" s="3" t="s">
        <v>557</v>
      </c>
      <c r="G134" s="3" t="s">
        <v>61</v>
      </c>
      <c r="H134" s="3">
        <f>VALUE(MID(LEFT(Table1[[#This Row],[Unique ID]], FIND("/", Table1[[#This Row],[Unique ID]]) - 1), 2, LEN(Table1[[#This Row],[Unique ID]])))</f>
        <v>8</v>
      </c>
      <c r="I134" s="3" t="s">
        <v>76</v>
      </c>
      <c r="J134" s="3" t="s">
        <v>37</v>
      </c>
      <c r="K134" s="3" t="s">
        <v>164</v>
      </c>
      <c r="L134" s="3">
        <v>1</v>
      </c>
      <c r="M134" s="24"/>
      <c r="N134" s="3" t="s">
        <v>558</v>
      </c>
      <c r="O134" s="41">
        <v>3</v>
      </c>
      <c r="P134" s="3" t="s">
        <v>160</v>
      </c>
      <c r="Q134" s="3">
        <v>2019</v>
      </c>
      <c r="R134" s="3"/>
      <c r="S134" s="3" t="s">
        <v>43</v>
      </c>
      <c r="T134" s="33"/>
      <c r="U134" s="4"/>
      <c r="V134" s="4"/>
      <c r="W134" s="3"/>
      <c r="X134" s="4"/>
      <c r="Y134" s="4"/>
    </row>
    <row r="135" spans="1:25">
      <c r="A135" s="3">
        <v>134</v>
      </c>
      <c r="B135" s="3" t="s">
        <v>79</v>
      </c>
      <c r="C135" s="3" t="s">
        <v>555</v>
      </c>
      <c r="D135" s="3" t="s">
        <v>556</v>
      </c>
      <c r="E135" s="3"/>
      <c r="F135" s="3" t="s">
        <v>557</v>
      </c>
      <c r="G135" s="3" t="s">
        <v>61</v>
      </c>
      <c r="H135" s="3">
        <f>VALUE(MID(LEFT(Table1[[#This Row],[Unique ID]], FIND("/", Table1[[#This Row],[Unique ID]]) - 1), 2, LEN(Table1[[#This Row],[Unique ID]])))</f>
        <v>8</v>
      </c>
      <c r="I135" s="3" t="s">
        <v>76</v>
      </c>
      <c r="J135" s="3" t="s">
        <v>37</v>
      </c>
      <c r="K135" s="3" t="s">
        <v>164</v>
      </c>
      <c r="L135" s="3" t="s">
        <v>164</v>
      </c>
      <c r="M135" s="24">
        <v>3000</v>
      </c>
      <c r="N135" s="3" t="s">
        <v>559</v>
      </c>
      <c r="O135" s="41">
        <v>7</v>
      </c>
      <c r="P135" s="3" t="s">
        <v>160</v>
      </c>
      <c r="Q135" s="3">
        <v>2019</v>
      </c>
      <c r="R135" s="3"/>
      <c r="S135" s="3" t="s">
        <v>43</v>
      </c>
      <c r="T135" s="33"/>
      <c r="U135" s="4"/>
      <c r="V135" s="4"/>
      <c r="W135" s="3"/>
      <c r="X135" s="4"/>
      <c r="Y135" s="4"/>
    </row>
    <row r="136" spans="1:25">
      <c r="A136" s="3">
        <v>135</v>
      </c>
      <c r="B136" s="3" t="s">
        <v>68</v>
      </c>
      <c r="C136" s="3" t="s">
        <v>560</v>
      </c>
      <c r="D136" s="3" t="s">
        <v>561</v>
      </c>
      <c r="E136" s="3" t="s">
        <v>562</v>
      </c>
      <c r="F136" s="3" t="s">
        <v>563</v>
      </c>
      <c r="G136" s="3" t="s">
        <v>61</v>
      </c>
      <c r="H136" s="3">
        <f>VALUE(MID(LEFT(Table1[[#This Row],[Unique ID]], FIND("/", Table1[[#This Row],[Unique ID]]) - 1), 2, LEN(Table1[[#This Row],[Unique ID]])))</f>
        <v>8</v>
      </c>
      <c r="I136" s="3" t="s">
        <v>37</v>
      </c>
      <c r="J136" s="3" t="s">
        <v>37</v>
      </c>
      <c r="K136" s="3" t="s">
        <v>50</v>
      </c>
      <c r="L136" s="3" t="s">
        <v>564</v>
      </c>
      <c r="M136" s="24">
        <v>1403.34</v>
      </c>
      <c r="N136" s="3" t="s">
        <v>112</v>
      </c>
      <c r="O136" s="41">
        <v>12</v>
      </c>
      <c r="P136" s="3" t="s">
        <v>53</v>
      </c>
      <c r="Q136" s="3">
        <v>2018</v>
      </c>
      <c r="R136" s="3"/>
      <c r="S136" s="3" t="s">
        <v>43</v>
      </c>
      <c r="T136" s="33"/>
      <c r="U136" s="4"/>
      <c r="V136" s="4"/>
      <c r="W136" s="3"/>
      <c r="X136" s="4"/>
      <c r="Y136" s="4"/>
    </row>
    <row r="137" spans="1:25">
      <c r="A137" s="3">
        <v>136</v>
      </c>
      <c r="B137" s="3" t="s">
        <v>79</v>
      </c>
      <c r="C137" s="3" t="s">
        <v>560</v>
      </c>
      <c r="D137" s="3" t="s">
        <v>561</v>
      </c>
      <c r="E137" s="3" t="s">
        <v>562</v>
      </c>
      <c r="F137" s="3" t="s">
        <v>563</v>
      </c>
      <c r="G137" s="3" t="s">
        <v>61</v>
      </c>
      <c r="H137" s="3">
        <f>VALUE(MID(LEFT(Table1[[#This Row],[Unique ID]], FIND("/", Table1[[#This Row],[Unique ID]]) - 1), 2, LEN(Table1[[#This Row],[Unique ID]])))</f>
        <v>8</v>
      </c>
      <c r="I137" s="3" t="s">
        <v>37</v>
      </c>
      <c r="J137" s="3" t="s">
        <v>37</v>
      </c>
      <c r="K137" s="3" t="s">
        <v>50</v>
      </c>
      <c r="L137" s="3"/>
      <c r="M137" s="24">
        <v>5529.38</v>
      </c>
      <c r="N137" s="3" t="s">
        <v>112</v>
      </c>
      <c r="O137" s="41">
        <v>12</v>
      </c>
      <c r="P137" s="3" t="s">
        <v>53</v>
      </c>
      <c r="Q137" s="3">
        <v>2019</v>
      </c>
      <c r="R137" s="3"/>
      <c r="S137" s="3" t="s">
        <v>43</v>
      </c>
      <c r="T137" s="33"/>
      <c r="U137" s="4"/>
      <c r="V137" s="4"/>
      <c r="W137" s="3"/>
      <c r="X137" s="4"/>
      <c r="Y137" s="4"/>
    </row>
    <row r="138" spans="1:25">
      <c r="A138" s="3">
        <v>137</v>
      </c>
      <c r="B138" s="3" t="s">
        <v>44</v>
      </c>
      <c r="C138" s="3" t="s">
        <v>565</v>
      </c>
      <c r="D138" s="3" t="s">
        <v>566</v>
      </c>
      <c r="E138" s="3" t="s">
        <v>202</v>
      </c>
      <c r="F138" s="3" t="s">
        <v>567</v>
      </c>
      <c r="G138" s="3" t="s">
        <v>61</v>
      </c>
      <c r="H138" s="3">
        <f>VALUE(MID(LEFT(Table1[[#This Row],[Unique ID]], FIND("/", Table1[[#This Row],[Unique ID]]) - 1), 2, LEN(Table1[[#This Row],[Unique ID]])))</f>
        <v>8</v>
      </c>
      <c r="I138" s="3" t="s">
        <v>86</v>
      </c>
      <c r="J138" s="3" t="s">
        <v>49</v>
      </c>
      <c r="K138" s="3" t="s">
        <v>178</v>
      </c>
      <c r="L138" s="3" t="s">
        <v>568</v>
      </c>
      <c r="M138" s="24">
        <v>3500</v>
      </c>
      <c r="N138" s="3" t="s">
        <v>569</v>
      </c>
      <c r="O138" s="41">
        <v>12</v>
      </c>
      <c r="P138" s="3" t="s">
        <v>178</v>
      </c>
      <c r="Q138" s="3">
        <v>2018</v>
      </c>
      <c r="R138" s="3"/>
      <c r="S138" s="3" t="s">
        <v>43</v>
      </c>
      <c r="T138" s="33"/>
      <c r="U138" s="4"/>
      <c r="V138" s="4"/>
      <c r="W138" s="3"/>
      <c r="X138" s="4"/>
      <c r="Y138" s="4"/>
    </row>
    <row r="139" spans="1:25">
      <c r="A139" s="3">
        <v>138</v>
      </c>
      <c r="B139" s="3" t="s">
        <v>113</v>
      </c>
      <c r="C139" s="3" t="s">
        <v>565</v>
      </c>
      <c r="D139" s="3" t="s">
        <v>566</v>
      </c>
      <c r="E139" s="3" t="s">
        <v>202</v>
      </c>
      <c r="F139" s="3" t="s">
        <v>567</v>
      </c>
      <c r="G139" s="3" t="s">
        <v>61</v>
      </c>
      <c r="H139" s="3">
        <f>VALUE(MID(LEFT(Table1[[#This Row],[Unique ID]], FIND("/", Table1[[#This Row],[Unique ID]]) - 1), 2, LEN(Table1[[#This Row],[Unique ID]])))</f>
        <v>8</v>
      </c>
      <c r="I139" s="3" t="s">
        <v>86</v>
      </c>
      <c r="J139" s="3" t="s">
        <v>49</v>
      </c>
      <c r="K139" s="3" t="s">
        <v>38</v>
      </c>
      <c r="L139" s="3" t="s">
        <v>570</v>
      </c>
      <c r="M139" s="24">
        <v>619.9</v>
      </c>
      <c r="N139" s="3" t="s">
        <v>571</v>
      </c>
      <c r="O139" s="41">
        <v>1</v>
      </c>
      <c r="P139" s="3" t="s">
        <v>42</v>
      </c>
      <c r="Q139" s="3">
        <v>2019</v>
      </c>
      <c r="R139" s="3"/>
      <c r="S139" s="3" t="s">
        <v>43</v>
      </c>
      <c r="T139" s="33"/>
      <c r="U139" s="4"/>
      <c r="V139" s="4"/>
      <c r="W139" s="3"/>
      <c r="X139" s="4"/>
      <c r="Y139" s="4"/>
    </row>
    <row r="140" spans="1:25">
      <c r="A140" s="3">
        <v>139</v>
      </c>
      <c r="B140" s="3" t="s">
        <v>113</v>
      </c>
      <c r="C140" s="3" t="s">
        <v>565</v>
      </c>
      <c r="D140" s="3" t="s">
        <v>566</v>
      </c>
      <c r="E140" s="3" t="s">
        <v>202</v>
      </c>
      <c r="F140" s="3" t="s">
        <v>567</v>
      </c>
      <c r="G140" s="3" t="s">
        <v>61</v>
      </c>
      <c r="H140" s="3">
        <f>VALUE(MID(LEFT(Table1[[#This Row],[Unique ID]], FIND("/", Table1[[#This Row],[Unique ID]]) - 1), 2, LEN(Table1[[#This Row],[Unique ID]])))</f>
        <v>8</v>
      </c>
      <c r="I140" s="3" t="s">
        <v>86</v>
      </c>
      <c r="J140" s="3" t="s">
        <v>49</v>
      </c>
      <c r="K140" s="3" t="s">
        <v>38</v>
      </c>
      <c r="L140" s="3" t="s">
        <v>572</v>
      </c>
      <c r="M140" s="24">
        <v>552.13</v>
      </c>
      <c r="N140" s="3" t="s">
        <v>573</v>
      </c>
      <c r="O140" s="41">
        <v>1</v>
      </c>
      <c r="P140" s="3" t="s">
        <v>42</v>
      </c>
      <c r="Q140" s="3">
        <v>2019</v>
      </c>
      <c r="R140" s="3"/>
      <c r="S140" s="3" t="s">
        <v>43</v>
      </c>
      <c r="T140" s="33"/>
      <c r="U140" s="4"/>
      <c r="V140" s="4"/>
      <c r="W140" s="3"/>
      <c r="X140" s="4"/>
      <c r="Y140" s="4"/>
    </row>
    <row r="141" spans="1:25">
      <c r="A141" s="3">
        <v>140</v>
      </c>
      <c r="B141" s="3" t="s">
        <v>113</v>
      </c>
      <c r="C141" s="3" t="s">
        <v>574</v>
      </c>
      <c r="D141" s="3" t="s">
        <v>575</v>
      </c>
      <c r="E141" s="3" t="s">
        <v>576</v>
      </c>
      <c r="F141" s="3" t="s">
        <v>577</v>
      </c>
      <c r="G141" s="3" t="s">
        <v>61</v>
      </c>
      <c r="H141" s="3">
        <f>VALUE(MID(LEFT(Table1[[#This Row],[Unique ID]], FIND("/", Table1[[#This Row],[Unique ID]]) - 1), 2, LEN(Table1[[#This Row],[Unique ID]])))</f>
        <v>8</v>
      </c>
      <c r="I141" s="3" t="s">
        <v>49</v>
      </c>
      <c r="J141" s="3" t="s">
        <v>49</v>
      </c>
      <c r="K141" s="3" t="s">
        <v>62</v>
      </c>
      <c r="L141" s="3" t="s">
        <v>578</v>
      </c>
      <c r="M141" s="24">
        <v>1790</v>
      </c>
      <c r="N141" s="3" t="s">
        <v>579</v>
      </c>
      <c r="O141" s="41">
        <v>12</v>
      </c>
      <c r="P141" s="3" t="s">
        <v>42</v>
      </c>
      <c r="Q141" s="3">
        <v>2019</v>
      </c>
      <c r="R141" s="3"/>
      <c r="S141" s="3" t="s">
        <v>43</v>
      </c>
      <c r="T141" s="33"/>
      <c r="U141" s="4"/>
      <c r="V141" s="4"/>
      <c r="W141" s="3"/>
      <c r="X141" s="4"/>
      <c r="Y141" s="4"/>
    </row>
    <row r="142" spans="1:25">
      <c r="A142" s="3">
        <v>141</v>
      </c>
      <c r="B142" s="3" t="s">
        <v>79</v>
      </c>
      <c r="C142" s="3" t="s">
        <v>574</v>
      </c>
      <c r="D142" s="3" t="s">
        <v>575</v>
      </c>
      <c r="E142" s="3" t="s">
        <v>576</v>
      </c>
      <c r="F142" s="3" t="s">
        <v>577</v>
      </c>
      <c r="G142" s="3" t="s">
        <v>61</v>
      </c>
      <c r="H142" s="3">
        <f>VALUE(MID(LEFT(Table1[[#This Row],[Unique ID]], FIND("/", Table1[[#This Row],[Unique ID]]) - 1), 2, LEN(Table1[[#This Row],[Unique ID]])))</f>
        <v>8</v>
      </c>
      <c r="I142" s="3" t="s">
        <v>49</v>
      </c>
      <c r="J142" s="3" t="s">
        <v>49</v>
      </c>
      <c r="K142" s="3" t="s">
        <v>62</v>
      </c>
      <c r="L142" s="3" t="s">
        <v>580</v>
      </c>
      <c r="M142" s="24">
        <v>1388</v>
      </c>
      <c r="N142" s="3" t="s">
        <v>581</v>
      </c>
      <c r="O142" s="41">
        <v>12</v>
      </c>
      <c r="P142" s="3" t="s">
        <v>56</v>
      </c>
      <c r="Q142" s="3">
        <v>2019</v>
      </c>
      <c r="R142" s="3"/>
      <c r="S142" s="3" t="s">
        <v>43</v>
      </c>
      <c r="T142" s="33"/>
      <c r="U142" s="4"/>
      <c r="V142" s="4"/>
      <c r="W142" s="3"/>
      <c r="X142" s="4"/>
      <c r="Y142" s="4"/>
    </row>
    <row r="143" spans="1:25">
      <c r="A143" s="3">
        <v>142</v>
      </c>
      <c r="B143" s="3" t="s">
        <v>113</v>
      </c>
      <c r="C143" s="3" t="s">
        <v>582</v>
      </c>
      <c r="D143" s="3" t="s">
        <v>583</v>
      </c>
      <c r="E143" s="3" t="s">
        <v>584</v>
      </c>
      <c r="F143" s="3" t="s">
        <v>585</v>
      </c>
      <c r="G143" s="3" t="s">
        <v>61</v>
      </c>
      <c r="H143" s="3">
        <f>VALUE(MID(LEFT(Table1[[#This Row],[Unique ID]], FIND("/", Table1[[#This Row],[Unique ID]]) - 1), 2, LEN(Table1[[#This Row],[Unique ID]])))</f>
        <v>8</v>
      </c>
      <c r="I143" s="3" t="s">
        <v>86</v>
      </c>
      <c r="J143" s="3" t="s">
        <v>49</v>
      </c>
      <c r="K143" s="3" t="s">
        <v>62</v>
      </c>
      <c r="L143" s="3" t="s">
        <v>586</v>
      </c>
      <c r="M143" s="24"/>
      <c r="N143" s="3" t="s">
        <v>587</v>
      </c>
      <c r="O143" s="41"/>
      <c r="P143" s="3" t="s">
        <v>56</v>
      </c>
      <c r="Q143" s="3">
        <v>2019</v>
      </c>
      <c r="R143" s="3"/>
      <c r="S143" s="3" t="s">
        <v>43</v>
      </c>
      <c r="T143" s="33"/>
      <c r="U143" s="4"/>
      <c r="V143" s="4"/>
      <c r="W143" s="3"/>
      <c r="X143" s="4"/>
      <c r="Y143" s="4"/>
    </row>
    <row r="144" spans="1:25">
      <c r="A144" s="3">
        <v>143</v>
      </c>
      <c r="B144" s="3" t="s">
        <v>79</v>
      </c>
      <c r="C144" s="3" t="s">
        <v>582</v>
      </c>
      <c r="D144" s="3" t="s">
        <v>583</v>
      </c>
      <c r="E144" s="3" t="s">
        <v>584</v>
      </c>
      <c r="F144" s="3" t="s">
        <v>585</v>
      </c>
      <c r="G144" s="3" t="s">
        <v>61</v>
      </c>
      <c r="H144" s="3">
        <f>VALUE(MID(LEFT(Table1[[#This Row],[Unique ID]], FIND("/", Table1[[#This Row],[Unique ID]]) - 1), 2, LEN(Table1[[#This Row],[Unique ID]])))</f>
        <v>8</v>
      </c>
      <c r="I144" s="3" t="s">
        <v>86</v>
      </c>
      <c r="J144" s="3" t="s">
        <v>49</v>
      </c>
      <c r="K144" s="3" t="s">
        <v>62</v>
      </c>
      <c r="L144" s="3" t="s">
        <v>588</v>
      </c>
      <c r="M144" s="24"/>
      <c r="N144" s="3" t="s">
        <v>589</v>
      </c>
      <c r="O144" s="41">
        <v>12</v>
      </c>
      <c r="P144" s="3" t="s">
        <v>56</v>
      </c>
      <c r="Q144" s="3">
        <v>2019</v>
      </c>
      <c r="R144" s="3"/>
      <c r="S144" s="3" t="s">
        <v>43</v>
      </c>
      <c r="T144" s="33"/>
      <c r="U144" s="4"/>
      <c r="V144" s="4"/>
      <c r="W144" s="3"/>
      <c r="X144" s="4"/>
      <c r="Y144" s="4"/>
    </row>
    <row r="145" spans="1:25">
      <c r="A145" s="3">
        <v>144</v>
      </c>
      <c r="B145" s="3" t="s">
        <v>68</v>
      </c>
      <c r="C145" s="3" t="s">
        <v>590</v>
      </c>
      <c r="D145" s="3" t="s">
        <v>591</v>
      </c>
      <c r="E145" s="3" t="s">
        <v>592</v>
      </c>
      <c r="F145" s="3" t="s">
        <v>593</v>
      </c>
      <c r="G145" s="3" t="s">
        <v>35</v>
      </c>
      <c r="H145" s="3">
        <f>VALUE(MID(LEFT(Table1[[#This Row],[Unique ID]], FIND("/", Table1[[#This Row],[Unique ID]]) - 1), 2, LEN(Table1[[#This Row],[Unique ID]])))</f>
        <v>8</v>
      </c>
      <c r="I145" s="3" t="s">
        <v>110</v>
      </c>
      <c r="J145" s="3" t="s">
        <v>110</v>
      </c>
      <c r="K145" s="3" t="s">
        <v>164</v>
      </c>
      <c r="L145" s="3" t="s">
        <v>594</v>
      </c>
      <c r="M145" s="24"/>
      <c r="N145" s="3" t="s">
        <v>595</v>
      </c>
      <c r="O145" s="41">
        <v>1</v>
      </c>
      <c r="P145" s="3" t="s">
        <v>160</v>
      </c>
      <c r="Q145" s="3">
        <v>2018</v>
      </c>
      <c r="R145" s="3"/>
      <c r="S145" s="3" t="s">
        <v>43</v>
      </c>
      <c r="T145" s="33"/>
      <c r="U145" s="4"/>
      <c r="V145" s="4"/>
      <c r="W145" s="3"/>
      <c r="X145" s="4"/>
      <c r="Y145" s="4"/>
    </row>
    <row r="146" spans="1:25">
      <c r="A146" s="3">
        <v>145</v>
      </c>
      <c r="B146" s="3" t="s">
        <v>79</v>
      </c>
      <c r="C146" s="3" t="s">
        <v>590</v>
      </c>
      <c r="D146" s="3" t="s">
        <v>591</v>
      </c>
      <c r="E146" s="3" t="s">
        <v>592</v>
      </c>
      <c r="F146" s="3" t="s">
        <v>593</v>
      </c>
      <c r="G146" s="3" t="s">
        <v>35</v>
      </c>
      <c r="H146" s="3">
        <f>VALUE(MID(LEFT(Table1[[#This Row],[Unique ID]], FIND("/", Table1[[#This Row],[Unique ID]]) - 1), 2, LEN(Table1[[#This Row],[Unique ID]])))</f>
        <v>8</v>
      </c>
      <c r="I146" s="3" t="s">
        <v>110</v>
      </c>
      <c r="J146" s="3" t="s">
        <v>110</v>
      </c>
      <c r="K146" s="3" t="s">
        <v>62</v>
      </c>
      <c r="L146" s="3" t="s">
        <v>596</v>
      </c>
      <c r="M146" s="24"/>
      <c r="N146" s="3" t="s">
        <v>597</v>
      </c>
      <c r="O146" s="41"/>
      <c r="P146" s="3" t="s">
        <v>56</v>
      </c>
      <c r="Q146" s="3">
        <v>2019</v>
      </c>
      <c r="R146" s="3"/>
      <c r="S146" s="3" t="s">
        <v>43</v>
      </c>
      <c r="T146" s="33"/>
      <c r="U146" s="4"/>
      <c r="V146" s="4"/>
      <c r="W146" s="3"/>
      <c r="X146" s="4"/>
      <c r="Y146" s="4"/>
    </row>
    <row r="147" spans="1:25">
      <c r="A147" s="3">
        <v>146</v>
      </c>
      <c r="B147" s="3" t="s">
        <v>68</v>
      </c>
      <c r="C147" s="3" t="s">
        <v>598</v>
      </c>
      <c r="D147" s="3" t="s">
        <v>599</v>
      </c>
      <c r="E147" s="3" t="s">
        <v>600</v>
      </c>
      <c r="F147" s="3" t="s">
        <v>601</v>
      </c>
      <c r="G147" s="3" t="s">
        <v>61</v>
      </c>
      <c r="H147" s="3">
        <f>VALUE(MID(LEFT(Table1[[#This Row],[Unique ID]], FIND("/", Table1[[#This Row],[Unique ID]]) - 1), 2, LEN(Table1[[#This Row],[Unique ID]])))</f>
        <v>8</v>
      </c>
      <c r="I147" s="3" t="s">
        <v>36</v>
      </c>
      <c r="J147" s="3" t="s">
        <v>49</v>
      </c>
      <c r="K147" s="3" t="s">
        <v>62</v>
      </c>
      <c r="L147" s="3" t="s">
        <v>602</v>
      </c>
      <c r="M147" s="24">
        <v>5000</v>
      </c>
      <c r="N147" s="3" t="s">
        <v>603</v>
      </c>
      <c r="O147" s="41">
        <v>3</v>
      </c>
      <c r="P147" s="3" t="s">
        <v>56</v>
      </c>
      <c r="Q147" s="3">
        <v>2018</v>
      </c>
      <c r="R147" s="3"/>
      <c r="S147" s="3" t="s">
        <v>43</v>
      </c>
      <c r="T147" s="33"/>
      <c r="U147" s="4"/>
      <c r="V147" s="4"/>
      <c r="W147" s="3"/>
      <c r="X147" s="4"/>
      <c r="Y147" s="4"/>
    </row>
    <row r="148" spans="1:25">
      <c r="A148" s="3">
        <v>147</v>
      </c>
      <c r="B148" s="3" t="s">
        <v>44</v>
      </c>
      <c r="C148" s="3" t="s">
        <v>598</v>
      </c>
      <c r="D148" s="3" t="s">
        <v>599</v>
      </c>
      <c r="E148" s="3" t="s">
        <v>600</v>
      </c>
      <c r="F148" s="3" t="s">
        <v>601</v>
      </c>
      <c r="G148" s="3" t="s">
        <v>61</v>
      </c>
      <c r="H148" s="3">
        <f>VALUE(MID(LEFT(Table1[[#This Row],[Unique ID]], FIND("/", Table1[[#This Row],[Unique ID]]) - 1), 2, LEN(Table1[[#This Row],[Unique ID]])))</f>
        <v>8</v>
      </c>
      <c r="I148" s="3" t="s">
        <v>36</v>
      </c>
      <c r="J148" s="3" t="s">
        <v>49</v>
      </c>
      <c r="K148" s="3" t="s">
        <v>62</v>
      </c>
      <c r="L148" s="3" t="s">
        <v>603</v>
      </c>
      <c r="M148" s="24">
        <v>5000</v>
      </c>
      <c r="N148" s="3" t="s">
        <v>604</v>
      </c>
      <c r="O148" s="41">
        <v>3</v>
      </c>
      <c r="P148" s="3" t="s">
        <v>56</v>
      </c>
      <c r="Q148" s="3">
        <v>2018</v>
      </c>
      <c r="R148" s="3"/>
      <c r="S148" s="3" t="s">
        <v>43</v>
      </c>
      <c r="T148" s="33"/>
      <c r="U148" s="4"/>
      <c r="V148" s="4"/>
      <c r="W148" s="3"/>
      <c r="X148" s="4"/>
      <c r="Y148" s="4"/>
    </row>
    <row r="149" spans="1:25">
      <c r="A149" s="3">
        <v>148</v>
      </c>
      <c r="B149" s="3" t="s">
        <v>113</v>
      </c>
      <c r="C149" s="3" t="s">
        <v>598</v>
      </c>
      <c r="D149" s="3" t="s">
        <v>599</v>
      </c>
      <c r="E149" s="3" t="s">
        <v>600</v>
      </c>
      <c r="F149" s="3" t="s">
        <v>601</v>
      </c>
      <c r="G149" s="3" t="s">
        <v>61</v>
      </c>
      <c r="H149" s="3">
        <f>VALUE(MID(LEFT(Table1[[#This Row],[Unique ID]], FIND("/", Table1[[#This Row],[Unique ID]]) - 1), 2, LEN(Table1[[#This Row],[Unique ID]])))</f>
        <v>8</v>
      </c>
      <c r="I149" s="3" t="s">
        <v>36</v>
      </c>
      <c r="J149" s="3" t="s">
        <v>49</v>
      </c>
      <c r="K149" s="3" t="s">
        <v>62</v>
      </c>
      <c r="L149" s="3" t="s">
        <v>605</v>
      </c>
      <c r="M149" s="24">
        <v>5000</v>
      </c>
      <c r="N149" s="3" t="s">
        <v>604</v>
      </c>
      <c r="O149" s="41">
        <v>3</v>
      </c>
      <c r="P149" s="3" t="s">
        <v>56</v>
      </c>
      <c r="Q149" s="3">
        <v>2019</v>
      </c>
      <c r="R149" s="3"/>
      <c r="S149" s="3" t="s">
        <v>43</v>
      </c>
      <c r="T149" s="33"/>
      <c r="U149" s="4"/>
      <c r="V149" s="4"/>
      <c r="W149" s="3"/>
      <c r="X149" s="4"/>
      <c r="Y149" s="4"/>
    </row>
    <row r="150" spans="1:25">
      <c r="A150" s="3">
        <v>149</v>
      </c>
      <c r="B150" s="3" t="s">
        <v>79</v>
      </c>
      <c r="C150" s="3" t="s">
        <v>598</v>
      </c>
      <c r="D150" s="3" t="s">
        <v>599</v>
      </c>
      <c r="E150" s="3" t="s">
        <v>600</v>
      </c>
      <c r="F150" s="3" t="s">
        <v>601</v>
      </c>
      <c r="G150" s="3" t="s">
        <v>61</v>
      </c>
      <c r="H150" s="3">
        <f>VALUE(MID(LEFT(Table1[[#This Row],[Unique ID]], FIND("/", Table1[[#This Row],[Unique ID]]) - 1), 2, LEN(Table1[[#This Row],[Unique ID]])))</f>
        <v>8</v>
      </c>
      <c r="I150" s="3" t="s">
        <v>36</v>
      </c>
      <c r="J150" s="3" t="s">
        <v>49</v>
      </c>
      <c r="K150" s="3" t="s">
        <v>62</v>
      </c>
      <c r="L150" s="3" t="s">
        <v>606</v>
      </c>
      <c r="M150" s="24">
        <v>10500</v>
      </c>
      <c r="N150" s="3" t="s">
        <v>607</v>
      </c>
      <c r="O150" s="41">
        <v>6</v>
      </c>
      <c r="P150" s="3" t="s">
        <v>56</v>
      </c>
      <c r="Q150" s="3">
        <v>2019</v>
      </c>
      <c r="R150" s="3"/>
      <c r="S150" s="3" t="s">
        <v>43</v>
      </c>
      <c r="T150" s="33"/>
      <c r="U150" s="4"/>
      <c r="V150" s="4"/>
      <c r="W150" s="3"/>
      <c r="X150" s="4"/>
      <c r="Y150" s="4"/>
    </row>
    <row r="151" spans="1:25">
      <c r="A151" s="3">
        <v>150</v>
      </c>
      <c r="B151" s="3" t="s">
        <v>68</v>
      </c>
      <c r="C151" s="3" t="s">
        <v>608</v>
      </c>
      <c r="D151" s="3" t="s">
        <v>609</v>
      </c>
      <c r="E151" s="3" t="s">
        <v>610</v>
      </c>
      <c r="F151" s="3" t="s">
        <v>611</v>
      </c>
      <c r="G151" s="3" t="s">
        <v>35</v>
      </c>
      <c r="H151" s="3">
        <f>VALUE(MID(LEFT(Table1[[#This Row],[Unique ID]], FIND("/", Table1[[#This Row],[Unique ID]]) - 1), 2, LEN(Table1[[#This Row],[Unique ID]])))</f>
        <v>8</v>
      </c>
      <c r="I151" s="3" t="s">
        <v>93</v>
      </c>
      <c r="J151" s="3" t="s">
        <v>93</v>
      </c>
      <c r="K151" s="3" t="s">
        <v>38</v>
      </c>
      <c r="L151" s="3" t="s">
        <v>612</v>
      </c>
      <c r="M151" s="24">
        <v>6450</v>
      </c>
      <c r="N151" s="3" t="s">
        <v>613</v>
      </c>
      <c r="O151" s="41">
        <v>12</v>
      </c>
      <c r="P151" s="3" t="s">
        <v>42</v>
      </c>
      <c r="Q151" s="3">
        <v>2018</v>
      </c>
      <c r="R151" s="3"/>
      <c r="S151" s="3" t="s">
        <v>43</v>
      </c>
      <c r="T151" s="33"/>
      <c r="U151" s="4"/>
      <c r="V151" s="4"/>
      <c r="W151" s="3"/>
      <c r="X151" s="4"/>
      <c r="Y151" s="4"/>
    </row>
    <row r="152" spans="1:25">
      <c r="A152" s="3">
        <v>151</v>
      </c>
      <c r="B152" s="3" t="s">
        <v>44</v>
      </c>
      <c r="C152" s="3" t="s">
        <v>608</v>
      </c>
      <c r="D152" s="3" t="s">
        <v>609</v>
      </c>
      <c r="E152" s="3" t="s">
        <v>610</v>
      </c>
      <c r="F152" s="3" t="s">
        <v>611</v>
      </c>
      <c r="G152" s="3" t="s">
        <v>35</v>
      </c>
      <c r="H152" s="3">
        <f>VALUE(MID(LEFT(Table1[[#This Row],[Unique ID]], FIND("/", Table1[[#This Row],[Unique ID]]) - 1), 2, LEN(Table1[[#This Row],[Unique ID]])))</f>
        <v>8</v>
      </c>
      <c r="I152" s="3" t="s">
        <v>93</v>
      </c>
      <c r="J152" s="3" t="s">
        <v>93</v>
      </c>
      <c r="K152" s="3" t="s">
        <v>38</v>
      </c>
      <c r="L152" s="3" t="s">
        <v>160</v>
      </c>
      <c r="M152" s="24">
        <v>4000</v>
      </c>
      <c r="N152" s="3" t="s">
        <v>614</v>
      </c>
      <c r="O152" s="41">
        <v>1</v>
      </c>
      <c r="P152" s="3" t="s">
        <v>42</v>
      </c>
      <c r="Q152" s="3">
        <v>2018</v>
      </c>
      <c r="R152" s="3"/>
      <c r="S152" s="3" t="s">
        <v>43</v>
      </c>
      <c r="T152" s="33"/>
      <c r="U152" s="4"/>
      <c r="V152" s="4"/>
      <c r="W152" s="3"/>
      <c r="X152" s="4"/>
      <c r="Y152" s="4"/>
    </row>
    <row r="153" spans="1:25">
      <c r="A153" s="3">
        <v>152</v>
      </c>
      <c r="B153" s="3" t="s">
        <v>113</v>
      </c>
      <c r="C153" s="3" t="s">
        <v>608</v>
      </c>
      <c r="D153" s="3" t="s">
        <v>609</v>
      </c>
      <c r="E153" s="3" t="s">
        <v>610</v>
      </c>
      <c r="F153" s="3" t="s">
        <v>611</v>
      </c>
      <c r="G153" s="3" t="s">
        <v>35</v>
      </c>
      <c r="H153" s="3">
        <f>VALUE(MID(LEFT(Table1[[#This Row],[Unique ID]], FIND("/", Table1[[#This Row],[Unique ID]]) - 1), 2, LEN(Table1[[#This Row],[Unique ID]])))</f>
        <v>8</v>
      </c>
      <c r="I153" s="3" t="s">
        <v>93</v>
      </c>
      <c r="J153" s="3" t="s">
        <v>93</v>
      </c>
      <c r="K153" s="3" t="s">
        <v>38</v>
      </c>
      <c r="L153" s="3" t="s">
        <v>615</v>
      </c>
      <c r="M153" s="24">
        <v>2000</v>
      </c>
      <c r="N153" s="3" t="s">
        <v>616</v>
      </c>
      <c r="O153" s="41"/>
      <c r="P153" s="3" t="s">
        <v>42</v>
      </c>
      <c r="Q153" s="3">
        <v>2019</v>
      </c>
      <c r="R153" s="3"/>
      <c r="S153" s="3" t="s">
        <v>43</v>
      </c>
      <c r="T153" s="33"/>
      <c r="U153" s="4"/>
      <c r="V153" s="4"/>
      <c r="W153" s="3"/>
      <c r="X153" s="4"/>
      <c r="Y153" s="4"/>
    </row>
    <row r="154" spans="1:25">
      <c r="A154" s="3">
        <v>153</v>
      </c>
      <c r="B154" s="3" t="s">
        <v>79</v>
      </c>
      <c r="C154" s="3" t="s">
        <v>608</v>
      </c>
      <c r="D154" s="3" t="s">
        <v>609</v>
      </c>
      <c r="E154" s="3" t="s">
        <v>610</v>
      </c>
      <c r="F154" s="3" t="s">
        <v>611</v>
      </c>
      <c r="G154" s="3" t="s">
        <v>35</v>
      </c>
      <c r="H154" s="3">
        <f>VALUE(MID(LEFT(Table1[[#This Row],[Unique ID]], FIND("/", Table1[[#This Row],[Unique ID]]) - 1), 2, LEN(Table1[[#This Row],[Unique ID]])))</f>
        <v>8</v>
      </c>
      <c r="I154" s="3" t="s">
        <v>93</v>
      </c>
      <c r="J154" s="3" t="s">
        <v>93</v>
      </c>
      <c r="K154" s="3" t="s">
        <v>62</v>
      </c>
      <c r="L154" s="3" t="s">
        <v>617</v>
      </c>
      <c r="M154" s="24">
        <v>26472.17</v>
      </c>
      <c r="N154" s="3" t="s">
        <v>618</v>
      </c>
      <c r="O154" s="41">
        <v>12</v>
      </c>
      <c r="P154" s="3" t="s">
        <v>56</v>
      </c>
      <c r="Q154" s="3">
        <v>2019</v>
      </c>
      <c r="R154" s="3"/>
      <c r="S154" s="3" t="s">
        <v>43</v>
      </c>
      <c r="T154" s="33"/>
      <c r="U154" s="4"/>
      <c r="V154" s="4"/>
      <c r="W154" s="3"/>
      <c r="X154" s="4"/>
      <c r="Y154" s="4"/>
    </row>
    <row r="155" spans="1:25">
      <c r="A155" s="3">
        <v>154</v>
      </c>
      <c r="B155" s="3" t="s">
        <v>68</v>
      </c>
      <c r="C155" s="3" t="s">
        <v>619</v>
      </c>
      <c r="D155" s="3" t="s">
        <v>620</v>
      </c>
      <c r="E155" s="3" t="s">
        <v>621</v>
      </c>
      <c r="F155" s="3" t="s">
        <v>622</v>
      </c>
      <c r="G155" s="3" t="s">
        <v>35</v>
      </c>
      <c r="H155" s="3">
        <f>VALUE(MID(LEFT(Table1[[#This Row],[Unique ID]], FIND("/", Table1[[#This Row],[Unique ID]]) - 1), 2, LEN(Table1[[#This Row],[Unique ID]])))</f>
        <v>8</v>
      </c>
      <c r="I155" s="3" t="s">
        <v>36</v>
      </c>
      <c r="J155" s="3" t="s">
        <v>36</v>
      </c>
      <c r="K155" s="3"/>
      <c r="L155" s="3" t="s">
        <v>623</v>
      </c>
      <c r="M155" s="24">
        <v>5000</v>
      </c>
      <c r="N155" s="3" t="s">
        <v>624</v>
      </c>
      <c r="O155" s="41">
        <v>6</v>
      </c>
      <c r="P155" s="3" t="s">
        <v>160</v>
      </c>
      <c r="Q155" s="3">
        <v>2018</v>
      </c>
      <c r="R155" s="3"/>
      <c r="S155" s="3" t="s">
        <v>43</v>
      </c>
      <c r="T155" s="33"/>
      <c r="U155" s="4"/>
      <c r="V155" s="4"/>
      <c r="W155" s="3"/>
      <c r="X155" s="4"/>
      <c r="Y155" s="4"/>
    </row>
    <row r="156" spans="1:25">
      <c r="A156" s="3">
        <v>155</v>
      </c>
      <c r="B156" s="3" t="s">
        <v>113</v>
      </c>
      <c r="C156" s="3" t="s">
        <v>625</v>
      </c>
      <c r="D156" s="3" t="s">
        <v>626</v>
      </c>
      <c r="E156" s="3" t="s">
        <v>627</v>
      </c>
      <c r="F156" s="3" t="s">
        <v>628</v>
      </c>
      <c r="G156" s="3" t="s">
        <v>35</v>
      </c>
      <c r="H156" s="3">
        <f>VALUE(MID(LEFT(Table1[[#This Row],[Unique ID]], FIND("/", Table1[[#This Row],[Unique ID]]) - 1), 2, LEN(Table1[[#This Row],[Unique ID]])))</f>
        <v>9</v>
      </c>
      <c r="I156" s="3" t="s">
        <v>86</v>
      </c>
      <c r="J156" s="3" t="s">
        <v>49</v>
      </c>
      <c r="K156" s="3" t="s">
        <v>62</v>
      </c>
      <c r="L156" s="3" t="s">
        <v>629</v>
      </c>
      <c r="M156" s="24">
        <v>21388</v>
      </c>
      <c r="N156" s="3" t="s">
        <v>630</v>
      </c>
      <c r="O156" s="41">
        <v>6</v>
      </c>
      <c r="P156" s="3" t="s">
        <v>56</v>
      </c>
      <c r="Q156" s="3">
        <v>2019</v>
      </c>
      <c r="R156" s="3"/>
      <c r="S156" s="3" t="s">
        <v>43</v>
      </c>
      <c r="T156" s="33"/>
      <c r="U156" s="4"/>
      <c r="V156" s="4"/>
      <c r="W156" s="3"/>
      <c r="X156" s="4"/>
      <c r="Y156" s="4"/>
    </row>
    <row r="157" spans="1:25">
      <c r="A157" s="3">
        <v>156</v>
      </c>
      <c r="B157" s="3" t="s">
        <v>113</v>
      </c>
      <c r="C157" s="3" t="s">
        <v>631</v>
      </c>
      <c r="D157" s="3" t="s">
        <v>632</v>
      </c>
      <c r="E157" s="3" t="s">
        <v>633</v>
      </c>
      <c r="F157" s="3" t="s">
        <v>634</v>
      </c>
      <c r="G157" s="3" t="s">
        <v>61</v>
      </c>
      <c r="H157" s="3">
        <f>VALUE(MID(LEFT(Table1[[#This Row],[Unique ID]], FIND("/", Table1[[#This Row],[Unique ID]]) - 1), 2, LEN(Table1[[#This Row],[Unique ID]])))</f>
        <v>9</v>
      </c>
      <c r="I157" s="3" t="s">
        <v>49</v>
      </c>
      <c r="J157" s="3" t="s">
        <v>49</v>
      </c>
      <c r="K157" s="3" t="s">
        <v>62</v>
      </c>
      <c r="L157" s="3" t="s">
        <v>635</v>
      </c>
      <c r="M157" s="24">
        <v>2130</v>
      </c>
      <c r="N157" s="3" t="s">
        <v>636</v>
      </c>
      <c r="O157" s="41">
        <v>12</v>
      </c>
      <c r="P157" s="3" t="s">
        <v>56</v>
      </c>
      <c r="Q157" s="3">
        <v>2019</v>
      </c>
      <c r="R157" s="3"/>
      <c r="S157" s="3" t="s">
        <v>43</v>
      </c>
      <c r="T157" s="33"/>
      <c r="U157" s="4"/>
      <c r="V157" s="4"/>
      <c r="W157" s="3"/>
      <c r="X157" s="4"/>
      <c r="Y157" s="4"/>
    </row>
    <row r="158" spans="1:25">
      <c r="A158" s="3">
        <v>157</v>
      </c>
      <c r="B158" s="3" t="s">
        <v>113</v>
      </c>
      <c r="C158" s="3" t="s">
        <v>637</v>
      </c>
      <c r="D158" s="3" t="s">
        <v>638</v>
      </c>
      <c r="E158" s="3" t="s">
        <v>74</v>
      </c>
      <c r="F158" s="3" t="s">
        <v>639</v>
      </c>
      <c r="G158" s="3" t="s">
        <v>35</v>
      </c>
      <c r="H158" s="3">
        <f>VALUE(MID(LEFT(Table1[[#This Row],[Unique ID]], FIND("/", Table1[[#This Row],[Unique ID]]) - 1), 2, LEN(Table1[[#This Row],[Unique ID]])))</f>
        <v>9</v>
      </c>
      <c r="I158" s="3" t="s">
        <v>110</v>
      </c>
      <c r="J158" s="3" t="s">
        <v>110</v>
      </c>
      <c r="K158" s="3" t="s">
        <v>38</v>
      </c>
      <c r="L158" s="3"/>
      <c r="M158" s="24"/>
      <c r="N158" s="3" t="s">
        <v>640</v>
      </c>
      <c r="O158" s="41"/>
      <c r="P158" s="3" t="s">
        <v>42</v>
      </c>
      <c r="Q158" s="3">
        <v>2019</v>
      </c>
      <c r="R158" s="3"/>
      <c r="S158" s="3" t="s">
        <v>43</v>
      </c>
      <c r="T158" s="33"/>
      <c r="U158" s="4"/>
      <c r="V158" s="4"/>
      <c r="W158" s="3"/>
      <c r="X158" s="4"/>
      <c r="Y158" s="4"/>
    </row>
    <row r="159" spans="1:25">
      <c r="A159" s="3">
        <v>158</v>
      </c>
      <c r="B159" s="3" t="s">
        <v>79</v>
      </c>
      <c r="C159" s="3" t="s">
        <v>641</v>
      </c>
      <c r="D159" s="3" t="s">
        <v>642</v>
      </c>
      <c r="E159" s="3" t="s">
        <v>643</v>
      </c>
      <c r="F159" s="3" t="s">
        <v>644</v>
      </c>
      <c r="G159" s="3" t="s">
        <v>61</v>
      </c>
      <c r="H159" s="3">
        <f>VALUE(MID(LEFT(Table1[[#This Row],[Unique ID]], FIND("/", Table1[[#This Row],[Unique ID]]) - 1), 2, LEN(Table1[[#This Row],[Unique ID]])))</f>
        <v>9</v>
      </c>
      <c r="I159" s="3" t="s">
        <v>37</v>
      </c>
      <c r="J159" s="3" t="s">
        <v>37</v>
      </c>
      <c r="K159" s="3" t="s">
        <v>62</v>
      </c>
      <c r="L159" s="3"/>
      <c r="M159" s="24">
        <v>8000</v>
      </c>
      <c r="N159" s="3" t="s">
        <v>645</v>
      </c>
      <c r="O159" s="41">
        <v>48</v>
      </c>
      <c r="P159" s="3" t="s">
        <v>56</v>
      </c>
      <c r="Q159" s="3">
        <v>2019</v>
      </c>
      <c r="R159" s="3"/>
      <c r="S159" s="3" t="s">
        <v>43</v>
      </c>
      <c r="T159" s="33"/>
      <c r="U159" s="4"/>
      <c r="V159" s="4"/>
      <c r="W159" s="3"/>
      <c r="X159" s="4"/>
      <c r="Y159" s="4"/>
    </row>
    <row r="160" spans="1:25">
      <c r="A160" s="3">
        <v>159</v>
      </c>
      <c r="B160" s="3" t="s">
        <v>113</v>
      </c>
      <c r="C160" s="3" t="s">
        <v>646</v>
      </c>
      <c r="D160" s="3" t="s">
        <v>647</v>
      </c>
      <c r="E160" s="3" t="s">
        <v>648</v>
      </c>
      <c r="F160" s="3" t="s">
        <v>648</v>
      </c>
      <c r="G160" s="3" t="s">
        <v>35</v>
      </c>
      <c r="H160" s="3">
        <f>VALUE(MID(LEFT(Table1[[#This Row],[Unique ID]], FIND("/", Table1[[#This Row],[Unique ID]]) - 1), 2, LEN(Table1[[#This Row],[Unique ID]])))</f>
        <v>9</v>
      </c>
      <c r="I160" s="3" t="s">
        <v>76</v>
      </c>
      <c r="J160" s="3" t="s">
        <v>76</v>
      </c>
      <c r="K160" s="3" t="s">
        <v>62</v>
      </c>
      <c r="L160" s="3" t="s">
        <v>649</v>
      </c>
      <c r="M160" s="24">
        <v>29000</v>
      </c>
      <c r="N160" s="3" t="s">
        <v>650</v>
      </c>
      <c r="O160" s="41">
        <v>12</v>
      </c>
      <c r="P160" s="3" t="s">
        <v>56</v>
      </c>
      <c r="Q160" s="3">
        <v>2019</v>
      </c>
      <c r="R160" s="3"/>
      <c r="S160" s="3" t="s">
        <v>43</v>
      </c>
      <c r="T160" s="33"/>
      <c r="U160" s="4"/>
      <c r="V160" s="4"/>
      <c r="W160" s="3"/>
      <c r="X160" s="4"/>
      <c r="Y160" s="4"/>
    </row>
    <row r="161" spans="1:25">
      <c r="A161" s="3">
        <v>160</v>
      </c>
      <c r="B161" s="3" t="s">
        <v>113</v>
      </c>
      <c r="C161" s="3" t="s">
        <v>646</v>
      </c>
      <c r="D161" s="3" t="s">
        <v>647</v>
      </c>
      <c r="E161" s="3"/>
      <c r="F161" s="3" t="s">
        <v>648</v>
      </c>
      <c r="G161" s="3" t="s">
        <v>35</v>
      </c>
      <c r="H161" s="3">
        <f>VALUE(MID(LEFT(Table1[[#This Row],[Unique ID]], FIND("/", Table1[[#This Row],[Unique ID]]) - 1), 2, LEN(Table1[[#This Row],[Unique ID]])))</f>
        <v>9</v>
      </c>
      <c r="I161" s="3" t="s">
        <v>76</v>
      </c>
      <c r="J161" s="3" t="s">
        <v>76</v>
      </c>
      <c r="K161" s="3" t="s">
        <v>164</v>
      </c>
      <c r="L161" s="3" t="s">
        <v>651</v>
      </c>
      <c r="M161" s="24">
        <v>5627</v>
      </c>
      <c r="N161" s="3" t="s">
        <v>652</v>
      </c>
      <c r="O161" s="41">
        <v>3</v>
      </c>
      <c r="P161" s="3" t="s">
        <v>160</v>
      </c>
      <c r="Q161" s="3">
        <v>2019</v>
      </c>
      <c r="R161" s="3"/>
      <c r="S161" s="3" t="s">
        <v>43</v>
      </c>
      <c r="T161" s="33"/>
      <c r="U161" s="4"/>
      <c r="V161" s="4"/>
      <c r="W161" s="3"/>
      <c r="X161" s="4"/>
      <c r="Y161" s="4"/>
    </row>
    <row r="162" spans="1:25">
      <c r="A162" s="3">
        <v>161</v>
      </c>
      <c r="B162" s="3" t="s">
        <v>79</v>
      </c>
      <c r="C162" s="3" t="s">
        <v>646</v>
      </c>
      <c r="D162" s="3" t="s">
        <v>647</v>
      </c>
      <c r="E162" s="3" t="s">
        <v>648</v>
      </c>
      <c r="F162" s="3" t="s">
        <v>648</v>
      </c>
      <c r="G162" s="3" t="s">
        <v>35</v>
      </c>
      <c r="H162" s="3">
        <f>VALUE(MID(LEFT(Table1[[#This Row],[Unique ID]], FIND("/", Table1[[#This Row],[Unique ID]]) - 1), 2, LEN(Table1[[#This Row],[Unique ID]])))</f>
        <v>9</v>
      </c>
      <c r="I162" s="3" t="s">
        <v>76</v>
      </c>
      <c r="J162" s="3" t="s">
        <v>76</v>
      </c>
      <c r="K162" s="3" t="s">
        <v>62</v>
      </c>
      <c r="L162" s="3" t="s">
        <v>653</v>
      </c>
      <c r="M162" s="24">
        <v>170344.99</v>
      </c>
      <c r="N162" s="3" t="s">
        <v>654</v>
      </c>
      <c r="O162" s="41">
        <v>12</v>
      </c>
      <c r="P162" s="3" t="s">
        <v>56</v>
      </c>
      <c r="Q162" s="3">
        <v>2019</v>
      </c>
      <c r="R162" s="3"/>
      <c r="S162" s="3" t="s">
        <v>43</v>
      </c>
      <c r="T162" s="33"/>
      <c r="U162" s="4"/>
      <c r="V162" s="4"/>
      <c r="W162" s="3"/>
      <c r="X162" s="4"/>
      <c r="Y162" s="4"/>
    </row>
    <row r="163" spans="1:25">
      <c r="A163" s="3">
        <v>162</v>
      </c>
      <c r="B163" s="3" t="s">
        <v>79</v>
      </c>
      <c r="C163" s="3" t="s">
        <v>646</v>
      </c>
      <c r="D163" s="3" t="s">
        <v>647</v>
      </c>
      <c r="E163" s="3" t="s">
        <v>648</v>
      </c>
      <c r="F163" s="3" t="s">
        <v>648</v>
      </c>
      <c r="G163" s="3" t="s">
        <v>35</v>
      </c>
      <c r="H163" s="3">
        <f>VALUE(MID(LEFT(Table1[[#This Row],[Unique ID]], FIND("/", Table1[[#This Row],[Unique ID]]) - 1), 2, LEN(Table1[[#This Row],[Unique ID]])))</f>
        <v>9</v>
      </c>
      <c r="I163" s="3" t="s">
        <v>76</v>
      </c>
      <c r="J163" s="3" t="s">
        <v>76</v>
      </c>
      <c r="K163" s="3" t="s">
        <v>62</v>
      </c>
      <c r="L163" s="3" t="s">
        <v>655</v>
      </c>
      <c r="M163" s="24">
        <v>62529.93</v>
      </c>
      <c r="N163" s="3" t="s">
        <v>656</v>
      </c>
      <c r="O163" s="41">
        <v>12</v>
      </c>
      <c r="P163" s="3" t="s">
        <v>56</v>
      </c>
      <c r="Q163" s="3">
        <v>2019</v>
      </c>
      <c r="R163" s="3"/>
      <c r="S163" s="3" t="s">
        <v>43</v>
      </c>
      <c r="T163" s="33"/>
      <c r="U163" s="4"/>
      <c r="V163" s="4"/>
      <c r="W163" s="3"/>
      <c r="X163" s="4"/>
      <c r="Y163" s="4"/>
    </row>
    <row r="164" spans="1:25">
      <c r="A164" s="3">
        <v>163</v>
      </c>
      <c r="B164" s="3" t="s">
        <v>79</v>
      </c>
      <c r="C164" s="3" t="s">
        <v>646</v>
      </c>
      <c r="D164" s="3" t="s">
        <v>647</v>
      </c>
      <c r="E164" s="3" t="s">
        <v>648</v>
      </c>
      <c r="F164" s="3" t="s">
        <v>648</v>
      </c>
      <c r="G164" s="3" t="s">
        <v>35</v>
      </c>
      <c r="H164" s="3">
        <f>VALUE(MID(LEFT(Table1[[#This Row],[Unique ID]], FIND("/", Table1[[#This Row],[Unique ID]]) - 1), 2, LEN(Table1[[#This Row],[Unique ID]])))</f>
        <v>9</v>
      </c>
      <c r="I164" s="3" t="s">
        <v>76</v>
      </c>
      <c r="J164" s="3" t="s">
        <v>76</v>
      </c>
      <c r="K164" s="3" t="s">
        <v>50</v>
      </c>
      <c r="L164" s="3" t="s">
        <v>657</v>
      </c>
      <c r="M164" s="24">
        <v>5000</v>
      </c>
      <c r="N164" s="3" t="s">
        <v>658</v>
      </c>
      <c r="O164" s="41">
        <v>1</v>
      </c>
      <c r="P164" s="3" t="s">
        <v>160</v>
      </c>
      <c r="Q164" s="3">
        <v>2019</v>
      </c>
      <c r="R164" s="3"/>
      <c r="S164" s="3" t="s">
        <v>43</v>
      </c>
      <c r="T164" s="33"/>
      <c r="U164" s="4"/>
      <c r="V164" s="4"/>
      <c r="W164" s="3"/>
      <c r="X164" s="4"/>
      <c r="Y164" s="4"/>
    </row>
    <row r="165" spans="1:25">
      <c r="A165" s="3">
        <v>164</v>
      </c>
      <c r="B165" s="3" t="s">
        <v>79</v>
      </c>
      <c r="C165" s="3" t="s">
        <v>659</v>
      </c>
      <c r="D165" s="3" t="s">
        <v>660</v>
      </c>
      <c r="E165" s="3" t="s">
        <v>661</v>
      </c>
      <c r="F165" s="3" t="s">
        <v>662</v>
      </c>
      <c r="G165" s="3" t="s">
        <v>61</v>
      </c>
      <c r="H165" s="3">
        <f>VALUE(MID(LEFT(Table1[[#This Row],[Unique ID]], FIND("/", Table1[[#This Row],[Unique ID]]) - 1), 2, LEN(Table1[[#This Row],[Unique ID]])))</f>
        <v>9</v>
      </c>
      <c r="I165" s="3" t="s">
        <v>49</v>
      </c>
      <c r="J165" s="3" t="s">
        <v>49</v>
      </c>
      <c r="K165" s="3"/>
      <c r="L165" s="3" t="s">
        <v>663</v>
      </c>
      <c r="M165" s="24">
        <v>1779.59</v>
      </c>
      <c r="N165" s="3" t="s">
        <v>589</v>
      </c>
      <c r="O165" s="41">
        <v>12</v>
      </c>
      <c r="P165" s="3" t="s">
        <v>42</v>
      </c>
      <c r="Q165" s="3">
        <v>2019</v>
      </c>
      <c r="R165" s="3"/>
      <c r="S165" s="3" t="s">
        <v>43</v>
      </c>
      <c r="T165" s="33"/>
      <c r="U165" s="4"/>
      <c r="V165" s="4"/>
      <c r="W165" s="3"/>
      <c r="X165" s="4"/>
      <c r="Y165" s="4"/>
    </row>
    <row r="166" spans="1:25">
      <c r="A166" s="3">
        <v>165</v>
      </c>
      <c r="B166" s="3" t="s">
        <v>79</v>
      </c>
      <c r="C166" s="3" t="s">
        <v>664</v>
      </c>
      <c r="D166" s="3" t="s">
        <v>665</v>
      </c>
      <c r="E166" s="3" t="s">
        <v>666</v>
      </c>
      <c r="F166" s="3" t="s">
        <v>667</v>
      </c>
      <c r="G166" s="3" t="s">
        <v>61</v>
      </c>
      <c r="H166" s="3">
        <f>VALUE(MID(LEFT(Table1[[#This Row],[Unique ID]], FIND("/", Table1[[#This Row],[Unique ID]]) - 1), 2, LEN(Table1[[#This Row],[Unique ID]])))</f>
        <v>9</v>
      </c>
      <c r="I166" s="3" t="s">
        <v>36</v>
      </c>
      <c r="J166" s="3" t="s">
        <v>49</v>
      </c>
      <c r="K166" s="3" t="s">
        <v>38</v>
      </c>
      <c r="L166" s="3" t="s">
        <v>668</v>
      </c>
      <c r="M166" s="24">
        <v>500</v>
      </c>
      <c r="N166" s="3" t="s">
        <v>669</v>
      </c>
      <c r="O166" s="41"/>
      <c r="P166" s="3" t="s">
        <v>42</v>
      </c>
      <c r="Q166" s="3">
        <v>2019</v>
      </c>
      <c r="R166" s="3"/>
      <c r="S166" s="3" t="s">
        <v>43</v>
      </c>
      <c r="T166" s="33"/>
      <c r="U166" s="4"/>
      <c r="V166" s="4"/>
      <c r="W166" s="3"/>
      <c r="X166" s="4"/>
      <c r="Y166" s="4"/>
    </row>
    <row r="167" spans="1:25">
      <c r="A167" s="3">
        <v>166</v>
      </c>
      <c r="B167" s="3" t="s">
        <v>79</v>
      </c>
      <c r="C167" s="3" t="s">
        <v>670</v>
      </c>
      <c r="D167" s="3" t="s">
        <v>671</v>
      </c>
      <c r="E167" s="3" t="s">
        <v>74</v>
      </c>
      <c r="F167" s="3" t="s">
        <v>672</v>
      </c>
      <c r="G167" s="3" t="s">
        <v>61</v>
      </c>
      <c r="H167" s="3">
        <f>VALUE(MID(LEFT(Table1[[#This Row],[Unique ID]], FIND("/", Table1[[#This Row],[Unique ID]]) - 1), 2, LEN(Table1[[#This Row],[Unique ID]])))</f>
        <v>9</v>
      </c>
      <c r="I167" s="3" t="s">
        <v>93</v>
      </c>
      <c r="J167" s="3" t="s">
        <v>93</v>
      </c>
      <c r="K167" s="3" t="s">
        <v>62</v>
      </c>
      <c r="L167" s="3" t="s">
        <v>673</v>
      </c>
      <c r="M167" s="24">
        <v>1500</v>
      </c>
      <c r="N167" s="3" t="s">
        <v>673</v>
      </c>
      <c r="O167" s="41">
        <v>12</v>
      </c>
      <c r="P167" s="3" t="s">
        <v>56</v>
      </c>
      <c r="Q167" s="3">
        <v>2019</v>
      </c>
      <c r="R167" s="3"/>
      <c r="S167" s="3" t="s">
        <v>43</v>
      </c>
      <c r="T167" s="33"/>
      <c r="U167" s="4"/>
      <c r="V167" s="4"/>
      <c r="W167" s="3"/>
      <c r="X167" s="4"/>
      <c r="Y167" s="4"/>
    </row>
    <row r="168" spans="1:25">
      <c r="A168" s="3">
        <v>167</v>
      </c>
      <c r="B168" s="3" t="s">
        <v>674</v>
      </c>
      <c r="C168" s="3" t="s">
        <v>675</v>
      </c>
      <c r="D168" s="3" t="s">
        <v>676</v>
      </c>
      <c r="E168" s="3" t="s">
        <v>677</v>
      </c>
      <c r="F168" s="3" t="s">
        <v>678</v>
      </c>
      <c r="G168" s="3" t="s">
        <v>61</v>
      </c>
      <c r="H168" s="3">
        <f>VALUE(MID(LEFT(Table1[[#This Row],[Unique ID]], FIND("/", Table1[[#This Row],[Unique ID]]) - 1), 2, LEN(Table1[[#This Row],[Unique ID]])))</f>
        <v>3</v>
      </c>
      <c r="I168" s="3" t="s">
        <v>541</v>
      </c>
      <c r="J168" s="3"/>
      <c r="K168" s="3" t="s">
        <v>62</v>
      </c>
      <c r="L168" s="3" t="s">
        <v>679</v>
      </c>
      <c r="M168" s="24">
        <v>13000</v>
      </c>
      <c r="N168" s="3" t="s">
        <v>541</v>
      </c>
      <c r="O168" s="41">
        <v>12</v>
      </c>
      <c r="P168" s="3" t="s">
        <v>56</v>
      </c>
      <c r="Q168" s="3">
        <v>2018</v>
      </c>
      <c r="R168" s="3"/>
      <c r="S168" s="3" t="s">
        <v>507</v>
      </c>
      <c r="T168" s="33"/>
      <c r="U168" s="4"/>
      <c r="V168" s="4"/>
      <c r="W168" s="3"/>
      <c r="X168" s="4"/>
      <c r="Y168" s="4"/>
    </row>
    <row r="169" spans="1:25">
      <c r="A169" s="3">
        <v>168</v>
      </c>
      <c r="B169" s="3" t="s">
        <v>674</v>
      </c>
      <c r="C169" s="3" t="s">
        <v>680</v>
      </c>
      <c r="D169" s="3" t="s">
        <v>681</v>
      </c>
      <c r="E169" s="3" t="s">
        <v>682</v>
      </c>
      <c r="F169" s="3" t="s">
        <v>683</v>
      </c>
      <c r="G169" s="3" t="s">
        <v>35</v>
      </c>
      <c r="H169" s="3">
        <f>VALUE(MID(LEFT(Table1[[#This Row],[Unique ID]], FIND("/", Table1[[#This Row],[Unique ID]]) - 1), 2, LEN(Table1[[#This Row],[Unique ID]])))</f>
        <v>3</v>
      </c>
      <c r="I169" s="3" t="s">
        <v>86</v>
      </c>
      <c r="J169" s="3"/>
      <c r="K169" s="3" t="s">
        <v>38</v>
      </c>
      <c r="L169" s="3" t="s">
        <v>684</v>
      </c>
      <c r="M169" s="24">
        <v>2500</v>
      </c>
      <c r="N169" s="3" t="s">
        <v>685</v>
      </c>
      <c r="O169" s="41">
        <v>0</v>
      </c>
      <c r="P169" s="3" t="s">
        <v>42</v>
      </c>
      <c r="Q169" s="3">
        <v>2018</v>
      </c>
      <c r="R169" s="3"/>
      <c r="S169" s="3" t="s">
        <v>507</v>
      </c>
      <c r="T169" s="33"/>
      <c r="U169" s="4"/>
      <c r="V169" s="4"/>
      <c r="W169" s="3"/>
      <c r="X169" s="4"/>
      <c r="Y169" s="4"/>
    </row>
    <row r="170" spans="1:25">
      <c r="A170" s="3">
        <v>169</v>
      </c>
      <c r="B170" s="3" t="s">
        <v>686</v>
      </c>
      <c r="C170" s="3" t="s">
        <v>687</v>
      </c>
      <c r="D170" s="3" t="s">
        <v>688</v>
      </c>
      <c r="E170" s="3" t="s">
        <v>689</v>
      </c>
      <c r="F170" s="3" t="s">
        <v>690</v>
      </c>
      <c r="G170" s="3" t="s">
        <v>35</v>
      </c>
      <c r="H170" s="3">
        <f>VALUE(MID(LEFT(Table1[[#This Row],[Unique ID]], FIND("/", Table1[[#This Row],[Unique ID]]) - 1), 2, LEN(Table1[[#This Row],[Unique ID]])))</f>
        <v>2</v>
      </c>
      <c r="I170" s="3" t="s">
        <v>76</v>
      </c>
      <c r="J170" s="3"/>
      <c r="K170" s="3" t="s">
        <v>62</v>
      </c>
      <c r="L170" s="3" t="s">
        <v>691</v>
      </c>
      <c r="M170" s="24">
        <v>9999</v>
      </c>
      <c r="N170" s="3" t="s">
        <v>692</v>
      </c>
      <c r="O170" s="41" t="s">
        <v>125</v>
      </c>
      <c r="P170" s="3" t="s">
        <v>56</v>
      </c>
      <c r="Q170" s="3">
        <v>2017</v>
      </c>
      <c r="R170" s="3"/>
      <c r="S170" s="3" t="s">
        <v>507</v>
      </c>
      <c r="T170" s="33"/>
      <c r="U170" s="4"/>
      <c r="V170" s="4"/>
      <c r="W170" s="3"/>
      <c r="X170" s="4"/>
      <c r="Y170" s="4"/>
    </row>
    <row r="171" spans="1:25">
      <c r="A171" s="3">
        <v>170</v>
      </c>
      <c r="B171" s="3" t="s">
        <v>674</v>
      </c>
      <c r="C171" s="3" t="s">
        <v>687</v>
      </c>
      <c r="D171" s="3" t="s">
        <v>688</v>
      </c>
      <c r="E171" s="3" t="s">
        <v>689</v>
      </c>
      <c r="F171" s="3" t="s">
        <v>690</v>
      </c>
      <c r="G171" s="3" t="s">
        <v>35</v>
      </c>
      <c r="H171" s="3">
        <f>VALUE(MID(LEFT(Table1[[#This Row],[Unique ID]], FIND("/", Table1[[#This Row],[Unique ID]]) - 1), 2, LEN(Table1[[#This Row],[Unique ID]])))</f>
        <v>2</v>
      </c>
      <c r="I171" s="3" t="s">
        <v>76</v>
      </c>
      <c r="J171" s="3"/>
      <c r="K171" s="3" t="s">
        <v>164</v>
      </c>
      <c r="L171" s="3" t="s">
        <v>693</v>
      </c>
      <c r="M171" s="24"/>
      <c r="N171" s="3" t="s">
        <v>112</v>
      </c>
      <c r="O171" s="41">
        <v>4</v>
      </c>
      <c r="P171" s="3" t="s">
        <v>160</v>
      </c>
      <c r="Q171" s="3">
        <v>2018</v>
      </c>
      <c r="R171" s="3"/>
      <c r="S171" s="3" t="s">
        <v>507</v>
      </c>
      <c r="T171" s="33"/>
      <c r="U171" s="4"/>
      <c r="V171" s="4"/>
      <c r="W171" s="3"/>
      <c r="X171" s="4"/>
      <c r="Y171" s="4"/>
    </row>
    <row r="172" spans="1:25">
      <c r="A172" s="3">
        <v>171</v>
      </c>
      <c r="B172" s="3" t="s">
        <v>694</v>
      </c>
      <c r="C172" s="3" t="s">
        <v>687</v>
      </c>
      <c r="D172" s="3" t="s">
        <v>688</v>
      </c>
      <c r="E172" s="3" t="s">
        <v>689</v>
      </c>
      <c r="F172" s="3" t="s">
        <v>690</v>
      </c>
      <c r="G172" s="3" t="s">
        <v>35</v>
      </c>
      <c r="H172" s="3">
        <f>VALUE(MID(LEFT(Table1[[#This Row],[Unique ID]], FIND("/", Table1[[#This Row],[Unique ID]]) - 1), 2, LEN(Table1[[#This Row],[Unique ID]])))</f>
        <v>2</v>
      </c>
      <c r="I172" s="3" t="s">
        <v>76</v>
      </c>
      <c r="J172" s="3"/>
      <c r="K172" s="3" t="s">
        <v>695</v>
      </c>
      <c r="L172" s="3" t="s">
        <v>696</v>
      </c>
      <c r="M172" s="24">
        <v>5000</v>
      </c>
      <c r="N172" s="3" t="s">
        <v>697</v>
      </c>
      <c r="O172" s="41">
        <v>1</v>
      </c>
      <c r="P172" s="3" t="s">
        <v>160</v>
      </c>
      <c r="Q172" s="3">
        <v>2018</v>
      </c>
      <c r="R172" s="3"/>
      <c r="S172" s="3" t="s">
        <v>507</v>
      </c>
      <c r="T172" s="33"/>
      <c r="U172" s="4"/>
      <c r="V172" s="4"/>
      <c r="W172" s="3"/>
      <c r="X172" s="4"/>
      <c r="Y172" s="4"/>
    </row>
    <row r="173" spans="1:25">
      <c r="A173" s="3">
        <v>172</v>
      </c>
      <c r="B173" s="3" t="s">
        <v>686</v>
      </c>
      <c r="C173" s="3" t="s">
        <v>698</v>
      </c>
      <c r="D173" s="3" t="s">
        <v>699</v>
      </c>
      <c r="E173" s="3" t="s">
        <v>700</v>
      </c>
      <c r="F173" s="3" t="s">
        <v>701</v>
      </c>
      <c r="G173" s="3" t="s">
        <v>35</v>
      </c>
      <c r="H173" s="3">
        <f>VALUE(MID(LEFT(Table1[[#This Row],[Unique ID]], FIND("/", Table1[[#This Row],[Unique ID]]) - 1), 2, LEN(Table1[[#This Row],[Unique ID]])))</f>
        <v>3</v>
      </c>
      <c r="I173" s="3" t="s">
        <v>86</v>
      </c>
      <c r="J173" s="3"/>
      <c r="K173" s="3" t="s">
        <v>38</v>
      </c>
      <c r="L173" s="3" t="s">
        <v>702</v>
      </c>
      <c r="M173" s="24">
        <v>500</v>
      </c>
      <c r="N173" s="3" t="s">
        <v>702</v>
      </c>
      <c r="O173" s="41" t="s">
        <v>703</v>
      </c>
      <c r="P173" s="3" t="s">
        <v>42</v>
      </c>
      <c r="Q173" s="3">
        <v>2017</v>
      </c>
      <c r="R173" s="3"/>
      <c r="S173" s="3" t="s">
        <v>507</v>
      </c>
      <c r="T173" s="33"/>
      <c r="U173" s="4"/>
      <c r="V173" s="4"/>
      <c r="W173" s="3"/>
      <c r="X173" s="4"/>
      <c r="Y173" s="4"/>
    </row>
    <row r="174" spans="1:25">
      <c r="A174" s="3">
        <v>173</v>
      </c>
      <c r="B174" s="3" t="s">
        <v>674</v>
      </c>
      <c r="C174" s="3" t="s">
        <v>704</v>
      </c>
      <c r="D174" s="3" t="s">
        <v>705</v>
      </c>
      <c r="E174" s="3" t="s">
        <v>706</v>
      </c>
      <c r="F174" s="3" t="s">
        <v>707</v>
      </c>
      <c r="G174" s="3" t="s">
        <v>61</v>
      </c>
      <c r="H174" s="3">
        <f>VALUE(MID(LEFT(Table1[[#This Row],[Unique ID]], FIND("/", Table1[[#This Row],[Unique ID]]) - 1), 2, LEN(Table1[[#This Row],[Unique ID]])))</f>
        <v>2</v>
      </c>
      <c r="I174" s="3" t="s">
        <v>93</v>
      </c>
      <c r="J174" s="3"/>
      <c r="K174" s="3" t="s">
        <v>62</v>
      </c>
      <c r="L174" s="3" t="s">
        <v>708</v>
      </c>
      <c r="M174" s="24">
        <v>800000</v>
      </c>
      <c r="N174" s="3" t="s">
        <v>708</v>
      </c>
      <c r="O174" s="41">
        <v>24</v>
      </c>
      <c r="P174" s="3" t="s">
        <v>56</v>
      </c>
      <c r="Q174" s="3">
        <v>2018</v>
      </c>
      <c r="R174" s="3"/>
      <c r="S174" s="3" t="s">
        <v>507</v>
      </c>
      <c r="T174" s="33"/>
      <c r="U174" s="4"/>
      <c r="V174" s="4"/>
      <c r="W174" s="3"/>
      <c r="X174" s="4"/>
      <c r="Y174" s="4"/>
    </row>
    <row r="175" spans="1:25">
      <c r="A175" s="3">
        <v>174</v>
      </c>
      <c r="B175" s="3" t="s">
        <v>694</v>
      </c>
      <c r="C175" s="3" t="s">
        <v>704</v>
      </c>
      <c r="D175" s="3" t="s">
        <v>705</v>
      </c>
      <c r="E175" s="3" t="s">
        <v>706</v>
      </c>
      <c r="F175" s="3" t="s">
        <v>707</v>
      </c>
      <c r="G175" s="3" t="s">
        <v>61</v>
      </c>
      <c r="H175" s="3">
        <f>VALUE(MID(LEFT(Table1[[#This Row],[Unique ID]], FIND("/", Table1[[#This Row],[Unique ID]]) - 1), 2, LEN(Table1[[#This Row],[Unique ID]])))</f>
        <v>2</v>
      </c>
      <c r="I175" s="3" t="s">
        <v>93</v>
      </c>
      <c r="J175" s="3"/>
      <c r="K175" s="3" t="s">
        <v>62</v>
      </c>
      <c r="L175" s="3" t="s">
        <v>709</v>
      </c>
      <c r="M175" s="24">
        <v>1200000</v>
      </c>
      <c r="N175" s="3" t="s">
        <v>710</v>
      </c>
      <c r="O175" s="41">
        <v>36</v>
      </c>
      <c r="P175" s="3" t="s">
        <v>56</v>
      </c>
      <c r="Q175" s="3">
        <v>2018</v>
      </c>
      <c r="R175" s="3"/>
      <c r="S175" s="3" t="s">
        <v>507</v>
      </c>
      <c r="T175" s="33"/>
      <c r="U175" s="4"/>
      <c r="V175" s="4"/>
      <c r="W175" s="3"/>
      <c r="X175" s="4"/>
      <c r="Y175" s="4"/>
    </row>
    <row r="176" spans="1:25">
      <c r="A176" s="3">
        <v>175</v>
      </c>
      <c r="B176" s="3" t="s">
        <v>694</v>
      </c>
      <c r="C176" s="3" t="s">
        <v>711</v>
      </c>
      <c r="D176" s="3" t="s">
        <v>712</v>
      </c>
      <c r="E176" s="3" t="s">
        <v>713</v>
      </c>
      <c r="F176" s="3" t="s">
        <v>714</v>
      </c>
      <c r="G176" s="3" t="s">
        <v>61</v>
      </c>
      <c r="H176" s="3">
        <f>VALUE(MID(LEFT(Table1[[#This Row],[Unique ID]], FIND("/", Table1[[#This Row],[Unique ID]]) - 1), 2, LEN(Table1[[#This Row],[Unique ID]])))</f>
        <v>4</v>
      </c>
      <c r="I176" s="3" t="s">
        <v>86</v>
      </c>
      <c r="J176" s="3"/>
      <c r="K176" s="3" t="s">
        <v>164</v>
      </c>
      <c r="L176" s="3" t="s">
        <v>715</v>
      </c>
      <c r="M176" s="24"/>
      <c r="N176" s="3" t="s">
        <v>131</v>
      </c>
      <c r="O176" s="41"/>
      <c r="P176" s="3" t="s">
        <v>160</v>
      </c>
      <c r="Q176" s="3">
        <v>2018</v>
      </c>
      <c r="R176" s="3"/>
      <c r="S176" s="3" t="s">
        <v>507</v>
      </c>
      <c r="T176" s="33"/>
      <c r="U176" s="4"/>
      <c r="V176" s="4"/>
      <c r="W176" s="3"/>
      <c r="X176" s="4"/>
      <c r="Y176" s="4"/>
    </row>
    <row r="177" spans="1:25">
      <c r="A177" s="3">
        <v>176</v>
      </c>
      <c r="B177" s="3" t="s">
        <v>686</v>
      </c>
      <c r="C177" s="3" t="s">
        <v>716</v>
      </c>
      <c r="D177" s="3" t="s">
        <v>717</v>
      </c>
      <c r="E177" s="3" t="s">
        <v>718</v>
      </c>
      <c r="F177" s="3" t="s">
        <v>719</v>
      </c>
      <c r="G177" s="3" t="s">
        <v>61</v>
      </c>
      <c r="H177" s="3">
        <f>VALUE(MID(LEFT(Table1[[#This Row],[Unique ID]], FIND("/", Table1[[#This Row],[Unique ID]]) - 1), 2, LEN(Table1[[#This Row],[Unique ID]])))</f>
        <v>3</v>
      </c>
      <c r="I177" s="3" t="s">
        <v>229</v>
      </c>
      <c r="J177" s="3"/>
      <c r="K177" s="3" t="s">
        <v>62</v>
      </c>
      <c r="L177" s="3" t="s">
        <v>720</v>
      </c>
      <c r="M177" s="24">
        <v>500000</v>
      </c>
      <c r="N177" s="3" t="s">
        <v>474</v>
      </c>
      <c r="O177" s="41">
        <v>24</v>
      </c>
      <c r="P177" s="3" t="s">
        <v>56</v>
      </c>
      <c r="Q177" s="3">
        <v>2017</v>
      </c>
      <c r="R177" s="3"/>
      <c r="S177" s="3" t="s">
        <v>507</v>
      </c>
      <c r="T177" s="33"/>
      <c r="U177" s="4"/>
      <c r="V177" s="4"/>
      <c r="W177" s="3"/>
      <c r="X177" s="4"/>
      <c r="Y177" s="4"/>
    </row>
    <row r="178" spans="1:25">
      <c r="A178" s="3">
        <v>177</v>
      </c>
      <c r="B178" s="3" t="s">
        <v>686</v>
      </c>
      <c r="C178" s="3" t="s">
        <v>716</v>
      </c>
      <c r="D178" s="3" t="s">
        <v>717</v>
      </c>
      <c r="E178" s="3" t="s">
        <v>718</v>
      </c>
      <c r="F178" s="3" t="s">
        <v>719</v>
      </c>
      <c r="G178" s="3" t="s">
        <v>61</v>
      </c>
      <c r="H178" s="3">
        <f>VALUE(MID(LEFT(Table1[[#This Row],[Unique ID]], FIND("/", Table1[[#This Row],[Unique ID]]) - 1), 2, LEN(Table1[[#This Row],[Unique ID]])))</f>
        <v>3</v>
      </c>
      <c r="I178" s="3" t="s">
        <v>229</v>
      </c>
      <c r="J178" s="3"/>
      <c r="K178" s="3" t="s">
        <v>62</v>
      </c>
      <c r="L178" s="3" t="s">
        <v>721</v>
      </c>
      <c r="M178" s="24">
        <v>190000</v>
      </c>
      <c r="N178" s="3" t="s">
        <v>308</v>
      </c>
      <c r="O178" s="41">
        <v>24</v>
      </c>
      <c r="P178" s="3" t="s">
        <v>56</v>
      </c>
      <c r="Q178" s="3">
        <v>2017</v>
      </c>
      <c r="R178" s="3"/>
      <c r="S178" s="3" t="s">
        <v>507</v>
      </c>
      <c r="T178" s="33"/>
      <c r="U178" s="4"/>
      <c r="V178" s="4"/>
      <c r="W178" s="3"/>
      <c r="X178" s="4"/>
      <c r="Y178" s="4"/>
    </row>
    <row r="179" spans="1:25">
      <c r="A179" s="3">
        <v>178</v>
      </c>
      <c r="B179" s="3" t="s">
        <v>686</v>
      </c>
      <c r="C179" s="3" t="s">
        <v>722</v>
      </c>
      <c r="D179" s="3" t="s">
        <v>723</v>
      </c>
      <c r="E179" s="3" t="s">
        <v>202</v>
      </c>
      <c r="F179" s="3" t="s">
        <v>724</v>
      </c>
      <c r="G179" s="3" t="s">
        <v>35</v>
      </c>
      <c r="H179" s="3">
        <f>VALUE(MID(LEFT(Table1[[#This Row],[Unique ID]], FIND("/", Table1[[#This Row],[Unique ID]]) - 1), 2, LEN(Table1[[#This Row],[Unique ID]])))</f>
        <v>1</v>
      </c>
      <c r="I179" s="3" t="s">
        <v>86</v>
      </c>
      <c r="J179" s="3"/>
      <c r="K179" s="3" t="s">
        <v>38</v>
      </c>
      <c r="L179" s="3" t="s">
        <v>725</v>
      </c>
      <c r="M179" s="24">
        <v>4359.7700000000004</v>
      </c>
      <c r="N179" s="3" t="s">
        <v>726</v>
      </c>
      <c r="O179" s="41" t="s">
        <v>727</v>
      </c>
      <c r="P179" s="3" t="s">
        <v>42</v>
      </c>
      <c r="Q179" s="3">
        <v>2017</v>
      </c>
      <c r="R179" s="3"/>
      <c r="S179" s="3" t="s">
        <v>507</v>
      </c>
      <c r="T179" s="33"/>
      <c r="U179" s="4"/>
      <c r="V179" s="4"/>
      <c r="W179" s="3"/>
      <c r="X179" s="4"/>
      <c r="Y179" s="4"/>
    </row>
    <row r="180" spans="1:25">
      <c r="A180" s="3">
        <v>179</v>
      </c>
      <c r="B180" s="3" t="s">
        <v>686</v>
      </c>
      <c r="C180" s="3" t="s">
        <v>722</v>
      </c>
      <c r="D180" s="3" t="s">
        <v>723</v>
      </c>
      <c r="E180" s="3" t="s">
        <v>202</v>
      </c>
      <c r="F180" s="3" t="s">
        <v>724</v>
      </c>
      <c r="G180" s="3" t="s">
        <v>35</v>
      </c>
      <c r="H180" s="3">
        <f>VALUE(MID(LEFT(Table1[[#This Row],[Unique ID]], FIND("/", Table1[[#This Row],[Unique ID]]) - 1), 2, LEN(Table1[[#This Row],[Unique ID]])))</f>
        <v>1</v>
      </c>
      <c r="I180" s="3" t="s">
        <v>86</v>
      </c>
      <c r="J180" s="3"/>
      <c r="K180" s="3" t="s">
        <v>164</v>
      </c>
      <c r="L180" s="3" t="s">
        <v>728</v>
      </c>
      <c r="M180" s="24">
        <v>3500</v>
      </c>
      <c r="N180" s="3" t="s">
        <v>729</v>
      </c>
      <c r="O180" s="41" t="s">
        <v>730</v>
      </c>
      <c r="P180" s="3" t="s">
        <v>160</v>
      </c>
      <c r="Q180" s="3">
        <v>2017</v>
      </c>
      <c r="R180" s="3"/>
      <c r="S180" s="3" t="s">
        <v>507</v>
      </c>
      <c r="T180" s="33"/>
      <c r="U180" s="4"/>
      <c r="V180" s="4"/>
      <c r="W180" s="3"/>
      <c r="X180" s="4"/>
      <c r="Y180" s="4"/>
    </row>
    <row r="181" spans="1:25">
      <c r="A181" s="3">
        <v>180</v>
      </c>
      <c r="B181" s="3" t="s">
        <v>674</v>
      </c>
      <c r="C181" s="3" t="s">
        <v>731</v>
      </c>
      <c r="D181" s="3" t="s">
        <v>732</v>
      </c>
      <c r="E181" s="3" t="s">
        <v>733</v>
      </c>
      <c r="F181" s="3" t="s">
        <v>734</v>
      </c>
      <c r="G181" s="3" t="s">
        <v>35</v>
      </c>
      <c r="H181" s="3">
        <f>VALUE(MID(LEFT(Table1[[#This Row],[Unique ID]], FIND("/", Table1[[#This Row],[Unique ID]]) - 1), 2, LEN(Table1[[#This Row],[Unique ID]])))</f>
        <v>2</v>
      </c>
      <c r="I181" s="3" t="s">
        <v>36</v>
      </c>
      <c r="J181" s="3"/>
      <c r="K181" s="3" t="s">
        <v>38</v>
      </c>
      <c r="L181" s="3" t="s">
        <v>735</v>
      </c>
      <c r="M181" s="24">
        <v>4000</v>
      </c>
      <c r="N181" s="3" t="s">
        <v>736</v>
      </c>
      <c r="O181" s="41">
        <v>1</v>
      </c>
      <c r="P181" s="3" t="s">
        <v>160</v>
      </c>
      <c r="Q181" s="3">
        <v>2018</v>
      </c>
      <c r="R181" s="3"/>
      <c r="S181" s="3" t="s">
        <v>507</v>
      </c>
      <c r="T181" s="33"/>
      <c r="U181" s="4"/>
      <c r="V181" s="4"/>
      <c r="W181" s="3"/>
      <c r="X181" s="4"/>
      <c r="Y181" s="4"/>
    </row>
    <row r="182" spans="1:25">
      <c r="A182" s="3">
        <v>181</v>
      </c>
      <c r="B182" s="3" t="s">
        <v>694</v>
      </c>
      <c r="C182" s="3" t="s">
        <v>731</v>
      </c>
      <c r="D182" s="3" t="s">
        <v>732</v>
      </c>
      <c r="E182" s="3" t="s">
        <v>733</v>
      </c>
      <c r="F182" s="3" t="s">
        <v>734</v>
      </c>
      <c r="G182" s="3" t="s">
        <v>35</v>
      </c>
      <c r="H182" s="3">
        <f>VALUE(MID(LEFT(Table1[[#This Row],[Unique ID]], FIND("/", Table1[[#This Row],[Unique ID]]) - 1), 2, LEN(Table1[[#This Row],[Unique ID]])))</f>
        <v>2</v>
      </c>
      <c r="I182" s="3" t="s">
        <v>36</v>
      </c>
      <c r="J182" s="3"/>
      <c r="K182" s="3" t="s">
        <v>38</v>
      </c>
      <c r="L182" s="3" t="s">
        <v>737</v>
      </c>
      <c r="M182" s="24">
        <v>1500</v>
      </c>
      <c r="N182" s="3" t="s">
        <v>738</v>
      </c>
      <c r="O182" s="41">
        <v>1</v>
      </c>
      <c r="P182" s="3" t="s">
        <v>42</v>
      </c>
      <c r="Q182" s="3">
        <v>2018</v>
      </c>
      <c r="R182" s="3"/>
      <c r="S182" s="3" t="s">
        <v>507</v>
      </c>
      <c r="T182" s="33"/>
      <c r="U182" s="4"/>
      <c r="V182" s="4"/>
      <c r="W182" s="3"/>
      <c r="X182" s="4"/>
      <c r="Y182" s="4"/>
    </row>
    <row r="183" spans="1:25">
      <c r="A183" s="3">
        <v>182</v>
      </c>
      <c r="B183" s="3" t="s">
        <v>694</v>
      </c>
      <c r="C183" s="3" t="s">
        <v>731</v>
      </c>
      <c r="D183" s="3" t="s">
        <v>732</v>
      </c>
      <c r="E183" s="3" t="s">
        <v>733</v>
      </c>
      <c r="F183" s="3" t="s">
        <v>734</v>
      </c>
      <c r="G183" s="3" t="s">
        <v>35</v>
      </c>
      <c r="H183" s="3">
        <f>VALUE(MID(LEFT(Table1[[#This Row],[Unique ID]], FIND("/", Table1[[#This Row],[Unique ID]]) - 1), 2, LEN(Table1[[#This Row],[Unique ID]])))</f>
        <v>2</v>
      </c>
      <c r="I183" s="3" t="s">
        <v>36</v>
      </c>
      <c r="J183" s="3"/>
      <c r="K183" s="3" t="s">
        <v>160</v>
      </c>
      <c r="L183" s="3" t="s">
        <v>739</v>
      </c>
      <c r="M183" s="24">
        <v>6500</v>
      </c>
      <c r="N183" s="3" t="s">
        <v>740</v>
      </c>
      <c r="O183" s="41">
        <v>1</v>
      </c>
      <c r="P183" s="3" t="s">
        <v>160</v>
      </c>
      <c r="Q183" s="3">
        <v>2018</v>
      </c>
      <c r="R183" s="3"/>
      <c r="S183" s="3" t="s">
        <v>507</v>
      </c>
      <c r="T183" s="33"/>
      <c r="U183" s="4"/>
      <c r="V183" s="4"/>
      <c r="W183" s="3"/>
      <c r="X183" s="4"/>
      <c r="Y183" s="4"/>
    </row>
    <row r="184" spans="1:25">
      <c r="A184" s="3">
        <v>183</v>
      </c>
      <c r="B184" s="3" t="s">
        <v>686</v>
      </c>
      <c r="C184" s="3" t="s">
        <v>741</v>
      </c>
      <c r="D184" s="3" t="s">
        <v>742</v>
      </c>
      <c r="E184" s="3" t="s">
        <v>743</v>
      </c>
      <c r="F184" s="3" t="s">
        <v>744</v>
      </c>
      <c r="G184" s="3" t="s">
        <v>35</v>
      </c>
      <c r="H184" s="3">
        <f>VALUE(MID(LEFT(Table1[[#This Row],[Unique ID]], FIND("/", Table1[[#This Row],[Unique ID]]) - 1), 2, LEN(Table1[[#This Row],[Unique ID]])))</f>
        <v>3</v>
      </c>
      <c r="I184" s="3" t="s">
        <v>76</v>
      </c>
      <c r="J184" s="3"/>
      <c r="K184" s="3" t="s">
        <v>62</v>
      </c>
      <c r="L184" s="3" t="s">
        <v>745</v>
      </c>
      <c r="M184" s="24">
        <v>20000</v>
      </c>
      <c r="N184" s="3" t="s">
        <v>746</v>
      </c>
      <c r="O184" s="41">
        <v>24</v>
      </c>
      <c r="P184" s="3" t="s">
        <v>56</v>
      </c>
      <c r="Q184" s="3">
        <v>2017</v>
      </c>
      <c r="R184" s="3"/>
      <c r="S184" s="3" t="s">
        <v>507</v>
      </c>
      <c r="T184" s="33"/>
      <c r="U184" s="4"/>
      <c r="V184" s="4"/>
      <c r="W184" s="3"/>
      <c r="X184" s="4"/>
      <c r="Y184" s="4"/>
    </row>
    <row r="185" spans="1:25">
      <c r="A185" s="3">
        <v>184</v>
      </c>
      <c r="B185" s="3" t="s">
        <v>686</v>
      </c>
      <c r="C185" s="3" t="s">
        <v>747</v>
      </c>
      <c r="D185" s="3" t="s">
        <v>748</v>
      </c>
      <c r="E185" s="3" t="s">
        <v>749</v>
      </c>
      <c r="F185" s="3" t="s">
        <v>750</v>
      </c>
      <c r="G185" s="3" t="s">
        <v>61</v>
      </c>
      <c r="H185" s="3">
        <f>VALUE(MID(LEFT(Table1[[#This Row],[Unique ID]], FIND("/", Table1[[#This Row],[Unique ID]]) - 1), 2, LEN(Table1[[#This Row],[Unique ID]])))</f>
        <v>3</v>
      </c>
      <c r="I185" s="3" t="s">
        <v>36</v>
      </c>
      <c r="J185" s="3"/>
      <c r="K185" s="3" t="s">
        <v>62</v>
      </c>
      <c r="L185" s="3" t="s">
        <v>751</v>
      </c>
      <c r="M185" s="24">
        <v>65000</v>
      </c>
      <c r="N185" s="3" t="s">
        <v>752</v>
      </c>
      <c r="O185" s="41">
        <v>6</v>
      </c>
      <c r="P185" s="3" t="s">
        <v>56</v>
      </c>
      <c r="Q185" s="3">
        <v>2017</v>
      </c>
      <c r="R185" s="3"/>
      <c r="S185" s="3" t="s">
        <v>507</v>
      </c>
      <c r="T185" s="33"/>
      <c r="U185" s="4"/>
      <c r="V185" s="4"/>
      <c r="W185" s="3"/>
      <c r="X185" s="4"/>
      <c r="Y185" s="4"/>
    </row>
    <row r="186" spans="1:25">
      <c r="A186" s="3">
        <v>185</v>
      </c>
      <c r="B186" s="3" t="s">
        <v>674</v>
      </c>
      <c r="C186" s="3" t="s">
        <v>747</v>
      </c>
      <c r="D186" s="3" t="s">
        <v>748</v>
      </c>
      <c r="E186" s="3" t="s">
        <v>749</v>
      </c>
      <c r="F186" s="3" t="s">
        <v>750</v>
      </c>
      <c r="G186" s="3" t="s">
        <v>61</v>
      </c>
      <c r="H186" s="3">
        <f>VALUE(MID(LEFT(Table1[[#This Row],[Unique ID]], FIND("/", Table1[[#This Row],[Unique ID]]) - 1), 2, LEN(Table1[[#This Row],[Unique ID]])))</f>
        <v>3</v>
      </c>
      <c r="I186" s="3" t="s">
        <v>36</v>
      </c>
      <c r="J186" s="3"/>
      <c r="K186" s="3" t="s">
        <v>38</v>
      </c>
      <c r="L186" s="3" t="s">
        <v>753</v>
      </c>
      <c r="M186" s="24"/>
      <c r="N186" s="3"/>
      <c r="O186" s="41"/>
      <c r="P186" s="3" t="s">
        <v>42</v>
      </c>
      <c r="Q186" s="3">
        <v>2018</v>
      </c>
      <c r="R186" s="3"/>
      <c r="S186" s="3" t="s">
        <v>507</v>
      </c>
      <c r="T186" s="33"/>
      <c r="U186" s="4"/>
      <c r="V186" s="4"/>
      <c r="W186" s="3"/>
      <c r="X186" s="4"/>
      <c r="Y186" s="4"/>
    </row>
    <row r="187" spans="1:25">
      <c r="A187" s="3">
        <v>186</v>
      </c>
      <c r="B187" s="3" t="s">
        <v>674</v>
      </c>
      <c r="C187" s="3" t="s">
        <v>747</v>
      </c>
      <c r="D187" s="3" t="s">
        <v>748</v>
      </c>
      <c r="E187" s="3" t="s">
        <v>749</v>
      </c>
      <c r="F187" s="3" t="s">
        <v>750</v>
      </c>
      <c r="G187" s="3" t="s">
        <v>61</v>
      </c>
      <c r="H187" s="3">
        <f>VALUE(MID(LEFT(Table1[[#This Row],[Unique ID]], FIND("/", Table1[[#This Row],[Unique ID]]) - 1), 2, LEN(Table1[[#This Row],[Unique ID]])))</f>
        <v>3</v>
      </c>
      <c r="I187" s="3" t="s">
        <v>36</v>
      </c>
      <c r="J187" s="3"/>
      <c r="K187" s="3" t="s">
        <v>62</v>
      </c>
      <c r="L187" s="3" t="s">
        <v>754</v>
      </c>
      <c r="M187" s="24">
        <v>50000</v>
      </c>
      <c r="N187" s="3" t="s">
        <v>755</v>
      </c>
      <c r="O187" s="41">
        <v>7</v>
      </c>
      <c r="P187" s="3" t="s">
        <v>56</v>
      </c>
      <c r="Q187" s="3">
        <v>2018</v>
      </c>
      <c r="R187" s="3"/>
      <c r="S187" s="3" t="s">
        <v>507</v>
      </c>
      <c r="T187" s="33"/>
      <c r="U187" s="4"/>
      <c r="V187" s="4"/>
      <c r="W187" s="3"/>
      <c r="X187" s="4"/>
      <c r="Y187" s="4"/>
    </row>
    <row r="188" spans="1:25">
      <c r="A188" s="3">
        <v>187</v>
      </c>
      <c r="B188" s="3" t="s">
        <v>674</v>
      </c>
      <c r="C188" s="3" t="s">
        <v>747</v>
      </c>
      <c r="D188" s="3" t="s">
        <v>748</v>
      </c>
      <c r="E188" s="3" t="s">
        <v>749</v>
      </c>
      <c r="F188" s="3" t="s">
        <v>750</v>
      </c>
      <c r="G188" s="3" t="s">
        <v>61</v>
      </c>
      <c r="H188" s="3">
        <f>VALUE(MID(LEFT(Table1[[#This Row],[Unique ID]], FIND("/", Table1[[#This Row],[Unique ID]]) - 1), 2, LEN(Table1[[#This Row],[Unique ID]])))</f>
        <v>3</v>
      </c>
      <c r="I188" s="3" t="s">
        <v>36</v>
      </c>
      <c r="J188" s="3"/>
      <c r="K188" s="3" t="s">
        <v>62</v>
      </c>
      <c r="L188" s="3" t="s">
        <v>756</v>
      </c>
      <c r="M188" s="24">
        <v>63000</v>
      </c>
      <c r="N188" s="3" t="s">
        <v>757</v>
      </c>
      <c r="O188" s="41">
        <v>9</v>
      </c>
      <c r="P188" s="3" t="s">
        <v>56</v>
      </c>
      <c r="Q188" s="3">
        <v>2018</v>
      </c>
      <c r="R188" s="3"/>
      <c r="S188" s="3" t="s">
        <v>507</v>
      </c>
      <c r="T188" s="33"/>
      <c r="U188" s="4"/>
      <c r="V188" s="4"/>
      <c r="W188" s="3"/>
      <c r="X188" s="4"/>
      <c r="Y188" s="4"/>
    </row>
    <row r="189" spans="1:25">
      <c r="A189" s="3">
        <v>188</v>
      </c>
      <c r="B189" s="3" t="s">
        <v>694</v>
      </c>
      <c r="C189" s="3" t="s">
        <v>747</v>
      </c>
      <c r="D189" s="3" t="s">
        <v>748</v>
      </c>
      <c r="E189" s="3" t="s">
        <v>749</v>
      </c>
      <c r="F189" s="3" t="s">
        <v>750</v>
      </c>
      <c r="G189" s="3" t="s">
        <v>61</v>
      </c>
      <c r="H189" s="3">
        <f>VALUE(MID(LEFT(Table1[[#This Row],[Unique ID]], FIND("/", Table1[[#This Row],[Unique ID]]) - 1), 2, LEN(Table1[[#This Row],[Unique ID]])))</f>
        <v>3</v>
      </c>
      <c r="I189" s="3" t="s">
        <v>36</v>
      </c>
      <c r="J189" s="3"/>
      <c r="K189" s="3" t="s">
        <v>62</v>
      </c>
      <c r="L189" s="3" t="s">
        <v>758</v>
      </c>
      <c r="M189" s="24">
        <v>29989.58</v>
      </c>
      <c r="N189" s="3" t="s">
        <v>759</v>
      </c>
      <c r="O189" s="41">
        <v>8</v>
      </c>
      <c r="P189" s="3" t="s">
        <v>56</v>
      </c>
      <c r="Q189" s="3">
        <v>2018</v>
      </c>
      <c r="R189" s="3"/>
      <c r="S189" s="3" t="s">
        <v>507</v>
      </c>
      <c r="T189" s="33"/>
      <c r="U189" s="4"/>
      <c r="V189" s="4"/>
      <c r="W189" s="3"/>
      <c r="X189" s="4"/>
      <c r="Y189" s="4"/>
    </row>
    <row r="190" spans="1:25">
      <c r="A190" s="3">
        <v>189</v>
      </c>
      <c r="B190" s="3" t="s">
        <v>694</v>
      </c>
      <c r="C190" s="3" t="s">
        <v>760</v>
      </c>
      <c r="D190" s="3" t="s">
        <v>761</v>
      </c>
      <c r="E190" s="3" t="s">
        <v>762</v>
      </c>
      <c r="F190" s="3" t="s">
        <v>763</v>
      </c>
      <c r="G190" s="3" t="s">
        <v>61</v>
      </c>
      <c r="H190" s="3">
        <f>VALUE(MID(LEFT(Table1[[#This Row],[Unique ID]], FIND("/", Table1[[#This Row],[Unique ID]]) - 1), 2, LEN(Table1[[#This Row],[Unique ID]])))</f>
        <v>3</v>
      </c>
      <c r="I190" s="3" t="s">
        <v>81</v>
      </c>
      <c r="J190" s="3"/>
      <c r="K190" s="3" t="s">
        <v>62</v>
      </c>
      <c r="L190" s="3" t="s">
        <v>764</v>
      </c>
      <c r="M190" s="24">
        <v>80499</v>
      </c>
      <c r="N190" s="3" t="s">
        <v>765</v>
      </c>
      <c r="O190" s="41">
        <v>5</v>
      </c>
      <c r="P190" s="3" t="s">
        <v>56</v>
      </c>
      <c r="Q190" s="3">
        <v>2018</v>
      </c>
      <c r="R190" s="3"/>
      <c r="S190" s="3" t="s">
        <v>507</v>
      </c>
      <c r="T190" s="33"/>
      <c r="U190" s="4"/>
      <c r="V190" s="4"/>
      <c r="W190" s="3"/>
      <c r="X190" s="4"/>
      <c r="Y190" s="4"/>
    </row>
    <row r="191" spans="1:25">
      <c r="A191" s="3">
        <v>190</v>
      </c>
      <c r="B191" s="3" t="s">
        <v>674</v>
      </c>
      <c r="C191" s="3" t="s">
        <v>766</v>
      </c>
      <c r="D191" s="3" t="s">
        <v>767</v>
      </c>
      <c r="E191" s="3"/>
      <c r="F191" s="3" t="s">
        <v>768</v>
      </c>
      <c r="G191" s="3" t="s">
        <v>35</v>
      </c>
      <c r="H191" s="3">
        <f>VALUE(MID(LEFT(Table1[[#This Row],[Unique ID]], FIND("/", Table1[[#This Row],[Unique ID]]) - 1), 2, LEN(Table1[[#This Row],[Unique ID]])))</f>
        <v>1</v>
      </c>
      <c r="I191" s="3" t="s">
        <v>110</v>
      </c>
      <c r="J191" s="3"/>
      <c r="K191" s="3" t="s">
        <v>164</v>
      </c>
      <c r="L191" s="3" t="s">
        <v>769</v>
      </c>
      <c r="M191" s="24"/>
      <c r="N191" s="3" t="s">
        <v>770</v>
      </c>
      <c r="O191" s="41"/>
      <c r="P191" s="3" t="s">
        <v>160</v>
      </c>
      <c r="Q191" s="3">
        <v>2018</v>
      </c>
      <c r="R191" s="3"/>
      <c r="S191" s="3" t="s">
        <v>507</v>
      </c>
      <c r="T191" s="33"/>
      <c r="U191" s="4"/>
      <c r="V191" s="4"/>
      <c r="W191" s="3"/>
      <c r="X191" s="4"/>
      <c r="Y191" s="4"/>
    </row>
    <row r="192" spans="1:25">
      <c r="A192" s="3">
        <v>191</v>
      </c>
      <c r="B192" s="3" t="s">
        <v>694</v>
      </c>
      <c r="C192" s="3" t="s">
        <v>766</v>
      </c>
      <c r="D192" s="3" t="s">
        <v>767</v>
      </c>
      <c r="E192" s="3"/>
      <c r="F192" s="3" t="s">
        <v>768</v>
      </c>
      <c r="G192" s="3" t="s">
        <v>35</v>
      </c>
      <c r="H192" s="3">
        <f>VALUE(MID(LEFT(Table1[[#This Row],[Unique ID]], FIND("/", Table1[[#This Row],[Unique ID]]) - 1), 2, LEN(Table1[[#This Row],[Unique ID]])))</f>
        <v>1</v>
      </c>
      <c r="I192" s="3" t="s">
        <v>110</v>
      </c>
      <c r="J192" s="3"/>
      <c r="K192" s="3" t="s">
        <v>164</v>
      </c>
      <c r="L192" s="3" t="s">
        <v>771</v>
      </c>
      <c r="M192" s="24"/>
      <c r="N192" s="3" t="s">
        <v>772</v>
      </c>
      <c r="O192" s="41">
        <v>6</v>
      </c>
      <c r="P192" s="3" t="s">
        <v>160</v>
      </c>
      <c r="Q192" s="3">
        <v>2018</v>
      </c>
      <c r="R192" s="3"/>
      <c r="S192" s="3" t="s">
        <v>507</v>
      </c>
      <c r="T192" s="33"/>
      <c r="U192" s="4"/>
      <c r="V192" s="4"/>
      <c r="W192" s="3"/>
      <c r="X192" s="4"/>
      <c r="Y192" s="4"/>
    </row>
    <row r="193" spans="1:25">
      <c r="A193" s="3">
        <v>192</v>
      </c>
      <c r="B193" s="3" t="s">
        <v>773</v>
      </c>
      <c r="C193" s="3" t="s">
        <v>774</v>
      </c>
      <c r="D193" s="3" t="s">
        <v>775</v>
      </c>
      <c r="E193" s="3"/>
      <c r="F193" s="3" t="s">
        <v>775</v>
      </c>
      <c r="G193" s="3" t="s">
        <v>61</v>
      </c>
      <c r="H193" s="3">
        <f>VALUE(MID(LEFT(Table1[[#This Row],[Unique ID]], FIND("/", Table1[[#This Row],[Unique ID]]) - 1), 2, LEN(Table1[[#This Row],[Unique ID]])))</f>
        <v>3</v>
      </c>
      <c r="I193" s="3" t="s">
        <v>36</v>
      </c>
      <c r="J193" s="3"/>
      <c r="K193" s="3" t="s">
        <v>62</v>
      </c>
      <c r="L193" s="3" t="s">
        <v>776</v>
      </c>
      <c r="M193" s="24">
        <v>100000</v>
      </c>
      <c r="N193" s="3" t="s">
        <v>777</v>
      </c>
      <c r="O193" s="41">
        <v>12</v>
      </c>
      <c r="P193" s="3" t="s">
        <v>56</v>
      </c>
      <c r="Q193" s="3">
        <v>2019</v>
      </c>
      <c r="R193" s="3"/>
      <c r="S193" s="3" t="s">
        <v>507</v>
      </c>
      <c r="T193" s="33"/>
      <c r="U193" s="4"/>
      <c r="V193" s="4"/>
      <c r="W193" s="3"/>
      <c r="X193" s="4"/>
      <c r="Y193" s="4"/>
    </row>
    <row r="194" spans="1:25">
      <c r="A194" s="3">
        <v>193</v>
      </c>
      <c r="B194" s="3" t="s">
        <v>773</v>
      </c>
      <c r="C194" s="3" t="s">
        <v>747</v>
      </c>
      <c r="D194" s="3" t="s">
        <v>748</v>
      </c>
      <c r="E194" s="3" t="s">
        <v>749</v>
      </c>
      <c r="F194" s="3" t="s">
        <v>778</v>
      </c>
      <c r="G194" s="3" t="s">
        <v>61</v>
      </c>
      <c r="H194" s="3">
        <f>VALUE(MID(LEFT(Table1[[#This Row],[Unique ID]], FIND("/", Table1[[#This Row],[Unique ID]]) - 1), 2, LEN(Table1[[#This Row],[Unique ID]])))</f>
        <v>3</v>
      </c>
      <c r="I194" s="3" t="s">
        <v>36</v>
      </c>
      <c r="J194" s="3"/>
      <c r="K194" s="3"/>
      <c r="L194" s="3" t="s">
        <v>160</v>
      </c>
      <c r="M194" s="24">
        <v>0</v>
      </c>
      <c r="N194" s="3" t="s">
        <v>779</v>
      </c>
      <c r="O194" s="41"/>
      <c r="P194" s="3" t="s">
        <v>160</v>
      </c>
      <c r="Q194" s="3">
        <v>2019</v>
      </c>
      <c r="R194" s="3"/>
      <c r="S194" s="3" t="s">
        <v>507</v>
      </c>
      <c r="T194" s="33"/>
      <c r="U194" s="4"/>
      <c r="V194" s="4"/>
      <c r="W194" s="3"/>
      <c r="X194" s="4"/>
      <c r="Y194" s="4"/>
    </row>
    <row r="195" spans="1:25">
      <c r="A195" s="3">
        <v>194</v>
      </c>
      <c r="B195" s="3" t="s">
        <v>780</v>
      </c>
      <c r="C195" s="3" t="s">
        <v>747</v>
      </c>
      <c r="D195" s="3" t="s">
        <v>748</v>
      </c>
      <c r="E195" s="3" t="s">
        <v>749</v>
      </c>
      <c r="F195" s="3" t="s">
        <v>778</v>
      </c>
      <c r="G195" s="3" t="s">
        <v>61</v>
      </c>
      <c r="H195" s="3">
        <f>VALUE(MID(LEFT(Table1[[#This Row],[Unique ID]], FIND("/", Table1[[#This Row],[Unique ID]]) - 1), 2, LEN(Table1[[#This Row],[Unique ID]])))</f>
        <v>3</v>
      </c>
      <c r="I195" s="3" t="s">
        <v>36</v>
      </c>
      <c r="J195" s="3"/>
      <c r="K195" s="3" t="s">
        <v>164</v>
      </c>
      <c r="L195" s="3" t="s">
        <v>781</v>
      </c>
      <c r="M195" s="24"/>
      <c r="N195" s="3" t="s">
        <v>782</v>
      </c>
      <c r="O195" s="41"/>
      <c r="P195" s="3" t="s">
        <v>42</v>
      </c>
      <c r="Q195" s="3">
        <v>2019</v>
      </c>
      <c r="R195" s="3"/>
      <c r="S195" s="3" t="s">
        <v>507</v>
      </c>
      <c r="T195" s="33"/>
      <c r="U195" s="4"/>
      <c r="V195" s="4"/>
      <c r="W195" s="3"/>
      <c r="X195" s="4"/>
      <c r="Y195" s="4"/>
    </row>
    <row r="196" spans="1:25">
      <c r="A196" s="3">
        <v>195</v>
      </c>
      <c r="B196" s="3" t="s">
        <v>780</v>
      </c>
      <c r="C196" s="3" t="s">
        <v>747</v>
      </c>
      <c r="D196" s="3" t="s">
        <v>748</v>
      </c>
      <c r="E196" s="3" t="s">
        <v>749</v>
      </c>
      <c r="F196" s="3" t="s">
        <v>778</v>
      </c>
      <c r="G196" s="3" t="s">
        <v>61</v>
      </c>
      <c r="H196" s="3">
        <f>VALUE(MID(LEFT(Table1[[#This Row],[Unique ID]], FIND("/", Table1[[#This Row],[Unique ID]]) - 1), 2, LEN(Table1[[#This Row],[Unique ID]])))</f>
        <v>3</v>
      </c>
      <c r="I196" s="3" t="s">
        <v>36</v>
      </c>
      <c r="J196" s="3"/>
      <c r="K196" s="3" t="s">
        <v>38</v>
      </c>
      <c r="L196" s="3" t="s">
        <v>781</v>
      </c>
      <c r="M196" s="24"/>
      <c r="N196" s="3" t="s">
        <v>783</v>
      </c>
      <c r="O196" s="41"/>
      <c r="P196" s="3" t="s">
        <v>42</v>
      </c>
      <c r="Q196" s="3">
        <v>2019</v>
      </c>
      <c r="R196" s="3"/>
      <c r="S196" s="3" t="s">
        <v>507</v>
      </c>
      <c r="T196" s="33"/>
      <c r="U196" s="4"/>
      <c r="V196" s="4"/>
      <c r="W196" s="3"/>
      <c r="X196" s="4"/>
      <c r="Y196" s="4"/>
    </row>
    <row r="197" spans="1:25">
      <c r="A197" s="3">
        <v>196</v>
      </c>
      <c r="B197" s="3" t="s">
        <v>784</v>
      </c>
      <c r="C197" s="3" t="s">
        <v>747</v>
      </c>
      <c r="D197" s="3" t="s">
        <v>748</v>
      </c>
      <c r="E197" s="3" t="s">
        <v>749</v>
      </c>
      <c r="F197" s="3" t="s">
        <v>778</v>
      </c>
      <c r="G197" s="3" t="s">
        <v>61</v>
      </c>
      <c r="H197" s="3">
        <f>VALUE(MID(LEFT(Table1[[#This Row],[Unique ID]], FIND("/", Table1[[#This Row],[Unique ID]]) - 1), 2, LEN(Table1[[#This Row],[Unique ID]])))</f>
        <v>3</v>
      </c>
      <c r="I197" s="3" t="s">
        <v>36</v>
      </c>
      <c r="J197" s="3"/>
      <c r="K197" s="3" t="s">
        <v>62</v>
      </c>
      <c r="L197" s="3" t="s">
        <v>785</v>
      </c>
      <c r="M197" s="24">
        <v>25000</v>
      </c>
      <c r="N197" s="3" t="s">
        <v>786</v>
      </c>
      <c r="O197" s="41">
        <v>6</v>
      </c>
      <c r="P197" s="3" t="s">
        <v>56</v>
      </c>
      <c r="Q197" s="3">
        <v>2019</v>
      </c>
      <c r="R197" s="3"/>
      <c r="S197" s="3" t="s">
        <v>507</v>
      </c>
      <c r="T197" s="33"/>
      <c r="U197" s="4"/>
      <c r="V197" s="4"/>
      <c r="W197" s="3"/>
      <c r="X197" s="4"/>
      <c r="Y197" s="4"/>
    </row>
    <row r="198" spans="1:25">
      <c r="A198" s="3">
        <v>197</v>
      </c>
      <c r="B198" s="3" t="s">
        <v>773</v>
      </c>
      <c r="C198" s="3" t="s">
        <v>741</v>
      </c>
      <c r="D198" s="3" t="s">
        <v>742</v>
      </c>
      <c r="E198" s="3" t="s">
        <v>743</v>
      </c>
      <c r="F198" s="3" t="s">
        <v>744</v>
      </c>
      <c r="G198" s="3" t="s">
        <v>35</v>
      </c>
      <c r="H198" s="3">
        <f>VALUE(MID(LEFT(Table1[[#This Row],[Unique ID]], FIND("/", Table1[[#This Row],[Unique ID]]) - 1), 2, LEN(Table1[[#This Row],[Unique ID]])))</f>
        <v>3</v>
      </c>
      <c r="I198" s="3" t="s">
        <v>76</v>
      </c>
      <c r="J198" s="3"/>
      <c r="K198" s="3" t="s">
        <v>62</v>
      </c>
      <c r="L198" s="3" t="s">
        <v>787</v>
      </c>
      <c r="M198" s="24"/>
      <c r="N198" s="3" t="s">
        <v>788</v>
      </c>
      <c r="O198" s="41">
        <v>36</v>
      </c>
      <c r="P198" s="3" t="s">
        <v>160</v>
      </c>
      <c r="Q198" s="3">
        <v>2019</v>
      </c>
      <c r="R198" s="3"/>
      <c r="S198" s="3" t="s">
        <v>507</v>
      </c>
      <c r="T198" s="33"/>
      <c r="U198" s="4"/>
      <c r="V198" s="4"/>
      <c r="W198" s="3"/>
      <c r="X198" s="4"/>
      <c r="Y198" s="4"/>
    </row>
    <row r="199" spans="1:25">
      <c r="A199" s="3">
        <v>198</v>
      </c>
      <c r="B199" s="3" t="s">
        <v>773</v>
      </c>
      <c r="C199" s="3" t="s">
        <v>741</v>
      </c>
      <c r="D199" s="3" t="s">
        <v>742</v>
      </c>
      <c r="E199" s="3" t="s">
        <v>743</v>
      </c>
      <c r="F199" s="3" t="s">
        <v>744</v>
      </c>
      <c r="G199" s="3" t="s">
        <v>35</v>
      </c>
      <c r="H199" s="3">
        <f>VALUE(MID(LEFT(Table1[[#This Row],[Unique ID]], FIND("/", Table1[[#This Row],[Unique ID]]) - 1), 2, LEN(Table1[[#This Row],[Unique ID]])))</f>
        <v>3</v>
      </c>
      <c r="I199" s="3" t="s">
        <v>76</v>
      </c>
      <c r="J199" s="3"/>
      <c r="K199" s="3" t="s">
        <v>62</v>
      </c>
      <c r="L199" s="3" t="s">
        <v>789</v>
      </c>
      <c r="M199" s="24">
        <v>100000</v>
      </c>
      <c r="N199" s="3" t="s">
        <v>790</v>
      </c>
      <c r="O199" s="41">
        <v>24</v>
      </c>
      <c r="P199" s="3" t="s">
        <v>56</v>
      </c>
      <c r="Q199" s="3">
        <v>2019</v>
      </c>
      <c r="R199" s="3"/>
      <c r="S199" s="3" t="s">
        <v>507</v>
      </c>
      <c r="T199" s="33"/>
      <c r="U199" s="4"/>
      <c r="V199" s="4"/>
      <c r="W199" s="3"/>
      <c r="X199" s="4"/>
      <c r="Y199" s="4"/>
    </row>
    <row r="200" spans="1:25">
      <c r="A200" s="3">
        <v>199</v>
      </c>
      <c r="B200" s="3" t="s">
        <v>784</v>
      </c>
      <c r="C200" s="3" t="s">
        <v>791</v>
      </c>
      <c r="D200" s="3" t="s">
        <v>792</v>
      </c>
      <c r="E200" s="3"/>
      <c r="F200" s="3" t="s">
        <v>793</v>
      </c>
      <c r="G200" s="3" t="s">
        <v>35</v>
      </c>
      <c r="H200" s="3">
        <f>VALUE(MID(LEFT(Table1[[#This Row],[Unique ID]], FIND("/", Table1[[#This Row],[Unique ID]]) - 1), 2, LEN(Table1[[#This Row],[Unique ID]])))</f>
        <v>1</v>
      </c>
      <c r="I200" s="3" t="s">
        <v>110</v>
      </c>
      <c r="J200" s="3"/>
      <c r="K200" s="3" t="s">
        <v>38</v>
      </c>
      <c r="L200" s="3" t="s">
        <v>794</v>
      </c>
      <c r="M200" s="24">
        <v>2000</v>
      </c>
      <c r="N200" s="3" t="s">
        <v>795</v>
      </c>
      <c r="O200" s="41">
        <v>1</v>
      </c>
      <c r="P200" s="3" t="s">
        <v>42</v>
      </c>
      <c r="Q200" s="3">
        <v>2019</v>
      </c>
      <c r="R200" s="3"/>
      <c r="S200" s="3" t="s">
        <v>507</v>
      </c>
      <c r="T200" s="33"/>
      <c r="U200" s="4"/>
      <c r="V200" s="4"/>
      <c r="W200" s="3"/>
      <c r="X200" s="4"/>
      <c r="Y200" s="4"/>
    </row>
    <row r="201" spans="1:25">
      <c r="A201" s="3">
        <v>200</v>
      </c>
      <c r="B201" s="3" t="s">
        <v>773</v>
      </c>
      <c r="C201" s="3" t="s">
        <v>731</v>
      </c>
      <c r="D201" s="3" t="s">
        <v>732</v>
      </c>
      <c r="E201" s="3" t="s">
        <v>733</v>
      </c>
      <c r="F201" s="3" t="s">
        <v>734</v>
      </c>
      <c r="G201" s="3" t="s">
        <v>35</v>
      </c>
      <c r="H201" s="3">
        <f>VALUE(MID(LEFT(Table1[[#This Row],[Unique ID]], FIND("/", Table1[[#This Row],[Unique ID]]) - 1), 2, LEN(Table1[[#This Row],[Unique ID]])))</f>
        <v>2</v>
      </c>
      <c r="I201" s="3" t="s">
        <v>36</v>
      </c>
      <c r="J201" s="3"/>
      <c r="K201" s="3" t="s">
        <v>164</v>
      </c>
      <c r="L201" s="3" t="s">
        <v>796</v>
      </c>
      <c r="M201" s="24">
        <v>1500</v>
      </c>
      <c r="N201" s="3" t="s">
        <v>797</v>
      </c>
      <c r="O201" s="41">
        <v>5</v>
      </c>
      <c r="P201" s="3" t="s">
        <v>160</v>
      </c>
      <c r="Q201" s="3">
        <v>2019</v>
      </c>
      <c r="R201" s="3"/>
      <c r="S201" s="3" t="s">
        <v>507</v>
      </c>
      <c r="T201" s="33"/>
      <c r="U201" s="4"/>
      <c r="V201" s="4"/>
      <c r="W201" s="3"/>
      <c r="X201" s="4"/>
      <c r="Y201" s="4"/>
    </row>
    <row r="202" spans="1:25">
      <c r="A202" s="3">
        <v>201</v>
      </c>
      <c r="B202" s="3" t="s">
        <v>780</v>
      </c>
      <c r="C202" s="3" t="s">
        <v>235</v>
      </c>
      <c r="D202" s="3" t="s">
        <v>236</v>
      </c>
      <c r="E202" s="3"/>
      <c r="F202" s="3" t="s">
        <v>237</v>
      </c>
      <c r="G202" s="3" t="s">
        <v>35</v>
      </c>
      <c r="H202" s="3">
        <f>VALUE(MID(LEFT(Table1[[#This Row],[Unique ID]], FIND("/", Table1[[#This Row],[Unique ID]]) - 1), 2, LEN(Table1[[#This Row],[Unique ID]])))</f>
        <v>5</v>
      </c>
      <c r="I202" s="3" t="s">
        <v>93</v>
      </c>
      <c r="J202" s="3"/>
      <c r="K202" s="3" t="s">
        <v>62</v>
      </c>
      <c r="L202" s="3" t="s">
        <v>798</v>
      </c>
      <c r="M202" s="24">
        <v>27100</v>
      </c>
      <c r="N202" s="3"/>
      <c r="O202" s="41">
        <v>24</v>
      </c>
      <c r="P202" s="3" t="s">
        <v>56</v>
      </c>
      <c r="Q202" s="3">
        <v>2019</v>
      </c>
      <c r="R202" s="3"/>
      <c r="S202" s="3" t="s">
        <v>507</v>
      </c>
      <c r="T202" s="33"/>
      <c r="U202" s="4"/>
      <c r="V202" s="4"/>
      <c r="W202" s="3"/>
      <c r="X202" s="4"/>
      <c r="Y202" s="4"/>
    </row>
    <row r="203" spans="1:25">
      <c r="A203" s="3">
        <v>202</v>
      </c>
      <c r="B203" s="3" t="s">
        <v>773</v>
      </c>
      <c r="C203" s="3" t="s">
        <v>303</v>
      </c>
      <c r="D203" s="3" t="s">
        <v>304</v>
      </c>
      <c r="E203" s="3"/>
      <c r="F203" s="3" t="s">
        <v>305</v>
      </c>
      <c r="G203" s="3" t="s">
        <v>35</v>
      </c>
      <c r="H203" s="3">
        <f>VALUE(MID(LEFT(Table1[[#This Row],[Unique ID]], FIND("/", Table1[[#This Row],[Unique ID]]) - 1), 2, LEN(Table1[[#This Row],[Unique ID]])))</f>
        <v>4</v>
      </c>
      <c r="I203" s="3" t="s">
        <v>76</v>
      </c>
      <c r="J203" s="3"/>
      <c r="K203" s="3" t="s">
        <v>62</v>
      </c>
      <c r="L203" s="3" t="s">
        <v>799</v>
      </c>
      <c r="M203" s="24">
        <v>25000</v>
      </c>
      <c r="N203" s="3" t="s">
        <v>800</v>
      </c>
      <c r="O203" s="41">
        <v>12</v>
      </c>
      <c r="P203" s="3" t="s">
        <v>56</v>
      </c>
      <c r="Q203" s="3">
        <v>2019</v>
      </c>
      <c r="R203" s="3"/>
      <c r="S203" s="3" t="s">
        <v>507</v>
      </c>
      <c r="T203" s="33"/>
      <c r="U203" s="4"/>
      <c r="V203" s="4"/>
      <c r="W203" s="3"/>
      <c r="X203" s="4"/>
      <c r="Y203" s="4"/>
    </row>
    <row r="204" spans="1:25">
      <c r="A204" s="3">
        <v>203</v>
      </c>
      <c r="B204" s="3" t="s">
        <v>784</v>
      </c>
      <c r="C204" s="3" t="s">
        <v>303</v>
      </c>
      <c r="D204" s="3" t="s">
        <v>304</v>
      </c>
      <c r="E204" s="3"/>
      <c r="F204" s="3" t="s">
        <v>305</v>
      </c>
      <c r="G204" s="3" t="s">
        <v>35</v>
      </c>
      <c r="H204" s="3">
        <f>VALUE(MID(LEFT(Table1[[#This Row],[Unique ID]], FIND("/", Table1[[#This Row],[Unique ID]]) - 1), 2, LEN(Table1[[#This Row],[Unique ID]])))</f>
        <v>4</v>
      </c>
      <c r="I204" s="3" t="s">
        <v>76</v>
      </c>
      <c r="J204" s="3"/>
      <c r="K204" s="3" t="s">
        <v>62</v>
      </c>
      <c r="L204" s="3" t="s">
        <v>801</v>
      </c>
      <c r="M204" s="24">
        <v>18000</v>
      </c>
      <c r="N204" s="3" t="s">
        <v>802</v>
      </c>
      <c r="O204" s="41">
        <v>12</v>
      </c>
      <c r="P204" s="3" t="s">
        <v>56</v>
      </c>
      <c r="Q204" s="3">
        <v>2019</v>
      </c>
      <c r="R204" s="3"/>
      <c r="S204" s="3" t="s">
        <v>507</v>
      </c>
      <c r="T204" s="33"/>
      <c r="U204" s="4"/>
      <c r="V204" s="4"/>
      <c r="W204" s="3"/>
      <c r="X204" s="4"/>
      <c r="Y204" s="4"/>
    </row>
    <row r="205" spans="1:25">
      <c r="A205" s="3">
        <v>204</v>
      </c>
      <c r="B205" s="3" t="s">
        <v>686</v>
      </c>
      <c r="C205" s="3" t="s">
        <v>803</v>
      </c>
      <c r="D205" s="3" t="s">
        <v>804</v>
      </c>
      <c r="E205" s="3"/>
      <c r="F205" s="3" t="s">
        <v>109</v>
      </c>
      <c r="G205" s="3" t="s">
        <v>35</v>
      </c>
      <c r="H205" s="3">
        <f>VALUE(MID(LEFT(Table1[[#This Row],[Unique ID]], FIND("/", Table1[[#This Row],[Unique ID]]) - 1), 2, LEN(Table1[[#This Row],[Unique ID]])))</f>
        <v>5</v>
      </c>
      <c r="I205" s="3" t="s">
        <v>110</v>
      </c>
      <c r="J205" s="3" t="s">
        <v>229</v>
      </c>
      <c r="K205" s="3" t="s">
        <v>62</v>
      </c>
      <c r="L205" s="3" t="s">
        <v>805</v>
      </c>
      <c r="M205" s="24">
        <v>79320</v>
      </c>
      <c r="N205" s="3" t="s">
        <v>806</v>
      </c>
      <c r="O205" s="41" t="s">
        <v>441</v>
      </c>
      <c r="P205" s="3" t="s">
        <v>56</v>
      </c>
      <c r="Q205" s="3">
        <v>2017</v>
      </c>
      <c r="R205" s="3"/>
      <c r="S205" s="3" t="s">
        <v>43</v>
      </c>
      <c r="T205" s="33"/>
      <c r="U205" s="4"/>
      <c r="V205" s="4"/>
      <c r="W205" s="3"/>
      <c r="X205" s="4"/>
      <c r="Y205" s="4"/>
    </row>
    <row r="206" spans="1:25">
      <c r="A206" s="3">
        <v>205</v>
      </c>
      <c r="B206" s="3" t="s">
        <v>686</v>
      </c>
      <c r="C206" s="3" t="s">
        <v>414</v>
      </c>
      <c r="D206" s="3" t="s">
        <v>415</v>
      </c>
      <c r="E206" s="3" t="s">
        <v>74</v>
      </c>
      <c r="F206" s="3" t="s">
        <v>416</v>
      </c>
      <c r="G206" s="3" t="s">
        <v>61</v>
      </c>
      <c r="H206" s="3">
        <f>VALUE(MID(LEFT(Table1[[#This Row],[Unique ID]], FIND("/", Table1[[#This Row],[Unique ID]]) - 1), 2, LEN(Table1[[#This Row],[Unique ID]])))</f>
        <v>7</v>
      </c>
      <c r="I206" s="3" t="s">
        <v>110</v>
      </c>
      <c r="J206" s="3" t="s">
        <v>49</v>
      </c>
      <c r="K206" s="3" t="s">
        <v>164</v>
      </c>
      <c r="L206" s="3" t="s">
        <v>807</v>
      </c>
      <c r="M206" s="24">
        <v>243</v>
      </c>
      <c r="N206" s="3" t="s">
        <v>808</v>
      </c>
      <c r="O206" s="41"/>
      <c r="P206" s="3" t="s">
        <v>160</v>
      </c>
      <c r="Q206" s="3">
        <v>2017</v>
      </c>
      <c r="R206" s="3"/>
      <c r="S206" s="3" t="s">
        <v>43</v>
      </c>
      <c r="T206" s="33"/>
      <c r="U206" s="4"/>
      <c r="V206" s="4"/>
      <c r="W206" s="3"/>
      <c r="X206" s="4"/>
      <c r="Y206" s="4"/>
    </row>
    <row r="207" spans="1:25">
      <c r="A207" s="3">
        <v>206</v>
      </c>
      <c r="B207" s="3" t="s">
        <v>44</v>
      </c>
      <c r="C207" s="3" t="s">
        <v>326</v>
      </c>
      <c r="D207" s="3" t="s">
        <v>327</v>
      </c>
      <c r="E207" s="3" t="s">
        <v>328</v>
      </c>
      <c r="F207" s="3" t="s">
        <v>329</v>
      </c>
      <c r="G207" s="3" t="s">
        <v>61</v>
      </c>
      <c r="H207" s="3">
        <f>VALUE(MID(LEFT(Table1[[#This Row],[Unique ID]], FIND("/", Table1[[#This Row],[Unique ID]]) - 1), 2, LEN(Table1[[#This Row],[Unique ID]])))</f>
        <v>6</v>
      </c>
      <c r="I207" s="3" t="s">
        <v>76</v>
      </c>
      <c r="J207" s="3" t="s">
        <v>76</v>
      </c>
      <c r="K207" s="3" t="s">
        <v>62</v>
      </c>
      <c r="L207" s="3" t="s">
        <v>809</v>
      </c>
      <c r="M207" s="24">
        <v>100000</v>
      </c>
      <c r="N207" s="3" t="s">
        <v>810</v>
      </c>
      <c r="O207" s="41">
        <v>18</v>
      </c>
      <c r="P207" s="3" t="s">
        <v>56</v>
      </c>
      <c r="Q207" s="3">
        <v>2018</v>
      </c>
      <c r="R207" s="3"/>
      <c r="S207" s="3" t="s">
        <v>43</v>
      </c>
      <c r="T207" s="33"/>
      <c r="U207" s="4"/>
      <c r="V207" s="4"/>
      <c r="W207" s="3"/>
      <c r="X207" s="4"/>
      <c r="Y207" s="4"/>
    </row>
    <row r="208" spans="1:25">
      <c r="A208" s="3">
        <v>207</v>
      </c>
      <c r="B208" s="3" t="s">
        <v>500</v>
      </c>
      <c r="C208" s="3" t="s">
        <v>741</v>
      </c>
      <c r="D208" s="3" t="s">
        <v>742</v>
      </c>
      <c r="E208" s="3" t="s">
        <v>743</v>
      </c>
      <c r="F208" s="3" t="s">
        <v>744</v>
      </c>
      <c r="G208" s="3" t="s">
        <v>35</v>
      </c>
      <c r="H208" s="3">
        <f>VALUE(MID(LEFT(Table1[[#This Row],[Unique ID]], FIND("/", Table1[[#This Row],[Unique ID]]) - 1), 2, LEN(Table1[[#This Row],[Unique ID]])))</f>
        <v>3</v>
      </c>
      <c r="I208" s="3" t="s">
        <v>76</v>
      </c>
      <c r="J208" s="3"/>
      <c r="K208" s="3" t="s">
        <v>62</v>
      </c>
      <c r="L208" s="3" t="s">
        <v>811</v>
      </c>
      <c r="M208" s="24">
        <v>20000</v>
      </c>
      <c r="N208" s="3" t="s">
        <v>76</v>
      </c>
      <c r="O208" s="41">
        <v>12</v>
      </c>
      <c r="P208" s="3" t="s">
        <v>56</v>
      </c>
      <c r="Q208" s="3">
        <v>2019</v>
      </c>
      <c r="R208" s="3"/>
      <c r="S208" s="3" t="s">
        <v>507</v>
      </c>
      <c r="T208" s="33"/>
      <c r="U208" s="4"/>
      <c r="V208" s="4"/>
      <c r="W208" s="3"/>
      <c r="X208" s="4"/>
      <c r="Y208" s="4"/>
    </row>
    <row r="209" spans="1:25">
      <c r="A209" s="3">
        <v>208</v>
      </c>
      <c r="B209" s="3" t="s">
        <v>500</v>
      </c>
      <c r="C209" s="3" t="s">
        <v>812</v>
      </c>
      <c r="D209" s="3" t="s">
        <v>813</v>
      </c>
      <c r="E209" s="3"/>
      <c r="F209" s="3" t="s">
        <v>814</v>
      </c>
      <c r="G209" s="3" t="s">
        <v>61</v>
      </c>
      <c r="H209" s="3">
        <f>VALUE(MID(LEFT(Table1[[#This Row],[Unique ID]], FIND("/", Table1[[#This Row],[Unique ID]]) - 1), 2, LEN(Table1[[#This Row],[Unique ID]])))</f>
        <v>2</v>
      </c>
      <c r="I209" s="3" t="s">
        <v>229</v>
      </c>
      <c r="J209" s="3"/>
      <c r="K209" s="3" t="s">
        <v>62</v>
      </c>
      <c r="L209" s="3" t="s">
        <v>815</v>
      </c>
      <c r="M209" s="24">
        <v>220000</v>
      </c>
      <c r="N209" s="3" t="s">
        <v>70</v>
      </c>
      <c r="O209" s="41">
        <v>36</v>
      </c>
      <c r="P209" s="3" t="s">
        <v>56</v>
      </c>
      <c r="Q209" s="3">
        <v>2019</v>
      </c>
      <c r="R209" s="3"/>
      <c r="S209" s="3" t="s">
        <v>507</v>
      </c>
      <c r="T209" s="33"/>
      <c r="U209" s="4"/>
      <c r="V209" s="4"/>
      <c r="W209" s="3"/>
      <c r="X209" s="4"/>
      <c r="Y209" s="4"/>
    </row>
    <row r="210" spans="1:25">
      <c r="A210" s="3">
        <v>209</v>
      </c>
      <c r="B210" s="3" t="s">
        <v>500</v>
      </c>
      <c r="C210" s="3" t="s">
        <v>303</v>
      </c>
      <c r="D210" s="3" t="s">
        <v>304</v>
      </c>
      <c r="E210" s="3"/>
      <c r="F210" s="3" t="s">
        <v>305</v>
      </c>
      <c r="G210" s="3" t="s">
        <v>35</v>
      </c>
      <c r="H210" s="3">
        <f>VALUE(MID(LEFT(Table1[[#This Row],[Unique ID]], FIND("/", Table1[[#This Row],[Unique ID]]) - 1), 2, LEN(Table1[[#This Row],[Unique ID]])))</f>
        <v>4</v>
      </c>
      <c r="I210" s="3" t="s">
        <v>76</v>
      </c>
      <c r="J210" s="3"/>
      <c r="K210" s="3" t="s">
        <v>62</v>
      </c>
      <c r="L210" s="3" t="s">
        <v>816</v>
      </c>
      <c r="M210" s="24">
        <v>10000</v>
      </c>
      <c r="N210" s="3" t="s">
        <v>817</v>
      </c>
      <c r="O210" s="41">
        <v>12</v>
      </c>
      <c r="P210" s="3" t="s">
        <v>56</v>
      </c>
      <c r="Q210" s="3">
        <v>2019</v>
      </c>
      <c r="R210" s="3"/>
      <c r="S210" s="3" t="s">
        <v>507</v>
      </c>
      <c r="T210" s="33"/>
      <c r="U210" s="4"/>
      <c r="V210" s="4"/>
      <c r="W210" s="3"/>
      <c r="X210" s="4"/>
      <c r="Y210" s="4"/>
    </row>
    <row r="211" spans="1:25">
      <c r="A211" s="3">
        <v>210</v>
      </c>
      <c r="B211" s="3" t="s">
        <v>500</v>
      </c>
      <c r="C211" s="3" t="s">
        <v>818</v>
      </c>
      <c r="D211" s="3" t="s">
        <v>819</v>
      </c>
      <c r="E211" s="3" t="s">
        <v>820</v>
      </c>
      <c r="F211" s="3" t="s">
        <v>821</v>
      </c>
      <c r="G211" s="3" t="s">
        <v>35</v>
      </c>
      <c r="H211" s="3">
        <f>VALUE(MID(LEFT(Table1[[#This Row],[Unique ID]], FIND("/", Table1[[#This Row],[Unique ID]]) - 1), 2, LEN(Table1[[#This Row],[Unique ID]])))</f>
        <v>4</v>
      </c>
      <c r="I211" s="3" t="s">
        <v>541</v>
      </c>
      <c r="J211" s="3"/>
      <c r="K211" s="3" t="s">
        <v>62</v>
      </c>
      <c r="L211" s="3" t="s">
        <v>822</v>
      </c>
      <c r="M211" s="24">
        <v>24990</v>
      </c>
      <c r="N211" s="3" t="s">
        <v>823</v>
      </c>
      <c r="O211" s="41">
        <v>6</v>
      </c>
      <c r="P211" s="3" t="s">
        <v>56</v>
      </c>
      <c r="Q211" s="3">
        <v>2019</v>
      </c>
      <c r="R211" s="3"/>
      <c r="S211" s="3" t="s">
        <v>507</v>
      </c>
      <c r="T211" s="33"/>
      <c r="U211" s="4"/>
      <c r="V211" s="4"/>
      <c r="W211" s="3"/>
      <c r="X211" s="4"/>
      <c r="Y211" s="4"/>
    </row>
    <row r="212" spans="1:25">
      <c r="A212" s="3">
        <v>211</v>
      </c>
      <c r="B212" s="3" t="s">
        <v>500</v>
      </c>
      <c r="C212" s="3" t="s">
        <v>205</v>
      </c>
      <c r="D212" s="3" t="s">
        <v>206</v>
      </c>
      <c r="E212" s="3" t="s">
        <v>207</v>
      </c>
      <c r="F212" s="3" t="s">
        <v>208</v>
      </c>
      <c r="G212" s="3" t="s">
        <v>35</v>
      </c>
      <c r="H212" s="3">
        <f>VALUE(MID(LEFT(Table1[[#This Row],[Unique ID]], FIND("/", Table1[[#This Row],[Unique ID]]) - 1), 2, LEN(Table1[[#This Row],[Unique ID]])))</f>
        <v>5</v>
      </c>
      <c r="I212" s="3" t="s">
        <v>209</v>
      </c>
      <c r="J212" s="3"/>
      <c r="K212" s="3" t="s">
        <v>50</v>
      </c>
      <c r="L212" s="3" t="s">
        <v>824</v>
      </c>
      <c r="M212" s="24">
        <v>391966</v>
      </c>
      <c r="N212" s="3" t="s">
        <v>618</v>
      </c>
      <c r="O212" s="41">
        <v>36</v>
      </c>
      <c r="P212" s="3" t="s">
        <v>56</v>
      </c>
      <c r="Q212" s="3">
        <v>2019</v>
      </c>
      <c r="R212" s="3"/>
      <c r="S212" s="3" t="s">
        <v>507</v>
      </c>
      <c r="T212" s="33"/>
      <c r="U212" s="4"/>
      <c r="V212" s="4"/>
      <c r="W212" s="3"/>
      <c r="X212" s="4"/>
      <c r="Y212" s="4"/>
    </row>
    <row r="213" spans="1:25">
      <c r="A213" s="3">
        <v>212</v>
      </c>
      <c r="B213" s="3" t="s">
        <v>825</v>
      </c>
      <c r="C213" s="3" t="s">
        <v>747</v>
      </c>
      <c r="D213" s="3" t="s">
        <v>748</v>
      </c>
      <c r="E213" s="3" t="s">
        <v>749</v>
      </c>
      <c r="F213" s="3" t="s">
        <v>750</v>
      </c>
      <c r="G213" s="3" t="s">
        <v>61</v>
      </c>
      <c r="H213" s="3">
        <f>VALUE(MID(LEFT(Table1[[#This Row],[Unique ID]], FIND("/", Table1[[#This Row],[Unique ID]]) - 1), 2, LEN(Table1[[#This Row],[Unique ID]])))</f>
        <v>3</v>
      </c>
      <c r="I213" s="3" t="s">
        <v>36</v>
      </c>
      <c r="J213" s="3"/>
      <c r="K213" s="3" t="s">
        <v>62</v>
      </c>
      <c r="L213" s="3" t="s">
        <v>826</v>
      </c>
      <c r="M213" s="24">
        <v>25000</v>
      </c>
      <c r="N213" s="3" t="s">
        <v>786</v>
      </c>
      <c r="O213" s="41" t="s">
        <v>240</v>
      </c>
      <c r="P213" s="3" t="s">
        <v>56</v>
      </c>
      <c r="Q213" s="3">
        <v>2020</v>
      </c>
      <c r="R213" s="3"/>
      <c r="S213" s="3" t="s">
        <v>507</v>
      </c>
      <c r="T213" s="33"/>
      <c r="U213" s="4"/>
      <c r="V213" s="4"/>
      <c r="W213" s="3"/>
      <c r="X213" s="4"/>
      <c r="Y213" s="4"/>
    </row>
    <row r="214" spans="1:25">
      <c r="A214" s="3">
        <v>213</v>
      </c>
      <c r="B214" s="3" t="s">
        <v>825</v>
      </c>
      <c r="C214" s="3" t="s">
        <v>269</v>
      </c>
      <c r="D214" s="3" t="s">
        <v>270</v>
      </c>
      <c r="E214" s="3" t="s">
        <v>827</v>
      </c>
      <c r="F214" s="3" t="s">
        <v>272</v>
      </c>
      <c r="G214" s="3" t="s">
        <v>61</v>
      </c>
      <c r="H214" s="3">
        <f>VALUE(MID(LEFT(Table1[[#This Row],[Unique ID]], FIND("/", Table1[[#This Row],[Unique ID]]) - 1), 2, LEN(Table1[[#This Row],[Unique ID]])))</f>
        <v>6</v>
      </c>
      <c r="I214" s="3" t="s">
        <v>49</v>
      </c>
      <c r="J214" s="3"/>
      <c r="K214" s="3" t="s">
        <v>56</v>
      </c>
      <c r="L214" s="3" t="s">
        <v>828</v>
      </c>
      <c r="M214" s="24">
        <v>65000</v>
      </c>
      <c r="N214" s="3" t="s">
        <v>52</v>
      </c>
      <c r="O214" s="41" t="s">
        <v>106</v>
      </c>
      <c r="P214" s="3" t="s">
        <v>56</v>
      </c>
      <c r="Q214" s="3">
        <v>2020</v>
      </c>
      <c r="R214" s="3"/>
      <c r="S214" s="3" t="s">
        <v>507</v>
      </c>
      <c r="T214" s="33"/>
      <c r="U214" s="4"/>
      <c r="V214" s="4"/>
      <c r="W214" s="3"/>
      <c r="X214" s="4"/>
      <c r="Y214" s="4"/>
    </row>
    <row r="215" spans="1:25">
      <c r="A215" s="3">
        <v>214</v>
      </c>
      <c r="B215" s="3" t="s">
        <v>825</v>
      </c>
      <c r="C215" s="3" t="s">
        <v>766</v>
      </c>
      <c r="D215" s="3" t="s">
        <v>767</v>
      </c>
      <c r="E215" s="3"/>
      <c r="F215" s="3" t="s">
        <v>768</v>
      </c>
      <c r="G215" s="3" t="s">
        <v>35</v>
      </c>
      <c r="H215" s="3">
        <f>VALUE(MID(LEFT(Table1[[#This Row],[Unique ID]], FIND("/", Table1[[#This Row],[Unique ID]]) - 1), 2, LEN(Table1[[#This Row],[Unique ID]])))</f>
        <v>1</v>
      </c>
      <c r="I215" s="3" t="s">
        <v>110</v>
      </c>
      <c r="J215" s="3"/>
      <c r="K215" s="3" t="s">
        <v>62</v>
      </c>
      <c r="L215" s="3" t="s">
        <v>829</v>
      </c>
      <c r="M215" s="24">
        <v>20000</v>
      </c>
      <c r="N215" s="3" t="s">
        <v>830</v>
      </c>
      <c r="O215" s="41" t="s">
        <v>831</v>
      </c>
      <c r="P215" s="3" t="s">
        <v>56</v>
      </c>
      <c r="Q215" s="3">
        <v>2020</v>
      </c>
      <c r="R215" s="3"/>
      <c r="S215" s="3" t="s">
        <v>507</v>
      </c>
      <c r="T215" s="33"/>
      <c r="U215" s="4"/>
      <c r="V215" s="4"/>
      <c r="W215" s="3"/>
      <c r="X215" s="4"/>
      <c r="Y215" s="4"/>
    </row>
    <row r="216" spans="1:25">
      <c r="A216" s="3">
        <v>215</v>
      </c>
      <c r="B216" s="3" t="s">
        <v>825</v>
      </c>
      <c r="C216" s="3" t="s">
        <v>303</v>
      </c>
      <c r="D216" s="3" t="s">
        <v>304</v>
      </c>
      <c r="E216" s="3"/>
      <c r="F216" s="3" t="s">
        <v>305</v>
      </c>
      <c r="G216" s="3" t="s">
        <v>35</v>
      </c>
      <c r="H216" s="3">
        <f>VALUE(MID(LEFT(Table1[[#This Row],[Unique ID]], FIND("/", Table1[[#This Row],[Unique ID]]) - 1), 2, LEN(Table1[[#This Row],[Unique ID]])))</f>
        <v>4</v>
      </c>
      <c r="I216" s="3" t="s">
        <v>76</v>
      </c>
      <c r="J216" s="3"/>
      <c r="K216" s="3" t="s">
        <v>50</v>
      </c>
      <c r="L216" s="3" t="s">
        <v>832</v>
      </c>
      <c r="M216" s="24">
        <v>50000</v>
      </c>
      <c r="N216" s="3" t="s">
        <v>833</v>
      </c>
      <c r="O216" s="41" t="s">
        <v>125</v>
      </c>
      <c r="P216" s="3" t="s">
        <v>53</v>
      </c>
      <c r="Q216" s="3">
        <v>2020</v>
      </c>
      <c r="R216" s="3"/>
      <c r="S216" s="3" t="s">
        <v>507</v>
      </c>
      <c r="T216" s="33"/>
      <c r="U216" s="4"/>
      <c r="V216" s="4"/>
      <c r="W216" s="3"/>
      <c r="X216" s="4"/>
      <c r="Y216" s="4"/>
    </row>
    <row r="217" spans="1:25">
      <c r="A217" s="3">
        <v>216</v>
      </c>
      <c r="B217" s="3" t="s">
        <v>825</v>
      </c>
      <c r="C217" s="3" t="s">
        <v>834</v>
      </c>
      <c r="D217" s="3" t="s">
        <v>835</v>
      </c>
      <c r="E217" s="3"/>
      <c r="F217" s="3" t="s">
        <v>836</v>
      </c>
      <c r="G217" s="3" t="s">
        <v>35</v>
      </c>
      <c r="H217" s="3">
        <f>VALUE(MID(LEFT(Table1[[#This Row],[Unique ID]], FIND("/", Table1[[#This Row],[Unique ID]]) - 1), 2, LEN(Table1[[#This Row],[Unique ID]])))</f>
        <v>4</v>
      </c>
      <c r="I217" s="3" t="s">
        <v>49</v>
      </c>
      <c r="J217" s="3"/>
      <c r="K217" s="3" t="s">
        <v>62</v>
      </c>
      <c r="L217" s="3" t="s">
        <v>837</v>
      </c>
      <c r="M217" s="24">
        <v>0</v>
      </c>
      <c r="N217" s="3" t="s">
        <v>838</v>
      </c>
      <c r="O217" s="41" t="s">
        <v>125</v>
      </c>
      <c r="P217" s="3" t="s">
        <v>56</v>
      </c>
      <c r="Q217" s="3">
        <v>2020</v>
      </c>
      <c r="R217" s="3"/>
      <c r="S217" s="3" t="s">
        <v>507</v>
      </c>
      <c r="T217" s="33"/>
      <c r="U217" s="4"/>
      <c r="V217" s="4"/>
      <c r="W217" s="3"/>
      <c r="X217" s="4"/>
      <c r="Y217" s="4"/>
    </row>
    <row r="218" spans="1:25">
      <c r="A218" s="3">
        <v>217</v>
      </c>
      <c r="B218" s="3" t="s">
        <v>825</v>
      </c>
      <c r="C218" s="3" t="s">
        <v>389</v>
      </c>
      <c r="D218" s="3" t="s">
        <v>390</v>
      </c>
      <c r="E218" s="3" t="s">
        <v>391</v>
      </c>
      <c r="F218" s="3" t="s">
        <v>392</v>
      </c>
      <c r="G218" s="3" t="s">
        <v>61</v>
      </c>
      <c r="H218" s="3">
        <f>VALUE(MID(LEFT(Table1[[#This Row],[Unique ID]], FIND("/", Table1[[#This Row],[Unique ID]]) - 1), 2, LEN(Table1[[#This Row],[Unique ID]])))</f>
        <v>6</v>
      </c>
      <c r="I218" s="3" t="s">
        <v>86</v>
      </c>
      <c r="J218" s="3"/>
      <c r="K218" s="3" t="s">
        <v>164</v>
      </c>
      <c r="L218" s="3" t="s">
        <v>839</v>
      </c>
      <c r="M218" s="24">
        <v>2500</v>
      </c>
      <c r="N218" s="3" t="s">
        <v>840</v>
      </c>
      <c r="O218" s="41" t="s">
        <v>99</v>
      </c>
      <c r="P218" s="3" t="s">
        <v>160</v>
      </c>
      <c r="Q218" s="3">
        <v>2020</v>
      </c>
      <c r="R218" s="3"/>
      <c r="S218" s="3" t="s">
        <v>507</v>
      </c>
      <c r="T218" s="33"/>
      <c r="U218" s="4"/>
      <c r="V218" s="4"/>
      <c r="W218" s="3"/>
      <c r="X218" s="4"/>
      <c r="Y218" s="4"/>
    </row>
    <row r="219" spans="1:25">
      <c r="A219" s="3">
        <v>218</v>
      </c>
      <c r="B219" s="3" t="s">
        <v>841</v>
      </c>
      <c r="C219" s="3" t="s">
        <v>134</v>
      </c>
      <c r="D219" s="3" t="s">
        <v>135</v>
      </c>
      <c r="E219" s="3" t="s">
        <v>842</v>
      </c>
      <c r="F219" s="3" t="s">
        <v>136</v>
      </c>
      <c r="G219" s="3" t="s">
        <v>35</v>
      </c>
      <c r="H219" s="3">
        <f>VALUE(MID(LEFT(Table1[[#This Row],[Unique ID]], FIND("/", Table1[[#This Row],[Unique ID]]) - 1), 2, LEN(Table1[[#This Row],[Unique ID]])))</f>
        <v>4</v>
      </c>
      <c r="I219" s="3" t="s">
        <v>76</v>
      </c>
      <c r="J219" s="3" t="s">
        <v>49</v>
      </c>
      <c r="K219" s="3" t="s">
        <v>62</v>
      </c>
      <c r="L219" s="3" t="s">
        <v>843</v>
      </c>
      <c r="M219" s="24">
        <v>50000</v>
      </c>
      <c r="N219" s="3" t="s">
        <v>844</v>
      </c>
      <c r="O219" s="41">
        <v>6</v>
      </c>
      <c r="P219" s="3" t="s">
        <v>56</v>
      </c>
      <c r="Q219" s="3">
        <v>2020</v>
      </c>
      <c r="R219" s="3"/>
      <c r="S219" s="3" t="s">
        <v>43</v>
      </c>
      <c r="T219" s="33"/>
      <c r="U219" s="4"/>
      <c r="V219" s="4"/>
      <c r="W219" s="3"/>
      <c r="X219" s="4"/>
      <c r="Y219" s="4"/>
    </row>
    <row r="220" spans="1:25">
      <c r="A220" s="3">
        <v>219</v>
      </c>
      <c r="B220" s="3" t="s">
        <v>841</v>
      </c>
      <c r="C220" s="3" t="s">
        <v>141</v>
      </c>
      <c r="D220" s="3" t="s">
        <v>142</v>
      </c>
      <c r="E220" s="3" t="s">
        <v>143</v>
      </c>
      <c r="F220" s="3" t="s">
        <v>144</v>
      </c>
      <c r="G220" s="3" t="s">
        <v>61</v>
      </c>
      <c r="H220" s="3">
        <f>VALUE(MID(LEFT(Table1[[#This Row],[Unique ID]], FIND("/", Table1[[#This Row],[Unique ID]]) - 1), 2, LEN(Table1[[#This Row],[Unique ID]])))</f>
        <v>7</v>
      </c>
      <c r="I220" s="3" t="s">
        <v>37</v>
      </c>
      <c r="J220" s="3" t="s">
        <v>37</v>
      </c>
      <c r="K220" s="3" t="s">
        <v>50</v>
      </c>
      <c r="L220" s="3" t="s">
        <v>845</v>
      </c>
      <c r="M220" s="24">
        <v>10170.120000000001</v>
      </c>
      <c r="N220" s="3" t="s">
        <v>112</v>
      </c>
      <c r="O220" s="41">
        <v>6</v>
      </c>
      <c r="P220" s="3" t="s">
        <v>53</v>
      </c>
      <c r="Q220" s="3">
        <v>2020</v>
      </c>
      <c r="R220" s="3"/>
      <c r="S220" s="3" t="s">
        <v>43</v>
      </c>
      <c r="T220" s="33"/>
      <c r="U220" s="4"/>
      <c r="V220" s="4"/>
      <c r="W220" s="3"/>
      <c r="X220" s="4"/>
      <c r="Y220" s="4"/>
    </row>
    <row r="221" spans="1:25">
      <c r="A221" s="3">
        <v>220</v>
      </c>
      <c r="B221" s="3" t="s">
        <v>841</v>
      </c>
      <c r="C221" s="3" t="s">
        <v>151</v>
      </c>
      <c r="D221" s="3" t="s">
        <v>152</v>
      </c>
      <c r="E221" s="3" t="s">
        <v>153</v>
      </c>
      <c r="F221" s="3" t="s">
        <v>154</v>
      </c>
      <c r="G221" s="3" t="s">
        <v>61</v>
      </c>
      <c r="H221" s="3">
        <f>VALUE(MID(LEFT(Table1[[#This Row],[Unique ID]], FIND("/", Table1[[#This Row],[Unique ID]]) - 1), 2, LEN(Table1[[#This Row],[Unique ID]])))</f>
        <v>7</v>
      </c>
      <c r="I221" s="3" t="s">
        <v>36</v>
      </c>
      <c r="J221" s="3" t="s">
        <v>36</v>
      </c>
      <c r="K221" s="3" t="s">
        <v>62</v>
      </c>
      <c r="L221" s="3" t="s">
        <v>846</v>
      </c>
      <c r="M221" s="24">
        <v>10000</v>
      </c>
      <c r="N221" s="3"/>
      <c r="O221" s="41">
        <v>24</v>
      </c>
      <c r="P221" s="3" t="s">
        <v>56</v>
      </c>
      <c r="Q221" s="3">
        <v>2020</v>
      </c>
      <c r="R221" s="3"/>
      <c r="S221" s="3" t="s">
        <v>43</v>
      </c>
      <c r="T221" s="33"/>
      <c r="U221" s="4"/>
      <c r="V221" s="4"/>
      <c r="W221" s="3"/>
      <c r="X221" s="4"/>
      <c r="Y221" s="4"/>
    </row>
    <row r="222" spans="1:25">
      <c r="A222" s="3">
        <v>221</v>
      </c>
      <c r="B222" s="3" t="s">
        <v>841</v>
      </c>
      <c r="C222" s="3" t="s">
        <v>381</v>
      </c>
      <c r="D222" s="3" t="s">
        <v>382</v>
      </c>
      <c r="E222" s="3" t="s">
        <v>383</v>
      </c>
      <c r="F222" s="3" t="s">
        <v>384</v>
      </c>
      <c r="G222" s="3" t="s">
        <v>61</v>
      </c>
      <c r="H222" s="3">
        <f>VALUE(MID(LEFT(Table1[[#This Row],[Unique ID]], FIND("/", Table1[[#This Row],[Unique ID]]) - 1), 2, LEN(Table1[[#This Row],[Unique ID]])))</f>
        <v>7</v>
      </c>
      <c r="I222" s="3" t="s">
        <v>209</v>
      </c>
      <c r="J222" s="3" t="s">
        <v>49</v>
      </c>
      <c r="K222" s="3" t="s">
        <v>62</v>
      </c>
      <c r="L222" s="3" t="s">
        <v>847</v>
      </c>
      <c r="M222" s="24">
        <v>169562.8</v>
      </c>
      <c r="N222" s="3" t="s">
        <v>848</v>
      </c>
      <c r="O222" s="41">
        <v>12</v>
      </c>
      <c r="P222" s="3" t="s">
        <v>56</v>
      </c>
      <c r="Q222" s="3">
        <v>2020</v>
      </c>
      <c r="R222" s="3"/>
      <c r="S222" s="3" t="s">
        <v>43</v>
      </c>
      <c r="T222" s="33"/>
      <c r="U222" s="4"/>
      <c r="V222" s="4"/>
      <c r="W222" s="3"/>
      <c r="X222" s="4"/>
      <c r="Y222" s="4"/>
    </row>
    <row r="223" spans="1:25">
      <c r="A223" s="3">
        <v>222</v>
      </c>
      <c r="B223" s="3" t="s">
        <v>841</v>
      </c>
      <c r="C223" s="3" t="s">
        <v>394</v>
      </c>
      <c r="D223" s="3" t="s">
        <v>395</v>
      </c>
      <c r="E223" s="3" t="s">
        <v>396</v>
      </c>
      <c r="F223" s="3" t="s">
        <v>397</v>
      </c>
      <c r="G223" s="3" t="s">
        <v>61</v>
      </c>
      <c r="H223" s="3">
        <f>VALUE(MID(LEFT(Table1[[#This Row],[Unique ID]], FIND("/", Table1[[#This Row],[Unique ID]]) - 1), 2, LEN(Table1[[#This Row],[Unique ID]])))</f>
        <v>7</v>
      </c>
      <c r="I223" s="3" t="s">
        <v>93</v>
      </c>
      <c r="J223" s="3" t="s">
        <v>49</v>
      </c>
      <c r="K223" s="3" t="s">
        <v>164</v>
      </c>
      <c r="L223" s="3" t="s">
        <v>849</v>
      </c>
      <c r="M223" s="24">
        <v>2500</v>
      </c>
      <c r="N223" s="3" t="s">
        <v>850</v>
      </c>
      <c r="O223" s="41">
        <v>1</v>
      </c>
      <c r="P223" s="3" t="s">
        <v>42</v>
      </c>
      <c r="Q223" s="3">
        <v>2020</v>
      </c>
      <c r="R223" s="3"/>
      <c r="S223" s="3" t="s">
        <v>43</v>
      </c>
      <c r="T223" s="33"/>
      <c r="U223" s="4"/>
      <c r="V223" s="4"/>
      <c r="W223" s="3"/>
      <c r="X223" s="4"/>
      <c r="Y223" s="4"/>
    </row>
    <row r="224" spans="1:25">
      <c r="A224" s="3">
        <v>223</v>
      </c>
      <c r="B224" s="3" t="s">
        <v>841</v>
      </c>
      <c r="C224" s="3" t="s">
        <v>442</v>
      </c>
      <c r="D224" s="3" t="s">
        <v>443</v>
      </c>
      <c r="E224" s="3" t="s">
        <v>434</v>
      </c>
      <c r="F224" s="3" t="s">
        <v>444</v>
      </c>
      <c r="G224" s="3" t="s">
        <v>35</v>
      </c>
      <c r="H224" s="3">
        <f>VALUE(MID(LEFT(Table1[[#This Row],[Unique ID]], FIND("/", Table1[[#This Row],[Unique ID]]) - 1), 2, LEN(Table1[[#This Row],[Unique ID]])))</f>
        <v>5</v>
      </c>
      <c r="I224" s="3" t="s">
        <v>36</v>
      </c>
      <c r="J224" s="3" t="s">
        <v>36</v>
      </c>
      <c r="K224" s="3" t="s">
        <v>164</v>
      </c>
      <c r="L224" s="3" t="s">
        <v>54</v>
      </c>
      <c r="M224" s="24"/>
      <c r="N224" s="3" t="s">
        <v>851</v>
      </c>
      <c r="O224" s="41"/>
      <c r="P224" s="3" t="s">
        <v>160</v>
      </c>
      <c r="Q224" s="3">
        <v>2020</v>
      </c>
      <c r="R224" s="3"/>
      <c r="S224" s="3" t="s">
        <v>43</v>
      </c>
      <c r="T224" s="33"/>
      <c r="U224" s="4"/>
      <c r="V224" s="4"/>
      <c r="W224" s="3"/>
      <c r="X224" s="4"/>
      <c r="Y224" s="4"/>
    </row>
    <row r="225" spans="1:25">
      <c r="A225" s="3">
        <v>224</v>
      </c>
      <c r="B225" s="3" t="s">
        <v>841</v>
      </c>
      <c r="C225" s="3" t="s">
        <v>489</v>
      </c>
      <c r="D225" s="3" t="s">
        <v>490</v>
      </c>
      <c r="E225" s="3" t="s">
        <v>491</v>
      </c>
      <c r="F225" s="3" t="s">
        <v>492</v>
      </c>
      <c r="G225" s="3" t="s">
        <v>61</v>
      </c>
      <c r="H225" s="3">
        <f>VALUE(MID(LEFT(Table1[[#This Row],[Unique ID]], FIND("/", Table1[[#This Row],[Unique ID]]) - 1), 2, LEN(Table1[[#This Row],[Unique ID]])))</f>
        <v>6</v>
      </c>
      <c r="I225" s="3" t="s">
        <v>49</v>
      </c>
      <c r="J225" s="3" t="s">
        <v>49</v>
      </c>
      <c r="K225" s="3" t="s">
        <v>62</v>
      </c>
      <c r="L225" s="3" t="s">
        <v>852</v>
      </c>
      <c r="M225" s="24">
        <v>7125</v>
      </c>
      <c r="N225" s="3" t="s">
        <v>52</v>
      </c>
      <c r="O225" s="41">
        <v>12</v>
      </c>
      <c r="P225" s="3" t="s">
        <v>56</v>
      </c>
      <c r="Q225" s="3">
        <v>2020</v>
      </c>
      <c r="R225" s="3"/>
      <c r="S225" s="3" t="s">
        <v>43</v>
      </c>
      <c r="T225" s="33"/>
      <c r="U225" s="4"/>
      <c r="V225" s="4"/>
      <c r="W225" s="3"/>
      <c r="X225" s="4"/>
      <c r="Y225" s="4"/>
    </row>
    <row r="226" spans="1:25">
      <c r="A226" s="3">
        <v>225</v>
      </c>
      <c r="B226" s="3" t="s">
        <v>841</v>
      </c>
      <c r="C226" s="3" t="s">
        <v>508</v>
      </c>
      <c r="D226" s="3" t="s">
        <v>509</v>
      </c>
      <c r="E226" s="3" t="s">
        <v>510</v>
      </c>
      <c r="F226" s="3" t="s">
        <v>511</v>
      </c>
      <c r="G226" s="3" t="s">
        <v>35</v>
      </c>
      <c r="H226" s="3">
        <f>VALUE(MID(LEFT(Table1[[#This Row],[Unique ID]], FIND("/", Table1[[#This Row],[Unique ID]]) - 1), 2, LEN(Table1[[#This Row],[Unique ID]])))</f>
        <v>7</v>
      </c>
      <c r="I226" s="3" t="s">
        <v>76</v>
      </c>
      <c r="J226" s="3" t="s">
        <v>37</v>
      </c>
      <c r="K226" s="3" t="s">
        <v>62</v>
      </c>
      <c r="L226" s="3" t="s">
        <v>853</v>
      </c>
      <c r="M226" s="24">
        <v>18000</v>
      </c>
      <c r="N226" s="3" t="s">
        <v>854</v>
      </c>
      <c r="O226" s="41">
        <v>6</v>
      </c>
      <c r="P226" s="3" t="s">
        <v>56</v>
      </c>
      <c r="Q226" s="3">
        <v>2020</v>
      </c>
      <c r="R226" s="3"/>
      <c r="S226" s="3" t="s">
        <v>43</v>
      </c>
      <c r="T226" s="33"/>
      <c r="U226" s="4"/>
      <c r="V226" s="4"/>
      <c r="W226" s="3"/>
      <c r="X226" s="4"/>
      <c r="Y226" s="4"/>
    </row>
    <row r="227" spans="1:25">
      <c r="A227" s="3">
        <v>226</v>
      </c>
      <c r="B227" s="3" t="s">
        <v>841</v>
      </c>
      <c r="C227" s="3" t="s">
        <v>526</v>
      </c>
      <c r="D227" s="3" t="s">
        <v>527</v>
      </c>
      <c r="E227" s="3" t="s">
        <v>528</v>
      </c>
      <c r="F227" s="3" t="s">
        <v>529</v>
      </c>
      <c r="G227" s="3" t="s">
        <v>61</v>
      </c>
      <c r="H227" s="3">
        <f>VALUE(MID(LEFT(Table1[[#This Row],[Unique ID]], FIND("/", Table1[[#This Row],[Unique ID]]) - 1), 2, LEN(Table1[[#This Row],[Unique ID]])))</f>
        <v>7</v>
      </c>
      <c r="I227" s="3" t="s">
        <v>49</v>
      </c>
      <c r="J227" s="3" t="s">
        <v>49</v>
      </c>
      <c r="K227" s="3" t="s">
        <v>62</v>
      </c>
      <c r="L227" s="3" t="s">
        <v>855</v>
      </c>
      <c r="M227" s="24">
        <v>8685.52</v>
      </c>
      <c r="N227" s="3" t="s">
        <v>856</v>
      </c>
      <c r="O227" s="41">
        <v>12</v>
      </c>
      <c r="P227" s="3" t="s">
        <v>56</v>
      </c>
      <c r="Q227" s="3">
        <v>2020</v>
      </c>
      <c r="R227" s="3"/>
      <c r="S227" s="3" t="s">
        <v>43</v>
      </c>
      <c r="T227" s="33"/>
      <c r="U227" s="4"/>
      <c r="V227" s="4"/>
      <c r="W227" s="3"/>
      <c r="X227" s="4"/>
      <c r="Y227" s="4"/>
    </row>
    <row r="228" spans="1:25">
      <c r="A228" s="3">
        <v>227</v>
      </c>
      <c r="B228" s="3" t="s">
        <v>841</v>
      </c>
      <c r="C228" s="3" t="s">
        <v>549</v>
      </c>
      <c r="D228" s="3" t="s">
        <v>550</v>
      </c>
      <c r="E228" s="3" t="s">
        <v>551</v>
      </c>
      <c r="F228" s="3" t="s">
        <v>552</v>
      </c>
      <c r="G228" s="3" t="s">
        <v>61</v>
      </c>
      <c r="H228" s="3">
        <f>VALUE(MID(LEFT(Table1[[#This Row],[Unique ID]], FIND("/", Table1[[#This Row],[Unique ID]]) - 1), 2, LEN(Table1[[#This Row],[Unique ID]])))</f>
        <v>8</v>
      </c>
      <c r="I228" s="3" t="s">
        <v>37</v>
      </c>
      <c r="J228" s="3" t="s">
        <v>37</v>
      </c>
      <c r="K228" s="3" t="s">
        <v>62</v>
      </c>
      <c r="L228" s="3" t="s">
        <v>857</v>
      </c>
      <c r="M228" s="24">
        <v>3000</v>
      </c>
      <c r="N228" s="3" t="s">
        <v>482</v>
      </c>
      <c r="O228" s="41">
        <v>12</v>
      </c>
      <c r="P228" s="3" t="s">
        <v>56</v>
      </c>
      <c r="Q228" s="3">
        <v>2020</v>
      </c>
      <c r="R228" s="3"/>
      <c r="S228" s="3" t="s">
        <v>43</v>
      </c>
      <c r="T228" s="33"/>
      <c r="U228" s="4"/>
      <c r="V228" s="4"/>
      <c r="W228" s="3"/>
      <c r="X228" s="4"/>
      <c r="Y228" s="4"/>
    </row>
    <row r="229" spans="1:25">
      <c r="A229" s="3">
        <v>228</v>
      </c>
      <c r="B229" s="3" t="s">
        <v>841</v>
      </c>
      <c r="C229" s="3" t="s">
        <v>560</v>
      </c>
      <c r="D229" s="3" t="s">
        <v>561</v>
      </c>
      <c r="E229" s="3" t="s">
        <v>562</v>
      </c>
      <c r="F229" s="3" t="s">
        <v>563</v>
      </c>
      <c r="G229" s="3" t="s">
        <v>61</v>
      </c>
      <c r="H229" s="3">
        <f>VALUE(MID(LEFT(Table1[[#This Row],[Unique ID]], FIND("/", Table1[[#This Row],[Unique ID]]) - 1), 2, LEN(Table1[[#This Row],[Unique ID]])))</f>
        <v>8</v>
      </c>
      <c r="I229" s="3" t="s">
        <v>37</v>
      </c>
      <c r="J229" s="3" t="s">
        <v>37</v>
      </c>
      <c r="K229" s="3" t="s">
        <v>62</v>
      </c>
      <c r="L229" s="3" t="s">
        <v>858</v>
      </c>
      <c r="M229" s="24">
        <v>1000</v>
      </c>
      <c r="N229" s="3" t="s">
        <v>482</v>
      </c>
      <c r="O229" s="41">
        <v>24</v>
      </c>
      <c r="P229" s="3" t="s">
        <v>56</v>
      </c>
      <c r="Q229" s="3">
        <v>2020</v>
      </c>
      <c r="R229" s="3"/>
      <c r="S229" s="3" t="s">
        <v>43</v>
      </c>
      <c r="T229" s="33"/>
      <c r="U229" s="4"/>
      <c r="V229" s="4"/>
      <c r="W229" s="3"/>
      <c r="X229" s="4"/>
      <c r="Y229" s="4"/>
    </row>
    <row r="230" spans="1:25">
      <c r="A230" s="3">
        <v>229</v>
      </c>
      <c r="B230" s="3" t="s">
        <v>841</v>
      </c>
      <c r="C230" s="3" t="s">
        <v>598</v>
      </c>
      <c r="D230" s="3" t="s">
        <v>599</v>
      </c>
      <c r="E230" s="3" t="s">
        <v>600</v>
      </c>
      <c r="F230" s="3" t="s">
        <v>601</v>
      </c>
      <c r="G230" s="3" t="s">
        <v>61</v>
      </c>
      <c r="H230" s="3">
        <f>VALUE(MID(LEFT(Table1[[#This Row],[Unique ID]], FIND("/", Table1[[#This Row],[Unique ID]]) - 1), 2, LEN(Table1[[#This Row],[Unique ID]])))</f>
        <v>8</v>
      </c>
      <c r="I230" s="3" t="s">
        <v>36</v>
      </c>
      <c r="J230" s="3" t="s">
        <v>49</v>
      </c>
      <c r="K230" s="3" t="s">
        <v>62</v>
      </c>
      <c r="L230" s="3" t="s">
        <v>859</v>
      </c>
      <c r="M230" s="24">
        <v>9500</v>
      </c>
      <c r="N230" s="3" t="s">
        <v>860</v>
      </c>
      <c r="O230" s="41">
        <v>6</v>
      </c>
      <c r="P230" s="3" t="s">
        <v>56</v>
      </c>
      <c r="Q230" s="3">
        <v>2020</v>
      </c>
      <c r="R230" s="3"/>
      <c r="S230" s="3" t="s">
        <v>43</v>
      </c>
      <c r="T230" s="33"/>
      <c r="U230" s="4"/>
      <c r="V230" s="4"/>
      <c r="W230" s="3"/>
      <c r="X230" s="4"/>
      <c r="Y230" s="4"/>
    </row>
    <row r="231" spans="1:25">
      <c r="A231" s="3">
        <v>230</v>
      </c>
      <c r="B231" s="3" t="s">
        <v>841</v>
      </c>
      <c r="C231" s="3" t="s">
        <v>608</v>
      </c>
      <c r="D231" s="3" t="s">
        <v>609</v>
      </c>
      <c r="E231" s="3" t="s">
        <v>610</v>
      </c>
      <c r="F231" s="3" t="s">
        <v>611</v>
      </c>
      <c r="G231" s="3" t="s">
        <v>35</v>
      </c>
      <c r="H231" s="3">
        <f>VALUE(MID(LEFT(Table1[[#This Row],[Unique ID]], FIND("/", Table1[[#This Row],[Unique ID]]) - 1), 2, LEN(Table1[[#This Row],[Unique ID]])))</f>
        <v>8</v>
      </c>
      <c r="I231" s="3" t="s">
        <v>93</v>
      </c>
      <c r="J231" s="3" t="s">
        <v>93</v>
      </c>
      <c r="K231" s="3" t="s">
        <v>50</v>
      </c>
      <c r="L231" s="3" t="s">
        <v>861</v>
      </c>
      <c r="M231" s="24">
        <v>20000</v>
      </c>
      <c r="N231" s="3" t="s">
        <v>862</v>
      </c>
      <c r="O231" s="41">
        <v>36</v>
      </c>
      <c r="P231" s="3" t="s">
        <v>53</v>
      </c>
      <c r="Q231" s="3">
        <v>2020</v>
      </c>
      <c r="R231" s="3"/>
      <c r="S231" s="3" t="s">
        <v>43</v>
      </c>
      <c r="T231" s="33"/>
      <c r="U231" s="4"/>
      <c r="V231" s="4"/>
      <c r="W231" s="3"/>
      <c r="X231" s="4"/>
      <c r="Y231" s="4"/>
    </row>
    <row r="232" spans="1:25">
      <c r="A232" s="3">
        <v>231</v>
      </c>
      <c r="B232" s="3" t="s">
        <v>841</v>
      </c>
      <c r="C232" s="3" t="s">
        <v>863</v>
      </c>
      <c r="D232" s="3" t="s">
        <v>864</v>
      </c>
      <c r="E232" s="3" t="s">
        <v>865</v>
      </c>
      <c r="F232" s="3" t="s">
        <v>866</v>
      </c>
      <c r="G232" s="3" t="s">
        <v>35</v>
      </c>
      <c r="H232" s="3">
        <f>VALUE(MID(LEFT(Table1[[#This Row],[Unique ID]], FIND("/", Table1[[#This Row],[Unique ID]]) - 1), 2, LEN(Table1[[#This Row],[Unique ID]])))</f>
        <v>9</v>
      </c>
      <c r="I232" s="3" t="s">
        <v>93</v>
      </c>
      <c r="J232" s="3" t="s">
        <v>93</v>
      </c>
      <c r="K232" s="3" t="s">
        <v>62</v>
      </c>
      <c r="L232" s="3" t="s">
        <v>867</v>
      </c>
      <c r="M232" s="24">
        <v>1370</v>
      </c>
      <c r="N232" s="3" t="s">
        <v>868</v>
      </c>
      <c r="O232" s="41">
        <v>12</v>
      </c>
      <c r="P232" s="3" t="s">
        <v>56</v>
      </c>
      <c r="Q232" s="3">
        <v>2020</v>
      </c>
      <c r="R232" s="3"/>
      <c r="S232" s="3" t="s">
        <v>43</v>
      </c>
      <c r="T232" s="33"/>
      <c r="U232" s="4"/>
      <c r="V232" s="4"/>
      <c r="W232" s="3"/>
      <c r="X232" s="4"/>
      <c r="Y232" s="4"/>
    </row>
    <row r="233" spans="1:25">
      <c r="A233" s="3">
        <v>232</v>
      </c>
      <c r="B233" s="3" t="s">
        <v>841</v>
      </c>
      <c r="C233" s="3" t="s">
        <v>637</v>
      </c>
      <c r="D233" s="3" t="s">
        <v>638</v>
      </c>
      <c r="E233" s="3" t="s">
        <v>842</v>
      </c>
      <c r="F233" s="3" t="s">
        <v>639</v>
      </c>
      <c r="G233" s="3" t="s">
        <v>35</v>
      </c>
      <c r="H233" s="3">
        <f>VALUE(MID(LEFT(Table1[[#This Row],[Unique ID]], FIND("/", Table1[[#This Row],[Unique ID]]) - 1), 2, LEN(Table1[[#This Row],[Unique ID]])))</f>
        <v>9</v>
      </c>
      <c r="I233" s="3" t="s">
        <v>110</v>
      </c>
      <c r="J233" s="3" t="s">
        <v>110</v>
      </c>
      <c r="K233" s="3" t="s">
        <v>869</v>
      </c>
      <c r="L233" s="3" t="s">
        <v>870</v>
      </c>
      <c r="M233" s="24"/>
      <c r="N233" s="3" t="s">
        <v>871</v>
      </c>
      <c r="O233" s="41">
        <v>24</v>
      </c>
      <c r="P233" s="3" t="s">
        <v>56</v>
      </c>
      <c r="Q233" s="3">
        <v>2020</v>
      </c>
      <c r="R233" s="3"/>
      <c r="S233" s="3" t="s">
        <v>43</v>
      </c>
      <c r="T233" s="33"/>
      <c r="U233" s="4"/>
      <c r="V233" s="4"/>
      <c r="W233" s="3"/>
      <c r="X233" s="4"/>
      <c r="Y233" s="4"/>
    </row>
    <row r="234" spans="1:25">
      <c r="A234" s="3">
        <v>233</v>
      </c>
      <c r="B234" s="3" t="s">
        <v>841</v>
      </c>
      <c r="C234" s="3" t="s">
        <v>646</v>
      </c>
      <c r="D234" s="3" t="s">
        <v>647</v>
      </c>
      <c r="E234" s="3" t="s">
        <v>648</v>
      </c>
      <c r="F234" s="3" t="s">
        <v>648</v>
      </c>
      <c r="G234" s="3" t="s">
        <v>35</v>
      </c>
      <c r="H234" s="3">
        <f>VALUE(MID(LEFT(Table1[[#This Row],[Unique ID]], FIND("/", Table1[[#This Row],[Unique ID]]) - 1), 2, LEN(Table1[[#This Row],[Unique ID]])))</f>
        <v>9</v>
      </c>
      <c r="I234" s="3" t="s">
        <v>76</v>
      </c>
      <c r="J234" s="3" t="s">
        <v>76</v>
      </c>
      <c r="K234" s="3" t="s">
        <v>62</v>
      </c>
      <c r="L234" s="3" t="s">
        <v>872</v>
      </c>
      <c r="M234" s="24">
        <v>16524.169999999998</v>
      </c>
      <c r="N234" s="3" t="s">
        <v>844</v>
      </c>
      <c r="O234" s="41">
        <v>3</v>
      </c>
      <c r="P234" s="3" t="s">
        <v>56</v>
      </c>
      <c r="Q234" s="3">
        <v>2020</v>
      </c>
      <c r="R234" s="3"/>
      <c r="S234" s="3" t="s">
        <v>43</v>
      </c>
      <c r="T234" s="33"/>
      <c r="U234" s="4"/>
      <c r="V234" s="4"/>
      <c r="W234" s="3"/>
      <c r="X234" s="4"/>
      <c r="Y234" s="4"/>
    </row>
    <row r="235" spans="1:25">
      <c r="A235" s="3">
        <v>234</v>
      </c>
      <c r="B235" s="3" t="s">
        <v>841</v>
      </c>
      <c r="C235" s="3" t="s">
        <v>873</v>
      </c>
      <c r="D235" s="3" t="s">
        <v>874</v>
      </c>
      <c r="E235" s="3" t="s">
        <v>842</v>
      </c>
      <c r="F235" s="3" t="s">
        <v>875</v>
      </c>
      <c r="G235" s="3" t="s">
        <v>35</v>
      </c>
      <c r="H235" s="3">
        <f>VALUE(MID(LEFT(Table1[[#This Row],[Unique ID]], FIND("/", Table1[[#This Row],[Unique ID]]) - 1), 2, LEN(Table1[[#This Row],[Unique ID]])))</f>
        <v>10</v>
      </c>
      <c r="I235" s="3" t="s">
        <v>49</v>
      </c>
      <c r="J235" s="3" t="s">
        <v>49</v>
      </c>
      <c r="K235" s="3" t="s">
        <v>876</v>
      </c>
      <c r="L235" s="3" t="s">
        <v>877</v>
      </c>
      <c r="M235" s="24">
        <v>31000</v>
      </c>
      <c r="N235" s="3" t="s">
        <v>878</v>
      </c>
      <c r="O235" s="41">
        <v>36</v>
      </c>
      <c r="P235" s="3" t="s">
        <v>53</v>
      </c>
      <c r="Q235" s="3">
        <v>2020</v>
      </c>
      <c r="R235" s="3"/>
      <c r="S235" s="3" t="s">
        <v>43</v>
      </c>
      <c r="T235" s="33"/>
      <c r="U235" s="4"/>
      <c r="V235" s="4"/>
      <c r="W235" s="3"/>
      <c r="X235" s="4"/>
      <c r="Y235" s="4"/>
    </row>
    <row r="236" spans="1:25">
      <c r="A236" s="3">
        <v>235</v>
      </c>
      <c r="B236" s="3" t="s">
        <v>841</v>
      </c>
      <c r="C236" s="3" t="s">
        <v>879</v>
      </c>
      <c r="D236" s="3" t="s">
        <v>880</v>
      </c>
      <c r="E236" s="3" t="s">
        <v>881</v>
      </c>
      <c r="F236" s="3" t="s">
        <v>882</v>
      </c>
      <c r="G236" s="3" t="s">
        <v>61</v>
      </c>
      <c r="H236" s="3">
        <f>VALUE(MID(LEFT(Table1[[#This Row],[Unique ID]], FIND("/", Table1[[#This Row],[Unique ID]]) - 1), 2, LEN(Table1[[#This Row],[Unique ID]])))</f>
        <v>10</v>
      </c>
      <c r="I236" s="3" t="s">
        <v>86</v>
      </c>
      <c r="J236" s="3" t="s">
        <v>49</v>
      </c>
      <c r="K236" s="3" t="s">
        <v>62</v>
      </c>
      <c r="L236" s="3" t="s">
        <v>883</v>
      </c>
      <c r="M236" s="24">
        <v>6000</v>
      </c>
      <c r="N236" s="3" t="s">
        <v>884</v>
      </c>
      <c r="O236" s="41">
        <v>36</v>
      </c>
      <c r="P236" s="3" t="s">
        <v>56</v>
      </c>
      <c r="Q236" s="3">
        <v>2020</v>
      </c>
      <c r="R236" s="3"/>
      <c r="S236" s="3" t="s">
        <v>43</v>
      </c>
      <c r="T236" s="33"/>
      <c r="U236" s="4"/>
      <c r="V236" s="4"/>
      <c r="W236" s="3"/>
      <c r="X236" s="4"/>
      <c r="Y236" s="4"/>
    </row>
    <row r="237" spans="1:25">
      <c r="A237" s="3">
        <v>236</v>
      </c>
      <c r="B237" s="3" t="s">
        <v>841</v>
      </c>
      <c r="C237" s="3" t="s">
        <v>885</v>
      </c>
      <c r="D237" s="3" t="s">
        <v>886</v>
      </c>
      <c r="E237" s="3"/>
      <c r="F237" s="3" t="s">
        <v>887</v>
      </c>
      <c r="G237" s="3" t="s">
        <v>61</v>
      </c>
      <c r="H237" s="3">
        <f>VALUE(MID(LEFT(Table1[[#This Row],[Unique ID]], FIND("/", Table1[[#This Row],[Unique ID]]) - 1), 2, LEN(Table1[[#This Row],[Unique ID]])))</f>
        <v>10</v>
      </c>
      <c r="I237" s="3" t="s">
        <v>110</v>
      </c>
      <c r="J237" s="3"/>
      <c r="K237" s="3" t="s">
        <v>56</v>
      </c>
      <c r="L237" s="3" t="s">
        <v>888</v>
      </c>
      <c r="M237" s="24">
        <v>11000</v>
      </c>
      <c r="N237" s="3" t="s">
        <v>746</v>
      </c>
      <c r="O237" s="41">
        <v>24</v>
      </c>
      <c r="P237" s="3" t="s">
        <v>56</v>
      </c>
      <c r="Q237" s="3">
        <v>2020</v>
      </c>
      <c r="R237" s="3"/>
      <c r="S237" s="3" t="s">
        <v>43</v>
      </c>
      <c r="T237" s="33"/>
      <c r="U237" s="4"/>
      <c r="V237" s="4"/>
      <c r="W237" s="3"/>
      <c r="X237" s="4"/>
      <c r="Y237" s="4"/>
    </row>
    <row r="238" spans="1:25">
      <c r="A238" s="3">
        <v>237</v>
      </c>
      <c r="B238" s="3" t="s">
        <v>889</v>
      </c>
      <c r="C238" s="3" t="s">
        <v>741</v>
      </c>
      <c r="D238" s="3" t="s">
        <v>742</v>
      </c>
      <c r="E238" s="3" t="s">
        <v>743</v>
      </c>
      <c r="F238" s="3" t="s">
        <v>744</v>
      </c>
      <c r="G238" s="3" t="s">
        <v>35</v>
      </c>
      <c r="H238" s="3">
        <f>VALUE(MID(LEFT(Table1[[#This Row],[Unique ID]], FIND("/", Table1[[#This Row],[Unique ID]]) - 1), 2, LEN(Table1[[#This Row],[Unique ID]])))</f>
        <v>3</v>
      </c>
      <c r="I238" s="3" t="s">
        <v>76</v>
      </c>
      <c r="J238" s="3"/>
      <c r="K238" s="3" t="s">
        <v>62</v>
      </c>
      <c r="L238" s="3" t="s">
        <v>890</v>
      </c>
      <c r="M238" s="24">
        <v>15000</v>
      </c>
      <c r="N238" s="3" t="s">
        <v>891</v>
      </c>
      <c r="O238" s="41">
        <v>12</v>
      </c>
      <c r="P238" s="3" t="s">
        <v>56</v>
      </c>
      <c r="Q238" s="3">
        <v>2020</v>
      </c>
      <c r="R238" s="3"/>
      <c r="S238" s="3" t="s">
        <v>507</v>
      </c>
      <c r="T238" s="33"/>
      <c r="U238" s="4"/>
      <c r="V238" s="4"/>
      <c r="W238" s="3"/>
      <c r="X238" s="4"/>
      <c r="Y238" s="4"/>
    </row>
    <row r="239" spans="1:25">
      <c r="A239" s="3">
        <v>238</v>
      </c>
      <c r="B239" s="3" t="s">
        <v>889</v>
      </c>
      <c r="C239" s="3" t="s">
        <v>687</v>
      </c>
      <c r="D239" s="3" t="s">
        <v>688</v>
      </c>
      <c r="E239" s="3" t="s">
        <v>689</v>
      </c>
      <c r="F239" s="3" t="s">
        <v>690</v>
      </c>
      <c r="G239" s="3" t="s">
        <v>35</v>
      </c>
      <c r="H239" s="3">
        <f>VALUE(MID(LEFT(Table1[[#This Row],[Unique ID]], FIND("/", Table1[[#This Row],[Unique ID]]) - 1), 2, LEN(Table1[[#This Row],[Unique ID]])))</f>
        <v>2</v>
      </c>
      <c r="I239" s="3" t="s">
        <v>76</v>
      </c>
      <c r="J239" s="3"/>
      <c r="K239" s="3" t="s">
        <v>62</v>
      </c>
      <c r="L239" s="3" t="s">
        <v>892</v>
      </c>
      <c r="M239" s="24">
        <v>41000</v>
      </c>
      <c r="N239" s="3" t="s">
        <v>854</v>
      </c>
      <c r="O239" s="41">
        <v>12</v>
      </c>
      <c r="P239" s="3" t="s">
        <v>56</v>
      </c>
      <c r="Q239" s="3">
        <v>2020</v>
      </c>
      <c r="R239" s="3"/>
      <c r="S239" s="3" t="s">
        <v>507</v>
      </c>
      <c r="T239" s="33"/>
      <c r="U239" s="4"/>
      <c r="V239" s="4"/>
      <c r="W239" s="3"/>
      <c r="X239" s="4"/>
      <c r="Y239" s="4"/>
    </row>
    <row r="240" spans="1:25">
      <c r="A240" s="3">
        <v>239</v>
      </c>
      <c r="B240" s="3" t="s">
        <v>889</v>
      </c>
      <c r="C240" s="3" t="s">
        <v>347</v>
      </c>
      <c r="D240" s="3" t="s">
        <v>348</v>
      </c>
      <c r="E240" s="3" t="s">
        <v>349</v>
      </c>
      <c r="F240" s="3" t="s">
        <v>350</v>
      </c>
      <c r="G240" s="3" t="s">
        <v>35</v>
      </c>
      <c r="H240" s="3">
        <f>VALUE(MID(LEFT(Table1[[#This Row],[Unique ID]], FIND("/", Table1[[#This Row],[Unique ID]]) - 1), 2, LEN(Table1[[#This Row],[Unique ID]])))</f>
        <v>6</v>
      </c>
      <c r="I240" s="3" t="s">
        <v>36</v>
      </c>
      <c r="J240" s="3"/>
      <c r="K240" s="3" t="s">
        <v>50</v>
      </c>
      <c r="L240" s="3" t="s">
        <v>893</v>
      </c>
      <c r="M240" s="24">
        <v>20000</v>
      </c>
      <c r="N240" s="3" t="s">
        <v>894</v>
      </c>
      <c r="O240" s="41">
        <v>10</v>
      </c>
      <c r="P240" s="3" t="s">
        <v>56</v>
      </c>
      <c r="Q240" s="3">
        <v>2020</v>
      </c>
      <c r="R240" s="3"/>
      <c r="S240" s="3" t="s">
        <v>507</v>
      </c>
      <c r="T240" s="33"/>
      <c r="U240" s="4"/>
      <c r="V240" s="4"/>
      <c r="W240" s="3"/>
      <c r="X240" s="4"/>
      <c r="Y240" s="4"/>
    </row>
    <row r="241" spans="1:25">
      <c r="A241" s="3">
        <v>240</v>
      </c>
      <c r="B241" s="3" t="s">
        <v>895</v>
      </c>
      <c r="C241" s="3" t="s">
        <v>114</v>
      </c>
      <c r="D241" s="3" t="s">
        <v>115</v>
      </c>
      <c r="E241" s="3" t="s">
        <v>116</v>
      </c>
      <c r="F241" s="3" t="s">
        <v>117</v>
      </c>
      <c r="G241" s="3" t="s">
        <v>61</v>
      </c>
      <c r="H241" s="3">
        <f>VALUE(MID(LEFT(Table1[[#This Row],[Unique ID]], FIND("/", Table1[[#This Row],[Unique ID]]) - 1), 2, LEN(Table1[[#This Row],[Unique ID]])))</f>
        <v>6</v>
      </c>
      <c r="I241" s="3" t="s">
        <v>93</v>
      </c>
      <c r="J241" s="3" t="s">
        <v>93</v>
      </c>
      <c r="K241" s="3" t="s">
        <v>62</v>
      </c>
      <c r="L241" s="3" t="s">
        <v>56</v>
      </c>
      <c r="M241" s="24">
        <v>670</v>
      </c>
      <c r="N241" s="3" t="s">
        <v>896</v>
      </c>
      <c r="O241" s="41">
        <v>12</v>
      </c>
      <c r="P241" s="3" t="s">
        <v>56</v>
      </c>
      <c r="Q241" s="3">
        <v>2020</v>
      </c>
      <c r="R241" s="3" t="s">
        <v>897</v>
      </c>
      <c r="S241" s="3" t="s">
        <v>43</v>
      </c>
      <c r="T241" s="33"/>
      <c r="U241" s="4"/>
      <c r="V241" s="4"/>
      <c r="W241" s="3"/>
      <c r="X241" s="4"/>
      <c r="Y241" s="4"/>
    </row>
    <row r="242" spans="1:25">
      <c r="A242" s="3">
        <v>241</v>
      </c>
      <c r="B242" s="3" t="s">
        <v>898</v>
      </c>
      <c r="C242" s="3" t="s">
        <v>899</v>
      </c>
      <c r="D242" s="3" t="s">
        <v>900</v>
      </c>
      <c r="E242" s="3"/>
      <c r="F242" s="3" t="s">
        <v>901</v>
      </c>
      <c r="G242" s="3" t="s">
        <v>35</v>
      </c>
      <c r="H242" s="3">
        <f>VALUE(MID(LEFT(Table1[[#This Row],[Unique ID]], FIND("/", Table1[[#This Row],[Unique ID]]) - 1), 2, LEN(Table1[[#This Row],[Unique ID]])))</f>
        <v>4</v>
      </c>
      <c r="I242" s="3" t="s">
        <v>76</v>
      </c>
      <c r="J242" s="3" t="s">
        <v>76</v>
      </c>
      <c r="K242" s="3" t="s">
        <v>62</v>
      </c>
      <c r="L242" s="3" t="s">
        <v>902</v>
      </c>
      <c r="M242" s="24">
        <v>35800</v>
      </c>
      <c r="N242" s="3" t="s">
        <v>903</v>
      </c>
      <c r="O242" s="41">
        <v>24</v>
      </c>
      <c r="P242" s="3" t="s">
        <v>53</v>
      </c>
      <c r="Q242" s="3">
        <v>2020</v>
      </c>
      <c r="R242" s="3" t="s">
        <v>904</v>
      </c>
      <c r="S242" s="3" t="s">
        <v>507</v>
      </c>
      <c r="T242" s="33"/>
      <c r="U242" s="4"/>
      <c r="V242" s="4"/>
      <c r="W242" s="3"/>
      <c r="X242" s="4"/>
      <c r="Y242" s="4"/>
    </row>
    <row r="243" spans="1:25">
      <c r="A243" s="3">
        <v>242</v>
      </c>
      <c r="B243" s="3" t="s">
        <v>905</v>
      </c>
      <c r="C243" s="3" t="s">
        <v>906</v>
      </c>
      <c r="D243" s="3" t="s">
        <v>907</v>
      </c>
      <c r="E243" s="3" t="s">
        <v>908</v>
      </c>
      <c r="F243" s="3" t="s">
        <v>909</v>
      </c>
      <c r="G243" s="3" t="s">
        <v>61</v>
      </c>
      <c r="H243" s="3">
        <f>VALUE(MID(LEFT(Table1[[#This Row],[Unique ID]], FIND("/", Table1[[#This Row],[Unique ID]]) - 1), 2, LEN(Table1[[#This Row],[Unique ID]])))</f>
        <v>8</v>
      </c>
      <c r="I243" s="3" t="s">
        <v>76</v>
      </c>
      <c r="J243" s="3" t="s">
        <v>49</v>
      </c>
      <c r="K243" s="3" t="s">
        <v>62</v>
      </c>
      <c r="L243" s="3" t="s">
        <v>56</v>
      </c>
      <c r="M243" s="24">
        <v>20000</v>
      </c>
      <c r="N243" s="3" t="s">
        <v>854</v>
      </c>
      <c r="O243" s="41">
        <v>12</v>
      </c>
      <c r="P243" s="3" t="s">
        <v>62</v>
      </c>
      <c r="Q243" s="3">
        <v>2020</v>
      </c>
      <c r="R243" s="3" t="s">
        <v>910</v>
      </c>
      <c r="S243" s="3" t="s">
        <v>43</v>
      </c>
      <c r="T243" s="33"/>
      <c r="U243" s="4"/>
      <c r="V243" s="4"/>
      <c r="W243" s="3"/>
      <c r="X243" s="4"/>
      <c r="Y243" s="4"/>
    </row>
    <row r="244" spans="1:25">
      <c r="A244" s="3">
        <v>243</v>
      </c>
      <c r="B244" s="3" t="s">
        <v>898</v>
      </c>
      <c r="C244" s="3" t="s">
        <v>711</v>
      </c>
      <c r="D244" s="3" t="s">
        <v>712</v>
      </c>
      <c r="E244" s="3" t="s">
        <v>713</v>
      </c>
      <c r="F244" s="3" t="s">
        <v>714</v>
      </c>
      <c r="G244" s="3" t="s">
        <v>61</v>
      </c>
      <c r="H244" s="3">
        <f>VALUE(MID(LEFT(Table1[[#This Row],[Unique ID]], FIND("/", Table1[[#This Row],[Unique ID]]) - 1), 2, LEN(Table1[[#This Row],[Unique ID]])))</f>
        <v>4</v>
      </c>
      <c r="I244" s="3" t="s">
        <v>86</v>
      </c>
      <c r="J244" s="3"/>
      <c r="K244" s="3" t="s">
        <v>62</v>
      </c>
      <c r="L244" s="3" t="s">
        <v>911</v>
      </c>
      <c r="M244" s="24">
        <v>221468</v>
      </c>
      <c r="N244" s="3" t="s">
        <v>912</v>
      </c>
      <c r="O244" s="41">
        <v>15</v>
      </c>
      <c r="P244" s="3" t="s">
        <v>56</v>
      </c>
      <c r="Q244" s="3">
        <v>2020</v>
      </c>
      <c r="R244" s="3"/>
      <c r="S244" s="3" t="s">
        <v>507</v>
      </c>
      <c r="T244" s="33"/>
      <c r="U244" s="4"/>
      <c r="V244" s="4"/>
      <c r="W244" s="3"/>
      <c r="X244" s="4"/>
      <c r="Y244" s="4"/>
    </row>
    <row r="245" spans="1:25">
      <c r="A245" s="3">
        <v>244</v>
      </c>
      <c r="B245" s="3" t="s">
        <v>898</v>
      </c>
      <c r="C245" s="3" t="s">
        <v>766</v>
      </c>
      <c r="D245" s="3" t="s">
        <v>767</v>
      </c>
      <c r="E245" s="3"/>
      <c r="F245" s="3" t="s">
        <v>768</v>
      </c>
      <c r="G245" s="3" t="s">
        <v>35</v>
      </c>
      <c r="H245" s="3">
        <f>VALUE(MID(LEFT(Table1[[#This Row],[Unique ID]], FIND("/", Table1[[#This Row],[Unique ID]]) - 1), 2, LEN(Table1[[#This Row],[Unique ID]])))</f>
        <v>1</v>
      </c>
      <c r="I245" s="3" t="s">
        <v>110</v>
      </c>
      <c r="J245" s="3"/>
      <c r="K245" s="3" t="s">
        <v>164</v>
      </c>
      <c r="L245" s="3" t="s">
        <v>913</v>
      </c>
      <c r="M245" s="24">
        <v>5000</v>
      </c>
      <c r="N245" s="3" t="s">
        <v>914</v>
      </c>
      <c r="O245" s="41">
        <v>24</v>
      </c>
      <c r="P245" s="3" t="s">
        <v>160</v>
      </c>
      <c r="Q245" s="3">
        <v>2020</v>
      </c>
      <c r="R245" s="3"/>
      <c r="S245" s="3" t="s">
        <v>507</v>
      </c>
      <c r="T245" s="33"/>
      <c r="U245" s="4"/>
      <c r="V245" s="4"/>
      <c r="W245" s="3"/>
      <c r="X245" s="4"/>
      <c r="Y245" s="4"/>
    </row>
    <row r="246" spans="1:25">
      <c r="A246" s="3">
        <v>245</v>
      </c>
      <c r="B246" s="3" t="s">
        <v>898</v>
      </c>
      <c r="C246" s="3" t="s">
        <v>303</v>
      </c>
      <c r="D246" s="3" t="s">
        <v>304</v>
      </c>
      <c r="E246" s="3"/>
      <c r="F246" s="3" t="s">
        <v>305</v>
      </c>
      <c r="G246" s="3" t="s">
        <v>35</v>
      </c>
      <c r="H246" s="3">
        <f>VALUE(MID(LEFT(Table1[[#This Row],[Unique ID]], FIND("/", Table1[[#This Row],[Unique ID]]) - 1), 2, LEN(Table1[[#This Row],[Unique ID]])))</f>
        <v>4</v>
      </c>
      <c r="I246" s="3" t="s">
        <v>76</v>
      </c>
      <c r="J246" s="3"/>
      <c r="K246" s="3" t="s">
        <v>62</v>
      </c>
      <c r="L246" s="3" t="s">
        <v>915</v>
      </c>
      <c r="M246" s="24">
        <v>91</v>
      </c>
      <c r="N246" s="3" t="s">
        <v>916</v>
      </c>
      <c r="O246" s="41">
        <v>24</v>
      </c>
      <c r="P246" s="3" t="s">
        <v>56</v>
      </c>
      <c r="Q246" s="3">
        <v>2020</v>
      </c>
      <c r="R246" s="3"/>
      <c r="S246" s="3" t="s">
        <v>507</v>
      </c>
      <c r="T246" s="33"/>
      <c r="U246" s="4"/>
      <c r="V246" s="4"/>
      <c r="W246" s="3"/>
      <c r="X246" s="4"/>
      <c r="Y246" s="4"/>
    </row>
    <row r="247" spans="1:25">
      <c r="A247" s="3">
        <v>246</v>
      </c>
      <c r="B247" s="3" t="s">
        <v>898</v>
      </c>
      <c r="C247" s="3" t="s">
        <v>205</v>
      </c>
      <c r="D247" s="3" t="s">
        <v>206</v>
      </c>
      <c r="E247" s="3" t="s">
        <v>207</v>
      </c>
      <c r="F247" s="3" t="s">
        <v>208</v>
      </c>
      <c r="G247" s="3" t="s">
        <v>35</v>
      </c>
      <c r="H247" s="3">
        <f>VALUE(MID(LEFT(Table1[[#This Row],[Unique ID]], FIND("/", Table1[[#This Row],[Unique ID]]) - 1), 2, LEN(Table1[[#This Row],[Unique ID]])))</f>
        <v>5</v>
      </c>
      <c r="I247" s="3" t="s">
        <v>209</v>
      </c>
      <c r="J247" s="3"/>
      <c r="K247" s="3" t="s">
        <v>62</v>
      </c>
      <c r="L247" s="3" t="s">
        <v>917</v>
      </c>
      <c r="M247" s="24">
        <v>44222</v>
      </c>
      <c r="N247" s="3" t="s">
        <v>917</v>
      </c>
      <c r="O247" s="41">
        <v>12</v>
      </c>
      <c r="P247" s="3" t="s">
        <v>56</v>
      </c>
      <c r="Q247" s="3">
        <v>2020</v>
      </c>
      <c r="R247" s="3"/>
      <c r="S247" s="3" t="s">
        <v>507</v>
      </c>
      <c r="T247" s="33"/>
      <c r="U247" s="4"/>
      <c r="V247" s="4"/>
      <c r="W247" s="3"/>
      <c r="X247" s="4"/>
      <c r="Y247" s="4"/>
    </row>
    <row r="248" spans="1:25">
      <c r="A248" s="3">
        <v>247</v>
      </c>
      <c r="B248" s="3" t="s">
        <v>895</v>
      </c>
      <c r="C248" s="3" t="s">
        <v>199</v>
      </c>
      <c r="D248" s="3" t="s">
        <v>200</v>
      </c>
      <c r="E248" s="3" t="s">
        <v>201</v>
      </c>
      <c r="F248" s="3" t="s">
        <v>202</v>
      </c>
      <c r="G248" s="3" t="s">
        <v>35</v>
      </c>
      <c r="H248" s="3">
        <f>VALUE(MID(LEFT(Table1[[#This Row],[Unique ID]], FIND("/", Table1[[#This Row],[Unique ID]]) - 1), 2, LEN(Table1[[#This Row],[Unique ID]])))</f>
        <v>5</v>
      </c>
      <c r="I248" s="3" t="s">
        <v>36</v>
      </c>
      <c r="J248" s="3" t="s">
        <v>589</v>
      </c>
      <c r="K248" s="3" t="s">
        <v>62</v>
      </c>
      <c r="L248" s="3" t="s">
        <v>918</v>
      </c>
      <c r="M248" s="24">
        <v>100000</v>
      </c>
      <c r="N248" s="3" t="s">
        <v>919</v>
      </c>
      <c r="O248" s="41">
        <v>24</v>
      </c>
      <c r="P248" s="3" t="s">
        <v>56</v>
      </c>
      <c r="Q248" s="3">
        <v>2020</v>
      </c>
      <c r="R248" s="3"/>
      <c r="S248" s="3" t="s">
        <v>43</v>
      </c>
      <c r="T248" s="33"/>
      <c r="U248" s="4"/>
      <c r="V248" s="4"/>
      <c r="W248" s="3"/>
      <c r="X248" s="4"/>
      <c r="Y248" s="4"/>
    </row>
    <row r="249" spans="1:25">
      <c r="A249" s="3">
        <v>248</v>
      </c>
      <c r="B249" s="3" t="s">
        <v>895</v>
      </c>
      <c r="C249" s="3" t="s">
        <v>920</v>
      </c>
      <c r="D249" s="3" t="s">
        <v>921</v>
      </c>
      <c r="E249" s="3" t="s">
        <v>922</v>
      </c>
      <c r="F249" s="3" t="s">
        <v>923</v>
      </c>
      <c r="G249" s="3" t="s">
        <v>35</v>
      </c>
      <c r="H249" s="3">
        <f>VALUE(MID(LEFT(Table1[[#This Row],[Unique ID]], FIND("/", Table1[[#This Row],[Unique ID]]) - 1), 2, LEN(Table1[[#This Row],[Unique ID]])))</f>
        <v>7</v>
      </c>
      <c r="I249" s="3" t="s">
        <v>93</v>
      </c>
      <c r="J249" s="3" t="s">
        <v>93</v>
      </c>
      <c r="K249" s="3" t="s">
        <v>62</v>
      </c>
      <c r="L249" s="3" t="s">
        <v>924</v>
      </c>
      <c r="M249" s="24">
        <v>10000</v>
      </c>
      <c r="N249" s="3" t="s">
        <v>925</v>
      </c>
      <c r="O249" s="41">
        <v>12</v>
      </c>
      <c r="P249" s="3" t="s">
        <v>56</v>
      </c>
      <c r="Q249" s="3">
        <v>2020</v>
      </c>
      <c r="R249" s="3"/>
      <c r="S249" s="3" t="s">
        <v>43</v>
      </c>
      <c r="T249" s="33"/>
      <c r="U249" s="4"/>
      <c r="V249" s="4"/>
      <c r="W249" s="3"/>
      <c r="X249" s="4"/>
      <c r="Y249" s="4"/>
    </row>
    <row r="250" spans="1:25">
      <c r="A250" s="3">
        <v>249</v>
      </c>
      <c r="B250" s="3" t="s">
        <v>895</v>
      </c>
      <c r="C250" s="3" t="s">
        <v>326</v>
      </c>
      <c r="D250" s="3" t="s">
        <v>327</v>
      </c>
      <c r="E250" s="3" t="s">
        <v>328</v>
      </c>
      <c r="F250" s="3" t="s">
        <v>329</v>
      </c>
      <c r="G250" s="3" t="s">
        <v>61</v>
      </c>
      <c r="H250" s="3">
        <f>VALUE(MID(LEFT(Table1[[#This Row],[Unique ID]], FIND("/", Table1[[#This Row],[Unique ID]]) - 1), 2, LEN(Table1[[#This Row],[Unique ID]])))</f>
        <v>6</v>
      </c>
      <c r="I250" s="3" t="s">
        <v>76</v>
      </c>
      <c r="J250" s="3" t="s">
        <v>76</v>
      </c>
      <c r="K250" s="3" t="s">
        <v>62</v>
      </c>
      <c r="L250" s="3" t="s">
        <v>926</v>
      </c>
      <c r="M250" s="24">
        <v>500000</v>
      </c>
      <c r="N250" s="3" t="s">
        <v>927</v>
      </c>
      <c r="O250" s="41">
        <v>60</v>
      </c>
      <c r="P250" s="3" t="s">
        <v>56</v>
      </c>
      <c r="Q250" s="3">
        <v>2020</v>
      </c>
      <c r="R250" s="3"/>
      <c r="S250" s="3" t="s">
        <v>43</v>
      </c>
      <c r="T250" s="33"/>
      <c r="U250" s="4"/>
      <c r="V250" s="4"/>
      <c r="W250" s="3"/>
      <c r="X250" s="4"/>
      <c r="Y250" s="4"/>
    </row>
    <row r="251" spans="1:25">
      <c r="A251" s="3">
        <v>250</v>
      </c>
      <c r="B251" s="3" t="s">
        <v>895</v>
      </c>
      <c r="C251" s="3" t="s">
        <v>394</v>
      </c>
      <c r="D251" s="3" t="s">
        <v>395</v>
      </c>
      <c r="E251" s="3" t="s">
        <v>396</v>
      </c>
      <c r="F251" s="3" t="s">
        <v>397</v>
      </c>
      <c r="G251" s="3" t="s">
        <v>61</v>
      </c>
      <c r="H251" s="3">
        <f>VALUE(MID(LEFT(Table1[[#This Row],[Unique ID]], FIND("/", Table1[[#This Row],[Unique ID]]) - 1), 2, LEN(Table1[[#This Row],[Unique ID]])))</f>
        <v>7</v>
      </c>
      <c r="I251" s="3" t="s">
        <v>93</v>
      </c>
      <c r="J251" s="3" t="s">
        <v>589</v>
      </c>
      <c r="K251" s="3" t="s">
        <v>62</v>
      </c>
      <c r="L251" s="3" t="s">
        <v>928</v>
      </c>
      <c r="M251" s="24">
        <v>30000</v>
      </c>
      <c r="N251" s="3" t="s">
        <v>929</v>
      </c>
      <c r="O251" s="41">
        <v>12</v>
      </c>
      <c r="P251" s="3" t="s">
        <v>56</v>
      </c>
      <c r="Q251" s="3">
        <v>2020</v>
      </c>
      <c r="R251" s="3"/>
      <c r="S251" s="3" t="s">
        <v>43</v>
      </c>
      <c r="T251" s="33"/>
      <c r="U251" s="4"/>
      <c r="V251" s="4"/>
      <c r="W251" s="3"/>
      <c r="X251" s="4"/>
      <c r="Y251" s="4"/>
    </row>
    <row r="252" spans="1:25">
      <c r="A252" s="3">
        <v>251</v>
      </c>
      <c r="B252" s="3" t="s">
        <v>895</v>
      </c>
      <c r="C252" s="3" t="s">
        <v>394</v>
      </c>
      <c r="D252" s="3" t="s">
        <v>395</v>
      </c>
      <c r="E252" s="3" t="s">
        <v>396</v>
      </c>
      <c r="F252" s="3" t="s">
        <v>397</v>
      </c>
      <c r="G252" s="3" t="s">
        <v>61</v>
      </c>
      <c r="H252" s="3">
        <f>VALUE(MID(LEFT(Table1[[#This Row],[Unique ID]], FIND("/", Table1[[#This Row],[Unique ID]]) - 1), 2, LEN(Table1[[#This Row],[Unique ID]])))</f>
        <v>7</v>
      </c>
      <c r="I252" s="3" t="s">
        <v>93</v>
      </c>
      <c r="J252" s="3" t="s">
        <v>589</v>
      </c>
      <c r="K252" s="3" t="s">
        <v>62</v>
      </c>
      <c r="L252" s="3" t="s">
        <v>930</v>
      </c>
      <c r="M252" s="24">
        <v>39000</v>
      </c>
      <c r="N252" s="3" t="s">
        <v>931</v>
      </c>
      <c r="O252" s="41">
        <v>60</v>
      </c>
      <c r="P252" s="3" t="s">
        <v>56</v>
      </c>
      <c r="Q252" s="3">
        <v>2020</v>
      </c>
      <c r="R252" s="3"/>
      <c r="S252" s="3" t="s">
        <v>43</v>
      </c>
      <c r="T252" s="33"/>
      <c r="U252" s="4"/>
      <c r="V252" s="4"/>
      <c r="W252" s="3"/>
      <c r="X252" s="4"/>
      <c r="Y252" s="4"/>
    </row>
    <row r="253" spans="1:25">
      <c r="A253" s="3">
        <v>252</v>
      </c>
      <c r="B253" s="3" t="s">
        <v>895</v>
      </c>
      <c r="C253" s="3" t="s">
        <v>932</v>
      </c>
      <c r="D253" s="3" t="s">
        <v>933</v>
      </c>
      <c r="E253" s="3"/>
      <c r="F253" s="3" t="s">
        <v>934</v>
      </c>
      <c r="G253" s="3" t="s">
        <v>61</v>
      </c>
      <c r="H253" s="3">
        <f>VALUE(MID(LEFT(Table1[[#This Row],[Unique ID]], FIND("/", Table1[[#This Row],[Unique ID]]) - 1), 2, LEN(Table1[[#This Row],[Unique ID]])))</f>
        <v>8</v>
      </c>
      <c r="I253" s="3" t="s">
        <v>589</v>
      </c>
      <c r="J253" s="3" t="s">
        <v>589</v>
      </c>
      <c r="K253" s="3" t="s">
        <v>38</v>
      </c>
      <c r="L253" s="3" t="s">
        <v>935</v>
      </c>
      <c r="M253" s="24">
        <v>100</v>
      </c>
      <c r="N253" s="3" t="s">
        <v>936</v>
      </c>
      <c r="O253" s="41">
        <v>1</v>
      </c>
      <c r="P253" s="3" t="s">
        <v>42</v>
      </c>
      <c r="Q253" s="3">
        <v>2020</v>
      </c>
      <c r="R253" s="3"/>
      <c r="S253" s="3" t="s">
        <v>43</v>
      </c>
      <c r="T253" s="33"/>
      <c r="U253" s="4"/>
      <c r="V253" s="4"/>
      <c r="W253" s="3"/>
      <c r="X253" s="4"/>
      <c r="Y253" s="4"/>
    </row>
    <row r="254" spans="1:25">
      <c r="A254" s="3">
        <v>253</v>
      </c>
      <c r="B254" s="3" t="s">
        <v>895</v>
      </c>
      <c r="C254" s="3" t="s">
        <v>555</v>
      </c>
      <c r="D254" s="3" t="s">
        <v>556</v>
      </c>
      <c r="E254" s="3"/>
      <c r="F254" s="3" t="s">
        <v>557</v>
      </c>
      <c r="G254" s="3" t="s">
        <v>61</v>
      </c>
      <c r="H254" s="3">
        <f>VALUE(MID(LEFT(Table1[[#This Row],[Unique ID]], FIND("/", Table1[[#This Row],[Unique ID]]) - 1), 2, LEN(Table1[[#This Row],[Unique ID]])))</f>
        <v>8</v>
      </c>
      <c r="I254" s="3" t="s">
        <v>76</v>
      </c>
      <c r="J254" s="3" t="s">
        <v>37</v>
      </c>
      <c r="K254" s="3" t="s">
        <v>62</v>
      </c>
      <c r="L254" s="3" t="s">
        <v>937</v>
      </c>
      <c r="M254" s="24">
        <v>100</v>
      </c>
      <c r="N254" s="3" t="s">
        <v>308</v>
      </c>
      <c r="O254" s="41">
        <v>60</v>
      </c>
      <c r="P254" s="3" t="s">
        <v>56</v>
      </c>
      <c r="Q254" s="3">
        <v>2020</v>
      </c>
      <c r="R254" s="3"/>
      <c r="S254" s="3" t="s">
        <v>43</v>
      </c>
      <c r="T254" s="33"/>
      <c r="U254" s="4"/>
      <c r="V254" s="4"/>
      <c r="W254" s="3"/>
      <c r="X254" s="4"/>
      <c r="Y254" s="4"/>
    </row>
    <row r="255" spans="1:25">
      <c r="A255" s="3">
        <v>254</v>
      </c>
      <c r="B255" s="3" t="s">
        <v>895</v>
      </c>
      <c r="C255" s="3" t="s">
        <v>560</v>
      </c>
      <c r="D255" s="3" t="s">
        <v>561</v>
      </c>
      <c r="E255" s="3" t="s">
        <v>562</v>
      </c>
      <c r="F255" s="3" t="s">
        <v>563</v>
      </c>
      <c r="G255" s="3" t="s">
        <v>61</v>
      </c>
      <c r="H255" s="3">
        <f>VALUE(MID(LEFT(Table1[[#This Row],[Unique ID]], FIND("/", Table1[[#This Row],[Unique ID]]) - 1), 2, LEN(Table1[[#This Row],[Unique ID]])))</f>
        <v>8</v>
      </c>
      <c r="I255" s="3" t="s">
        <v>37</v>
      </c>
      <c r="J255" s="3" t="s">
        <v>37</v>
      </c>
      <c r="K255" s="3" t="s">
        <v>50</v>
      </c>
      <c r="L255" s="3" t="s">
        <v>938</v>
      </c>
      <c r="M255" s="24">
        <v>500</v>
      </c>
      <c r="N255" s="3" t="s">
        <v>112</v>
      </c>
      <c r="O255" s="41">
        <v>12</v>
      </c>
      <c r="P255" s="3" t="s">
        <v>56</v>
      </c>
      <c r="Q255" s="3">
        <v>2020</v>
      </c>
      <c r="R255" s="3"/>
      <c r="S255" s="3" t="s">
        <v>43</v>
      </c>
      <c r="T255" s="33"/>
      <c r="U255" s="4"/>
      <c r="V255" s="4"/>
      <c r="W255" s="3"/>
      <c r="X255" s="4"/>
      <c r="Y255" s="4"/>
    </row>
    <row r="256" spans="1:25">
      <c r="A256" s="3">
        <v>255</v>
      </c>
      <c r="B256" s="3" t="s">
        <v>895</v>
      </c>
      <c r="C256" s="3" t="s">
        <v>590</v>
      </c>
      <c r="D256" s="3" t="s">
        <v>591</v>
      </c>
      <c r="E256" s="3" t="s">
        <v>592</v>
      </c>
      <c r="F256" s="3" t="s">
        <v>593</v>
      </c>
      <c r="G256" s="3" t="s">
        <v>35</v>
      </c>
      <c r="H256" s="3">
        <f>VALUE(MID(LEFT(Table1[[#This Row],[Unique ID]], FIND("/", Table1[[#This Row],[Unique ID]]) - 1), 2, LEN(Table1[[#This Row],[Unique ID]])))</f>
        <v>8</v>
      </c>
      <c r="I256" s="3" t="s">
        <v>110</v>
      </c>
      <c r="J256" s="3" t="s">
        <v>110</v>
      </c>
      <c r="K256" s="3" t="s">
        <v>56</v>
      </c>
      <c r="L256" s="3" t="s">
        <v>939</v>
      </c>
      <c r="M256" s="24">
        <v>60000</v>
      </c>
      <c r="N256" s="3" t="s">
        <v>940</v>
      </c>
      <c r="O256" s="41">
        <v>12</v>
      </c>
      <c r="P256" s="3" t="s">
        <v>56</v>
      </c>
      <c r="Q256" s="3">
        <v>2020</v>
      </c>
      <c r="R256" s="3"/>
      <c r="S256" s="3" t="s">
        <v>43</v>
      </c>
      <c r="T256" s="33"/>
      <c r="U256" s="4"/>
      <c r="V256" s="4"/>
      <c r="W256" s="3"/>
      <c r="X256" s="4"/>
      <c r="Y256" s="4"/>
    </row>
    <row r="257" spans="1:25">
      <c r="A257" s="3">
        <v>256</v>
      </c>
      <c r="B257" s="3" t="s">
        <v>895</v>
      </c>
      <c r="C257" s="3" t="s">
        <v>906</v>
      </c>
      <c r="D257" s="3" t="s">
        <v>909</v>
      </c>
      <c r="E257" s="3" t="s">
        <v>908</v>
      </c>
      <c r="F257" s="3" t="s">
        <v>941</v>
      </c>
      <c r="G257" s="3" t="s">
        <v>61</v>
      </c>
      <c r="H257" s="3">
        <f>VALUE(MID(LEFT(Table1[[#This Row],[Unique ID]], FIND("/", Table1[[#This Row],[Unique ID]]) - 1), 2, LEN(Table1[[#This Row],[Unique ID]])))</f>
        <v>8</v>
      </c>
      <c r="I257" s="3" t="s">
        <v>76</v>
      </c>
      <c r="J257" s="3" t="s">
        <v>76</v>
      </c>
      <c r="K257" s="3" t="s">
        <v>62</v>
      </c>
      <c r="L257" s="3" t="s">
        <v>942</v>
      </c>
      <c r="M257" s="24">
        <v>19993.259999999998</v>
      </c>
      <c r="N257" s="3" t="s">
        <v>943</v>
      </c>
      <c r="O257" s="41">
        <v>12</v>
      </c>
      <c r="P257" s="3" t="s">
        <v>56</v>
      </c>
      <c r="Q257" s="3">
        <v>2020</v>
      </c>
      <c r="R257" s="3"/>
      <c r="S257" s="3" t="s">
        <v>43</v>
      </c>
      <c r="T257" s="33"/>
      <c r="U257" s="4"/>
      <c r="V257" s="4"/>
      <c r="W257" s="3"/>
      <c r="X257" s="4"/>
      <c r="Y257" s="4"/>
    </row>
    <row r="258" spans="1:25">
      <c r="A258" s="3">
        <v>257</v>
      </c>
      <c r="B258" s="3" t="s">
        <v>895</v>
      </c>
      <c r="C258" s="3" t="s">
        <v>631</v>
      </c>
      <c r="D258" s="3" t="s">
        <v>632</v>
      </c>
      <c r="E258" s="3" t="s">
        <v>633</v>
      </c>
      <c r="F258" s="3" t="s">
        <v>634</v>
      </c>
      <c r="G258" s="3" t="s">
        <v>61</v>
      </c>
      <c r="H258" s="3">
        <f>VALUE(MID(LEFT(Table1[[#This Row],[Unique ID]], FIND("/", Table1[[#This Row],[Unique ID]]) - 1), 2, LEN(Table1[[#This Row],[Unique ID]])))</f>
        <v>9</v>
      </c>
      <c r="I258" s="3" t="s">
        <v>589</v>
      </c>
      <c r="J258" s="3" t="s">
        <v>589</v>
      </c>
      <c r="K258" s="3" t="s">
        <v>62</v>
      </c>
      <c r="L258" s="3" t="s">
        <v>944</v>
      </c>
      <c r="M258" s="24">
        <v>670</v>
      </c>
      <c r="N258" s="3" t="s">
        <v>945</v>
      </c>
      <c r="O258" s="41">
        <v>6</v>
      </c>
      <c r="P258" s="3" t="s">
        <v>56</v>
      </c>
      <c r="Q258" s="3">
        <v>2020</v>
      </c>
      <c r="R258" s="3"/>
      <c r="S258" s="3" t="s">
        <v>43</v>
      </c>
      <c r="T258" s="33"/>
      <c r="U258" s="4"/>
      <c r="V258" s="4"/>
      <c r="W258" s="3"/>
      <c r="X258" s="4"/>
      <c r="Y258" s="4"/>
    </row>
    <row r="259" spans="1:25">
      <c r="A259" s="3">
        <v>258</v>
      </c>
      <c r="B259" s="3" t="s">
        <v>895</v>
      </c>
      <c r="C259" s="3" t="s">
        <v>631</v>
      </c>
      <c r="D259" s="3" t="s">
        <v>632</v>
      </c>
      <c r="E259" s="3" t="s">
        <v>633</v>
      </c>
      <c r="F259" s="3" t="s">
        <v>634</v>
      </c>
      <c r="G259" s="3" t="s">
        <v>61</v>
      </c>
      <c r="H259" s="3">
        <f>VALUE(MID(LEFT(Table1[[#This Row],[Unique ID]], FIND("/", Table1[[#This Row],[Unique ID]]) - 1), 2, LEN(Table1[[#This Row],[Unique ID]])))</f>
        <v>9</v>
      </c>
      <c r="I259" s="3" t="s">
        <v>589</v>
      </c>
      <c r="J259" s="3" t="s">
        <v>589</v>
      </c>
      <c r="K259" s="3" t="s">
        <v>38</v>
      </c>
      <c r="L259" s="3" t="s">
        <v>946</v>
      </c>
      <c r="M259" s="24">
        <v>250</v>
      </c>
      <c r="N259" s="3" t="s">
        <v>947</v>
      </c>
      <c r="O259" s="41">
        <v>1</v>
      </c>
      <c r="P259" s="3" t="s">
        <v>42</v>
      </c>
      <c r="Q259" s="3">
        <v>2020</v>
      </c>
      <c r="R259" s="3"/>
      <c r="S259" s="3" t="s">
        <v>43</v>
      </c>
      <c r="T259" s="33"/>
      <c r="U259" s="4"/>
      <c r="V259" s="4"/>
      <c r="W259" s="3"/>
      <c r="X259" s="4"/>
      <c r="Y259" s="4"/>
    </row>
    <row r="260" spans="1:25">
      <c r="A260" s="3">
        <v>259</v>
      </c>
      <c r="B260" s="3" t="s">
        <v>895</v>
      </c>
      <c r="C260" s="3" t="s">
        <v>631</v>
      </c>
      <c r="D260" s="3" t="s">
        <v>632</v>
      </c>
      <c r="E260" s="3" t="s">
        <v>633</v>
      </c>
      <c r="F260" s="3" t="s">
        <v>634</v>
      </c>
      <c r="G260" s="3" t="s">
        <v>61</v>
      </c>
      <c r="H260" s="3">
        <f>VALUE(MID(LEFT(Table1[[#This Row],[Unique ID]], FIND("/", Table1[[#This Row],[Unique ID]]) - 1), 2, LEN(Table1[[#This Row],[Unique ID]])))</f>
        <v>9</v>
      </c>
      <c r="I260" s="3" t="s">
        <v>589</v>
      </c>
      <c r="J260" s="3" t="s">
        <v>589</v>
      </c>
      <c r="K260" s="3" t="s">
        <v>178</v>
      </c>
      <c r="L260" s="3" t="s">
        <v>948</v>
      </c>
      <c r="M260" s="24">
        <v>3285</v>
      </c>
      <c r="N260" s="3" t="s">
        <v>949</v>
      </c>
      <c r="O260" s="41">
        <v>6</v>
      </c>
      <c r="P260" s="3" t="s">
        <v>56</v>
      </c>
      <c r="Q260" s="3">
        <v>2020</v>
      </c>
      <c r="R260" s="3"/>
      <c r="S260" s="3" t="s">
        <v>43</v>
      </c>
      <c r="T260" s="33"/>
      <c r="U260" s="4"/>
      <c r="V260" s="4"/>
      <c r="W260" s="3"/>
      <c r="X260" s="4"/>
      <c r="Y260" s="4"/>
    </row>
    <row r="261" spans="1:25">
      <c r="A261" s="3">
        <v>260</v>
      </c>
      <c r="B261" s="3" t="s">
        <v>895</v>
      </c>
      <c r="C261" s="3" t="s">
        <v>950</v>
      </c>
      <c r="D261" s="3" t="s">
        <v>951</v>
      </c>
      <c r="E261" s="3" t="s">
        <v>952</v>
      </c>
      <c r="F261" s="3" t="s">
        <v>953</v>
      </c>
      <c r="G261" s="3" t="s">
        <v>35</v>
      </c>
      <c r="H261" s="3">
        <f>VALUE(MID(LEFT(Table1[[#This Row],[Unique ID]], FIND("/", Table1[[#This Row],[Unique ID]]) - 1), 2, LEN(Table1[[#This Row],[Unique ID]])))</f>
        <v>9</v>
      </c>
      <c r="I261" s="3" t="s">
        <v>110</v>
      </c>
      <c r="J261" s="3" t="s">
        <v>110</v>
      </c>
      <c r="K261" s="3" t="s">
        <v>38</v>
      </c>
      <c r="L261" s="3" t="s">
        <v>954</v>
      </c>
      <c r="M261" s="24">
        <v>5000</v>
      </c>
      <c r="N261" s="3" t="s">
        <v>868</v>
      </c>
      <c r="O261" s="41">
        <v>24</v>
      </c>
      <c r="P261" s="3" t="s">
        <v>42</v>
      </c>
      <c r="Q261" s="3">
        <v>2020</v>
      </c>
      <c r="R261" s="3"/>
      <c r="S261" s="3" t="s">
        <v>43</v>
      </c>
      <c r="T261" s="33"/>
      <c r="U261" s="4"/>
      <c r="V261" s="4"/>
      <c r="W261" s="3"/>
      <c r="X261" s="4"/>
      <c r="Y261" s="4"/>
    </row>
    <row r="262" spans="1:25">
      <c r="A262" s="3">
        <v>261</v>
      </c>
      <c r="B262" s="3" t="s">
        <v>895</v>
      </c>
      <c r="C262" s="3" t="s">
        <v>955</v>
      </c>
      <c r="D262" s="3" t="s">
        <v>956</v>
      </c>
      <c r="E262" s="3"/>
      <c r="F262" s="3" t="s">
        <v>957</v>
      </c>
      <c r="G262" s="3" t="s">
        <v>61</v>
      </c>
      <c r="H262" s="3">
        <f>VALUE(MID(LEFT(Table1[[#This Row],[Unique ID]], FIND("/", Table1[[#This Row],[Unique ID]]) - 1), 2, LEN(Table1[[#This Row],[Unique ID]])))</f>
        <v>9</v>
      </c>
      <c r="I262" s="3" t="s">
        <v>589</v>
      </c>
      <c r="J262" s="3" t="s">
        <v>589</v>
      </c>
      <c r="K262" s="3" t="s">
        <v>178</v>
      </c>
      <c r="L262" s="3" t="s">
        <v>958</v>
      </c>
      <c r="M262" s="24">
        <v>66</v>
      </c>
      <c r="N262" s="3" t="s">
        <v>959</v>
      </c>
      <c r="O262" s="41">
        <v>1</v>
      </c>
      <c r="P262" s="3" t="s">
        <v>178</v>
      </c>
      <c r="Q262" s="3">
        <v>2020</v>
      </c>
      <c r="R262" s="3"/>
      <c r="S262" s="3" t="s">
        <v>43</v>
      </c>
      <c r="T262" s="33"/>
      <c r="U262" s="4"/>
      <c r="V262" s="4"/>
      <c r="W262" s="3"/>
      <c r="X262" s="4"/>
      <c r="Y262" s="4"/>
    </row>
    <row r="263" spans="1:25">
      <c r="A263" s="3">
        <v>262</v>
      </c>
      <c r="B263" s="3" t="s">
        <v>895</v>
      </c>
      <c r="C263" s="3" t="s">
        <v>955</v>
      </c>
      <c r="D263" s="3" t="s">
        <v>956</v>
      </c>
      <c r="E263" s="3"/>
      <c r="F263" s="3" t="s">
        <v>957</v>
      </c>
      <c r="G263" s="3" t="s">
        <v>61</v>
      </c>
      <c r="H263" s="3">
        <f>VALUE(MID(LEFT(Table1[[#This Row],[Unique ID]], FIND("/", Table1[[#This Row],[Unique ID]]) - 1), 2, LEN(Table1[[#This Row],[Unique ID]])))</f>
        <v>9</v>
      </c>
      <c r="I263" s="3" t="s">
        <v>589</v>
      </c>
      <c r="J263" s="3" t="s">
        <v>589</v>
      </c>
      <c r="K263" s="3" t="s">
        <v>50</v>
      </c>
      <c r="L263" s="3" t="s">
        <v>960</v>
      </c>
      <c r="M263" s="24">
        <v>1600</v>
      </c>
      <c r="N263" s="3" t="s">
        <v>579</v>
      </c>
      <c r="O263" s="41">
        <v>12</v>
      </c>
      <c r="P263" s="3" t="s">
        <v>56</v>
      </c>
      <c r="Q263" s="3">
        <v>2020</v>
      </c>
      <c r="R263" s="3"/>
      <c r="S263" s="3" t="s">
        <v>43</v>
      </c>
      <c r="T263" s="33"/>
      <c r="U263" s="4"/>
      <c r="V263" s="4"/>
      <c r="W263" s="3"/>
      <c r="X263" s="4"/>
      <c r="Y263" s="4"/>
    </row>
    <row r="264" spans="1:25">
      <c r="A264" s="3">
        <v>263</v>
      </c>
      <c r="B264" s="3" t="s">
        <v>895</v>
      </c>
      <c r="C264" s="3" t="s">
        <v>961</v>
      </c>
      <c r="D264" s="3" t="s">
        <v>962</v>
      </c>
      <c r="E264" s="3" t="s">
        <v>963</v>
      </c>
      <c r="F264" s="3" t="s">
        <v>964</v>
      </c>
      <c r="G264" s="3" t="s">
        <v>35</v>
      </c>
      <c r="H264" s="3">
        <f>VALUE(MID(LEFT(Table1[[#This Row],[Unique ID]], FIND("/", Table1[[#This Row],[Unique ID]]) - 1), 2, LEN(Table1[[#This Row],[Unique ID]])))</f>
        <v>9</v>
      </c>
      <c r="I264" s="3" t="s">
        <v>229</v>
      </c>
      <c r="J264" s="3" t="s">
        <v>589</v>
      </c>
      <c r="K264" s="3" t="s">
        <v>62</v>
      </c>
      <c r="L264" s="3" t="s">
        <v>965</v>
      </c>
      <c r="M264" s="24">
        <v>66060</v>
      </c>
      <c r="N264" s="3" t="s">
        <v>966</v>
      </c>
      <c r="O264" s="41">
        <v>60</v>
      </c>
      <c r="P264" s="3" t="s">
        <v>56</v>
      </c>
      <c r="Q264" s="3">
        <v>2020</v>
      </c>
      <c r="R264" s="3"/>
      <c r="S264" s="3" t="s">
        <v>43</v>
      </c>
      <c r="T264" s="33"/>
      <c r="U264" s="4"/>
      <c r="V264" s="4"/>
      <c r="W264" s="3"/>
      <c r="X264" s="4"/>
      <c r="Y264" s="4"/>
    </row>
    <row r="265" spans="1:25">
      <c r="A265" s="3">
        <v>264</v>
      </c>
      <c r="B265" s="3" t="s">
        <v>895</v>
      </c>
      <c r="C265" s="3" t="s">
        <v>967</v>
      </c>
      <c r="D265" s="3" t="s">
        <v>968</v>
      </c>
      <c r="E265" s="3" t="s">
        <v>969</v>
      </c>
      <c r="F265" s="3" t="s">
        <v>970</v>
      </c>
      <c r="G265" s="3" t="s">
        <v>35</v>
      </c>
      <c r="H265" s="3">
        <f>VALUE(MID(LEFT(Table1[[#This Row],[Unique ID]], FIND("/", Table1[[#This Row],[Unique ID]]) - 1), 2, LEN(Table1[[#This Row],[Unique ID]])))</f>
        <v>10</v>
      </c>
      <c r="I265" s="3" t="s">
        <v>37</v>
      </c>
      <c r="J265" s="3" t="s">
        <v>37</v>
      </c>
      <c r="K265" s="3" t="s">
        <v>42</v>
      </c>
      <c r="L265" s="3" t="s">
        <v>971</v>
      </c>
      <c r="M265" s="24"/>
      <c r="N265" s="3" t="s">
        <v>972</v>
      </c>
      <c r="O265" s="41">
        <v>1</v>
      </c>
      <c r="P265" s="3" t="s">
        <v>42</v>
      </c>
      <c r="Q265" s="3">
        <v>2020</v>
      </c>
      <c r="R265" s="3"/>
      <c r="S265" s="3" t="s">
        <v>43</v>
      </c>
      <c r="T265" s="33"/>
      <c r="U265" s="4"/>
      <c r="V265" s="4"/>
      <c r="W265" s="3"/>
      <c r="X265" s="4"/>
      <c r="Y265" s="4"/>
    </row>
    <row r="266" spans="1:25">
      <c r="A266" s="3">
        <v>265</v>
      </c>
      <c r="B266" s="3" t="s">
        <v>895</v>
      </c>
      <c r="C266" s="3" t="s">
        <v>967</v>
      </c>
      <c r="D266" s="3" t="s">
        <v>968</v>
      </c>
      <c r="E266" s="3" t="s">
        <v>969</v>
      </c>
      <c r="F266" s="3" t="s">
        <v>970</v>
      </c>
      <c r="G266" s="3" t="s">
        <v>35</v>
      </c>
      <c r="H266" s="3">
        <f>VALUE(MID(LEFT(Table1[[#This Row],[Unique ID]], FIND("/", Table1[[#This Row],[Unique ID]]) - 1), 2, LEN(Table1[[#This Row],[Unique ID]])))</f>
        <v>10</v>
      </c>
      <c r="I266" s="3" t="s">
        <v>37</v>
      </c>
      <c r="J266" s="3" t="s">
        <v>37</v>
      </c>
      <c r="K266" s="3" t="s">
        <v>42</v>
      </c>
      <c r="L266" s="3" t="s">
        <v>973</v>
      </c>
      <c r="M266" s="24"/>
      <c r="N266" s="3" t="s">
        <v>974</v>
      </c>
      <c r="O266" s="41">
        <v>1</v>
      </c>
      <c r="P266" s="3" t="s">
        <v>42</v>
      </c>
      <c r="Q266" s="3">
        <v>2020</v>
      </c>
      <c r="R266" s="3"/>
      <c r="S266" s="3" t="s">
        <v>43</v>
      </c>
      <c r="T266" s="33"/>
      <c r="U266" s="4"/>
      <c r="V266" s="4"/>
      <c r="W266" s="3"/>
      <c r="X266" s="4"/>
      <c r="Y266" s="4"/>
    </row>
    <row r="267" spans="1:25">
      <c r="A267" s="3">
        <v>266</v>
      </c>
      <c r="B267" s="3" t="s">
        <v>895</v>
      </c>
      <c r="C267" s="3" t="s">
        <v>967</v>
      </c>
      <c r="D267" s="3" t="s">
        <v>968</v>
      </c>
      <c r="E267" s="3" t="s">
        <v>969</v>
      </c>
      <c r="F267" s="3" t="s">
        <v>970</v>
      </c>
      <c r="G267" s="3" t="s">
        <v>35</v>
      </c>
      <c r="H267" s="3">
        <f>VALUE(MID(LEFT(Table1[[#This Row],[Unique ID]], FIND("/", Table1[[#This Row],[Unique ID]]) - 1), 2, LEN(Table1[[#This Row],[Unique ID]])))</f>
        <v>10</v>
      </c>
      <c r="I267" s="3" t="s">
        <v>37</v>
      </c>
      <c r="J267" s="3" t="s">
        <v>37</v>
      </c>
      <c r="K267" s="3" t="s">
        <v>38</v>
      </c>
      <c r="L267" s="3" t="s">
        <v>975</v>
      </c>
      <c r="M267" s="24"/>
      <c r="N267" s="3" t="s">
        <v>976</v>
      </c>
      <c r="O267" s="41">
        <v>1</v>
      </c>
      <c r="P267" s="3" t="s">
        <v>42</v>
      </c>
      <c r="Q267" s="3">
        <v>2020</v>
      </c>
      <c r="R267" s="3"/>
      <c r="S267" s="3" t="s">
        <v>43</v>
      </c>
      <c r="T267" s="33"/>
      <c r="U267" s="4"/>
      <c r="V267" s="4"/>
      <c r="W267" s="3"/>
      <c r="X267" s="4"/>
      <c r="Y267" s="4"/>
    </row>
    <row r="268" spans="1:25">
      <c r="A268" s="3">
        <v>267</v>
      </c>
      <c r="B268" s="3" t="s">
        <v>895</v>
      </c>
      <c r="C268" s="3" t="s">
        <v>967</v>
      </c>
      <c r="D268" s="3" t="s">
        <v>968</v>
      </c>
      <c r="E268" s="3" t="s">
        <v>969</v>
      </c>
      <c r="F268" s="3" t="s">
        <v>970</v>
      </c>
      <c r="G268" s="3" t="s">
        <v>35</v>
      </c>
      <c r="H268" s="3">
        <f>VALUE(MID(LEFT(Table1[[#This Row],[Unique ID]], FIND("/", Table1[[#This Row],[Unique ID]]) - 1), 2, LEN(Table1[[#This Row],[Unique ID]])))</f>
        <v>10</v>
      </c>
      <c r="I268" s="3" t="s">
        <v>37</v>
      </c>
      <c r="J268" s="3" t="s">
        <v>37</v>
      </c>
      <c r="K268" s="3" t="s">
        <v>38</v>
      </c>
      <c r="L268" s="3" t="s">
        <v>977</v>
      </c>
      <c r="M268" s="24"/>
      <c r="N268" s="3" t="s">
        <v>55</v>
      </c>
      <c r="O268" s="41"/>
      <c r="P268" s="3" t="s">
        <v>42</v>
      </c>
      <c r="Q268" s="3">
        <v>2020</v>
      </c>
      <c r="R268" s="3"/>
      <c r="S268" s="3" t="s">
        <v>43</v>
      </c>
      <c r="T268" s="33"/>
      <c r="U268" s="4"/>
      <c r="V268" s="4"/>
      <c r="W268" s="3"/>
      <c r="X268" s="4"/>
      <c r="Y268" s="4"/>
    </row>
    <row r="269" spans="1:25">
      <c r="A269" s="3">
        <v>268</v>
      </c>
      <c r="B269" s="3" t="s">
        <v>895</v>
      </c>
      <c r="C269" s="3" t="s">
        <v>978</v>
      </c>
      <c r="D269" s="3" t="s">
        <v>979</v>
      </c>
      <c r="E269" s="3"/>
      <c r="F269" s="3" t="s">
        <v>970</v>
      </c>
      <c r="G269" s="3" t="s">
        <v>35</v>
      </c>
      <c r="H269" s="3">
        <f>VALUE(MID(LEFT(Table1[[#This Row],[Unique ID]], FIND("/", Table1[[#This Row],[Unique ID]]) - 1), 2, LEN(Table1[[#This Row],[Unique ID]])))</f>
        <v>10</v>
      </c>
      <c r="I269" s="3" t="s">
        <v>76</v>
      </c>
      <c r="J269" s="3"/>
      <c r="K269" s="3" t="s">
        <v>62</v>
      </c>
      <c r="L269" s="3" t="s">
        <v>980</v>
      </c>
      <c r="M269" s="24">
        <v>56000</v>
      </c>
      <c r="N269" s="3" t="s">
        <v>981</v>
      </c>
      <c r="O269" s="41">
        <v>12</v>
      </c>
      <c r="P269" s="3" t="s">
        <v>56</v>
      </c>
      <c r="Q269" s="3">
        <v>2020</v>
      </c>
      <c r="R269" s="3"/>
      <c r="S269" s="3" t="s">
        <v>43</v>
      </c>
      <c r="T269" s="33"/>
      <c r="U269" s="4"/>
      <c r="V269" s="4"/>
      <c r="W269" s="3"/>
      <c r="X269" s="4"/>
      <c r="Y269" s="4"/>
    </row>
    <row r="270" spans="1:25">
      <c r="A270" s="3">
        <v>269</v>
      </c>
      <c r="B270" s="3" t="s">
        <v>895</v>
      </c>
      <c r="C270" s="3" t="s">
        <v>873</v>
      </c>
      <c r="D270" s="3" t="s">
        <v>874</v>
      </c>
      <c r="E270" s="3" t="s">
        <v>842</v>
      </c>
      <c r="F270" s="3" t="s">
        <v>875</v>
      </c>
      <c r="G270" s="3" t="s">
        <v>35</v>
      </c>
      <c r="H270" s="3">
        <f>VALUE(MID(LEFT(Table1[[#This Row],[Unique ID]], FIND("/", Table1[[#This Row],[Unique ID]]) - 1), 2, LEN(Table1[[#This Row],[Unique ID]])))</f>
        <v>10</v>
      </c>
      <c r="I270" s="3" t="s">
        <v>589</v>
      </c>
      <c r="J270" s="3" t="s">
        <v>589</v>
      </c>
      <c r="K270" s="3" t="s">
        <v>62</v>
      </c>
      <c r="L270" s="3" t="s">
        <v>982</v>
      </c>
      <c r="M270" s="24">
        <v>4535.76</v>
      </c>
      <c r="N270" s="3" t="s">
        <v>70</v>
      </c>
      <c r="O270" s="41">
        <v>12</v>
      </c>
      <c r="P270" s="3" t="s">
        <v>56</v>
      </c>
      <c r="Q270" s="3">
        <v>2021</v>
      </c>
      <c r="R270" s="3" t="s">
        <v>983</v>
      </c>
      <c r="S270" s="3" t="s">
        <v>43</v>
      </c>
      <c r="T270" s="33">
        <v>43837</v>
      </c>
      <c r="U270" s="4"/>
      <c r="V270" s="4"/>
      <c r="W270" s="3"/>
      <c r="X270" s="4"/>
      <c r="Y270" s="4"/>
    </row>
    <row r="271" spans="1:25">
      <c r="A271" s="3">
        <v>270</v>
      </c>
      <c r="B271" s="3" t="s">
        <v>895</v>
      </c>
      <c r="C271" s="3" t="s">
        <v>885</v>
      </c>
      <c r="D271" s="3" t="s">
        <v>886</v>
      </c>
      <c r="E271" s="3"/>
      <c r="F271" s="3" t="s">
        <v>887</v>
      </c>
      <c r="G271" s="3" t="s">
        <v>61</v>
      </c>
      <c r="H271" s="3">
        <f>VALUE(MID(LEFT(Table1[[#This Row],[Unique ID]], FIND("/", Table1[[#This Row],[Unique ID]]) - 1), 2, LEN(Table1[[#This Row],[Unique ID]])))</f>
        <v>10</v>
      </c>
      <c r="I271" s="3" t="s">
        <v>110</v>
      </c>
      <c r="J271" s="3" t="s">
        <v>589</v>
      </c>
      <c r="K271" s="3" t="s">
        <v>62</v>
      </c>
      <c r="L271" s="3" t="s">
        <v>984</v>
      </c>
      <c r="M271" s="24">
        <v>6000</v>
      </c>
      <c r="N271" s="3" t="s">
        <v>985</v>
      </c>
      <c r="O271" s="41">
        <v>5</v>
      </c>
      <c r="P271" s="3" t="s">
        <v>56</v>
      </c>
      <c r="Q271" s="3">
        <v>2020</v>
      </c>
      <c r="R271" s="3"/>
      <c r="S271" s="3" t="s">
        <v>43</v>
      </c>
      <c r="T271" s="33"/>
      <c r="U271" s="4"/>
      <c r="V271" s="4"/>
      <c r="W271" s="3"/>
      <c r="X271" s="4"/>
      <c r="Y271" s="4"/>
    </row>
    <row r="272" spans="1:25">
      <c r="A272" s="3">
        <v>271</v>
      </c>
      <c r="B272" s="3" t="s">
        <v>986</v>
      </c>
      <c r="C272" s="3" t="s">
        <v>31</v>
      </c>
      <c r="D272" s="3" t="s">
        <v>32</v>
      </c>
      <c r="E272" s="3" t="s">
        <v>33</v>
      </c>
      <c r="F272" s="3" t="s">
        <v>34</v>
      </c>
      <c r="G272" s="3" t="s">
        <v>35</v>
      </c>
      <c r="H272" s="3">
        <f>VALUE(MID(LEFT(Table1[[#This Row],[Unique ID]], FIND("/", Table1[[#This Row],[Unique ID]]) - 1), 2, LEN(Table1[[#This Row],[Unique ID]])))</f>
        <v>4</v>
      </c>
      <c r="I272" s="3" t="s">
        <v>36</v>
      </c>
      <c r="J272" s="3"/>
      <c r="K272" s="3" t="s">
        <v>178</v>
      </c>
      <c r="L272" s="3" t="s">
        <v>987</v>
      </c>
      <c r="M272" s="24">
        <v>0</v>
      </c>
      <c r="N272" s="3" t="s">
        <v>988</v>
      </c>
      <c r="O272" s="41"/>
      <c r="P272" s="3" t="s">
        <v>178</v>
      </c>
      <c r="Q272" s="3">
        <v>2020</v>
      </c>
      <c r="R272" s="3"/>
      <c r="S272" s="3" t="s">
        <v>507</v>
      </c>
      <c r="T272" s="33"/>
      <c r="U272" s="4"/>
      <c r="V272" s="4"/>
      <c r="W272" s="3"/>
      <c r="X272" s="4"/>
      <c r="Y272" s="4"/>
    </row>
    <row r="273" spans="1:25">
      <c r="A273" s="3">
        <v>272</v>
      </c>
      <c r="B273" s="3" t="s">
        <v>986</v>
      </c>
      <c r="C273" s="3" t="s">
        <v>741</v>
      </c>
      <c r="D273" s="3" t="s">
        <v>742</v>
      </c>
      <c r="E273" s="3" t="s">
        <v>743</v>
      </c>
      <c r="F273" s="3" t="s">
        <v>744</v>
      </c>
      <c r="G273" s="3" t="s">
        <v>35</v>
      </c>
      <c r="H273" s="3">
        <f>VALUE(MID(LEFT(Table1[[#This Row],[Unique ID]], FIND("/", Table1[[#This Row],[Unique ID]]) - 1), 2, LEN(Table1[[#This Row],[Unique ID]])))</f>
        <v>3</v>
      </c>
      <c r="I273" s="3" t="s">
        <v>76</v>
      </c>
      <c r="J273" s="3"/>
      <c r="K273" s="3" t="s">
        <v>62</v>
      </c>
      <c r="L273" s="3" t="s">
        <v>989</v>
      </c>
      <c r="M273" s="24">
        <v>450000</v>
      </c>
      <c r="N273" s="3" t="s">
        <v>990</v>
      </c>
      <c r="O273" s="41">
        <v>12</v>
      </c>
      <c r="P273" s="3" t="s">
        <v>56</v>
      </c>
      <c r="Q273" s="3">
        <v>2020</v>
      </c>
      <c r="R273" s="3" t="s">
        <v>989</v>
      </c>
      <c r="S273" s="3" t="s">
        <v>507</v>
      </c>
      <c r="T273" s="33"/>
      <c r="U273" s="4"/>
      <c r="V273" s="4"/>
      <c r="W273" s="3"/>
      <c r="X273" s="4"/>
      <c r="Y273" s="4"/>
    </row>
    <row r="274" spans="1:25">
      <c r="A274" s="3">
        <v>273</v>
      </c>
      <c r="B274" s="3" t="s">
        <v>986</v>
      </c>
      <c r="C274" s="3" t="s">
        <v>303</v>
      </c>
      <c r="D274" s="3" t="s">
        <v>304</v>
      </c>
      <c r="E274" s="3"/>
      <c r="F274" s="3" t="s">
        <v>305</v>
      </c>
      <c r="G274" s="3" t="s">
        <v>35</v>
      </c>
      <c r="H274" s="3">
        <f>VALUE(MID(LEFT(Table1[[#This Row],[Unique ID]], FIND("/", Table1[[#This Row],[Unique ID]]) - 1), 2, LEN(Table1[[#This Row],[Unique ID]])))</f>
        <v>4</v>
      </c>
      <c r="I274" s="3" t="s">
        <v>76</v>
      </c>
      <c r="J274" s="3"/>
      <c r="K274" s="3" t="s">
        <v>62</v>
      </c>
      <c r="L274" s="3" t="s">
        <v>991</v>
      </c>
      <c r="M274" s="24">
        <v>50000</v>
      </c>
      <c r="N274" s="3" t="s">
        <v>992</v>
      </c>
      <c r="O274" s="41">
        <v>12</v>
      </c>
      <c r="P274" s="3" t="s">
        <v>56</v>
      </c>
      <c r="Q274" s="3">
        <v>2020</v>
      </c>
      <c r="R274" s="3" t="s">
        <v>993</v>
      </c>
      <c r="S274" s="3" t="s">
        <v>507</v>
      </c>
      <c r="T274" s="33"/>
      <c r="U274" s="4"/>
      <c r="V274" s="4"/>
      <c r="W274" s="3"/>
      <c r="X274" s="4"/>
      <c r="Y274" s="4"/>
    </row>
    <row r="275" spans="1:25">
      <c r="A275" s="3">
        <v>274</v>
      </c>
      <c r="B275" s="3" t="s">
        <v>986</v>
      </c>
      <c r="C275" s="3" t="s">
        <v>347</v>
      </c>
      <c r="D275" s="3" t="s">
        <v>348</v>
      </c>
      <c r="E275" s="3" t="s">
        <v>349</v>
      </c>
      <c r="F275" s="3" t="s">
        <v>350</v>
      </c>
      <c r="G275" s="3" t="s">
        <v>35</v>
      </c>
      <c r="H275" s="3">
        <f>VALUE(MID(LEFT(Table1[[#This Row],[Unique ID]], FIND("/", Table1[[#This Row],[Unique ID]]) - 1), 2, LEN(Table1[[#This Row],[Unique ID]])))</f>
        <v>6</v>
      </c>
      <c r="I275" s="3" t="s">
        <v>36</v>
      </c>
      <c r="J275" s="3"/>
      <c r="K275" s="3" t="s">
        <v>178</v>
      </c>
      <c r="L275" s="3" t="s">
        <v>994</v>
      </c>
      <c r="M275" s="24">
        <v>1000</v>
      </c>
      <c r="N275" s="3" t="s">
        <v>995</v>
      </c>
      <c r="O275" s="41"/>
      <c r="P275" s="3" t="s">
        <v>178</v>
      </c>
      <c r="Q275" s="3">
        <v>2020</v>
      </c>
      <c r="R275" s="3"/>
      <c r="S275" s="3" t="s">
        <v>507</v>
      </c>
      <c r="T275" s="33"/>
      <c r="U275" s="4"/>
      <c r="V275" s="4"/>
      <c r="W275" s="3"/>
      <c r="X275" s="4"/>
      <c r="Y275" s="4"/>
    </row>
    <row r="276" spans="1:25">
      <c r="A276" s="3">
        <v>275</v>
      </c>
      <c r="B276" s="3" t="s">
        <v>986</v>
      </c>
      <c r="C276" s="3" t="s">
        <v>361</v>
      </c>
      <c r="D276" s="3" t="s">
        <v>363</v>
      </c>
      <c r="E276" s="3"/>
      <c r="F276" s="3" t="s">
        <v>364</v>
      </c>
      <c r="G276" s="3" t="s">
        <v>35</v>
      </c>
      <c r="H276" s="3">
        <f>VALUE(MID(LEFT(Table1[[#This Row],[Unique ID]], FIND("/", Table1[[#This Row],[Unique ID]]) - 1), 2, LEN(Table1[[#This Row],[Unique ID]])))</f>
        <v>6</v>
      </c>
      <c r="I276" s="3" t="s">
        <v>86</v>
      </c>
      <c r="J276" s="3"/>
      <c r="K276" s="3" t="s">
        <v>306</v>
      </c>
      <c r="L276" s="3" t="s">
        <v>254</v>
      </c>
      <c r="M276" s="24">
        <v>120000</v>
      </c>
      <c r="N276" s="3" t="s">
        <v>996</v>
      </c>
      <c r="O276" s="41">
        <v>12</v>
      </c>
      <c r="P276" s="3" t="s">
        <v>56</v>
      </c>
      <c r="Q276" s="3">
        <v>2020</v>
      </c>
      <c r="R276" s="3" t="s">
        <v>997</v>
      </c>
      <c r="S276" s="3" t="s">
        <v>507</v>
      </c>
      <c r="T276" s="33"/>
      <c r="U276" s="4"/>
      <c r="V276" s="4"/>
      <c r="W276" s="3"/>
      <c r="X276" s="4"/>
      <c r="Y276" s="4"/>
    </row>
    <row r="277" spans="1:25">
      <c r="A277" s="3">
        <v>276</v>
      </c>
      <c r="B277" s="3" t="s">
        <v>986</v>
      </c>
      <c r="C277" s="3" t="s">
        <v>389</v>
      </c>
      <c r="D277" s="3" t="s">
        <v>390</v>
      </c>
      <c r="E277" s="3" t="s">
        <v>391</v>
      </c>
      <c r="F277" s="3" t="s">
        <v>392</v>
      </c>
      <c r="G277" s="3" t="s">
        <v>61</v>
      </c>
      <c r="H277" s="3">
        <f>VALUE(MID(LEFT(Table1[[#This Row],[Unique ID]], FIND("/", Table1[[#This Row],[Unique ID]]) - 1), 2, LEN(Table1[[#This Row],[Unique ID]])))</f>
        <v>6</v>
      </c>
      <c r="I277" s="3" t="s">
        <v>86</v>
      </c>
      <c r="J277" s="3"/>
      <c r="K277" s="3" t="s">
        <v>62</v>
      </c>
      <c r="L277" s="3" t="s">
        <v>998</v>
      </c>
      <c r="M277" s="24">
        <v>37000</v>
      </c>
      <c r="N277" s="3" t="s">
        <v>70</v>
      </c>
      <c r="O277" s="41">
        <v>12</v>
      </c>
      <c r="P277" s="3" t="s">
        <v>56</v>
      </c>
      <c r="Q277" s="3">
        <v>2020</v>
      </c>
      <c r="R277" s="3" t="s">
        <v>999</v>
      </c>
      <c r="S277" s="3" t="s">
        <v>507</v>
      </c>
      <c r="T277" s="33"/>
      <c r="U277" s="4"/>
      <c r="V277" s="4"/>
      <c r="W277" s="3"/>
      <c r="X277" s="4"/>
      <c r="Y277" s="4"/>
    </row>
    <row r="278" spans="1:25">
      <c r="A278" s="3">
        <v>277</v>
      </c>
      <c r="B278" s="3" t="s">
        <v>986</v>
      </c>
      <c r="C278" s="3" t="s">
        <v>235</v>
      </c>
      <c r="D278" s="3" t="s">
        <v>236</v>
      </c>
      <c r="E278" s="3"/>
      <c r="F278" s="3" t="s">
        <v>237</v>
      </c>
      <c r="G278" s="3" t="s">
        <v>35</v>
      </c>
      <c r="H278" s="3">
        <f>VALUE(MID(LEFT(Table1[[#This Row],[Unique ID]], FIND("/", Table1[[#This Row],[Unique ID]]) - 1), 2, LEN(Table1[[#This Row],[Unique ID]])))</f>
        <v>5</v>
      </c>
      <c r="I278" s="3" t="s">
        <v>93</v>
      </c>
      <c r="J278" s="3"/>
      <c r="K278" s="3" t="s">
        <v>62</v>
      </c>
      <c r="L278" s="3" t="s">
        <v>1000</v>
      </c>
      <c r="M278" s="24">
        <v>180867</v>
      </c>
      <c r="N278" s="3" t="s">
        <v>1001</v>
      </c>
      <c r="O278" s="41">
        <v>30</v>
      </c>
      <c r="P278" s="3" t="s">
        <v>56</v>
      </c>
      <c r="Q278" s="3">
        <v>2020</v>
      </c>
      <c r="R278" s="3" t="s">
        <v>1002</v>
      </c>
      <c r="S278" s="3" t="s">
        <v>507</v>
      </c>
      <c r="T278" s="33"/>
      <c r="U278" s="4"/>
      <c r="V278" s="4"/>
      <c r="W278" s="3"/>
      <c r="X278" s="4"/>
      <c r="Y278" s="4"/>
    </row>
    <row r="279" spans="1:25">
      <c r="A279" s="3">
        <v>278</v>
      </c>
      <c r="B279" s="3" t="s">
        <v>1003</v>
      </c>
      <c r="C279" s="3" t="s">
        <v>303</v>
      </c>
      <c r="D279" s="3" t="s">
        <v>304</v>
      </c>
      <c r="E279" s="3"/>
      <c r="F279" s="3" t="s">
        <v>305</v>
      </c>
      <c r="G279" s="3" t="s">
        <v>35</v>
      </c>
      <c r="H279" s="3">
        <f>VALUE(MID(LEFT(Table1[[#This Row],[Unique ID]], FIND("/", Table1[[#This Row],[Unique ID]]) - 1), 2, LEN(Table1[[#This Row],[Unique ID]])))</f>
        <v>4</v>
      </c>
      <c r="I279" s="3" t="s">
        <v>76</v>
      </c>
      <c r="J279" s="3"/>
      <c r="K279" s="3" t="s">
        <v>306</v>
      </c>
      <c r="L279" s="3" t="s">
        <v>1004</v>
      </c>
      <c r="M279" s="24">
        <v>60000</v>
      </c>
      <c r="N279" s="3" t="s">
        <v>1005</v>
      </c>
      <c r="O279" s="41">
        <v>12</v>
      </c>
      <c r="P279" s="3" t="s">
        <v>56</v>
      </c>
      <c r="Q279" s="3">
        <v>2021</v>
      </c>
      <c r="R279" s="3" t="s">
        <v>1006</v>
      </c>
      <c r="S279" s="3" t="s">
        <v>507</v>
      </c>
      <c r="T279" s="33"/>
      <c r="U279" s="4"/>
      <c r="V279" s="4"/>
      <c r="W279" s="3"/>
      <c r="X279" s="4"/>
      <c r="Y279" s="4"/>
    </row>
    <row r="280" spans="1:25">
      <c r="A280" s="3">
        <v>279</v>
      </c>
      <c r="B280" s="3" t="s">
        <v>1003</v>
      </c>
      <c r="C280" s="3" t="s">
        <v>675</v>
      </c>
      <c r="D280" s="3" t="s">
        <v>676</v>
      </c>
      <c r="E280" s="3" t="s">
        <v>677</v>
      </c>
      <c r="F280" s="3" t="s">
        <v>678</v>
      </c>
      <c r="G280" s="3" t="s">
        <v>61</v>
      </c>
      <c r="H280" s="3">
        <f>VALUE(MID(LEFT(Table1[[#This Row],[Unique ID]], FIND("/", Table1[[#This Row],[Unique ID]]) - 1), 2, LEN(Table1[[#This Row],[Unique ID]])))</f>
        <v>3</v>
      </c>
      <c r="I280" s="3" t="s">
        <v>541</v>
      </c>
      <c r="J280" s="3"/>
      <c r="K280" s="3" t="s">
        <v>62</v>
      </c>
      <c r="L280" s="3" t="s">
        <v>1007</v>
      </c>
      <c r="M280" s="24">
        <v>1300</v>
      </c>
      <c r="N280" s="3" t="s">
        <v>1008</v>
      </c>
      <c r="O280" s="41">
        <v>12</v>
      </c>
      <c r="P280" s="3" t="s">
        <v>56</v>
      </c>
      <c r="Q280" s="3">
        <v>2021</v>
      </c>
      <c r="R280" s="3" t="s">
        <v>1009</v>
      </c>
      <c r="S280" s="3" t="s">
        <v>507</v>
      </c>
      <c r="T280" s="33"/>
      <c r="U280" s="4"/>
      <c r="V280" s="4"/>
      <c r="W280" s="3"/>
      <c r="X280" s="4"/>
      <c r="Y280" s="4"/>
    </row>
    <row r="281" spans="1:25">
      <c r="A281" s="3">
        <v>280</v>
      </c>
      <c r="B281" s="3" t="s">
        <v>1003</v>
      </c>
      <c r="C281" s="3" t="s">
        <v>321</v>
      </c>
      <c r="D281" s="3" t="s">
        <v>322</v>
      </c>
      <c r="E281" s="3"/>
      <c r="F281" s="3" t="s">
        <v>1010</v>
      </c>
      <c r="G281" s="3" t="s">
        <v>61</v>
      </c>
      <c r="H281" s="3">
        <f>VALUE(MID(LEFT(Table1[[#This Row],[Unique ID]], FIND("/", Table1[[#This Row],[Unique ID]]) - 1), 2, LEN(Table1[[#This Row],[Unique ID]])))</f>
        <v>5</v>
      </c>
      <c r="I281" s="3" t="s">
        <v>229</v>
      </c>
      <c r="J281" s="3"/>
      <c r="K281" s="3" t="s">
        <v>50</v>
      </c>
      <c r="L281" s="3" t="s">
        <v>1011</v>
      </c>
      <c r="M281" s="24">
        <v>37500</v>
      </c>
      <c r="N281" s="3" t="s">
        <v>1012</v>
      </c>
      <c r="O281" s="41">
        <v>12</v>
      </c>
      <c r="P281" s="3" t="s">
        <v>53</v>
      </c>
      <c r="Q281" s="3">
        <v>2021</v>
      </c>
      <c r="R281" s="3" t="s">
        <v>1013</v>
      </c>
      <c r="S281" s="3" t="s">
        <v>507</v>
      </c>
      <c r="T281" s="33"/>
      <c r="U281" s="4"/>
      <c r="V281" s="4"/>
      <c r="W281" s="3"/>
      <c r="X281" s="4"/>
      <c r="Y281" s="4"/>
    </row>
    <row r="282" spans="1:25">
      <c r="A282" s="3">
        <v>281</v>
      </c>
      <c r="B282" s="3" t="s">
        <v>1014</v>
      </c>
      <c r="C282" s="3" t="s">
        <v>1015</v>
      </c>
      <c r="D282" s="3" t="s">
        <v>1016</v>
      </c>
      <c r="E282" s="3" t="s">
        <v>1017</v>
      </c>
      <c r="F282" s="3" t="s">
        <v>1018</v>
      </c>
      <c r="G282" s="3" t="s">
        <v>61</v>
      </c>
      <c r="H282" s="3">
        <f>VALUE(MID(LEFT(Table1[[#This Row],[Unique ID]], FIND("/", Table1[[#This Row],[Unique ID]]) - 1), 2, LEN(Table1[[#This Row],[Unique ID]])))</f>
        <v>4</v>
      </c>
      <c r="I282" s="3" t="s">
        <v>93</v>
      </c>
      <c r="J282" s="3" t="s">
        <v>93</v>
      </c>
      <c r="K282" s="3" t="s">
        <v>50</v>
      </c>
      <c r="L282" s="3" t="s">
        <v>1019</v>
      </c>
      <c r="M282" s="24">
        <v>7500</v>
      </c>
      <c r="N282" s="3" t="s">
        <v>1020</v>
      </c>
      <c r="O282" s="41">
        <v>3</v>
      </c>
      <c r="P282" s="3" t="s">
        <v>53</v>
      </c>
      <c r="Q282" s="3">
        <v>2021</v>
      </c>
      <c r="R282" s="3"/>
      <c r="S282" s="3" t="s">
        <v>43</v>
      </c>
      <c r="T282" s="33"/>
      <c r="U282" s="4"/>
      <c r="V282" s="4"/>
      <c r="W282" s="3"/>
      <c r="X282" s="4"/>
      <c r="Y282" s="4"/>
    </row>
    <row r="283" spans="1:25">
      <c r="A283" s="3">
        <v>282</v>
      </c>
      <c r="B283" s="3" t="s">
        <v>1014</v>
      </c>
      <c r="C283" s="3" t="s">
        <v>526</v>
      </c>
      <c r="D283" s="3" t="s">
        <v>527</v>
      </c>
      <c r="E283" s="3" t="s">
        <v>528</v>
      </c>
      <c r="F283" s="3" t="s">
        <v>529</v>
      </c>
      <c r="G283" s="3" t="s">
        <v>61</v>
      </c>
      <c r="H283" s="3">
        <f>VALUE(MID(LEFT(Table1[[#This Row],[Unique ID]], FIND("/", Table1[[#This Row],[Unique ID]]) - 1), 2, LEN(Table1[[#This Row],[Unique ID]])))</f>
        <v>7</v>
      </c>
      <c r="I283" s="3" t="s">
        <v>589</v>
      </c>
      <c r="J283" s="3" t="s">
        <v>589</v>
      </c>
      <c r="K283" s="3" t="s">
        <v>62</v>
      </c>
      <c r="L283" s="3" t="s">
        <v>1021</v>
      </c>
      <c r="M283" s="24">
        <v>5407.17</v>
      </c>
      <c r="N283" s="3" t="s">
        <v>1022</v>
      </c>
      <c r="O283" s="41">
        <v>12</v>
      </c>
      <c r="P283" s="3" t="s">
        <v>56</v>
      </c>
      <c r="Q283" s="3">
        <v>2021</v>
      </c>
      <c r="R283" s="3" t="s">
        <v>1023</v>
      </c>
      <c r="S283" s="3" t="s">
        <v>43</v>
      </c>
      <c r="T283" s="33"/>
      <c r="U283" s="4"/>
      <c r="V283" s="4"/>
      <c r="W283" s="3"/>
      <c r="X283" s="4"/>
      <c r="Y283" s="4"/>
    </row>
    <row r="284" spans="1:25">
      <c r="A284" s="3">
        <v>283</v>
      </c>
      <c r="B284" s="3" t="s">
        <v>1014</v>
      </c>
      <c r="C284" s="3" t="s">
        <v>1024</v>
      </c>
      <c r="D284" s="3" t="s">
        <v>1025</v>
      </c>
      <c r="E284" s="3" t="s">
        <v>842</v>
      </c>
      <c r="F284" s="3" t="s">
        <v>1026</v>
      </c>
      <c r="G284" s="3" t="s">
        <v>35</v>
      </c>
      <c r="H284" s="3">
        <f>VALUE(MID(LEFT(Table1[[#This Row],[Unique ID]], FIND("/", Table1[[#This Row],[Unique ID]]) - 1), 2, LEN(Table1[[#This Row],[Unique ID]])))</f>
        <v>8</v>
      </c>
      <c r="I284" s="3" t="s">
        <v>110</v>
      </c>
      <c r="J284" s="3" t="s">
        <v>110</v>
      </c>
      <c r="K284" s="3" t="s">
        <v>62</v>
      </c>
      <c r="L284" s="3" t="s">
        <v>1027</v>
      </c>
      <c r="M284" s="24">
        <v>20000</v>
      </c>
      <c r="N284" s="3" t="s">
        <v>1028</v>
      </c>
      <c r="O284" s="41">
        <v>12</v>
      </c>
      <c r="P284" s="3" t="s">
        <v>56</v>
      </c>
      <c r="Q284" s="3">
        <v>2021</v>
      </c>
      <c r="R284" s="3" t="s">
        <v>1029</v>
      </c>
      <c r="S284" s="3" t="s">
        <v>43</v>
      </c>
      <c r="T284" s="33"/>
      <c r="U284" s="4"/>
      <c r="V284" s="4"/>
      <c r="W284" s="3"/>
      <c r="X284" s="4"/>
      <c r="Y284" s="4"/>
    </row>
    <row r="285" spans="1:25">
      <c r="A285" s="3">
        <v>284</v>
      </c>
      <c r="B285" s="3" t="s">
        <v>1014</v>
      </c>
      <c r="C285" s="3" t="s">
        <v>565</v>
      </c>
      <c r="D285" s="3" t="s">
        <v>566</v>
      </c>
      <c r="E285" s="3" t="s">
        <v>202</v>
      </c>
      <c r="F285" s="3" t="s">
        <v>567</v>
      </c>
      <c r="G285" s="3" t="s">
        <v>61</v>
      </c>
      <c r="H285" s="3">
        <f>VALUE(MID(LEFT(Table1[[#This Row],[Unique ID]], FIND("/", Table1[[#This Row],[Unique ID]]) - 1), 2, LEN(Table1[[#This Row],[Unique ID]])))</f>
        <v>8</v>
      </c>
      <c r="I285" s="3" t="s">
        <v>86</v>
      </c>
      <c r="J285" s="3" t="s">
        <v>589</v>
      </c>
      <c r="K285" s="3" t="s">
        <v>164</v>
      </c>
      <c r="L285" s="3" t="s">
        <v>1030</v>
      </c>
      <c r="M285" s="24">
        <v>500</v>
      </c>
      <c r="N285" s="3" t="s">
        <v>1031</v>
      </c>
      <c r="O285" s="41">
        <v>1</v>
      </c>
      <c r="P285" s="3" t="s">
        <v>160</v>
      </c>
      <c r="Q285" s="3">
        <v>2021</v>
      </c>
      <c r="R285" s="3"/>
      <c r="S285" s="3" t="s">
        <v>43</v>
      </c>
      <c r="T285" s="33"/>
      <c r="U285" s="4"/>
      <c r="V285" s="4"/>
      <c r="W285" s="3"/>
      <c r="X285" s="4"/>
      <c r="Y285" s="4"/>
    </row>
    <row r="286" spans="1:25">
      <c r="A286" s="3">
        <v>285</v>
      </c>
      <c r="B286" s="3" t="s">
        <v>1014</v>
      </c>
      <c r="C286" s="3" t="s">
        <v>608</v>
      </c>
      <c r="D286" s="3" t="s">
        <v>609</v>
      </c>
      <c r="E286" s="3" t="s">
        <v>610</v>
      </c>
      <c r="F286" s="3" t="s">
        <v>611</v>
      </c>
      <c r="G286" s="3" t="s">
        <v>35</v>
      </c>
      <c r="H286" s="3">
        <f>VALUE(MID(LEFT(Table1[[#This Row],[Unique ID]], FIND("/", Table1[[#This Row],[Unique ID]]) - 1), 2, LEN(Table1[[#This Row],[Unique ID]])))</f>
        <v>8</v>
      </c>
      <c r="I286" s="3" t="s">
        <v>93</v>
      </c>
      <c r="J286" s="3" t="s">
        <v>93</v>
      </c>
      <c r="K286" s="3" t="s">
        <v>50</v>
      </c>
      <c r="L286" s="3" t="s">
        <v>1032</v>
      </c>
      <c r="M286" s="24">
        <v>5982.56</v>
      </c>
      <c r="N286" s="3" t="s">
        <v>1032</v>
      </c>
      <c r="O286" s="41">
        <v>4</v>
      </c>
      <c r="P286" s="3" t="s">
        <v>53</v>
      </c>
      <c r="Q286" s="3">
        <v>2021</v>
      </c>
      <c r="R286" s="3"/>
      <c r="S286" s="3" t="s">
        <v>43</v>
      </c>
      <c r="T286" s="33"/>
      <c r="U286" s="4"/>
      <c r="V286" s="4"/>
      <c r="W286" s="3"/>
      <c r="X286" s="4"/>
      <c r="Y286" s="4"/>
    </row>
    <row r="287" spans="1:25">
      <c r="A287" s="3">
        <v>286</v>
      </c>
      <c r="B287" s="3" t="s">
        <v>1014</v>
      </c>
      <c r="C287" s="3" t="s">
        <v>631</v>
      </c>
      <c r="D287" s="3" t="s">
        <v>632</v>
      </c>
      <c r="E287" s="3" t="s">
        <v>633</v>
      </c>
      <c r="F287" s="3" t="s">
        <v>634</v>
      </c>
      <c r="G287" s="3" t="s">
        <v>61</v>
      </c>
      <c r="H287" s="3">
        <f>VALUE(MID(LEFT(Table1[[#This Row],[Unique ID]], FIND("/", Table1[[#This Row],[Unique ID]]) - 1), 2, LEN(Table1[[#This Row],[Unique ID]])))</f>
        <v>9</v>
      </c>
      <c r="I287" s="3" t="s">
        <v>589</v>
      </c>
      <c r="J287" s="3" t="s">
        <v>589</v>
      </c>
      <c r="K287" s="3" t="s">
        <v>178</v>
      </c>
      <c r="L287" s="3" t="s">
        <v>948</v>
      </c>
      <c r="M287" s="24">
        <v>3508</v>
      </c>
      <c r="N287" s="3" t="s">
        <v>945</v>
      </c>
      <c r="O287" s="41">
        <v>6</v>
      </c>
      <c r="P287" s="3" t="s">
        <v>53</v>
      </c>
      <c r="Q287" s="3">
        <v>2021</v>
      </c>
      <c r="R287" s="3"/>
      <c r="S287" s="3" t="s">
        <v>43</v>
      </c>
      <c r="T287" s="33"/>
      <c r="U287" s="4"/>
      <c r="V287" s="4"/>
      <c r="W287" s="3"/>
      <c r="X287" s="4"/>
      <c r="Y287" s="4"/>
    </row>
    <row r="288" spans="1:25">
      <c r="A288" s="3">
        <v>287</v>
      </c>
      <c r="B288" s="3" t="s">
        <v>1014</v>
      </c>
      <c r="C288" s="3" t="s">
        <v>641</v>
      </c>
      <c r="D288" s="3" t="s">
        <v>642</v>
      </c>
      <c r="E288" s="3" t="s">
        <v>643</v>
      </c>
      <c r="F288" s="3" t="s">
        <v>644</v>
      </c>
      <c r="G288" s="3" t="s">
        <v>61</v>
      </c>
      <c r="H288" s="3">
        <f>VALUE(MID(LEFT(Table1[[#This Row],[Unique ID]], FIND("/", Table1[[#This Row],[Unique ID]]) - 1), 2, LEN(Table1[[#This Row],[Unique ID]])))</f>
        <v>9</v>
      </c>
      <c r="I288" s="3" t="s">
        <v>37</v>
      </c>
      <c r="J288" s="3" t="s">
        <v>37</v>
      </c>
      <c r="K288" s="3" t="s">
        <v>42</v>
      </c>
      <c r="L288" s="3" t="s">
        <v>1033</v>
      </c>
      <c r="M288" s="24">
        <v>1500</v>
      </c>
      <c r="N288" s="3" t="s">
        <v>1034</v>
      </c>
      <c r="O288" s="41">
        <v>12</v>
      </c>
      <c r="P288" s="3" t="s">
        <v>42</v>
      </c>
      <c r="Q288" s="3">
        <v>2021</v>
      </c>
      <c r="R288" s="3"/>
      <c r="S288" s="3" t="s">
        <v>43</v>
      </c>
      <c r="T288" s="33"/>
      <c r="U288" s="4"/>
      <c r="V288" s="4"/>
      <c r="W288" s="3"/>
      <c r="X288" s="4"/>
      <c r="Y288" s="4"/>
    </row>
    <row r="289" spans="1:25">
      <c r="A289" s="3">
        <v>288</v>
      </c>
      <c r="B289" s="3" t="s">
        <v>1014</v>
      </c>
      <c r="C289" s="3" t="s">
        <v>646</v>
      </c>
      <c r="D289" s="3" t="s">
        <v>647</v>
      </c>
      <c r="E289" s="3" t="s">
        <v>648</v>
      </c>
      <c r="F289" s="3" t="s">
        <v>648</v>
      </c>
      <c r="G289" s="3" t="s">
        <v>35</v>
      </c>
      <c r="H289" s="3">
        <f>VALUE(MID(LEFT(Table1[[#This Row],[Unique ID]], FIND("/", Table1[[#This Row],[Unique ID]]) - 1), 2, LEN(Table1[[#This Row],[Unique ID]])))</f>
        <v>9</v>
      </c>
      <c r="I289" s="3" t="s">
        <v>76</v>
      </c>
      <c r="J289" s="3" t="s">
        <v>76</v>
      </c>
      <c r="K289" s="3" t="s">
        <v>38</v>
      </c>
      <c r="L289" s="3" t="s">
        <v>1035</v>
      </c>
      <c r="M289" s="24">
        <v>650</v>
      </c>
      <c r="N289" s="3" t="s">
        <v>1036</v>
      </c>
      <c r="O289" s="41">
        <v>1</v>
      </c>
      <c r="P289" s="3" t="s">
        <v>42</v>
      </c>
      <c r="Q289" s="3">
        <v>2021</v>
      </c>
      <c r="R289" s="3"/>
      <c r="S289" s="3" t="s">
        <v>43</v>
      </c>
      <c r="T289" s="33"/>
      <c r="U289" s="4"/>
      <c r="V289" s="4"/>
      <c r="W289" s="3"/>
      <c r="X289" s="4"/>
      <c r="Y289" s="4"/>
    </row>
    <row r="290" spans="1:25">
      <c r="A290" s="3">
        <v>289</v>
      </c>
      <c r="B290" s="3" t="s">
        <v>1014</v>
      </c>
      <c r="C290" s="3" t="s">
        <v>1037</v>
      </c>
      <c r="D290" s="3" t="s">
        <v>1038</v>
      </c>
      <c r="E290" s="3" t="s">
        <v>842</v>
      </c>
      <c r="F290" s="3" t="s">
        <v>1039</v>
      </c>
      <c r="G290" s="3" t="s">
        <v>35</v>
      </c>
      <c r="H290" s="3">
        <f>VALUE(MID(LEFT(Table1[[#This Row],[Unique ID]], FIND("/", Table1[[#This Row],[Unique ID]]) - 1), 2, LEN(Table1[[#This Row],[Unique ID]])))</f>
        <v>9</v>
      </c>
      <c r="I290" s="3" t="s">
        <v>76</v>
      </c>
      <c r="J290" s="3" t="s">
        <v>76</v>
      </c>
      <c r="K290" s="3" t="s">
        <v>50</v>
      </c>
      <c r="L290" s="3" t="s">
        <v>1040</v>
      </c>
      <c r="M290" s="24"/>
      <c r="N290" s="3" t="s">
        <v>76</v>
      </c>
      <c r="O290" s="41"/>
      <c r="P290" s="3" t="s">
        <v>53</v>
      </c>
      <c r="Q290" s="3">
        <v>2021</v>
      </c>
      <c r="R290" s="3"/>
      <c r="S290" s="3" t="s">
        <v>43</v>
      </c>
      <c r="T290" s="33"/>
      <c r="U290" s="4"/>
      <c r="V290" s="4"/>
      <c r="W290" s="3"/>
      <c r="X290" s="4"/>
      <c r="Y290" s="4"/>
    </row>
    <row r="291" spans="1:25">
      <c r="A291" s="3">
        <v>290</v>
      </c>
      <c r="B291" s="3" t="s">
        <v>1014</v>
      </c>
      <c r="C291" s="3" t="s">
        <v>955</v>
      </c>
      <c r="D291" s="3" t="s">
        <v>956</v>
      </c>
      <c r="E291" s="3"/>
      <c r="F291" s="3" t="s">
        <v>957</v>
      </c>
      <c r="G291" s="3" t="s">
        <v>61</v>
      </c>
      <c r="H291" s="3">
        <f>VALUE(MID(LEFT(Table1[[#This Row],[Unique ID]], FIND("/", Table1[[#This Row],[Unique ID]]) - 1), 2, LEN(Table1[[#This Row],[Unique ID]])))</f>
        <v>9</v>
      </c>
      <c r="I291" s="3" t="s">
        <v>589</v>
      </c>
      <c r="J291" s="3" t="s">
        <v>589</v>
      </c>
      <c r="K291" s="3" t="s">
        <v>62</v>
      </c>
      <c r="L291" s="3" t="s">
        <v>499</v>
      </c>
      <c r="M291" s="24">
        <v>23000</v>
      </c>
      <c r="N291" s="3" t="s">
        <v>1041</v>
      </c>
      <c r="O291" s="41">
        <v>36</v>
      </c>
      <c r="P291" s="3" t="s">
        <v>56</v>
      </c>
      <c r="Q291" s="3">
        <v>2021</v>
      </c>
      <c r="R291" s="3" t="s">
        <v>1042</v>
      </c>
      <c r="S291" s="3" t="s">
        <v>43</v>
      </c>
      <c r="T291" s="33"/>
      <c r="U291" s="4"/>
      <c r="V291" s="4"/>
      <c r="W291" s="3"/>
      <c r="X291" s="4"/>
      <c r="Y291" s="4"/>
    </row>
    <row r="292" spans="1:25">
      <c r="A292" s="3">
        <v>291</v>
      </c>
      <c r="B292" s="3" t="s">
        <v>1014</v>
      </c>
      <c r="C292" s="3" t="s">
        <v>1043</v>
      </c>
      <c r="D292" s="3" t="s">
        <v>1044</v>
      </c>
      <c r="E292" s="3" t="s">
        <v>1045</v>
      </c>
      <c r="F292" s="3" t="s">
        <v>1046</v>
      </c>
      <c r="G292" s="3" t="s">
        <v>35</v>
      </c>
      <c r="H292" s="3">
        <f>VALUE(MID(LEFT(Table1[[#This Row],[Unique ID]], FIND("/", Table1[[#This Row],[Unique ID]]) - 1), 2, LEN(Table1[[#This Row],[Unique ID]])))</f>
        <v>10</v>
      </c>
      <c r="I292" s="3" t="s">
        <v>110</v>
      </c>
      <c r="J292" s="3" t="s">
        <v>589</v>
      </c>
      <c r="K292" s="3" t="s">
        <v>62</v>
      </c>
      <c r="L292" s="3" t="s">
        <v>1047</v>
      </c>
      <c r="M292" s="24"/>
      <c r="N292" s="3" t="s">
        <v>1048</v>
      </c>
      <c r="O292" s="41">
        <v>12</v>
      </c>
      <c r="P292" s="3" t="s">
        <v>56</v>
      </c>
      <c r="Q292" s="3">
        <v>2021</v>
      </c>
      <c r="R292" s="3" t="s">
        <v>1049</v>
      </c>
      <c r="S292" s="3" t="s">
        <v>43</v>
      </c>
      <c r="T292" s="33"/>
      <c r="U292" s="4"/>
      <c r="V292" s="4"/>
      <c r="W292" s="3"/>
      <c r="X292" s="4"/>
      <c r="Y292" s="4"/>
    </row>
    <row r="293" spans="1:25">
      <c r="A293" s="3">
        <v>292</v>
      </c>
      <c r="B293" s="3" t="s">
        <v>1014</v>
      </c>
      <c r="C293" s="3" t="s">
        <v>1050</v>
      </c>
      <c r="D293" s="3" t="s">
        <v>1051</v>
      </c>
      <c r="E293" s="3"/>
      <c r="F293" s="3" t="s">
        <v>1052</v>
      </c>
      <c r="G293" s="3" t="s">
        <v>35</v>
      </c>
      <c r="H293" s="3">
        <f>VALUE(MID(LEFT(Table1[[#This Row],[Unique ID]], FIND("/", Table1[[#This Row],[Unique ID]]) - 1), 2, LEN(Table1[[#This Row],[Unique ID]])))</f>
        <v>10</v>
      </c>
      <c r="I293" s="3" t="s">
        <v>76</v>
      </c>
      <c r="J293" s="3" t="s">
        <v>76</v>
      </c>
      <c r="K293" s="3" t="s">
        <v>62</v>
      </c>
      <c r="L293" s="3" t="s">
        <v>1053</v>
      </c>
      <c r="M293" s="24">
        <v>5000</v>
      </c>
      <c r="N293" s="3" t="s">
        <v>1054</v>
      </c>
      <c r="O293" s="41">
        <v>12</v>
      </c>
      <c r="P293" s="3" t="s">
        <v>56</v>
      </c>
      <c r="Q293" s="3">
        <v>2021</v>
      </c>
      <c r="R293" s="3" t="s">
        <v>1055</v>
      </c>
      <c r="S293" s="3" t="s">
        <v>43</v>
      </c>
      <c r="T293" s="33"/>
      <c r="U293" s="4"/>
      <c r="V293" s="4"/>
      <c r="W293" s="3"/>
      <c r="X293" s="4"/>
      <c r="Y293" s="4"/>
    </row>
    <row r="294" spans="1:25">
      <c r="A294" s="3">
        <v>293</v>
      </c>
      <c r="B294" s="3" t="s">
        <v>1014</v>
      </c>
      <c r="C294" s="3" t="s">
        <v>1050</v>
      </c>
      <c r="D294" s="3" t="s">
        <v>1051</v>
      </c>
      <c r="E294" s="3"/>
      <c r="F294" s="3" t="s">
        <v>1052</v>
      </c>
      <c r="G294" s="3" t="s">
        <v>35</v>
      </c>
      <c r="H294" s="3">
        <f>VALUE(MID(LEFT(Table1[[#This Row],[Unique ID]], FIND("/", Table1[[#This Row],[Unique ID]]) - 1), 2, LEN(Table1[[#This Row],[Unique ID]])))</f>
        <v>10</v>
      </c>
      <c r="I294" s="3" t="s">
        <v>76</v>
      </c>
      <c r="J294" s="3" t="s">
        <v>76</v>
      </c>
      <c r="K294" s="3" t="s">
        <v>62</v>
      </c>
      <c r="L294" s="3" t="s">
        <v>1056</v>
      </c>
      <c r="M294" s="24">
        <v>10000</v>
      </c>
      <c r="N294" s="3" t="s">
        <v>1057</v>
      </c>
      <c r="O294" s="41">
        <v>12</v>
      </c>
      <c r="P294" s="3" t="s">
        <v>56</v>
      </c>
      <c r="Q294" s="3">
        <v>2021</v>
      </c>
      <c r="R294" s="3" t="s">
        <v>1058</v>
      </c>
      <c r="S294" s="3" t="s">
        <v>43</v>
      </c>
      <c r="T294" s="33"/>
      <c r="U294" s="4"/>
      <c r="V294" s="4"/>
      <c r="W294" s="3"/>
      <c r="X294" s="4"/>
      <c r="Y294" s="4"/>
    </row>
    <row r="295" spans="1:25">
      <c r="A295" s="3">
        <v>294</v>
      </c>
      <c r="B295" s="3" t="s">
        <v>1014</v>
      </c>
      <c r="C295" s="3" t="s">
        <v>967</v>
      </c>
      <c r="D295" s="3" t="s">
        <v>968</v>
      </c>
      <c r="E295" s="3" t="s">
        <v>969</v>
      </c>
      <c r="F295" s="3" t="s">
        <v>970</v>
      </c>
      <c r="G295" s="3" t="s">
        <v>35</v>
      </c>
      <c r="H295" s="3">
        <f>VALUE(MID(LEFT(Table1[[#This Row],[Unique ID]], FIND("/", Table1[[#This Row],[Unique ID]]) - 1), 2, LEN(Table1[[#This Row],[Unique ID]])))</f>
        <v>10</v>
      </c>
      <c r="I295" s="3" t="s">
        <v>37</v>
      </c>
      <c r="J295" s="3" t="s">
        <v>37</v>
      </c>
      <c r="K295" s="3" t="s">
        <v>38</v>
      </c>
      <c r="L295" s="3" t="s">
        <v>1059</v>
      </c>
      <c r="M295" s="24"/>
      <c r="N295" s="3" t="s">
        <v>55</v>
      </c>
      <c r="O295" s="41"/>
      <c r="P295" s="3" t="s">
        <v>42</v>
      </c>
      <c r="Q295" s="3">
        <v>2021</v>
      </c>
      <c r="R295" s="3"/>
      <c r="S295" s="3" t="s">
        <v>43</v>
      </c>
      <c r="T295" s="33"/>
      <c r="U295" s="4"/>
      <c r="V295" s="4"/>
      <c r="W295" s="3"/>
      <c r="X295" s="4"/>
      <c r="Y295" s="4"/>
    </row>
    <row r="296" spans="1:25">
      <c r="A296" s="3">
        <v>295</v>
      </c>
      <c r="B296" s="3" t="s">
        <v>1060</v>
      </c>
      <c r="C296" s="3" t="s">
        <v>747</v>
      </c>
      <c r="D296" s="3" t="s">
        <v>748</v>
      </c>
      <c r="E296" s="3" t="s">
        <v>749</v>
      </c>
      <c r="F296" s="3" t="s">
        <v>750</v>
      </c>
      <c r="G296" s="3" t="s">
        <v>61</v>
      </c>
      <c r="H296" s="3">
        <f>VALUE(MID(LEFT(Table1[[#This Row],[Unique ID]], FIND("/", Table1[[#This Row],[Unique ID]]) - 1), 2, LEN(Table1[[#This Row],[Unique ID]])))</f>
        <v>3</v>
      </c>
      <c r="I296" s="3" t="s">
        <v>36</v>
      </c>
      <c r="J296" s="3"/>
      <c r="K296" s="3" t="s">
        <v>62</v>
      </c>
      <c r="L296" s="3" t="s">
        <v>1061</v>
      </c>
      <c r="M296" s="24">
        <v>20000</v>
      </c>
      <c r="N296" s="3" t="s">
        <v>1062</v>
      </c>
      <c r="O296" s="41">
        <v>12</v>
      </c>
      <c r="P296" s="3" t="s">
        <v>56</v>
      </c>
      <c r="Q296" s="3">
        <v>2021</v>
      </c>
      <c r="R296" s="3" t="s">
        <v>1063</v>
      </c>
      <c r="S296" s="3" t="s">
        <v>507</v>
      </c>
      <c r="T296" s="33"/>
      <c r="U296" s="4"/>
      <c r="V296" s="4"/>
      <c r="W296" s="3"/>
      <c r="X296" s="4"/>
      <c r="Y296" s="4"/>
    </row>
    <row r="297" spans="1:25">
      <c r="A297" s="3">
        <v>296</v>
      </c>
      <c r="B297" s="3" t="s">
        <v>1060</v>
      </c>
      <c r="C297" s="3" t="s">
        <v>432</v>
      </c>
      <c r="D297" s="3" t="s">
        <v>433</v>
      </c>
      <c r="E297" s="3" t="s">
        <v>434</v>
      </c>
      <c r="F297" s="3" t="s">
        <v>435</v>
      </c>
      <c r="G297" s="3" t="s">
        <v>35</v>
      </c>
      <c r="H297" s="3">
        <f>VALUE(MID(LEFT(Table1[[#This Row],[Unique ID]], FIND("/", Table1[[#This Row],[Unique ID]]) - 1), 2, LEN(Table1[[#This Row],[Unique ID]])))</f>
        <v>7</v>
      </c>
      <c r="I297" s="3" t="s">
        <v>86</v>
      </c>
      <c r="J297" s="3"/>
      <c r="K297" s="3" t="s">
        <v>62</v>
      </c>
      <c r="L297" s="3" t="s">
        <v>1064</v>
      </c>
      <c r="M297" s="24">
        <v>40000</v>
      </c>
      <c r="N297" s="3" t="s">
        <v>283</v>
      </c>
      <c r="O297" s="41">
        <v>12</v>
      </c>
      <c r="P297" s="3" t="s">
        <v>56</v>
      </c>
      <c r="Q297" s="3">
        <v>2021</v>
      </c>
      <c r="R297" s="3" t="s">
        <v>1065</v>
      </c>
      <c r="S297" s="3" t="s">
        <v>507</v>
      </c>
      <c r="T297" s="33"/>
      <c r="U297" s="4"/>
      <c r="V297" s="4"/>
      <c r="W297" s="3"/>
      <c r="X297" s="4"/>
      <c r="Y297" s="4"/>
    </row>
    <row r="298" spans="1:25">
      <c r="A298" s="3">
        <v>297</v>
      </c>
      <c r="B298" s="3" t="s">
        <v>79</v>
      </c>
      <c r="C298" s="3" t="s">
        <v>205</v>
      </c>
      <c r="D298" s="3" t="s">
        <v>206</v>
      </c>
      <c r="E298" s="3" t="s">
        <v>207</v>
      </c>
      <c r="F298" s="3" t="s">
        <v>208</v>
      </c>
      <c r="G298" s="3" t="s">
        <v>35</v>
      </c>
      <c r="H298" s="3">
        <f>VALUE(MID(LEFT(Table1[[#This Row],[Unique ID]], FIND("/", Table1[[#This Row],[Unique ID]]) - 1), 2, LEN(Table1[[#This Row],[Unique ID]])))</f>
        <v>5</v>
      </c>
      <c r="I298" s="3" t="s">
        <v>209</v>
      </c>
      <c r="J298" s="3"/>
      <c r="K298" s="3" t="s">
        <v>62</v>
      </c>
      <c r="L298" s="6" t="s">
        <v>1066</v>
      </c>
      <c r="M298" s="24">
        <v>349213</v>
      </c>
      <c r="N298" s="3" t="s">
        <v>1067</v>
      </c>
      <c r="O298" s="41">
        <v>24</v>
      </c>
      <c r="P298" s="3" t="s">
        <v>56</v>
      </c>
      <c r="Q298" s="3">
        <v>2019</v>
      </c>
      <c r="R298" s="6" t="s">
        <v>1068</v>
      </c>
      <c r="S298" s="3" t="s">
        <v>507</v>
      </c>
      <c r="T298" s="33"/>
      <c r="U298" s="4"/>
      <c r="V298" s="4"/>
      <c r="W298" s="3"/>
      <c r="X298" s="4"/>
      <c r="Y298" s="4"/>
    </row>
    <row r="299" spans="1:25">
      <c r="A299" s="3">
        <v>298</v>
      </c>
      <c r="B299" s="3" t="s">
        <v>1069</v>
      </c>
      <c r="C299" s="3" t="s">
        <v>961</v>
      </c>
      <c r="D299" s="3" t="s">
        <v>962</v>
      </c>
      <c r="E299" s="3" t="s">
        <v>963</v>
      </c>
      <c r="F299" s="3" t="s">
        <v>964</v>
      </c>
      <c r="G299" s="3" t="s">
        <v>35</v>
      </c>
      <c r="H299" s="3">
        <f>VALUE(MID(LEFT(Table1[[#This Row],[Unique ID]], FIND("/", Table1[[#This Row],[Unique ID]]) - 1), 2, LEN(Table1[[#This Row],[Unique ID]])))</f>
        <v>9</v>
      </c>
      <c r="I299" s="3" t="s">
        <v>229</v>
      </c>
      <c r="J299" s="3" t="s">
        <v>589</v>
      </c>
      <c r="K299" s="3" t="s">
        <v>178</v>
      </c>
      <c r="L299" s="3" t="s">
        <v>1070</v>
      </c>
      <c r="M299" s="24">
        <v>1946.71</v>
      </c>
      <c r="N299" s="3" t="s">
        <v>589</v>
      </c>
      <c r="O299" s="41"/>
      <c r="P299" s="3" t="s">
        <v>53</v>
      </c>
      <c r="Q299" s="3">
        <v>2021</v>
      </c>
      <c r="R299" s="3"/>
      <c r="S299" s="4" t="s">
        <v>43</v>
      </c>
      <c r="T299" s="16">
        <v>44455</v>
      </c>
      <c r="U299" s="14"/>
      <c r="V299" s="14"/>
      <c r="W299" s="3"/>
      <c r="X299" s="4"/>
      <c r="Y299" s="4"/>
    </row>
    <row r="300" spans="1:25">
      <c r="A300" s="3">
        <v>299</v>
      </c>
      <c r="B300" s="3" t="s">
        <v>889</v>
      </c>
      <c r="C300" s="3" t="s">
        <v>179</v>
      </c>
      <c r="D300" s="3" t="s">
        <v>180</v>
      </c>
      <c r="E300" s="3" t="s">
        <v>181</v>
      </c>
      <c r="F300" s="3" t="s">
        <v>182</v>
      </c>
      <c r="G300" s="3" t="s">
        <v>61</v>
      </c>
      <c r="H300" s="3">
        <f>VALUE(MID(LEFT(Table1[[#This Row],[Unique ID]], FIND("/", Table1[[#This Row],[Unique ID]]) - 1), 2, LEN(Table1[[#This Row],[Unique ID]])))</f>
        <v>6</v>
      </c>
      <c r="I300" s="3" t="s">
        <v>49</v>
      </c>
      <c r="J300" s="3" t="s">
        <v>49</v>
      </c>
      <c r="K300" s="3" t="s">
        <v>62</v>
      </c>
      <c r="L300" s="3" t="s">
        <v>1071</v>
      </c>
      <c r="M300" s="24"/>
      <c r="N300" s="3" t="s">
        <v>1072</v>
      </c>
      <c r="O300" s="41"/>
      <c r="P300" s="3" t="s">
        <v>53</v>
      </c>
      <c r="Q300" s="3">
        <v>2020</v>
      </c>
      <c r="R300" s="3"/>
      <c r="S300" s="3" t="s">
        <v>507</v>
      </c>
      <c r="T300" s="33"/>
      <c r="U300" s="4"/>
      <c r="V300" s="4"/>
      <c r="W300" s="3"/>
      <c r="X300" s="4"/>
      <c r="Y300" s="4"/>
    </row>
    <row r="301" spans="1:25">
      <c r="A301" s="3">
        <v>300</v>
      </c>
      <c r="B301" s="3" t="s">
        <v>1073</v>
      </c>
      <c r="C301" s="3" t="s">
        <v>347</v>
      </c>
      <c r="D301" s="3" t="s">
        <v>348</v>
      </c>
      <c r="E301" s="3" t="s">
        <v>349</v>
      </c>
      <c r="F301" s="3" t="s">
        <v>350</v>
      </c>
      <c r="G301" s="3" t="s">
        <v>35</v>
      </c>
      <c r="H301" s="3">
        <f>VALUE(MID(LEFT(Table1[[#This Row],[Unique ID]], FIND("/", Table1[[#This Row],[Unique ID]]) - 1), 2, LEN(Table1[[#This Row],[Unique ID]])))</f>
        <v>6</v>
      </c>
      <c r="I301" s="3" t="s">
        <v>36</v>
      </c>
      <c r="J301" s="3"/>
      <c r="K301" s="3" t="s">
        <v>50</v>
      </c>
      <c r="L301" s="3" t="s">
        <v>1074</v>
      </c>
      <c r="M301" s="24"/>
      <c r="N301" s="3" t="s">
        <v>1075</v>
      </c>
      <c r="O301" s="41">
        <v>12</v>
      </c>
      <c r="P301" s="3" t="s">
        <v>53</v>
      </c>
      <c r="Q301" s="3">
        <v>2021</v>
      </c>
      <c r="R301" s="3"/>
      <c r="S301" s="3" t="s">
        <v>507</v>
      </c>
      <c r="T301" s="33">
        <v>44470</v>
      </c>
      <c r="U301" s="4"/>
      <c r="V301" s="4"/>
      <c r="W301" s="3"/>
      <c r="X301" s="4"/>
      <c r="Y301" s="4"/>
    </row>
    <row r="302" spans="1:25">
      <c r="A302" s="3">
        <v>301</v>
      </c>
      <c r="B302" s="3" t="s">
        <v>1076</v>
      </c>
      <c r="C302" s="3" t="s">
        <v>560</v>
      </c>
      <c r="D302" s="3" t="s">
        <v>561</v>
      </c>
      <c r="E302" s="3" t="s">
        <v>562</v>
      </c>
      <c r="F302" s="3" t="s">
        <v>563</v>
      </c>
      <c r="G302" s="3" t="s">
        <v>61</v>
      </c>
      <c r="H302" s="3">
        <f>VALUE(MID(LEFT(Table1[[#This Row],[Unique ID]], FIND("/", Table1[[#This Row],[Unique ID]]) - 1), 2, LEN(Table1[[#This Row],[Unique ID]])))</f>
        <v>8</v>
      </c>
      <c r="I302" s="3" t="s">
        <v>37</v>
      </c>
      <c r="J302" s="3" t="s">
        <v>37</v>
      </c>
      <c r="K302" s="3" t="s">
        <v>876</v>
      </c>
      <c r="L302" s="3" t="s">
        <v>1077</v>
      </c>
      <c r="M302" s="24"/>
      <c r="N302" s="3" t="s">
        <v>1078</v>
      </c>
      <c r="O302" s="41">
        <v>5</v>
      </c>
      <c r="P302" s="3" t="s">
        <v>53</v>
      </c>
      <c r="Q302" s="3">
        <v>2021</v>
      </c>
      <c r="R302" s="3"/>
      <c r="S302" s="3" t="s">
        <v>507</v>
      </c>
      <c r="T302" s="33"/>
      <c r="U302" s="4"/>
      <c r="V302" s="4"/>
      <c r="W302" s="3"/>
      <c r="X302" s="4"/>
      <c r="Y302" s="4"/>
    </row>
    <row r="303" spans="1:25">
      <c r="A303" s="3">
        <v>302</v>
      </c>
      <c r="B303" s="3" t="s">
        <v>1076</v>
      </c>
      <c r="C303" s="3" t="s">
        <v>31</v>
      </c>
      <c r="D303" s="3" t="s">
        <v>32</v>
      </c>
      <c r="E303" s="3" t="s">
        <v>33</v>
      </c>
      <c r="F303" s="3" t="s">
        <v>34</v>
      </c>
      <c r="G303" s="3" t="s">
        <v>35</v>
      </c>
      <c r="H303" s="3">
        <f>VALUE(MID(LEFT(Table1[[#This Row],[Unique ID]], FIND("/", Table1[[#This Row],[Unique ID]]) - 1), 2, LEN(Table1[[#This Row],[Unique ID]])))</f>
        <v>4</v>
      </c>
      <c r="I303" s="3" t="s">
        <v>36</v>
      </c>
      <c r="J303" s="3" t="s">
        <v>1079</v>
      </c>
      <c r="K303" s="3" t="s">
        <v>62</v>
      </c>
      <c r="L303" s="3" t="s">
        <v>1080</v>
      </c>
      <c r="M303" s="24">
        <v>26119</v>
      </c>
      <c r="N303" s="3" t="s">
        <v>1081</v>
      </c>
      <c r="O303" s="41">
        <v>12</v>
      </c>
      <c r="P303" s="3" t="s">
        <v>56</v>
      </c>
      <c r="Q303" s="3">
        <v>2021</v>
      </c>
      <c r="R303" s="3" t="s">
        <v>1082</v>
      </c>
      <c r="S303" s="3" t="s">
        <v>507</v>
      </c>
      <c r="T303" s="33"/>
      <c r="U303" s="4"/>
      <c r="V303" s="4"/>
      <c r="W303" s="3" t="s">
        <v>1083</v>
      </c>
      <c r="X303" s="4"/>
      <c r="Y303" s="4"/>
    </row>
    <row r="304" spans="1:25">
      <c r="A304" s="3">
        <v>303</v>
      </c>
      <c r="B304" s="3" t="s">
        <v>1076</v>
      </c>
      <c r="C304" s="3" t="s">
        <v>899</v>
      </c>
      <c r="D304" s="3" t="s">
        <v>901</v>
      </c>
      <c r="E304" s="3"/>
      <c r="F304" s="3" t="s">
        <v>900</v>
      </c>
      <c r="G304" s="3" t="s">
        <v>35</v>
      </c>
      <c r="H304" s="3">
        <f>VALUE(MID(LEFT(Table1[[#This Row],[Unique ID]], FIND("/", Table1[[#This Row],[Unique ID]]) - 1), 2, LEN(Table1[[#This Row],[Unique ID]])))</f>
        <v>4</v>
      </c>
      <c r="I304" s="3" t="s">
        <v>76</v>
      </c>
      <c r="J304" s="3" t="s">
        <v>1084</v>
      </c>
      <c r="K304" s="3" t="s">
        <v>62</v>
      </c>
      <c r="L304" s="3" t="s">
        <v>1085</v>
      </c>
      <c r="M304" s="24">
        <v>27757</v>
      </c>
      <c r="N304" s="3" t="s">
        <v>1086</v>
      </c>
      <c r="O304" s="41">
        <v>12</v>
      </c>
      <c r="P304" s="3" t="s">
        <v>56</v>
      </c>
      <c r="Q304" s="3">
        <v>2021</v>
      </c>
      <c r="R304" s="3"/>
      <c r="S304" s="3" t="s">
        <v>507</v>
      </c>
      <c r="T304" s="33"/>
      <c r="U304" s="4"/>
      <c r="V304" s="4"/>
      <c r="W304" s="3" t="s">
        <v>1087</v>
      </c>
      <c r="X304" s="4"/>
      <c r="Y304" s="4"/>
    </row>
    <row r="305" spans="1:25">
      <c r="A305" s="3">
        <v>304</v>
      </c>
      <c r="B305" s="3" t="s">
        <v>1076</v>
      </c>
      <c r="C305" s="3" t="s">
        <v>347</v>
      </c>
      <c r="D305" s="3" t="s">
        <v>348</v>
      </c>
      <c r="E305" s="3" t="s">
        <v>349</v>
      </c>
      <c r="F305" s="3" t="s">
        <v>350</v>
      </c>
      <c r="G305" s="3" t="s">
        <v>35</v>
      </c>
      <c r="H305" s="3">
        <f>VALUE(MID(LEFT(Table1[[#This Row],[Unique ID]], FIND("/", Table1[[#This Row],[Unique ID]]) - 1), 2, LEN(Table1[[#This Row],[Unique ID]])))</f>
        <v>6</v>
      </c>
      <c r="I305" s="3" t="s">
        <v>36</v>
      </c>
      <c r="J305" s="3" t="s">
        <v>1079</v>
      </c>
      <c r="K305" s="3" t="s">
        <v>50</v>
      </c>
      <c r="L305" s="3" t="s">
        <v>1088</v>
      </c>
      <c r="M305" s="24"/>
      <c r="N305" s="3" t="s">
        <v>1089</v>
      </c>
      <c r="O305" s="41">
        <v>12</v>
      </c>
      <c r="P305" s="3" t="s">
        <v>53</v>
      </c>
      <c r="Q305" s="3">
        <v>2021</v>
      </c>
      <c r="R305" s="3"/>
      <c r="S305" s="3" t="s">
        <v>507</v>
      </c>
      <c r="T305" s="33"/>
      <c r="U305" s="4"/>
      <c r="V305" s="4"/>
      <c r="W305" s="3" t="s">
        <v>1090</v>
      </c>
      <c r="X305" s="4"/>
      <c r="Y305" s="4"/>
    </row>
    <row r="306" spans="1:25">
      <c r="A306" s="3">
        <v>305</v>
      </c>
      <c r="B306" s="3" t="s">
        <v>1076</v>
      </c>
      <c r="C306" s="3" t="s">
        <v>1091</v>
      </c>
      <c r="D306" s="3" t="s">
        <v>1092</v>
      </c>
      <c r="E306" s="3" t="s">
        <v>368</v>
      </c>
      <c r="F306" s="3" t="s">
        <v>1093</v>
      </c>
      <c r="G306" s="3" t="s">
        <v>61</v>
      </c>
      <c r="H306" s="3">
        <f>VALUE(MID(LEFT(Table1[[#This Row],[Unique ID]], FIND("/", Table1[[#This Row],[Unique ID]]) - 1), 2, LEN(Table1[[#This Row],[Unique ID]])))</f>
        <v>6</v>
      </c>
      <c r="I306" s="3" t="s">
        <v>37</v>
      </c>
      <c r="J306" s="3" t="s">
        <v>1094</v>
      </c>
      <c r="K306" s="3" t="s">
        <v>62</v>
      </c>
      <c r="L306" s="3" t="s">
        <v>1095</v>
      </c>
      <c r="M306" s="24">
        <v>1500</v>
      </c>
      <c r="N306" s="3" t="s">
        <v>1096</v>
      </c>
      <c r="O306" s="41">
        <v>1</v>
      </c>
      <c r="P306" s="3" t="s">
        <v>56</v>
      </c>
      <c r="Q306" s="3">
        <v>2021</v>
      </c>
      <c r="R306" s="3"/>
      <c r="S306" s="3" t="s">
        <v>507</v>
      </c>
      <c r="T306" s="33"/>
      <c r="U306" s="4"/>
      <c r="V306" s="4"/>
      <c r="W306" s="3" t="s">
        <v>1097</v>
      </c>
      <c r="X306" s="4"/>
      <c r="Y306" s="4"/>
    </row>
    <row r="307" spans="1:25">
      <c r="A307" s="3">
        <v>306</v>
      </c>
      <c r="B307" s="3" t="s">
        <v>1073</v>
      </c>
      <c r="C307" s="3" t="s">
        <v>920</v>
      </c>
      <c r="D307" s="3" t="s">
        <v>1098</v>
      </c>
      <c r="E307" s="3"/>
      <c r="F307" s="3" t="s">
        <v>921</v>
      </c>
      <c r="G307" s="3" t="s">
        <v>35</v>
      </c>
      <c r="H307" s="3">
        <f>VALUE(MID(LEFT(Table1[[#This Row],[Unique ID]], FIND("/", Table1[[#This Row],[Unique ID]]) - 1), 2, LEN(Table1[[#This Row],[Unique ID]])))</f>
        <v>7</v>
      </c>
      <c r="I307" s="3" t="s">
        <v>93</v>
      </c>
      <c r="J307" s="3" t="s">
        <v>1099</v>
      </c>
      <c r="K307" s="3" t="s">
        <v>62</v>
      </c>
      <c r="L307" s="3" t="s">
        <v>1100</v>
      </c>
      <c r="M307" s="25">
        <v>200000</v>
      </c>
      <c r="N307" s="3"/>
      <c r="O307" s="41"/>
      <c r="P307" s="3" t="s">
        <v>56</v>
      </c>
      <c r="Q307" s="3">
        <v>2021</v>
      </c>
      <c r="R307" s="3" t="s">
        <v>1101</v>
      </c>
      <c r="S307" s="3" t="s">
        <v>507</v>
      </c>
      <c r="T307" s="33"/>
      <c r="U307" s="4"/>
      <c r="V307" s="4"/>
      <c r="W307" s="3"/>
      <c r="X307" s="4"/>
      <c r="Y307" s="4"/>
    </row>
    <row r="308" spans="1:25">
      <c r="A308" s="3">
        <v>307</v>
      </c>
      <c r="B308" s="3" t="s">
        <v>1069</v>
      </c>
      <c r="C308" s="3" t="s">
        <v>326</v>
      </c>
      <c r="D308" s="3" t="s">
        <v>327</v>
      </c>
      <c r="E308" s="3" t="s">
        <v>328</v>
      </c>
      <c r="F308" s="3" t="s">
        <v>329</v>
      </c>
      <c r="G308" s="3" t="s">
        <v>61</v>
      </c>
      <c r="H308" s="3">
        <f>VALUE(MID(LEFT(Table1[[#This Row],[Unique ID]], FIND("/", Table1[[#This Row],[Unique ID]]) - 1), 2, LEN(Table1[[#This Row],[Unique ID]])))</f>
        <v>6</v>
      </c>
      <c r="I308" s="3" t="s">
        <v>76</v>
      </c>
      <c r="J308" s="3" t="s">
        <v>76</v>
      </c>
      <c r="K308" s="3" t="s">
        <v>56</v>
      </c>
      <c r="L308" s="3" t="s">
        <v>1102</v>
      </c>
      <c r="M308" s="24">
        <v>28600</v>
      </c>
      <c r="N308" s="3" t="s">
        <v>1103</v>
      </c>
      <c r="O308" s="41">
        <v>18</v>
      </c>
      <c r="P308" s="3" t="s">
        <v>56</v>
      </c>
      <c r="Q308" s="3">
        <v>2021</v>
      </c>
      <c r="R308" s="3" t="s">
        <v>1104</v>
      </c>
      <c r="S308" s="3" t="s">
        <v>43</v>
      </c>
      <c r="T308" s="16">
        <v>44409</v>
      </c>
      <c r="U308" s="4" t="s">
        <v>1105</v>
      </c>
      <c r="V308" s="4"/>
      <c r="W308" s="3"/>
      <c r="X308" s="4"/>
      <c r="Y308" s="4"/>
    </row>
    <row r="309" spans="1:25">
      <c r="A309" s="3">
        <v>308</v>
      </c>
      <c r="B309" s="3" t="s">
        <v>1069</v>
      </c>
      <c r="C309" s="3" t="s">
        <v>414</v>
      </c>
      <c r="D309" s="3" t="s">
        <v>415</v>
      </c>
      <c r="E309" s="3" t="s">
        <v>842</v>
      </c>
      <c r="F309" s="3" t="s">
        <v>416</v>
      </c>
      <c r="G309" s="3" t="s">
        <v>61</v>
      </c>
      <c r="H309" s="3">
        <f>VALUE(MID(LEFT(Table1[[#This Row],[Unique ID]], FIND("/", Table1[[#This Row],[Unique ID]]) - 1), 2, LEN(Table1[[#This Row],[Unique ID]])))</f>
        <v>7</v>
      </c>
      <c r="I309" s="3" t="s">
        <v>110</v>
      </c>
      <c r="J309" s="3" t="s">
        <v>589</v>
      </c>
      <c r="K309" s="3" t="s">
        <v>50</v>
      </c>
      <c r="L309" s="3" t="s">
        <v>1106</v>
      </c>
      <c r="M309" s="24">
        <v>15000</v>
      </c>
      <c r="N309" s="3" t="s">
        <v>1107</v>
      </c>
      <c r="O309" s="41">
        <v>2</v>
      </c>
      <c r="P309" s="3" t="s">
        <v>53</v>
      </c>
      <c r="Q309" s="3">
        <v>2021</v>
      </c>
      <c r="R309" s="3"/>
      <c r="S309" s="3" t="s">
        <v>43</v>
      </c>
      <c r="T309" s="16">
        <v>44477</v>
      </c>
      <c r="U309" s="4"/>
      <c r="V309" s="4"/>
      <c r="W309" s="3"/>
      <c r="X309" s="4"/>
      <c r="Y309" s="4"/>
    </row>
    <row r="310" spans="1:25">
      <c r="A310" s="3">
        <v>309</v>
      </c>
      <c r="B310" s="3" t="s">
        <v>1069</v>
      </c>
      <c r="C310" s="3" t="s">
        <v>1108</v>
      </c>
      <c r="D310" s="3" t="s">
        <v>1109</v>
      </c>
      <c r="E310" s="3" t="s">
        <v>1110</v>
      </c>
      <c r="F310" s="3" t="s">
        <v>1111</v>
      </c>
      <c r="G310" s="3" t="s">
        <v>35</v>
      </c>
      <c r="H310" s="3">
        <f>VALUE(MID(LEFT(Table1[[#This Row],[Unique ID]], FIND("/", Table1[[#This Row],[Unique ID]]) - 1), 2, LEN(Table1[[#This Row],[Unique ID]])))</f>
        <v>8</v>
      </c>
      <c r="I310" s="3" t="s">
        <v>86</v>
      </c>
      <c r="J310" s="3" t="s">
        <v>86</v>
      </c>
      <c r="K310" s="3" t="s">
        <v>42</v>
      </c>
      <c r="L310" s="3" t="s">
        <v>1112</v>
      </c>
      <c r="M310" s="24">
        <v>150</v>
      </c>
      <c r="N310" s="3" t="s">
        <v>1113</v>
      </c>
      <c r="O310" s="41">
        <v>1</v>
      </c>
      <c r="P310" s="3" t="s">
        <v>42</v>
      </c>
      <c r="Q310" s="3">
        <v>2021</v>
      </c>
      <c r="R310" s="3"/>
      <c r="S310" s="3" t="s">
        <v>43</v>
      </c>
      <c r="T310" s="16">
        <v>44535</v>
      </c>
      <c r="U310" s="4"/>
      <c r="V310" s="4"/>
      <c r="W310" s="3"/>
      <c r="X310" s="4"/>
      <c r="Y310" s="4"/>
    </row>
    <row r="311" spans="1:25">
      <c r="A311" s="3">
        <v>310</v>
      </c>
      <c r="B311" s="3" t="s">
        <v>1069</v>
      </c>
      <c r="C311" s="3" t="s">
        <v>906</v>
      </c>
      <c r="D311" s="3" t="s">
        <v>909</v>
      </c>
      <c r="E311" s="3" t="s">
        <v>908</v>
      </c>
      <c r="F311" s="3" t="s">
        <v>941</v>
      </c>
      <c r="G311" s="3" t="s">
        <v>61</v>
      </c>
      <c r="H311" s="3">
        <f>VALUE(MID(LEFT(Table1[[#This Row],[Unique ID]], FIND("/", Table1[[#This Row],[Unique ID]]) - 1), 2, LEN(Table1[[#This Row],[Unique ID]])))</f>
        <v>8</v>
      </c>
      <c r="I311" s="3" t="s">
        <v>76</v>
      </c>
      <c r="J311" s="3" t="s">
        <v>76</v>
      </c>
      <c r="K311" s="3" t="s">
        <v>56</v>
      </c>
      <c r="L311" s="3" t="s">
        <v>1114</v>
      </c>
      <c r="M311" s="24">
        <v>25700</v>
      </c>
      <c r="N311" s="3" t="s">
        <v>854</v>
      </c>
      <c r="O311" s="41">
        <v>12</v>
      </c>
      <c r="P311" s="3" t="s">
        <v>56</v>
      </c>
      <c r="Q311" s="3">
        <v>2021</v>
      </c>
      <c r="R311" s="3" t="s">
        <v>1115</v>
      </c>
      <c r="S311" s="3" t="s">
        <v>43</v>
      </c>
      <c r="T311" s="16">
        <v>44454</v>
      </c>
      <c r="U311" s="4" t="s">
        <v>1116</v>
      </c>
      <c r="V311" s="4"/>
      <c r="W311" s="3"/>
      <c r="X311" s="4"/>
      <c r="Y311" s="4"/>
    </row>
    <row r="312" spans="1:25">
      <c r="A312" s="3">
        <v>311</v>
      </c>
      <c r="B312" s="3" t="s">
        <v>1069</v>
      </c>
      <c r="C312" s="3" t="s">
        <v>637</v>
      </c>
      <c r="D312" s="3" t="s">
        <v>638</v>
      </c>
      <c r="E312" s="3" t="s">
        <v>842</v>
      </c>
      <c r="F312" s="3" t="s">
        <v>639</v>
      </c>
      <c r="G312" s="3" t="s">
        <v>35</v>
      </c>
      <c r="H312" s="3">
        <f>VALUE(MID(LEFT(Table1[[#This Row],[Unique ID]], FIND("/", Table1[[#This Row],[Unique ID]]) - 1), 2, LEN(Table1[[#This Row],[Unique ID]])))</f>
        <v>9</v>
      </c>
      <c r="I312" s="3" t="s">
        <v>110</v>
      </c>
      <c r="J312" s="3" t="s">
        <v>110</v>
      </c>
      <c r="K312" s="3" t="s">
        <v>56</v>
      </c>
      <c r="L312" s="3" t="s">
        <v>1117</v>
      </c>
      <c r="M312" s="24">
        <v>12000</v>
      </c>
      <c r="N312" s="3" t="s">
        <v>1118</v>
      </c>
      <c r="O312" s="41">
        <v>12</v>
      </c>
      <c r="P312" s="3" t="s">
        <v>56</v>
      </c>
      <c r="Q312" s="3">
        <v>2021</v>
      </c>
      <c r="R312" s="3"/>
      <c r="S312" s="3" t="s">
        <v>43</v>
      </c>
      <c r="T312" s="16">
        <v>44537</v>
      </c>
      <c r="U312" s="4" t="s">
        <v>1116</v>
      </c>
      <c r="V312" s="4"/>
      <c r="W312" s="3"/>
      <c r="X312" s="4"/>
      <c r="Y312" s="4"/>
    </row>
    <row r="313" spans="1:25">
      <c r="A313" s="3">
        <v>312</v>
      </c>
      <c r="B313" s="3" t="s">
        <v>1069</v>
      </c>
      <c r="C313" s="3" t="s">
        <v>950</v>
      </c>
      <c r="D313" s="3" t="s">
        <v>951</v>
      </c>
      <c r="E313" s="3"/>
      <c r="F313" s="3" t="s">
        <v>953</v>
      </c>
      <c r="G313" s="3" t="s">
        <v>35</v>
      </c>
      <c r="H313" s="3">
        <f>VALUE(MID(LEFT(Table1[[#This Row],[Unique ID]], FIND("/", Table1[[#This Row],[Unique ID]]) - 1), 2, LEN(Table1[[#This Row],[Unique ID]])))</f>
        <v>9</v>
      </c>
      <c r="I313" s="3" t="s">
        <v>110</v>
      </c>
      <c r="J313" s="3" t="s">
        <v>110</v>
      </c>
      <c r="K313" s="3" t="s">
        <v>56</v>
      </c>
      <c r="L313" s="3" t="s">
        <v>1119</v>
      </c>
      <c r="M313" s="24">
        <v>1400</v>
      </c>
      <c r="N313" s="3" t="s">
        <v>1120</v>
      </c>
      <c r="O313" s="41">
        <v>24</v>
      </c>
      <c r="P313" s="3" t="s">
        <v>56</v>
      </c>
      <c r="Q313" s="3">
        <v>2021</v>
      </c>
      <c r="R313" s="3" t="s">
        <v>1121</v>
      </c>
      <c r="S313" s="3" t="s">
        <v>43</v>
      </c>
      <c r="T313" s="16">
        <v>44515</v>
      </c>
      <c r="U313" s="4" t="s">
        <v>1105</v>
      </c>
      <c r="V313" s="4"/>
      <c r="W313" s="3"/>
      <c r="X313" s="4"/>
      <c r="Y313" s="4"/>
    </row>
    <row r="314" spans="1:25">
      <c r="A314" s="3">
        <v>313</v>
      </c>
      <c r="B314" s="3" t="s">
        <v>1069</v>
      </c>
      <c r="C314" s="3" t="s">
        <v>955</v>
      </c>
      <c r="D314" s="3" t="s">
        <v>956</v>
      </c>
      <c r="E314" s="3"/>
      <c r="F314" s="3" t="s">
        <v>957</v>
      </c>
      <c r="G314" s="3" t="s">
        <v>61</v>
      </c>
      <c r="H314" s="3">
        <f>VALUE(MID(LEFT(Table1[[#This Row],[Unique ID]], FIND("/", Table1[[#This Row],[Unique ID]]) - 1), 2, LEN(Table1[[#This Row],[Unique ID]])))</f>
        <v>9</v>
      </c>
      <c r="I314" s="3" t="s">
        <v>589</v>
      </c>
      <c r="J314" s="3" t="s">
        <v>589</v>
      </c>
      <c r="K314" s="3" t="s">
        <v>56</v>
      </c>
      <c r="L314" s="3" t="s">
        <v>1122</v>
      </c>
      <c r="M314" s="24">
        <v>27000</v>
      </c>
      <c r="N314" s="3" t="s">
        <v>52</v>
      </c>
      <c r="O314" s="41">
        <v>36</v>
      </c>
      <c r="P314" s="3" t="s">
        <v>56</v>
      </c>
      <c r="Q314" s="3">
        <v>2021</v>
      </c>
      <c r="R314" s="3" t="s">
        <v>1123</v>
      </c>
      <c r="S314" s="3" t="s">
        <v>43</v>
      </c>
      <c r="T314" s="16">
        <v>44197</v>
      </c>
      <c r="U314" s="4" t="s">
        <v>1105</v>
      </c>
      <c r="V314" s="4"/>
      <c r="W314" s="3"/>
      <c r="X314" s="4"/>
      <c r="Y314" s="4"/>
    </row>
    <row r="315" spans="1:25">
      <c r="A315" s="3">
        <v>314</v>
      </c>
      <c r="B315" s="3" t="s">
        <v>1069</v>
      </c>
      <c r="C315" s="3" t="s">
        <v>659</v>
      </c>
      <c r="D315" s="3" t="s">
        <v>660</v>
      </c>
      <c r="E315" s="3" t="s">
        <v>661</v>
      </c>
      <c r="F315" s="3" t="s">
        <v>662</v>
      </c>
      <c r="G315" s="3" t="s">
        <v>61</v>
      </c>
      <c r="H315" s="3">
        <f>VALUE(MID(LEFT(Table1[[#This Row],[Unique ID]], FIND("/", Table1[[#This Row],[Unique ID]]) - 1), 2, LEN(Table1[[#This Row],[Unique ID]])))</f>
        <v>9</v>
      </c>
      <c r="I315" s="3" t="s">
        <v>589</v>
      </c>
      <c r="J315" s="3" t="s">
        <v>589</v>
      </c>
      <c r="K315" s="3" t="s">
        <v>56</v>
      </c>
      <c r="L315" s="3" t="s">
        <v>1124</v>
      </c>
      <c r="M315" s="24">
        <v>800</v>
      </c>
      <c r="N315" s="3" t="s">
        <v>1125</v>
      </c>
      <c r="O315" s="41">
        <v>3</v>
      </c>
      <c r="P315" s="3" t="s">
        <v>56</v>
      </c>
      <c r="Q315" s="3">
        <v>2021</v>
      </c>
      <c r="R315" s="3" t="s">
        <v>1126</v>
      </c>
      <c r="S315" s="3" t="s">
        <v>43</v>
      </c>
      <c r="T315" s="16">
        <v>44409</v>
      </c>
      <c r="U315" s="4" t="s">
        <v>1105</v>
      </c>
      <c r="V315" s="4"/>
      <c r="W315" s="3"/>
      <c r="X315" s="4"/>
      <c r="Y315" s="4"/>
    </row>
    <row r="316" spans="1:25">
      <c r="A316" s="3">
        <v>315</v>
      </c>
      <c r="B316" s="3" t="s">
        <v>1069</v>
      </c>
      <c r="C316" s="3" t="s">
        <v>1043</v>
      </c>
      <c r="D316" s="3" t="s">
        <v>1044</v>
      </c>
      <c r="E316" s="3" t="s">
        <v>1045</v>
      </c>
      <c r="F316" s="3" t="s">
        <v>1046</v>
      </c>
      <c r="G316" s="3" t="s">
        <v>35</v>
      </c>
      <c r="H316" s="3">
        <f>VALUE(MID(LEFT(Table1[[#This Row],[Unique ID]], FIND("/", Table1[[#This Row],[Unique ID]]) - 1), 2, LEN(Table1[[#This Row],[Unique ID]])))</f>
        <v>10</v>
      </c>
      <c r="I316" s="3" t="s">
        <v>110</v>
      </c>
      <c r="J316" s="3" t="s">
        <v>589</v>
      </c>
      <c r="K316" s="3" t="s">
        <v>56</v>
      </c>
      <c r="L316" s="3" t="s">
        <v>1127</v>
      </c>
      <c r="M316" s="24">
        <v>11900</v>
      </c>
      <c r="N316" s="3" t="s">
        <v>1128</v>
      </c>
      <c r="O316" s="41">
        <v>24</v>
      </c>
      <c r="P316" s="3" t="s">
        <v>56</v>
      </c>
      <c r="Q316" s="3">
        <v>2021</v>
      </c>
      <c r="R316" s="3" t="s">
        <v>1129</v>
      </c>
      <c r="S316" s="3" t="s">
        <v>43</v>
      </c>
      <c r="T316" s="16">
        <v>44440</v>
      </c>
      <c r="U316" s="4" t="s">
        <v>1105</v>
      </c>
      <c r="V316" s="4"/>
      <c r="W316" s="3"/>
      <c r="X316" s="4"/>
      <c r="Y316" s="4"/>
    </row>
    <row r="317" spans="1:25">
      <c r="A317" s="3">
        <v>316</v>
      </c>
      <c r="B317" s="3" t="s">
        <v>1069</v>
      </c>
      <c r="C317" s="3" t="s">
        <v>879</v>
      </c>
      <c r="D317" s="3" t="s">
        <v>880</v>
      </c>
      <c r="E317" s="3" t="s">
        <v>881</v>
      </c>
      <c r="F317" s="3" t="s">
        <v>882</v>
      </c>
      <c r="G317" s="3" t="s">
        <v>61</v>
      </c>
      <c r="H317" s="3">
        <f>VALUE(MID(LEFT(Table1[[#This Row],[Unique ID]], FIND("/", Table1[[#This Row],[Unique ID]]) - 1), 2, LEN(Table1[[#This Row],[Unique ID]])))</f>
        <v>10</v>
      </c>
      <c r="I317" s="3" t="s">
        <v>86</v>
      </c>
      <c r="J317" s="3" t="s">
        <v>589</v>
      </c>
      <c r="K317" s="3" t="s">
        <v>42</v>
      </c>
      <c r="L317" s="3" t="s">
        <v>1130</v>
      </c>
      <c r="M317" s="24">
        <v>500</v>
      </c>
      <c r="N317" s="3" t="s">
        <v>1131</v>
      </c>
      <c r="O317" s="41">
        <v>1</v>
      </c>
      <c r="P317" s="3" t="s">
        <v>42</v>
      </c>
      <c r="Q317" s="3">
        <v>2021</v>
      </c>
      <c r="R317" s="3"/>
      <c r="S317" s="3" t="s">
        <v>43</v>
      </c>
      <c r="T317" s="16">
        <v>44531</v>
      </c>
      <c r="U317" s="4"/>
      <c r="V317" s="4"/>
      <c r="W317" s="3"/>
      <c r="X317" s="4"/>
      <c r="Y317" s="4"/>
    </row>
    <row r="318" spans="1:25">
      <c r="A318" s="3">
        <v>317</v>
      </c>
      <c r="B318" s="3" t="s">
        <v>1069</v>
      </c>
      <c r="C318" s="3" t="s">
        <v>1132</v>
      </c>
      <c r="D318" s="3" t="s">
        <v>1133</v>
      </c>
      <c r="E318" s="3"/>
      <c r="F318" s="3" t="s">
        <v>1134</v>
      </c>
      <c r="G318" s="3" t="s">
        <v>61</v>
      </c>
      <c r="H318" s="3">
        <f>VALUE(MID(LEFT(Table1[[#This Row],[Unique ID]], FIND("/", Table1[[#This Row],[Unique ID]]) - 1), 2, LEN(Table1[[#This Row],[Unique ID]])))</f>
        <v>10</v>
      </c>
      <c r="I318" s="3" t="s">
        <v>589</v>
      </c>
      <c r="J318" s="3" t="s">
        <v>589</v>
      </c>
      <c r="K318" s="3" t="s">
        <v>56</v>
      </c>
      <c r="L318" s="3" t="s">
        <v>1135</v>
      </c>
      <c r="M318" s="24"/>
      <c r="N318" s="3" t="s">
        <v>1136</v>
      </c>
      <c r="O318" s="41">
        <v>3</v>
      </c>
      <c r="P318" s="3" t="s">
        <v>56</v>
      </c>
      <c r="Q318" s="3">
        <v>2021</v>
      </c>
      <c r="R318" s="3" t="s">
        <v>1137</v>
      </c>
      <c r="S318" s="3" t="s">
        <v>43</v>
      </c>
      <c r="T318" s="16">
        <v>44413</v>
      </c>
      <c r="U318" s="4" t="s">
        <v>1105</v>
      </c>
      <c r="V318" s="4"/>
      <c r="W318" s="3"/>
      <c r="X318" s="4"/>
      <c r="Y318" s="4"/>
    </row>
    <row r="319" spans="1:25">
      <c r="A319" s="3">
        <v>318</v>
      </c>
      <c r="B319" s="3" t="s">
        <v>1069</v>
      </c>
      <c r="C319" s="3" t="s">
        <v>885</v>
      </c>
      <c r="D319" s="3" t="s">
        <v>886</v>
      </c>
      <c r="E319" s="3"/>
      <c r="F319" s="3" t="s">
        <v>887</v>
      </c>
      <c r="G319" s="3" t="s">
        <v>61</v>
      </c>
      <c r="H319" s="3">
        <f>VALUE(MID(LEFT(Table1[[#This Row],[Unique ID]], FIND("/", Table1[[#This Row],[Unique ID]]) - 1), 2, LEN(Table1[[#This Row],[Unique ID]])))</f>
        <v>10</v>
      </c>
      <c r="I319" s="3" t="s">
        <v>110</v>
      </c>
      <c r="J319" s="3" t="s">
        <v>589</v>
      </c>
      <c r="K319" s="3" t="s">
        <v>56</v>
      </c>
      <c r="L319" s="3" t="s">
        <v>1138</v>
      </c>
      <c r="M319" s="24">
        <v>12000</v>
      </c>
      <c r="N319" s="3" t="s">
        <v>1139</v>
      </c>
      <c r="O319" s="41">
        <v>24</v>
      </c>
      <c r="P319" s="3" t="s">
        <v>56</v>
      </c>
      <c r="Q319" s="3">
        <v>2021</v>
      </c>
      <c r="R319" s="3" t="s">
        <v>1140</v>
      </c>
      <c r="S319" s="3" t="s">
        <v>43</v>
      </c>
      <c r="T319" s="16">
        <v>44562</v>
      </c>
      <c r="U319" s="4" t="s">
        <v>1105</v>
      </c>
      <c r="V319" s="4"/>
      <c r="W319" s="3"/>
      <c r="X319" s="4"/>
      <c r="Y319" s="4"/>
    </row>
    <row r="320" spans="1:25">
      <c r="A320" s="3">
        <v>319</v>
      </c>
      <c r="B320" s="3" t="s">
        <v>1069</v>
      </c>
      <c r="C320" s="3" t="s">
        <v>885</v>
      </c>
      <c r="D320" s="3" t="s">
        <v>886</v>
      </c>
      <c r="E320" s="3"/>
      <c r="F320" s="3" t="s">
        <v>887</v>
      </c>
      <c r="G320" s="3" t="s">
        <v>61</v>
      </c>
      <c r="H320" s="3">
        <f>VALUE(MID(LEFT(Table1[[#This Row],[Unique ID]], FIND("/", Table1[[#This Row],[Unique ID]]) - 1), 2, LEN(Table1[[#This Row],[Unique ID]])))</f>
        <v>10</v>
      </c>
      <c r="I320" s="3" t="s">
        <v>110</v>
      </c>
      <c r="J320" s="3" t="s">
        <v>589</v>
      </c>
      <c r="K320" s="3" t="s">
        <v>56</v>
      </c>
      <c r="L320" s="3" t="s">
        <v>1141</v>
      </c>
      <c r="M320" s="24"/>
      <c r="N320" s="3" t="s">
        <v>1142</v>
      </c>
      <c r="O320" s="41">
        <v>12</v>
      </c>
      <c r="P320" s="3" t="s">
        <v>56</v>
      </c>
      <c r="Q320" s="3">
        <v>2021</v>
      </c>
      <c r="R320" s="3" t="s">
        <v>1143</v>
      </c>
      <c r="S320" s="3" t="s">
        <v>43</v>
      </c>
      <c r="T320" s="16">
        <v>44531</v>
      </c>
      <c r="U320" s="4" t="s">
        <v>1116</v>
      </c>
      <c r="V320" s="4"/>
      <c r="W320" s="3"/>
      <c r="X320" s="4"/>
      <c r="Y320" s="4"/>
    </row>
    <row r="321" spans="1:25">
      <c r="A321" s="3">
        <v>320</v>
      </c>
      <c r="B321" s="3" t="s">
        <v>1073</v>
      </c>
      <c r="C321" s="3" t="s">
        <v>766</v>
      </c>
      <c r="D321" s="3" t="s">
        <v>767</v>
      </c>
      <c r="E321" s="3"/>
      <c r="F321" s="3" t="s">
        <v>768</v>
      </c>
      <c r="G321" s="3" t="s">
        <v>35</v>
      </c>
      <c r="H321" s="3">
        <f>VALUE(MID(LEFT(Table1[[#This Row],[Unique ID]], FIND("/", Table1[[#This Row],[Unique ID]]) - 1), 2, LEN(Table1[[#This Row],[Unique ID]])))</f>
        <v>1</v>
      </c>
      <c r="I321" s="3" t="s">
        <v>110</v>
      </c>
      <c r="J321" s="3"/>
      <c r="K321" s="3" t="s">
        <v>56</v>
      </c>
      <c r="L321" s="3" t="s">
        <v>1144</v>
      </c>
      <c r="M321" s="24">
        <v>217972</v>
      </c>
      <c r="N321" s="3" t="s">
        <v>1145</v>
      </c>
      <c r="O321" s="41">
        <v>48</v>
      </c>
      <c r="P321" s="3" t="s">
        <v>178</v>
      </c>
      <c r="Q321" s="3">
        <v>2021</v>
      </c>
      <c r="R321" s="3"/>
      <c r="S321" s="3" t="s">
        <v>507</v>
      </c>
      <c r="T321" s="16"/>
      <c r="U321" s="4"/>
      <c r="V321" s="4"/>
      <c r="W321" s="3"/>
      <c r="X321" s="4"/>
      <c r="Y321" s="4"/>
    </row>
    <row r="322" spans="1:25">
      <c r="A322" s="3">
        <v>321</v>
      </c>
      <c r="B322" s="3" t="s">
        <v>1073</v>
      </c>
      <c r="C322" s="3" t="s">
        <v>303</v>
      </c>
      <c r="D322" s="3" t="s">
        <v>304</v>
      </c>
      <c r="E322" s="3"/>
      <c r="F322" s="3" t="s">
        <v>305</v>
      </c>
      <c r="G322" s="3" t="s">
        <v>35</v>
      </c>
      <c r="H322" s="3">
        <f>VALUE(MID(LEFT(Table1[[#This Row],[Unique ID]], FIND("/", Table1[[#This Row],[Unique ID]]) - 1), 2, LEN(Table1[[#This Row],[Unique ID]])))</f>
        <v>4</v>
      </c>
      <c r="I322" s="3" t="s">
        <v>76</v>
      </c>
      <c r="J322" s="3"/>
      <c r="K322" s="3" t="s">
        <v>56</v>
      </c>
      <c r="L322" s="3" t="s">
        <v>1146</v>
      </c>
      <c r="M322" s="24">
        <v>30000</v>
      </c>
      <c r="N322" s="3" t="s">
        <v>1147</v>
      </c>
      <c r="O322" s="41">
        <v>12</v>
      </c>
      <c r="P322" s="3" t="s">
        <v>56</v>
      </c>
      <c r="Q322" s="3">
        <v>2021</v>
      </c>
      <c r="R322" s="3" t="s">
        <v>1148</v>
      </c>
      <c r="S322" s="3" t="s">
        <v>507</v>
      </c>
      <c r="T322" s="16"/>
      <c r="U322" s="4"/>
      <c r="V322" s="4"/>
      <c r="W322" s="3"/>
      <c r="X322" s="4"/>
      <c r="Y322" s="4"/>
    </row>
    <row r="323" spans="1:25">
      <c r="A323" s="3">
        <v>322</v>
      </c>
      <c r="B323" s="3" t="s">
        <v>1073</v>
      </c>
      <c r="C323" s="3" t="s">
        <v>680</v>
      </c>
      <c r="D323" s="3" t="s">
        <v>681</v>
      </c>
      <c r="E323" s="3" t="s">
        <v>682</v>
      </c>
      <c r="F323" s="3" t="s">
        <v>683</v>
      </c>
      <c r="G323" s="3" t="s">
        <v>35</v>
      </c>
      <c r="H323" s="3">
        <f>VALUE(MID(LEFT(Table1[[#This Row],[Unique ID]], FIND("/", Table1[[#This Row],[Unique ID]]) - 1), 2, LEN(Table1[[#This Row],[Unique ID]])))</f>
        <v>3</v>
      </c>
      <c r="I323" s="3" t="s">
        <v>86</v>
      </c>
      <c r="J323" s="3"/>
      <c r="K323" s="3" t="s">
        <v>42</v>
      </c>
      <c r="L323" s="3" t="s">
        <v>753</v>
      </c>
      <c r="M323" s="24">
        <v>679.64</v>
      </c>
      <c r="N323" s="3" t="s">
        <v>1149</v>
      </c>
      <c r="O323" s="41">
        <v>1</v>
      </c>
      <c r="P323" s="3" t="s">
        <v>42</v>
      </c>
      <c r="Q323" s="3">
        <v>2021</v>
      </c>
      <c r="R323" s="3"/>
      <c r="S323" s="3" t="s">
        <v>507</v>
      </c>
      <c r="T323" s="16"/>
      <c r="U323" s="4"/>
      <c r="V323" s="4"/>
      <c r="W323" s="3"/>
      <c r="X323" s="4"/>
      <c r="Y323" s="4"/>
    </row>
    <row r="324" spans="1:25">
      <c r="A324" s="3">
        <v>323</v>
      </c>
      <c r="B324" s="3" t="s">
        <v>1073</v>
      </c>
      <c r="C324" s="3" t="s">
        <v>1150</v>
      </c>
      <c r="D324" s="3" t="s">
        <v>1151</v>
      </c>
      <c r="E324" s="3" t="s">
        <v>208</v>
      </c>
      <c r="F324" s="3" t="s">
        <v>1152</v>
      </c>
      <c r="G324" s="3" t="s">
        <v>35</v>
      </c>
      <c r="H324" s="3">
        <f>VALUE(MID(LEFT(Table1[[#This Row],[Unique ID]], FIND("/", Table1[[#This Row],[Unique ID]]) - 1), 2, LEN(Table1[[#This Row],[Unique ID]])))</f>
        <v>3</v>
      </c>
      <c r="I324" s="3" t="s">
        <v>36</v>
      </c>
      <c r="J324" s="3"/>
      <c r="K324" s="3" t="s">
        <v>56</v>
      </c>
      <c r="L324" s="3" t="s">
        <v>1153</v>
      </c>
      <c r="M324" s="24">
        <v>3400</v>
      </c>
      <c r="N324" s="3" t="s">
        <v>1154</v>
      </c>
      <c r="O324" s="41">
        <v>2</v>
      </c>
      <c r="P324" s="3" t="s">
        <v>56</v>
      </c>
      <c r="Q324" s="3">
        <v>2021</v>
      </c>
      <c r="R324" s="3" t="s">
        <v>1155</v>
      </c>
      <c r="S324" s="3" t="s">
        <v>507</v>
      </c>
      <c r="T324" s="16"/>
      <c r="U324" s="4"/>
      <c r="V324" s="4"/>
      <c r="W324" s="3"/>
      <c r="X324" s="4"/>
      <c r="Y324" s="4"/>
    </row>
    <row r="325" spans="1:25">
      <c r="A325" s="3">
        <v>324</v>
      </c>
      <c r="B325" s="3" t="s">
        <v>1073</v>
      </c>
      <c r="C325" s="3" t="s">
        <v>361</v>
      </c>
      <c r="D325" s="3" t="s">
        <v>362</v>
      </c>
      <c r="E325" s="3" t="s">
        <v>363</v>
      </c>
      <c r="F325" s="3" t="s">
        <v>364</v>
      </c>
      <c r="G325" s="3" t="s">
        <v>35</v>
      </c>
      <c r="H325" s="3">
        <f>VALUE(MID(LEFT(Table1[[#This Row],[Unique ID]], FIND("/", Table1[[#This Row],[Unique ID]]) - 1), 2, LEN(Table1[[#This Row],[Unique ID]])))</f>
        <v>6</v>
      </c>
      <c r="I325" s="3" t="s">
        <v>86</v>
      </c>
      <c r="J325" s="3"/>
      <c r="K325" s="3" t="s">
        <v>160</v>
      </c>
      <c r="L325" s="3"/>
      <c r="M325" s="24"/>
      <c r="N325" s="3"/>
      <c r="O325" s="41"/>
      <c r="P325" s="3" t="s">
        <v>160</v>
      </c>
      <c r="Q325" s="3">
        <v>2021</v>
      </c>
      <c r="R325" s="3"/>
      <c r="S325" s="3" t="s">
        <v>507</v>
      </c>
      <c r="T325" s="16"/>
      <c r="U325" s="4"/>
      <c r="V325" s="4"/>
      <c r="W325" s="3"/>
      <c r="X325" s="4"/>
      <c r="Y325" s="4"/>
    </row>
    <row r="326" spans="1:25">
      <c r="A326" s="3">
        <v>325</v>
      </c>
      <c r="B326" s="3" t="s">
        <v>1073</v>
      </c>
      <c r="C326" s="3" t="s">
        <v>803</v>
      </c>
      <c r="D326" s="3" t="s">
        <v>804</v>
      </c>
      <c r="E326" s="3"/>
      <c r="F326" s="3" t="s">
        <v>109</v>
      </c>
      <c r="G326" s="3" t="s">
        <v>35</v>
      </c>
      <c r="H326" s="3">
        <f>VALUE(MID(LEFT(Table1[[#This Row],[Unique ID]], FIND("/", Table1[[#This Row],[Unique ID]]) - 1), 2, LEN(Table1[[#This Row],[Unique ID]])))</f>
        <v>5</v>
      </c>
      <c r="I326" s="3" t="s">
        <v>110</v>
      </c>
      <c r="J326" s="3"/>
      <c r="K326" s="3" t="s">
        <v>56</v>
      </c>
      <c r="L326" s="3" t="s">
        <v>1156</v>
      </c>
      <c r="M326" s="24">
        <v>12000</v>
      </c>
      <c r="N326" s="3" t="s">
        <v>110</v>
      </c>
      <c r="O326" s="41">
        <v>12</v>
      </c>
      <c r="P326" s="3" t="s">
        <v>56</v>
      </c>
      <c r="Q326" s="3">
        <v>2021</v>
      </c>
      <c r="R326" s="3" t="s">
        <v>1157</v>
      </c>
      <c r="S326" s="3" t="s">
        <v>507</v>
      </c>
      <c r="T326" s="16"/>
      <c r="U326" s="4"/>
      <c r="V326" s="4"/>
      <c r="W326" s="3"/>
      <c r="X326" s="4"/>
      <c r="Y326" s="4"/>
    </row>
    <row r="327" spans="1:25">
      <c r="A327" s="3">
        <v>326</v>
      </c>
      <c r="B327" s="3" t="s">
        <v>1073</v>
      </c>
      <c r="C327" s="3" t="s">
        <v>179</v>
      </c>
      <c r="D327" s="3" t="s">
        <v>180</v>
      </c>
      <c r="E327" s="3" t="s">
        <v>181</v>
      </c>
      <c r="F327" s="3" t="s">
        <v>182</v>
      </c>
      <c r="G327" s="3" t="s">
        <v>61</v>
      </c>
      <c r="H327" s="3">
        <f>VALUE(MID(LEFT(Table1[[#This Row],[Unique ID]], FIND("/", Table1[[#This Row],[Unique ID]]) - 1), 2, LEN(Table1[[#This Row],[Unique ID]])))</f>
        <v>6</v>
      </c>
      <c r="I327" s="3" t="s">
        <v>589</v>
      </c>
      <c r="J327" s="3"/>
      <c r="K327" s="3" t="s">
        <v>56</v>
      </c>
      <c r="L327" s="3" t="s">
        <v>1158</v>
      </c>
      <c r="M327" s="24">
        <v>4000</v>
      </c>
      <c r="N327" s="3" t="s">
        <v>1159</v>
      </c>
      <c r="O327" s="41">
        <v>6</v>
      </c>
      <c r="P327" s="3" t="s">
        <v>178</v>
      </c>
      <c r="Q327" s="3">
        <v>2021</v>
      </c>
      <c r="R327" s="3"/>
      <c r="S327" s="3" t="s">
        <v>507</v>
      </c>
      <c r="T327" s="16"/>
      <c r="U327" s="4"/>
      <c r="V327" s="4"/>
      <c r="W327" s="3"/>
      <c r="X327" s="4"/>
      <c r="Y327" s="4"/>
    </row>
    <row r="328" spans="1:25" ht="14.45" customHeight="1">
      <c r="A328" s="3">
        <v>327</v>
      </c>
      <c r="B328" s="3" t="s">
        <v>1069</v>
      </c>
      <c r="C328" s="3" t="s">
        <v>1160</v>
      </c>
      <c r="D328" s="3" t="s">
        <v>1161</v>
      </c>
      <c r="E328" s="3"/>
      <c r="F328" s="3" t="s">
        <v>1162</v>
      </c>
      <c r="G328" s="3" t="s">
        <v>61</v>
      </c>
      <c r="H328" s="3">
        <f>VALUE(MID(LEFT(Table1[[#This Row],[Unique ID]], FIND("/", Table1[[#This Row],[Unique ID]]) - 1), 2, LEN(Table1[[#This Row],[Unique ID]])))</f>
        <v>9</v>
      </c>
      <c r="I328" s="3" t="s">
        <v>36</v>
      </c>
      <c r="J328" s="3"/>
      <c r="K328" s="3" t="s">
        <v>56</v>
      </c>
      <c r="L328" s="3"/>
      <c r="M328" s="24"/>
      <c r="N328" s="3" t="s">
        <v>1163</v>
      </c>
      <c r="O328" s="41"/>
      <c r="P328" s="3" t="s">
        <v>56</v>
      </c>
      <c r="Q328" s="3">
        <v>2021</v>
      </c>
      <c r="R328" s="3" t="s">
        <v>1164</v>
      </c>
      <c r="S328" s="3" t="s">
        <v>43</v>
      </c>
      <c r="T328" s="16"/>
      <c r="U328" s="4"/>
      <c r="V328" s="4"/>
      <c r="W328" s="3"/>
      <c r="X328" s="4"/>
      <c r="Y328" s="4"/>
    </row>
    <row r="329" spans="1:25" ht="14.45" customHeight="1">
      <c r="A329" s="3">
        <v>328</v>
      </c>
      <c r="B329" s="3" t="s">
        <v>1165</v>
      </c>
      <c r="C329" s="3" t="s">
        <v>269</v>
      </c>
      <c r="D329" s="3" t="s">
        <v>270</v>
      </c>
      <c r="E329" s="3" t="s">
        <v>827</v>
      </c>
      <c r="F329" s="3" t="s">
        <v>272</v>
      </c>
      <c r="G329" s="3" t="s">
        <v>61</v>
      </c>
      <c r="H329" s="3">
        <f>VALUE(MID(LEFT(Table1[[#This Row],[Unique ID]], FIND("/", Table1[[#This Row],[Unique ID]]) - 1), 2, LEN(Table1[[#This Row],[Unique ID]])))</f>
        <v>6</v>
      </c>
      <c r="I329" s="3" t="s">
        <v>49</v>
      </c>
      <c r="J329" s="3"/>
      <c r="K329" s="3" t="s">
        <v>50</v>
      </c>
      <c r="L329" s="3" t="s">
        <v>1166</v>
      </c>
      <c r="M329" s="24">
        <v>52572</v>
      </c>
      <c r="N329" s="3" t="s">
        <v>1167</v>
      </c>
      <c r="O329" s="41">
        <v>9</v>
      </c>
      <c r="P329" s="3" t="s">
        <v>53</v>
      </c>
      <c r="Q329" s="3">
        <v>2022</v>
      </c>
      <c r="R329" s="3" t="s">
        <v>1168</v>
      </c>
      <c r="S329" s="3" t="s">
        <v>507</v>
      </c>
      <c r="T329" s="16">
        <v>44805</v>
      </c>
      <c r="U329" s="4"/>
      <c r="V329" s="4"/>
      <c r="W329" s="15" t="s">
        <v>1169</v>
      </c>
      <c r="X329" s="4"/>
      <c r="Y329" s="4"/>
    </row>
    <row r="330" spans="1:25">
      <c r="A330" s="3">
        <v>329</v>
      </c>
      <c r="B330" s="3" t="s">
        <v>1165</v>
      </c>
      <c r="C330" s="3" t="s">
        <v>414</v>
      </c>
      <c r="D330" s="3" t="s">
        <v>1170</v>
      </c>
      <c r="E330" s="3"/>
      <c r="F330" s="3" t="s">
        <v>416</v>
      </c>
      <c r="G330" s="3" t="s">
        <v>61</v>
      </c>
      <c r="H330" s="3">
        <f>VALUE(MID(LEFT(Table1[[#This Row],[Unique ID]], FIND("/", Table1[[#This Row],[Unique ID]]) - 1), 2, LEN(Table1[[#This Row],[Unique ID]])))</f>
        <v>7</v>
      </c>
      <c r="I330" s="3" t="s">
        <v>110</v>
      </c>
      <c r="J330" s="3" t="s">
        <v>589</v>
      </c>
      <c r="K330" s="3" t="s">
        <v>42</v>
      </c>
      <c r="L330" s="3" t="s">
        <v>1171</v>
      </c>
      <c r="M330" s="24">
        <v>10000</v>
      </c>
      <c r="N330" s="3" t="s">
        <v>1172</v>
      </c>
      <c r="O330" s="41">
        <v>6</v>
      </c>
      <c r="P330" s="3" t="s">
        <v>42</v>
      </c>
      <c r="Q330" s="3">
        <v>2022</v>
      </c>
      <c r="R330" s="3" t="s">
        <v>1173</v>
      </c>
      <c r="S330" s="3" t="s">
        <v>43</v>
      </c>
      <c r="T330" s="16">
        <v>44682</v>
      </c>
      <c r="U330" s="4" t="s">
        <v>1105</v>
      </c>
      <c r="V330" s="4"/>
      <c r="W330" s="3"/>
      <c r="X330" s="4"/>
      <c r="Y330" s="4"/>
    </row>
    <row r="331" spans="1:25">
      <c r="A331" s="3">
        <v>330</v>
      </c>
      <c r="B331" s="3" t="s">
        <v>1165</v>
      </c>
      <c r="C331" s="3" t="s">
        <v>1174</v>
      </c>
      <c r="D331" s="3" t="s">
        <v>1175</v>
      </c>
      <c r="E331" s="3" t="s">
        <v>1176</v>
      </c>
      <c r="F331" s="3" t="s">
        <v>1177</v>
      </c>
      <c r="G331" s="3" t="s">
        <v>61</v>
      </c>
      <c r="H331" s="3">
        <f>VALUE(MID(LEFT(Table1[[#This Row],[Unique ID]], FIND("/", Table1[[#This Row],[Unique ID]]) - 1), 2, LEN(Table1[[#This Row],[Unique ID]])))</f>
        <v>8</v>
      </c>
      <c r="I331" s="3" t="s">
        <v>36</v>
      </c>
      <c r="J331" s="3" t="s">
        <v>36</v>
      </c>
      <c r="K331" s="3" t="s">
        <v>56</v>
      </c>
      <c r="L331" s="3" t="s">
        <v>1178</v>
      </c>
      <c r="M331" s="24">
        <v>5000</v>
      </c>
      <c r="N331" s="3" t="s">
        <v>1179</v>
      </c>
      <c r="O331" s="41">
        <v>6</v>
      </c>
      <c r="P331" s="3" t="s">
        <v>56</v>
      </c>
      <c r="Q331" s="3">
        <v>2022</v>
      </c>
      <c r="R331" s="3"/>
      <c r="S331" s="3" t="s">
        <v>43</v>
      </c>
      <c r="T331" s="16">
        <v>44566</v>
      </c>
      <c r="U331" s="4"/>
      <c r="V331" s="4"/>
      <c r="W331" s="3"/>
      <c r="X331" s="4"/>
      <c r="Y331" s="4"/>
    </row>
    <row r="332" spans="1:25">
      <c r="A332" s="3">
        <v>331</v>
      </c>
      <c r="B332" s="3" t="s">
        <v>1165</v>
      </c>
      <c r="C332" s="3" t="s">
        <v>1174</v>
      </c>
      <c r="D332" s="3" t="s">
        <v>1175</v>
      </c>
      <c r="E332" s="3" t="s">
        <v>1176</v>
      </c>
      <c r="F332" s="3" t="s">
        <v>1177</v>
      </c>
      <c r="G332" s="3" t="s">
        <v>61</v>
      </c>
      <c r="H332" s="3">
        <f>VALUE(MID(LEFT(Table1[[#This Row],[Unique ID]], FIND("/", Table1[[#This Row],[Unique ID]]) - 1), 2, LEN(Table1[[#This Row],[Unique ID]])))</f>
        <v>8</v>
      </c>
      <c r="I332" s="3" t="s">
        <v>36</v>
      </c>
      <c r="J332" s="3" t="s">
        <v>36</v>
      </c>
      <c r="K332" s="3" t="s">
        <v>56</v>
      </c>
      <c r="L332" s="3" t="s">
        <v>42</v>
      </c>
      <c r="M332" s="24">
        <v>2500</v>
      </c>
      <c r="N332" s="3" t="s">
        <v>1180</v>
      </c>
      <c r="O332" s="41">
        <v>1</v>
      </c>
      <c r="P332" s="3" t="s">
        <v>56</v>
      </c>
      <c r="Q332" s="3">
        <v>2022</v>
      </c>
      <c r="R332" s="3"/>
      <c r="S332" s="3" t="s">
        <v>43</v>
      </c>
      <c r="T332" s="16">
        <v>44628</v>
      </c>
      <c r="U332" s="4"/>
      <c r="V332" s="4"/>
      <c r="W332" s="3"/>
      <c r="X332" s="4"/>
      <c r="Y332" s="4"/>
    </row>
    <row r="333" spans="1:25">
      <c r="A333" s="3">
        <v>332</v>
      </c>
      <c r="B333" s="3" t="s">
        <v>1165</v>
      </c>
      <c r="C333" s="3" t="s">
        <v>574</v>
      </c>
      <c r="D333" s="3" t="s">
        <v>575</v>
      </c>
      <c r="E333" s="3" t="s">
        <v>576</v>
      </c>
      <c r="F333" s="3" t="s">
        <v>577</v>
      </c>
      <c r="G333" s="3" t="s">
        <v>61</v>
      </c>
      <c r="H333" s="3">
        <f>VALUE(MID(LEFT(Table1[[#This Row],[Unique ID]], FIND("/", Table1[[#This Row],[Unique ID]]) - 1), 2, LEN(Table1[[#This Row],[Unique ID]])))</f>
        <v>8</v>
      </c>
      <c r="I333" s="3" t="s">
        <v>589</v>
      </c>
      <c r="J333" s="3" t="s">
        <v>589</v>
      </c>
      <c r="K333" s="3" t="s">
        <v>876</v>
      </c>
      <c r="L333" s="3" t="s">
        <v>1181</v>
      </c>
      <c r="M333" s="24">
        <v>10000</v>
      </c>
      <c r="N333" s="3" t="s">
        <v>1182</v>
      </c>
      <c r="O333" s="41">
        <v>12</v>
      </c>
      <c r="P333" s="3" t="s">
        <v>53</v>
      </c>
      <c r="Q333" s="3">
        <v>2022</v>
      </c>
      <c r="R333" s="3" t="s">
        <v>1183</v>
      </c>
      <c r="S333" s="3" t="s">
        <v>43</v>
      </c>
      <c r="T333" s="16">
        <v>44621</v>
      </c>
      <c r="U333" s="4" t="s">
        <v>1105</v>
      </c>
      <c r="V333" s="4"/>
      <c r="W333" s="3"/>
      <c r="X333" s="4"/>
      <c r="Y333" s="4"/>
    </row>
    <row r="334" spans="1:25">
      <c r="A334" s="3">
        <v>333</v>
      </c>
      <c r="B334" s="3" t="s">
        <v>1165</v>
      </c>
      <c r="C334" s="3" t="s">
        <v>1184</v>
      </c>
      <c r="D334" s="3" t="s">
        <v>1185</v>
      </c>
      <c r="E334" s="3" t="s">
        <v>1186</v>
      </c>
      <c r="F334" s="3" t="s">
        <v>1186</v>
      </c>
      <c r="G334" s="3" t="s">
        <v>61</v>
      </c>
      <c r="H334" s="3">
        <f>VALUE(MID(LEFT(Table1[[#This Row],[Unique ID]], FIND("/", Table1[[#This Row],[Unique ID]]) - 1), 2, LEN(Table1[[#This Row],[Unique ID]])))</f>
        <v>9</v>
      </c>
      <c r="I334" s="3" t="s">
        <v>110</v>
      </c>
      <c r="J334" s="3" t="s">
        <v>589</v>
      </c>
      <c r="K334" s="3" t="s">
        <v>56</v>
      </c>
      <c r="L334" s="3" t="s">
        <v>1187</v>
      </c>
      <c r="M334" s="24">
        <v>5000</v>
      </c>
      <c r="N334" s="3" t="s">
        <v>1188</v>
      </c>
      <c r="O334" s="41">
        <v>12</v>
      </c>
      <c r="P334" s="3" t="s">
        <v>56</v>
      </c>
      <c r="Q334" s="3">
        <v>2022</v>
      </c>
      <c r="R334" s="3" t="s">
        <v>1189</v>
      </c>
      <c r="S334" s="3" t="s">
        <v>43</v>
      </c>
      <c r="T334" s="16">
        <v>44665</v>
      </c>
      <c r="U334" s="4" t="s">
        <v>1105</v>
      </c>
      <c r="V334" s="4" t="s">
        <v>1190</v>
      </c>
      <c r="W334" s="3"/>
      <c r="X334" s="4"/>
      <c r="Y334" s="4"/>
    </row>
    <row r="335" spans="1:25">
      <c r="A335" s="3">
        <v>334</v>
      </c>
      <c r="B335" s="3" t="s">
        <v>1165</v>
      </c>
      <c r="C335" s="3" t="s">
        <v>641</v>
      </c>
      <c r="D335" s="3" t="s">
        <v>642</v>
      </c>
      <c r="E335" s="3" t="s">
        <v>643</v>
      </c>
      <c r="F335" s="3" t="s">
        <v>644</v>
      </c>
      <c r="G335" s="3" t="s">
        <v>61</v>
      </c>
      <c r="H335" s="3">
        <f>VALUE(MID(LEFT(Table1[[#This Row],[Unique ID]], FIND("/", Table1[[#This Row],[Unique ID]]) - 1), 2, LEN(Table1[[#This Row],[Unique ID]])))</f>
        <v>9</v>
      </c>
      <c r="I335" s="3" t="s">
        <v>37</v>
      </c>
      <c r="J335" s="3" t="s">
        <v>37</v>
      </c>
      <c r="K335" s="3" t="s">
        <v>56</v>
      </c>
      <c r="L335" s="3" t="s">
        <v>1191</v>
      </c>
      <c r="M335" s="24">
        <v>39000</v>
      </c>
      <c r="N335" s="3" t="s">
        <v>1192</v>
      </c>
      <c r="O335" s="41">
        <v>6</v>
      </c>
      <c r="P335" s="3" t="s">
        <v>56</v>
      </c>
      <c r="Q335" s="3">
        <v>2022</v>
      </c>
      <c r="R335" s="3" t="s">
        <v>1193</v>
      </c>
      <c r="S335" s="3" t="s">
        <v>43</v>
      </c>
      <c r="T335" s="16">
        <v>44713</v>
      </c>
      <c r="U335" s="4" t="s">
        <v>1105</v>
      </c>
      <c r="V335" s="4"/>
      <c r="W335" s="3"/>
      <c r="X335" s="4"/>
      <c r="Y335" s="4"/>
    </row>
    <row r="336" spans="1:25">
      <c r="A336" s="3">
        <v>335</v>
      </c>
      <c r="B336" s="3" t="s">
        <v>1165</v>
      </c>
      <c r="C336" s="3" t="s">
        <v>646</v>
      </c>
      <c r="D336" s="3" t="s">
        <v>647</v>
      </c>
      <c r="E336" s="3" t="s">
        <v>648</v>
      </c>
      <c r="F336" s="3" t="s">
        <v>648</v>
      </c>
      <c r="G336" s="3" t="s">
        <v>35</v>
      </c>
      <c r="H336" s="3">
        <f>VALUE(MID(LEFT(Table1[[#This Row],[Unique ID]], FIND("/", Table1[[#This Row],[Unique ID]]) - 1), 2, LEN(Table1[[#This Row],[Unique ID]])))</f>
        <v>9</v>
      </c>
      <c r="I336" s="3" t="s">
        <v>76</v>
      </c>
      <c r="J336" s="3" t="s">
        <v>76</v>
      </c>
      <c r="K336" s="3" t="s">
        <v>56</v>
      </c>
      <c r="L336" s="3" t="s">
        <v>1194</v>
      </c>
      <c r="M336" s="24">
        <v>39537.230000000003</v>
      </c>
      <c r="N336" s="3" t="s">
        <v>1195</v>
      </c>
      <c r="O336" s="41">
        <v>12</v>
      </c>
      <c r="P336" s="3" t="s">
        <v>56</v>
      </c>
      <c r="Q336" s="3">
        <v>2022</v>
      </c>
      <c r="R336" s="3" t="s">
        <v>1196</v>
      </c>
      <c r="S336" s="3" t="s">
        <v>43</v>
      </c>
      <c r="T336" s="16">
        <v>44743</v>
      </c>
      <c r="U336" s="4" t="s">
        <v>1116</v>
      </c>
      <c r="V336" s="4"/>
      <c r="W336" s="3"/>
      <c r="X336" s="4"/>
      <c r="Y336" s="4"/>
    </row>
    <row r="337" spans="1:25">
      <c r="A337" s="3">
        <v>336</v>
      </c>
      <c r="B337" s="3" t="s">
        <v>1165</v>
      </c>
      <c r="C337" s="3" t="s">
        <v>961</v>
      </c>
      <c r="D337" s="3" t="s">
        <v>962</v>
      </c>
      <c r="E337" s="3" t="s">
        <v>963</v>
      </c>
      <c r="F337" s="3" t="s">
        <v>964</v>
      </c>
      <c r="G337" s="3" t="s">
        <v>35</v>
      </c>
      <c r="H337" s="3">
        <f>VALUE(MID(LEFT(Table1[[#This Row],[Unique ID]], FIND("/", Table1[[#This Row],[Unique ID]]) - 1), 2, LEN(Table1[[#This Row],[Unique ID]])))</f>
        <v>9</v>
      </c>
      <c r="I337" s="3" t="s">
        <v>229</v>
      </c>
      <c r="J337" s="3" t="s">
        <v>589</v>
      </c>
      <c r="K337" s="3" t="s">
        <v>56</v>
      </c>
      <c r="L337" s="3" t="s">
        <v>1196</v>
      </c>
      <c r="M337" s="24">
        <v>545305</v>
      </c>
      <c r="N337" s="3" t="s">
        <v>1197</v>
      </c>
      <c r="O337" s="41">
        <v>24</v>
      </c>
      <c r="P337" s="3" t="s">
        <v>56</v>
      </c>
      <c r="Q337" s="3">
        <v>2022</v>
      </c>
      <c r="R337" s="3"/>
      <c r="S337" s="3" t="s">
        <v>43</v>
      </c>
      <c r="T337" s="16">
        <v>44690</v>
      </c>
      <c r="U337" s="4"/>
      <c r="V337" s="4"/>
      <c r="W337" s="3"/>
      <c r="X337" s="4"/>
      <c r="Y337" s="4"/>
    </row>
    <row r="338" spans="1:25">
      <c r="A338" s="3">
        <v>337</v>
      </c>
      <c r="B338" s="3" t="s">
        <v>1165</v>
      </c>
      <c r="C338" s="3" t="s">
        <v>1043</v>
      </c>
      <c r="D338" s="3" t="s">
        <v>1044</v>
      </c>
      <c r="E338" s="3" t="s">
        <v>1045</v>
      </c>
      <c r="F338" s="3" t="s">
        <v>1046</v>
      </c>
      <c r="G338" s="3" t="s">
        <v>35</v>
      </c>
      <c r="H338" s="3">
        <f>VALUE(MID(LEFT(Table1[[#This Row],[Unique ID]], FIND("/", Table1[[#This Row],[Unique ID]]) - 1), 2, LEN(Table1[[#This Row],[Unique ID]])))</f>
        <v>10</v>
      </c>
      <c r="I338" s="3" t="s">
        <v>110</v>
      </c>
      <c r="J338" s="3" t="s">
        <v>589</v>
      </c>
      <c r="K338" s="3" t="s">
        <v>42</v>
      </c>
      <c r="L338" s="3" t="s">
        <v>1198</v>
      </c>
      <c r="M338" s="24"/>
      <c r="N338" s="3" t="s">
        <v>1199</v>
      </c>
      <c r="O338" s="41">
        <v>1</v>
      </c>
      <c r="P338" s="3" t="s">
        <v>42</v>
      </c>
      <c r="Q338" s="3">
        <v>2022</v>
      </c>
      <c r="R338" s="3" t="s">
        <v>1200</v>
      </c>
      <c r="S338" s="3" t="s">
        <v>43</v>
      </c>
      <c r="T338" s="16">
        <v>44754</v>
      </c>
      <c r="U338" s="4" t="s">
        <v>1105</v>
      </c>
      <c r="V338" s="4"/>
      <c r="W338" s="3"/>
      <c r="X338" s="4"/>
      <c r="Y338" s="4"/>
    </row>
    <row r="339" spans="1:25">
      <c r="A339" s="3">
        <v>338</v>
      </c>
      <c r="B339" s="3" t="s">
        <v>1165</v>
      </c>
      <c r="C339" s="3" t="s">
        <v>967</v>
      </c>
      <c r="D339" s="3" t="s">
        <v>968</v>
      </c>
      <c r="E339" s="3" t="s">
        <v>969</v>
      </c>
      <c r="F339" s="3" t="s">
        <v>970</v>
      </c>
      <c r="G339" s="3" t="s">
        <v>35</v>
      </c>
      <c r="H339" s="3">
        <f>VALUE(MID(LEFT(Table1[[#This Row],[Unique ID]], FIND("/", Table1[[#This Row],[Unique ID]]) - 1), 2, LEN(Table1[[#This Row],[Unique ID]])))</f>
        <v>10</v>
      </c>
      <c r="I339" s="3" t="s">
        <v>37</v>
      </c>
      <c r="J339" s="3" t="s">
        <v>37</v>
      </c>
      <c r="K339" s="3" t="s">
        <v>56</v>
      </c>
      <c r="L339" s="3" t="s">
        <v>1201</v>
      </c>
      <c r="M339" s="24">
        <v>750</v>
      </c>
      <c r="N339" s="3" t="s">
        <v>1202</v>
      </c>
      <c r="O339" s="41">
        <v>3</v>
      </c>
      <c r="P339" s="3" t="s">
        <v>56</v>
      </c>
      <c r="Q339" s="3">
        <v>2022</v>
      </c>
      <c r="R339" s="3"/>
      <c r="S339" s="3" t="s">
        <v>43</v>
      </c>
      <c r="T339" s="16">
        <v>44652</v>
      </c>
      <c r="U339" s="4"/>
      <c r="V339" s="4"/>
      <c r="W339" s="3"/>
      <c r="X339" s="4"/>
      <c r="Y339" s="4"/>
    </row>
    <row r="340" spans="1:25">
      <c r="A340" s="3">
        <v>339</v>
      </c>
      <c r="B340" s="3" t="s">
        <v>1165</v>
      </c>
      <c r="C340" s="3" t="s">
        <v>1203</v>
      </c>
      <c r="D340" s="3" t="s">
        <v>1204</v>
      </c>
      <c r="E340" s="3" t="s">
        <v>1205</v>
      </c>
      <c r="F340" s="3" t="s">
        <v>1206</v>
      </c>
      <c r="G340" s="3" t="s">
        <v>61</v>
      </c>
      <c r="H340" s="3">
        <f>VALUE(MID(LEFT(Table1[[#This Row],[Unique ID]], FIND("/", Table1[[#This Row],[Unique ID]]) - 1), 2, LEN(Table1[[#This Row],[Unique ID]])))</f>
        <v>10</v>
      </c>
      <c r="I340" s="3" t="s">
        <v>93</v>
      </c>
      <c r="J340" s="3" t="s">
        <v>589</v>
      </c>
      <c r="K340" s="3" t="s">
        <v>1207</v>
      </c>
      <c r="L340" s="3" t="s">
        <v>1208</v>
      </c>
      <c r="M340" s="24"/>
      <c r="N340" s="3" t="s">
        <v>1209</v>
      </c>
      <c r="O340" s="41">
        <v>12</v>
      </c>
      <c r="P340" s="3" t="s">
        <v>1207</v>
      </c>
      <c r="Q340" s="3">
        <v>2022</v>
      </c>
      <c r="R340" s="3" t="s">
        <v>1210</v>
      </c>
      <c r="S340" s="3" t="s">
        <v>43</v>
      </c>
      <c r="T340" s="16">
        <v>44480</v>
      </c>
      <c r="U340" s="4" t="s">
        <v>1105</v>
      </c>
      <c r="V340" s="4"/>
      <c r="W340" s="3"/>
      <c r="X340" s="4"/>
      <c r="Y340" s="4"/>
    </row>
    <row r="341" spans="1:25">
      <c r="A341" s="3">
        <v>340</v>
      </c>
      <c r="B341" s="3" t="s">
        <v>1165</v>
      </c>
      <c r="C341" s="3" t="s">
        <v>885</v>
      </c>
      <c r="D341" s="3" t="s">
        <v>886</v>
      </c>
      <c r="E341" s="3"/>
      <c r="F341" s="3" t="s">
        <v>887</v>
      </c>
      <c r="G341" s="3" t="s">
        <v>61</v>
      </c>
      <c r="H341" s="3">
        <f>VALUE(MID(LEFT(Table1[[#This Row],[Unique ID]], FIND("/", Table1[[#This Row],[Unique ID]]) - 1), 2, LEN(Table1[[#This Row],[Unique ID]])))</f>
        <v>10</v>
      </c>
      <c r="I341" s="3" t="s">
        <v>110</v>
      </c>
      <c r="J341" s="3" t="s">
        <v>589</v>
      </c>
      <c r="K341" s="3" t="s">
        <v>56</v>
      </c>
      <c r="L341" s="3" t="s">
        <v>1211</v>
      </c>
      <c r="M341" s="24">
        <v>5000</v>
      </c>
      <c r="N341" s="3" t="s">
        <v>1212</v>
      </c>
      <c r="O341" s="41">
        <v>12</v>
      </c>
      <c r="P341" s="3" t="s">
        <v>56</v>
      </c>
      <c r="Q341" s="3">
        <v>2022</v>
      </c>
      <c r="R341" s="3" t="s">
        <v>1213</v>
      </c>
      <c r="S341" s="3" t="s">
        <v>43</v>
      </c>
      <c r="T341" s="16" t="s">
        <v>1214</v>
      </c>
      <c r="U341" s="4"/>
      <c r="V341" s="4" t="s">
        <v>1215</v>
      </c>
      <c r="W341" s="3"/>
      <c r="X341" s="4"/>
      <c r="Y341" s="4"/>
    </row>
    <row r="342" spans="1:25">
      <c r="A342" s="3">
        <v>341</v>
      </c>
      <c r="B342" s="3" t="s">
        <v>1165</v>
      </c>
      <c r="C342" s="3" t="s">
        <v>704</v>
      </c>
      <c r="D342" s="3" t="s">
        <v>705</v>
      </c>
      <c r="E342" s="3" t="s">
        <v>706</v>
      </c>
      <c r="F342" s="3" t="s">
        <v>707</v>
      </c>
      <c r="G342" s="3" t="s">
        <v>61</v>
      </c>
      <c r="H342" s="3">
        <f>VALUE(MID(LEFT(Table1[[#This Row],[Unique ID]], FIND("/", Table1[[#This Row],[Unique ID]]) - 1), 2, LEN(Table1[[#This Row],[Unique ID]])))</f>
        <v>2</v>
      </c>
      <c r="I342" s="3" t="s">
        <v>93</v>
      </c>
      <c r="J342" s="3"/>
      <c r="K342" s="3" t="s">
        <v>56</v>
      </c>
      <c r="L342" s="3" t="s">
        <v>1216</v>
      </c>
      <c r="M342" s="24">
        <v>3000000</v>
      </c>
      <c r="N342" s="3" t="s">
        <v>1048</v>
      </c>
      <c r="O342" s="41">
        <v>48</v>
      </c>
      <c r="P342" s="3" t="s">
        <v>56</v>
      </c>
      <c r="Q342" s="3">
        <v>2022</v>
      </c>
      <c r="R342" s="3"/>
      <c r="S342" s="3" t="s">
        <v>507</v>
      </c>
      <c r="T342" s="16">
        <v>44774</v>
      </c>
      <c r="U342" s="3" t="s">
        <v>1105</v>
      </c>
      <c r="V342" s="4"/>
      <c r="W342" s="3"/>
      <c r="X342" s="4"/>
      <c r="Y342" s="4"/>
    </row>
    <row r="343" spans="1:25">
      <c r="A343" s="3">
        <v>342</v>
      </c>
      <c r="B343" s="3" t="s">
        <v>1165</v>
      </c>
      <c r="C343" s="3" t="s">
        <v>303</v>
      </c>
      <c r="D343" s="3" t="s">
        <v>304</v>
      </c>
      <c r="E343" s="3"/>
      <c r="F343" s="3" t="s">
        <v>305</v>
      </c>
      <c r="G343" s="3" t="s">
        <v>35</v>
      </c>
      <c r="H343" s="3">
        <f>VALUE(MID(LEFT(Table1[[#This Row],[Unique ID]], FIND("/", Table1[[#This Row],[Unique ID]]) - 1), 2, LEN(Table1[[#This Row],[Unique ID]])))</f>
        <v>4</v>
      </c>
      <c r="I343" s="3" t="s">
        <v>76</v>
      </c>
      <c r="J343" s="3"/>
      <c r="K343" s="3" t="s">
        <v>160</v>
      </c>
      <c r="L343" s="3" t="s">
        <v>1217</v>
      </c>
      <c r="M343" s="24">
        <v>3000</v>
      </c>
      <c r="N343" s="3" t="s">
        <v>1218</v>
      </c>
      <c r="O343" s="41">
        <v>1</v>
      </c>
      <c r="P343" s="3" t="s">
        <v>160</v>
      </c>
      <c r="Q343" s="3">
        <v>2022</v>
      </c>
      <c r="R343" s="3" t="s">
        <v>1219</v>
      </c>
      <c r="S343" s="3" t="s">
        <v>507</v>
      </c>
      <c r="T343" s="16">
        <v>44547</v>
      </c>
      <c r="U343" s="3"/>
      <c r="V343" s="4"/>
      <c r="W343" s="3"/>
      <c r="X343" s="4"/>
      <c r="Y343" s="4"/>
    </row>
    <row r="344" spans="1:25">
      <c r="A344" s="3">
        <v>343</v>
      </c>
      <c r="B344" s="3" t="s">
        <v>1165</v>
      </c>
      <c r="C344" s="3" t="s">
        <v>1220</v>
      </c>
      <c r="D344" s="3" t="s">
        <v>1221</v>
      </c>
      <c r="E344" s="3" t="s">
        <v>1222</v>
      </c>
      <c r="F344" s="3" t="s">
        <v>1223</v>
      </c>
      <c r="G344" s="3" t="s">
        <v>35</v>
      </c>
      <c r="H344" s="3">
        <f>VALUE(MID(LEFT(Table1[[#This Row],[Unique ID]], FIND("/", Table1[[#This Row],[Unique ID]]) - 1), 2, LEN(Table1[[#This Row],[Unique ID]])))</f>
        <v>4</v>
      </c>
      <c r="I344" s="3" t="s">
        <v>541</v>
      </c>
      <c r="J344" s="3"/>
      <c r="K344" s="3" t="s">
        <v>56</v>
      </c>
      <c r="L344" s="3" t="s">
        <v>1224</v>
      </c>
      <c r="M344" s="24">
        <v>6000</v>
      </c>
      <c r="N344" s="3" t="s">
        <v>541</v>
      </c>
      <c r="O344" s="41">
        <v>12</v>
      </c>
      <c r="P344" s="3" t="s">
        <v>56</v>
      </c>
      <c r="Q344" s="3">
        <v>2022</v>
      </c>
      <c r="R344" s="3"/>
      <c r="S344" s="3" t="s">
        <v>507</v>
      </c>
      <c r="T344" s="16">
        <v>44593</v>
      </c>
      <c r="U344" s="3" t="s">
        <v>1105</v>
      </c>
      <c r="V344" s="4"/>
      <c r="W344" s="3"/>
      <c r="X344" s="4"/>
      <c r="Y344" s="4"/>
    </row>
    <row r="345" spans="1:25">
      <c r="A345" s="3">
        <v>344</v>
      </c>
      <c r="B345" s="3" t="s">
        <v>1165</v>
      </c>
      <c r="C345" s="3" t="s">
        <v>347</v>
      </c>
      <c r="D345" s="3" t="s">
        <v>348</v>
      </c>
      <c r="E345" s="3" t="s">
        <v>349</v>
      </c>
      <c r="F345" s="3" t="s">
        <v>350</v>
      </c>
      <c r="G345" s="3" t="s">
        <v>35</v>
      </c>
      <c r="H345" s="3">
        <f>VALUE(MID(LEFT(Table1[[#This Row],[Unique ID]], FIND("/", Table1[[#This Row],[Unique ID]]) - 1), 2, LEN(Table1[[#This Row],[Unique ID]])))</f>
        <v>6</v>
      </c>
      <c r="I345" s="3" t="s">
        <v>36</v>
      </c>
      <c r="J345" s="3"/>
      <c r="K345" s="3" t="s">
        <v>42</v>
      </c>
      <c r="L345" s="3" t="s">
        <v>1225</v>
      </c>
      <c r="M345" s="24">
        <v>623</v>
      </c>
      <c r="N345" s="3" t="s">
        <v>1226</v>
      </c>
      <c r="O345" s="41"/>
      <c r="P345" s="3" t="s">
        <v>42</v>
      </c>
      <c r="Q345" s="3">
        <v>2022</v>
      </c>
      <c r="R345" s="3"/>
      <c r="S345" s="3" t="s">
        <v>507</v>
      </c>
      <c r="T345" s="16">
        <v>44718</v>
      </c>
      <c r="U345" s="3"/>
      <c r="V345" s="4"/>
      <c r="W345" s="3"/>
      <c r="X345" s="4"/>
      <c r="Y345" s="4"/>
    </row>
    <row r="346" spans="1:25">
      <c r="A346" s="3">
        <v>345</v>
      </c>
      <c r="B346" s="3" t="s">
        <v>1165</v>
      </c>
      <c r="C346" s="3" t="s">
        <v>326</v>
      </c>
      <c r="D346" s="3" t="s">
        <v>329</v>
      </c>
      <c r="E346" s="3"/>
      <c r="F346" s="3" t="s">
        <v>327</v>
      </c>
      <c r="G346" s="3" t="s">
        <v>61</v>
      </c>
      <c r="H346" s="3">
        <f>VALUE(MID(LEFT(Table1[[#This Row],[Unique ID]], FIND("/", Table1[[#This Row],[Unique ID]]) - 1), 2, LEN(Table1[[#This Row],[Unique ID]])))</f>
        <v>6</v>
      </c>
      <c r="I346" s="3" t="s">
        <v>76</v>
      </c>
      <c r="J346" s="3"/>
      <c r="K346" s="3" t="s">
        <v>56</v>
      </c>
      <c r="L346" s="3" t="s">
        <v>1102</v>
      </c>
      <c r="M346" s="24">
        <v>3000</v>
      </c>
      <c r="N346" s="3" t="s">
        <v>1103</v>
      </c>
      <c r="O346" s="41">
        <v>18</v>
      </c>
      <c r="P346" s="3" t="s">
        <v>56</v>
      </c>
      <c r="Q346" s="3">
        <v>2022</v>
      </c>
      <c r="R346" s="3"/>
      <c r="S346" s="3" t="s">
        <v>507</v>
      </c>
      <c r="T346" s="16">
        <v>44470</v>
      </c>
      <c r="U346" s="4"/>
      <c r="V346" s="4"/>
      <c r="W346" s="3"/>
      <c r="X346" s="4"/>
      <c r="Y346" s="4"/>
    </row>
    <row r="347" spans="1:25">
      <c r="A347" s="3">
        <v>346</v>
      </c>
      <c r="B347" s="3" t="s">
        <v>1165</v>
      </c>
      <c r="C347" s="3" t="s">
        <v>141</v>
      </c>
      <c r="D347" s="3" t="s">
        <v>142</v>
      </c>
      <c r="E347" s="3" t="s">
        <v>143</v>
      </c>
      <c r="F347" s="3" t="s">
        <v>144</v>
      </c>
      <c r="G347" s="3" t="s">
        <v>61</v>
      </c>
      <c r="H347" s="3">
        <f>VALUE(MID(LEFT(Table1[[#This Row],[Unique ID]], FIND("/", Table1[[#This Row],[Unique ID]]) - 1), 2, LEN(Table1[[#This Row],[Unique ID]])))</f>
        <v>7</v>
      </c>
      <c r="I347" s="3" t="s">
        <v>37</v>
      </c>
      <c r="J347" s="3"/>
      <c r="K347" s="3" t="s">
        <v>50</v>
      </c>
      <c r="L347" s="3" t="s">
        <v>1227</v>
      </c>
      <c r="M347" s="24">
        <v>10000</v>
      </c>
      <c r="N347" s="3" t="s">
        <v>1228</v>
      </c>
      <c r="O347" s="41">
        <v>12</v>
      </c>
      <c r="P347" s="3" t="s">
        <v>56</v>
      </c>
      <c r="Q347" s="3">
        <v>2022</v>
      </c>
      <c r="R347" s="3" t="s">
        <v>1229</v>
      </c>
      <c r="S347" s="3" t="s">
        <v>507</v>
      </c>
      <c r="T347" s="16">
        <v>44567</v>
      </c>
      <c r="U347" s="4" t="s">
        <v>1230</v>
      </c>
      <c r="V347" s="4" t="s">
        <v>1231</v>
      </c>
      <c r="W347" s="3"/>
      <c r="X347" s="4"/>
      <c r="Y347" s="4"/>
    </row>
    <row r="348" spans="1:25">
      <c r="A348" s="3">
        <v>347</v>
      </c>
      <c r="B348" s="3" t="s">
        <v>1165</v>
      </c>
      <c r="C348" s="3" t="s">
        <v>641</v>
      </c>
      <c r="D348" s="3" t="s">
        <v>642</v>
      </c>
      <c r="E348" s="3" t="s">
        <v>643</v>
      </c>
      <c r="F348" s="3" t="s">
        <v>644</v>
      </c>
      <c r="G348" s="3" t="s">
        <v>61</v>
      </c>
      <c r="H348" s="3">
        <f>VALUE(MID(LEFT(Table1[[#This Row],[Unique ID]], FIND("/", Table1[[#This Row],[Unique ID]]) - 1), 2, LEN(Table1[[#This Row],[Unique ID]])))</f>
        <v>9</v>
      </c>
      <c r="I348" s="3" t="s">
        <v>37</v>
      </c>
      <c r="J348" s="3" t="s">
        <v>37</v>
      </c>
      <c r="K348" s="3" t="s">
        <v>56</v>
      </c>
      <c r="L348" s="3" t="s">
        <v>1232</v>
      </c>
      <c r="M348" s="24">
        <v>50000</v>
      </c>
      <c r="N348" s="3" t="s">
        <v>1233</v>
      </c>
      <c r="O348" s="41">
        <v>24</v>
      </c>
      <c r="P348" s="3" t="s">
        <v>876</v>
      </c>
      <c r="Q348" s="3">
        <v>2022</v>
      </c>
      <c r="R348" s="3" t="s">
        <v>1234</v>
      </c>
      <c r="S348" s="3" t="s">
        <v>43</v>
      </c>
      <c r="T348" s="16">
        <v>44567</v>
      </c>
      <c r="U348" s="4"/>
      <c r="V348" s="4" t="s">
        <v>1235</v>
      </c>
      <c r="W348" s="3"/>
      <c r="X348" s="4"/>
      <c r="Y348" s="4"/>
    </row>
    <row r="349" spans="1:25">
      <c r="A349" s="3">
        <v>348</v>
      </c>
      <c r="B349" s="3" t="s">
        <v>1165</v>
      </c>
      <c r="C349" s="17" t="s">
        <v>287</v>
      </c>
      <c r="D349" s="17" t="s">
        <v>288</v>
      </c>
      <c r="E349" s="17"/>
      <c r="F349" s="17" t="s">
        <v>289</v>
      </c>
      <c r="G349" s="17" t="s">
        <v>35</v>
      </c>
      <c r="H349" s="17">
        <f>VALUE(MID(LEFT(Table1[[#This Row],[Unique ID]], FIND("/", Table1[[#This Row],[Unique ID]]) - 1), 2, LEN(Table1[[#This Row],[Unique ID]])))</f>
        <v>6</v>
      </c>
      <c r="I349" s="17" t="s">
        <v>76</v>
      </c>
      <c r="J349" s="17" t="s">
        <v>76</v>
      </c>
      <c r="K349" s="17" t="s">
        <v>56</v>
      </c>
      <c r="L349" s="17" t="s">
        <v>1236</v>
      </c>
      <c r="M349" s="24">
        <v>233433.16</v>
      </c>
      <c r="N349" s="17" t="s">
        <v>1237</v>
      </c>
      <c r="O349" s="42">
        <v>24</v>
      </c>
      <c r="P349" s="17" t="s">
        <v>56</v>
      </c>
      <c r="Q349" s="17">
        <v>2022</v>
      </c>
      <c r="R349" s="17" t="s">
        <v>1236</v>
      </c>
      <c r="S349" s="17" t="s">
        <v>507</v>
      </c>
      <c r="T349" s="16">
        <v>44774</v>
      </c>
      <c r="U349" s="18" t="s">
        <v>1238</v>
      </c>
      <c r="V349" s="18" t="s">
        <v>1239</v>
      </c>
      <c r="W349" s="17"/>
      <c r="X349" s="4"/>
      <c r="Y349" s="4"/>
    </row>
    <row r="350" spans="1:25">
      <c r="A350" s="3">
        <v>349</v>
      </c>
      <c r="B350" s="3" t="s">
        <v>1165</v>
      </c>
      <c r="C350" s="17" t="s">
        <v>520</v>
      </c>
      <c r="D350" s="17" t="s">
        <v>521</v>
      </c>
      <c r="E350" s="17" t="s">
        <v>522</v>
      </c>
      <c r="F350" s="17" t="s">
        <v>523</v>
      </c>
      <c r="G350" s="17" t="s">
        <v>61</v>
      </c>
      <c r="H350" s="17">
        <f>VALUE(MID(LEFT(Table1[[#This Row],[Unique ID]], FIND("/", Table1[[#This Row],[Unique ID]]) - 1), 2, LEN(Table1[[#This Row],[Unique ID]])))</f>
        <v>4</v>
      </c>
      <c r="I350" s="17" t="s">
        <v>49</v>
      </c>
      <c r="J350" s="17" t="s">
        <v>49</v>
      </c>
      <c r="K350" s="17" t="s">
        <v>56</v>
      </c>
      <c r="L350" s="17" t="s">
        <v>1240</v>
      </c>
      <c r="M350" s="26">
        <v>4063.39</v>
      </c>
      <c r="N350" s="17" t="s">
        <v>1241</v>
      </c>
      <c r="O350" s="42">
        <v>5</v>
      </c>
      <c r="P350" s="17" t="s">
        <v>56</v>
      </c>
      <c r="Q350" s="17">
        <v>2022</v>
      </c>
      <c r="R350" s="17" t="s">
        <v>1240</v>
      </c>
      <c r="S350" s="17" t="s">
        <v>507</v>
      </c>
      <c r="T350" s="16">
        <v>44743</v>
      </c>
      <c r="U350" s="18" t="s">
        <v>1105</v>
      </c>
      <c r="V350" s="18"/>
      <c r="W350" s="17"/>
      <c r="X350" s="4"/>
      <c r="Y350" s="4"/>
    </row>
    <row r="351" spans="1:25">
      <c r="A351" s="3">
        <v>350</v>
      </c>
      <c r="B351" s="3" t="s">
        <v>1242</v>
      </c>
      <c r="C351" s="17" t="s">
        <v>414</v>
      </c>
      <c r="D351" s="17" t="s">
        <v>415</v>
      </c>
      <c r="E351" s="17"/>
      <c r="F351" s="17" t="s">
        <v>416</v>
      </c>
      <c r="G351" s="17" t="s">
        <v>61</v>
      </c>
      <c r="H351" s="17">
        <f>VALUE(MID(LEFT(Table1[[#This Row],[Unique ID]], FIND("/", Table1[[#This Row],[Unique ID]]) - 1), 2, LEN(Table1[[#This Row],[Unique ID]])))</f>
        <v>7</v>
      </c>
      <c r="I351" s="17" t="s">
        <v>110</v>
      </c>
      <c r="J351" s="17" t="s">
        <v>589</v>
      </c>
      <c r="K351" s="17" t="s">
        <v>56</v>
      </c>
      <c r="L351" s="17" t="s">
        <v>1243</v>
      </c>
      <c r="M351" s="26">
        <v>69623.399999999994</v>
      </c>
      <c r="N351" s="17" t="s">
        <v>1244</v>
      </c>
      <c r="O351" s="42">
        <v>24</v>
      </c>
      <c r="P351" s="17" t="s">
        <v>56</v>
      </c>
      <c r="Q351" s="17">
        <v>2022</v>
      </c>
      <c r="R351" s="17" t="s">
        <v>1245</v>
      </c>
      <c r="S351" s="17" t="s">
        <v>43</v>
      </c>
      <c r="T351" s="16">
        <v>44805</v>
      </c>
      <c r="U351" s="18"/>
      <c r="V351" s="18"/>
      <c r="W351" s="17"/>
      <c r="X351" s="4"/>
      <c r="Y351" s="4"/>
    </row>
    <row r="352" spans="1:25">
      <c r="A352" s="3">
        <v>351</v>
      </c>
      <c r="B352" s="3" t="s">
        <v>1242</v>
      </c>
      <c r="C352" s="17" t="s">
        <v>543</v>
      </c>
      <c r="D352" s="17" t="s">
        <v>544</v>
      </c>
      <c r="E352" s="17"/>
      <c r="F352" s="17" t="s">
        <v>545</v>
      </c>
      <c r="G352" s="17" t="s">
        <v>61</v>
      </c>
      <c r="H352" s="17">
        <f>VALUE(MID(LEFT(Table1[[#This Row],[Unique ID]], FIND("/", Table1[[#This Row],[Unique ID]]) - 1), 2, LEN(Table1[[#This Row],[Unique ID]])))</f>
        <v>8</v>
      </c>
      <c r="I352" s="17" t="s">
        <v>110</v>
      </c>
      <c r="J352" s="17" t="s">
        <v>49</v>
      </c>
      <c r="K352" s="17" t="s">
        <v>62</v>
      </c>
      <c r="L352" s="17" t="s">
        <v>1246</v>
      </c>
      <c r="M352" s="26">
        <v>18000</v>
      </c>
      <c r="N352" s="17" t="s">
        <v>1247</v>
      </c>
      <c r="O352" s="42">
        <v>24</v>
      </c>
      <c r="P352" s="17" t="s">
        <v>56</v>
      </c>
      <c r="Q352" s="17">
        <v>2022</v>
      </c>
      <c r="R352" s="17" t="s">
        <v>1248</v>
      </c>
      <c r="S352" s="17" t="s">
        <v>43</v>
      </c>
      <c r="T352" s="16">
        <v>44894</v>
      </c>
      <c r="U352" s="18" t="s">
        <v>1105</v>
      </c>
      <c r="V352" s="18" t="s">
        <v>1249</v>
      </c>
      <c r="W352" s="17" t="s">
        <v>1250</v>
      </c>
      <c r="X352" s="4"/>
      <c r="Y352" s="4"/>
    </row>
    <row r="353" spans="1:25">
      <c r="A353" s="3">
        <v>352</v>
      </c>
      <c r="B353" s="3" t="s">
        <v>1242</v>
      </c>
      <c r="C353" s="17" t="s">
        <v>920</v>
      </c>
      <c r="D353" s="17" t="s">
        <v>921</v>
      </c>
      <c r="E353" s="17" t="s">
        <v>922</v>
      </c>
      <c r="F353" s="17" t="s">
        <v>923</v>
      </c>
      <c r="G353" s="17" t="s">
        <v>35</v>
      </c>
      <c r="H353" s="17">
        <f>VALUE(MID(LEFT(Table1[[#This Row],[Unique ID]], FIND("/", Table1[[#This Row],[Unique ID]]) - 1), 2, LEN(Table1[[#This Row],[Unique ID]])))</f>
        <v>7</v>
      </c>
      <c r="I353" s="17" t="s">
        <v>93</v>
      </c>
      <c r="J353" s="17" t="s">
        <v>93</v>
      </c>
      <c r="K353" s="17" t="s">
        <v>62</v>
      </c>
      <c r="L353" s="17"/>
      <c r="M353" s="27" t="s">
        <v>1251</v>
      </c>
      <c r="N353" s="17" t="s">
        <v>1252</v>
      </c>
      <c r="O353" s="42">
        <v>12</v>
      </c>
      <c r="P353" s="17" t="s">
        <v>56</v>
      </c>
      <c r="Q353" s="17">
        <v>2022</v>
      </c>
      <c r="R353" s="17" t="s">
        <v>1253</v>
      </c>
      <c r="S353" s="17" t="s">
        <v>507</v>
      </c>
      <c r="T353" s="16">
        <v>44853</v>
      </c>
      <c r="U353" s="18" t="s">
        <v>1116</v>
      </c>
      <c r="V353" s="18" t="s">
        <v>1239</v>
      </c>
      <c r="W353" s="17" t="s">
        <v>1254</v>
      </c>
      <c r="X353" s="4"/>
      <c r="Y353" s="4"/>
    </row>
    <row r="354" spans="1:25">
      <c r="A354" s="3">
        <v>353</v>
      </c>
      <c r="B354" s="3" t="s">
        <v>1242</v>
      </c>
      <c r="C354" s="17" t="s">
        <v>107</v>
      </c>
      <c r="D354" s="17" t="s">
        <v>108</v>
      </c>
      <c r="E354" s="17"/>
      <c r="F354" s="17" t="s">
        <v>109</v>
      </c>
      <c r="G354" s="17" t="s">
        <v>35</v>
      </c>
      <c r="H354" s="17">
        <f>VALUE(MID(LEFT(Table1[[#This Row],[Unique ID]], FIND("/", Table1[[#This Row],[Unique ID]]) - 1), 2, LEN(Table1[[#This Row],[Unique ID]])))</f>
        <v>7</v>
      </c>
      <c r="I354" s="17" t="s">
        <v>110</v>
      </c>
      <c r="J354" s="17" t="s">
        <v>76</v>
      </c>
      <c r="K354" s="17" t="s">
        <v>160</v>
      </c>
      <c r="L354" s="17" t="s">
        <v>1255</v>
      </c>
      <c r="M354" s="26">
        <v>2200</v>
      </c>
      <c r="N354" s="17" t="s">
        <v>1256</v>
      </c>
      <c r="O354" s="42">
        <v>3</v>
      </c>
      <c r="P354" s="17" t="s">
        <v>160</v>
      </c>
      <c r="Q354" s="17">
        <v>2022</v>
      </c>
      <c r="R354" s="17"/>
      <c r="S354" s="17" t="s">
        <v>43</v>
      </c>
      <c r="T354" s="16">
        <v>44844</v>
      </c>
      <c r="U354" s="18"/>
      <c r="V354" s="18"/>
      <c r="W354" s="17"/>
      <c r="X354" s="4"/>
      <c r="Y354" s="4"/>
    </row>
    <row r="355" spans="1:25">
      <c r="A355" s="3">
        <v>354</v>
      </c>
      <c r="B355" s="3" t="s">
        <v>1242</v>
      </c>
      <c r="C355" s="17" t="s">
        <v>1257</v>
      </c>
      <c r="D355" s="17" t="s">
        <v>1258</v>
      </c>
      <c r="E355" s="17"/>
      <c r="F355" s="17" t="s">
        <v>1259</v>
      </c>
      <c r="G355" s="17" t="s">
        <v>35</v>
      </c>
      <c r="H355" s="17">
        <f>VALUE(MID(LEFT(Table1[[#This Row],[Unique ID]], FIND("/", Table1[[#This Row],[Unique ID]]) - 1), 2, LEN(Table1[[#This Row],[Unique ID]])))</f>
        <v>6</v>
      </c>
      <c r="I355" s="17" t="s">
        <v>93</v>
      </c>
      <c r="J355" s="17" t="s">
        <v>589</v>
      </c>
      <c r="K355" s="17" t="s">
        <v>56</v>
      </c>
      <c r="L355" s="17" t="s">
        <v>1260</v>
      </c>
      <c r="M355" s="26">
        <v>50000</v>
      </c>
      <c r="N355" s="17" t="s">
        <v>1261</v>
      </c>
      <c r="O355" s="42">
        <v>6</v>
      </c>
      <c r="P355" s="17" t="s">
        <v>56</v>
      </c>
      <c r="Q355" s="17">
        <v>2022</v>
      </c>
      <c r="R355" s="17" t="s">
        <v>1262</v>
      </c>
      <c r="S355" s="17" t="s">
        <v>43</v>
      </c>
      <c r="T355" s="16">
        <v>44838</v>
      </c>
      <c r="U355" s="18" t="s">
        <v>1105</v>
      </c>
      <c r="V355" s="18"/>
      <c r="W355" s="17"/>
      <c r="X355" s="4"/>
      <c r="Y355" s="4"/>
    </row>
    <row r="356" spans="1:25">
      <c r="A356" s="3">
        <v>355</v>
      </c>
      <c r="B356" s="3" t="s">
        <v>1242</v>
      </c>
      <c r="C356" s="17" t="s">
        <v>394</v>
      </c>
      <c r="D356" s="17" t="s">
        <v>395</v>
      </c>
      <c r="E356" s="17" t="s">
        <v>396</v>
      </c>
      <c r="F356" s="17" t="s">
        <v>397</v>
      </c>
      <c r="G356" s="17" t="s">
        <v>61</v>
      </c>
      <c r="H356" s="17">
        <f>VALUE(MID(LEFT(Table1[[#This Row],[Unique ID]], FIND("/", Table1[[#This Row],[Unique ID]]) - 1), 2, LEN(Table1[[#This Row],[Unique ID]])))</f>
        <v>7</v>
      </c>
      <c r="I356" s="17" t="s">
        <v>93</v>
      </c>
      <c r="J356" s="17" t="s">
        <v>589</v>
      </c>
      <c r="K356" s="17" t="s">
        <v>56</v>
      </c>
      <c r="L356" s="17" t="s">
        <v>1263</v>
      </c>
      <c r="M356" s="26">
        <v>30000</v>
      </c>
      <c r="N356" s="17" t="s">
        <v>1264</v>
      </c>
      <c r="O356" s="42">
        <v>1</v>
      </c>
      <c r="P356" s="17" t="s">
        <v>56</v>
      </c>
      <c r="Q356" s="17">
        <v>2022</v>
      </c>
      <c r="R356" s="17" t="s">
        <v>1265</v>
      </c>
      <c r="S356" s="17" t="s">
        <v>43</v>
      </c>
      <c r="T356" s="16">
        <v>44875</v>
      </c>
      <c r="U356" s="18" t="s">
        <v>1105</v>
      </c>
      <c r="V356" s="18" t="s">
        <v>1239</v>
      </c>
      <c r="W356" s="17"/>
      <c r="X356" s="4"/>
      <c r="Y356" s="4"/>
    </row>
    <row r="357" spans="1:25">
      <c r="A357" s="3">
        <v>356</v>
      </c>
      <c r="B357" s="3" t="s">
        <v>1242</v>
      </c>
      <c r="C357" s="17" t="s">
        <v>543</v>
      </c>
      <c r="D357" s="17" t="s">
        <v>544</v>
      </c>
      <c r="E357" s="17"/>
      <c r="F357" s="17" t="s">
        <v>545</v>
      </c>
      <c r="G357" s="17" t="s">
        <v>61</v>
      </c>
      <c r="H357" s="17">
        <f>VALUE(MID(LEFT(Table1[[#This Row],[Unique ID]], FIND("/", Table1[[#This Row],[Unique ID]]) - 1), 2, LEN(Table1[[#This Row],[Unique ID]])))</f>
        <v>8</v>
      </c>
      <c r="I357" s="17" t="s">
        <v>110</v>
      </c>
      <c r="J357" s="17" t="s">
        <v>589</v>
      </c>
      <c r="K357" s="17" t="s">
        <v>56</v>
      </c>
      <c r="L357" s="17" t="s">
        <v>1266</v>
      </c>
      <c r="M357" s="26">
        <v>18000</v>
      </c>
      <c r="N357" s="17" t="s">
        <v>1267</v>
      </c>
      <c r="O357" s="42">
        <v>24</v>
      </c>
      <c r="P357" s="17" t="s">
        <v>56</v>
      </c>
      <c r="Q357" s="17">
        <v>2022</v>
      </c>
      <c r="R357" s="17" t="s">
        <v>1268</v>
      </c>
      <c r="S357" s="17" t="s">
        <v>43</v>
      </c>
      <c r="T357" s="16">
        <v>44890</v>
      </c>
      <c r="U357" s="18" t="s">
        <v>1105</v>
      </c>
      <c r="V357" s="18" t="s">
        <v>1239</v>
      </c>
      <c r="W357" s="17"/>
      <c r="X357" s="4"/>
      <c r="Y357" s="4"/>
    </row>
    <row r="358" spans="1:25">
      <c r="A358" s="3">
        <v>357</v>
      </c>
      <c r="B358" s="3" t="s">
        <v>1242</v>
      </c>
      <c r="C358" s="17" t="s">
        <v>565</v>
      </c>
      <c r="D358" s="17" t="s">
        <v>566</v>
      </c>
      <c r="E358" s="17" t="s">
        <v>202</v>
      </c>
      <c r="F358" s="17" t="s">
        <v>567</v>
      </c>
      <c r="G358" s="17" t="s">
        <v>61</v>
      </c>
      <c r="H358" s="17">
        <f>VALUE(MID(LEFT(Table1[[#This Row],[Unique ID]], FIND("/", Table1[[#This Row],[Unique ID]]) - 1), 2, LEN(Table1[[#This Row],[Unique ID]])))</f>
        <v>8</v>
      </c>
      <c r="I358" s="17" t="s">
        <v>86</v>
      </c>
      <c r="J358" s="17" t="s">
        <v>589</v>
      </c>
      <c r="K358" s="17" t="s">
        <v>160</v>
      </c>
      <c r="L358" s="17" t="s">
        <v>1269</v>
      </c>
      <c r="M358" s="26">
        <v>2200</v>
      </c>
      <c r="N358" s="17" t="s">
        <v>1270</v>
      </c>
      <c r="O358" s="42">
        <v>8</v>
      </c>
      <c r="P358" s="17" t="s">
        <v>53</v>
      </c>
      <c r="Q358" s="17">
        <v>2022</v>
      </c>
      <c r="R358" s="17"/>
      <c r="S358" s="17" t="s">
        <v>43</v>
      </c>
      <c r="T358" s="16">
        <v>44967</v>
      </c>
      <c r="U358" s="18"/>
      <c r="V358" s="18" t="s">
        <v>1271</v>
      </c>
      <c r="W358" s="17" t="s">
        <v>1272</v>
      </c>
      <c r="X358" s="4"/>
      <c r="Y358" s="4"/>
    </row>
    <row r="359" spans="1:25">
      <c r="A359" s="3">
        <v>358</v>
      </c>
      <c r="B359" s="3" t="s">
        <v>1242</v>
      </c>
      <c r="C359" s="17" t="s">
        <v>598</v>
      </c>
      <c r="D359" s="17" t="s">
        <v>599</v>
      </c>
      <c r="E359" s="17" t="s">
        <v>600</v>
      </c>
      <c r="F359" s="17" t="s">
        <v>601</v>
      </c>
      <c r="G359" s="17" t="s">
        <v>61</v>
      </c>
      <c r="H359" s="17">
        <f>VALUE(MID(LEFT(Table1[[#This Row],[Unique ID]], FIND("/", Table1[[#This Row],[Unique ID]]) - 1), 2, LEN(Table1[[#This Row],[Unique ID]])))</f>
        <v>8</v>
      </c>
      <c r="I359" s="17" t="s">
        <v>36</v>
      </c>
      <c r="J359" s="17" t="s">
        <v>589</v>
      </c>
      <c r="K359" s="17" t="s">
        <v>160</v>
      </c>
      <c r="L359" s="17" t="s">
        <v>1273</v>
      </c>
      <c r="M359" s="26">
        <v>2700</v>
      </c>
      <c r="N359" s="17" t="s">
        <v>1274</v>
      </c>
      <c r="O359" s="42">
        <v>5</v>
      </c>
      <c r="P359" s="17" t="s">
        <v>160</v>
      </c>
      <c r="Q359" s="17">
        <v>2022</v>
      </c>
      <c r="R359" s="17"/>
      <c r="S359" s="17" t="s">
        <v>43</v>
      </c>
      <c r="T359" s="16">
        <v>44719</v>
      </c>
      <c r="U359" s="18"/>
      <c r="V359" s="18"/>
      <c r="W359" s="17"/>
      <c r="X359" s="4"/>
      <c r="Y359" s="4"/>
    </row>
    <row r="360" spans="1:25">
      <c r="A360" s="3">
        <v>359</v>
      </c>
      <c r="B360" s="3" t="s">
        <v>1242</v>
      </c>
      <c r="C360" s="17" t="s">
        <v>646</v>
      </c>
      <c r="D360" s="17" t="s">
        <v>647</v>
      </c>
      <c r="E360" s="17" t="s">
        <v>648</v>
      </c>
      <c r="F360" s="17" t="s">
        <v>648</v>
      </c>
      <c r="G360" s="17" t="s">
        <v>35</v>
      </c>
      <c r="H360" s="17">
        <f>VALUE(MID(LEFT(Table1[[#This Row],[Unique ID]], FIND("/", Table1[[#This Row],[Unique ID]]) - 1), 2, LEN(Table1[[#This Row],[Unique ID]])))</f>
        <v>9</v>
      </c>
      <c r="I360" s="17" t="s">
        <v>76</v>
      </c>
      <c r="J360" s="17" t="s">
        <v>76</v>
      </c>
      <c r="K360" s="17" t="s">
        <v>56</v>
      </c>
      <c r="L360" s="17" t="s">
        <v>1275</v>
      </c>
      <c r="M360" s="26">
        <v>59776.94</v>
      </c>
      <c r="N360" s="17" t="s">
        <v>1275</v>
      </c>
      <c r="O360" s="42">
        <v>6</v>
      </c>
      <c r="P360" s="17" t="s">
        <v>56</v>
      </c>
      <c r="Q360" s="17">
        <v>2022</v>
      </c>
      <c r="R360" s="17" t="s">
        <v>1276</v>
      </c>
      <c r="S360" s="17" t="s">
        <v>43</v>
      </c>
      <c r="T360" s="16">
        <v>44837</v>
      </c>
      <c r="U360" s="18" t="s">
        <v>1116</v>
      </c>
      <c r="V360" s="18"/>
      <c r="W360" s="17"/>
      <c r="X360" s="4"/>
      <c r="Y360" s="4"/>
    </row>
    <row r="361" spans="1:25">
      <c r="A361" s="3">
        <v>360</v>
      </c>
      <c r="B361" s="3" t="s">
        <v>1242</v>
      </c>
      <c r="C361" s="17" t="s">
        <v>1043</v>
      </c>
      <c r="D361" s="17" t="s">
        <v>1044</v>
      </c>
      <c r="E361" s="17" t="s">
        <v>1045</v>
      </c>
      <c r="F361" s="17" t="s">
        <v>1046</v>
      </c>
      <c r="G361" s="17" t="s">
        <v>35</v>
      </c>
      <c r="H361" s="17">
        <f>VALUE(MID(LEFT(Table1[[#This Row],[Unique ID]], FIND("/", Table1[[#This Row],[Unique ID]]) - 1), 2, LEN(Table1[[#This Row],[Unique ID]])))</f>
        <v>10</v>
      </c>
      <c r="I361" s="17" t="s">
        <v>110</v>
      </c>
      <c r="J361" s="17" t="s">
        <v>589</v>
      </c>
      <c r="K361" s="17" t="s">
        <v>56</v>
      </c>
      <c r="L361" s="17" t="s">
        <v>1277</v>
      </c>
      <c r="M361" s="26">
        <v>16452.21</v>
      </c>
      <c r="N361" s="17" t="s">
        <v>1278</v>
      </c>
      <c r="O361" s="42">
        <v>24</v>
      </c>
      <c r="P361" s="17" t="s">
        <v>56</v>
      </c>
      <c r="Q361" s="17">
        <v>2022</v>
      </c>
      <c r="R361" s="17" t="s">
        <v>1279</v>
      </c>
      <c r="S361" s="17" t="s">
        <v>43</v>
      </c>
      <c r="T361" s="16">
        <v>44740</v>
      </c>
      <c r="U361" s="18" t="s">
        <v>1116</v>
      </c>
      <c r="V361" s="18" t="s">
        <v>1239</v>
      </c>
      <c r="W361" s="17"/>
      <c r="X361" s="4"/>
      <c r="Y361" s="4"/>
    </row>
    <row r="362" spans="1:25">
      <c r="A362" s="3">
        <v>361</v>
      </c>
      <c r="B362" s="3" t="s">
        <v>1242</v>
      </c>
      <c r="C362" s="17" t="s">
        <v>967</v>
      </c>
      <c r="D362" s="17" t="s">
        <v>968</v>
      </c>
      <c r="E362" s="17" t="s">
        <v>969</v>
      </c>
      <c r="F362" s="17" t="s">
        <v>970</v>
      </c>
      <c r="G362" s="17" t="s">
        <v>35</v>
      </c>
      <c r="H362" s="17">
        <f>VALUE(MID(LEFT(Table1[[#This Row],[Unique ID]], FIND("/", Table1[[#This Row],[Unique ID]]) - 1), 2, LEN(Table1[[#This Row],[Unique ID]])))</f>
        <v>10</v>
      </c>
      <c r="I362" s="17" t="s">
        <v>37</v>
      </c>
      <c r="J362" s="17" t="s">
        <v>37</v>
      </c>
      <c r="K362" s="17" t="s">
        <v>42</v>
      </c>
      <c r="L362" s="17" t="s">
        <v>1280</v>
      </c>
      <c r="M362" s="26"/>
      <c r="N362" s="17" t="s">
        <v>1281</v>
      </c>
      <c r="O362" s="42">
        <v>1</v>
      </c>
      <c r="P362" s="17" t="s">
        <v>42</v>
      </c>
      <c r="Q362" s="17">
        <v>2022</v>
      </c>
      <c r="R362" s="17"/>
      <c r="S362" s="17" t="s">
        <v>43</v>
      </c>
      <c r="T362" s="16">
        <v>44768</v>
      </c>
      <c r="U362" s="18"/>
      <c r="V362" s="18" t="s">
        <v>1271</v>
      </c>
      <c r="W362" s="17" t="s">
        <v>1282</v>
      </c>
      <c r="X362" s="4"/>
      <c r="Y362" s="4"/>
    </row>
    <row r="363" spans="1:25">
      <c r="A363" s="3">
        <v>362</v>
      </c>
      <c r="B363" s="3" t="s">
        <v>1242</v>
      </c>
      <c r="C363" s="17" t="s">
        <v>879</v>
      </c>
      <c r="D363" s="17" t="s">
        <v>880</v>
      </c>
      <c r="E363" s="17" t="s">
        <v>881</v>
      </c>
      <c r="F363" s="17" t="s">
        <v>882</v>
      </c>
      <c r="G363" s="17" t="s">
        <v>61</v>
      </c>
      <c r="H363" s="17">
        <f>VALUE(MID(LEFT(Table1[[#This Row],[Unique ID]], FIND("/", Table1[[#This Row],[Unique ID]]) - 1), 2, LEN(Table1[[#This Row],[Unique ID]])))</f>
        <v>10</v>
      </c>
      <c r="I363" s="17" t="s">
        <v>86</v>
      </c>
      <c r="J363" s="17" t="s">
        <v>589</v>
      </c>
      <c r="K363" s="3" t="s">
        <v>50</v>
      </c>
      <c r="L363" s="17" t="s">
        <v>1283</v>
      </c>
      <c r="M363" s="26">
        <v>2500</v>
      </c>
      <c r="N363" s="17" t="s">
        <v>1284</v>
      </c>
      <c r="O363" s="42">
        <v>12</v>
      </c>
      <c r="P363" s="17" t="s">
        <v>53</v>
      </c>
      <c r="Q363" s="17">
        <v>2022</v>
      </c>
      <c r="R363" s="17"/>
      <c r="S363" s="17" t="s">
        <v>43</v>
      </c>
      <c r="T363" s="16">
        <v>44808</v>
      </c>
      <c r="U363" s="18"/>
      <c r="V363" s="18"/>
      <c r="W363" s="17"/>
      <c r="X363" s="4"/>
      <c r="Y363" s="4"/>
    </row>
    <row r="364" spans="1:25">
      <c r="A364" s="3">
        <v>363</v>
      </c>
      <c r="B364" s="3" t="s">
        <v>1242</v>
      </c>
      <c r="C364" s="17" t="s">
        <v>885</v>
      </c>
      <c r="D364" s="17" t="s">
        <v>886</v>
      </c>
      <c r="E364" s="17"/>
      <c r="F364" s="17" t="s">
        <v>887</v>
      </c>
      <c r="G364" s="17" t="s">
        <v>61</v>
      </c>
      <c r="H364" s="17">
        <f>VALUE(MID(LEFT(Table1[[#This Row],[Unique ID]], FIND("/", Table1[[#This Row],[Unique ID]]) - 1), 2, LEN(Table1[[#This Row],[Unique ID]])))</f>
        <v>10</v>
      </c>
      <c r="I364" s="17" t="s">
        <v>110</v>
      </c>
      <c r="J364" s="17" t="s">
        <v>589</v>
      </c>
      <c r="K364" s="17" t="s">
        <v>56</v>
      </c>
      <c r="L364" s="17" t="s">
        <v>1285</v>
      </c>
      <c r="M364" s="26">
        <v>10000</v>
      </c>
      <c r="N364" s="17" t="s">
        <v>1286</v>
      </c>
      <c r="O364" s="42">
        <v>12</v>
      </c>
      <c r="P364" s="17" t="s">
        <v>56</v>
      </c>
      <c r="Q364" s="17">
        <v>2022</v>
      </c>
      <c r="R364" s="17"/>
      <c r="S364" s="17" t="s">
        <v>43</v>
      </c>
      <c r="T364" s="16"/>
      <c r="U364" s="18"/>
      <c r="V364" s="18"/>
      <c r="W364" s="17"/>
      <c r="X364" s="4"/>
      <c r="Y364" s="4"/>
    </row>
    <row r="365" spans="1:25">
      <c r="A365" s="3">
        <v>364</v>
      </c>
      <c r="B365" s="3" t="s">
        <v>1242</v>
      </c>
      <c r="C365" s="3" t="s">
        <v>711</v>
      </c>
      <c r="D365" s="3" t="s">
        <v>712</v>
      </c>
      <c r="E365" s="3" t="s">
        <v>713</v>
      </c>
      <c r="F365" s="3" t="s">
        <v>714</v>
      </c>
      <c r="G365" s="3" t="s">
        <v>61</v>
      </c>
      <c r="H365" s="3">
        <f>VALUE(MID(LEFT(Table1[[#This Row],[Unique ID]], FIND("/", Table1[[#This Row],[Unique ID]]) - 1), 2, LEN(Table1[[#This Row],[Unique ID]])))</f>
        <v>4</v>
      </c>
      <c r="I365" s="3" t="s">
        <v>86</v>
      </c>
      <c r="J365" s="3"/>
      <c r="K365" s="3" t="s">
        <v>1287</v>
      </c>
      <c r="L365" s="3" t="s">
        <v>1288</v>
      </c>
      <c r="M365" s="24">
        <v>4000</v>
      </c>
      <c r="N365" s="3" t="s">
        <v>1289</v>
      </c>
      <c r="O365" s="41">
        <v>4</v>
      </c>
      <c r="P365" s="3" t="s">
        <v>1287</v>
      </c>
      <c r="Q365" s="17">
        <v>2022</v>
      </c>
      <c r="R365" s="3"/>
      <c r="S365" s="3" t="s">
        <v>507</v>
      </c>
      <c r="T365" s="16">
        <v>44781</v>
      </c>
      <c r="U365" s="4"/>
      <c r="V365" s="4" t="s">
        <v>1290</v>
      </c>
      <c r="W365" s="3"/>
      <c r="X365" s="4" t="s">
        <v>1291</v>
      </c>
      <c r="Y365" s="4"/>
    </row>
    <row r="366" spans="1:25">
      <c r="A366" s="3">
        <v>365</v>
      </c>
      <c r="B366" s="3" t="s">
        <v>1242</v>
      </c>
      <c r="C366" s="3" t="s">
        <v>687</v>
      </c>
      <c r="D366" s="3" t="s">
        <v>688</v>
      </c>
      <c r="E366" s="3" t="s">
        <v>689</v>
      </c>
      <c r="F366" s="3" t="s">
        <v>690</v>
      </c>
      <c r="G366" s="3" t="s">
        <v>35</v>
      </c>
      <c r="H366" s="3">
        <f>VALUE(MID(LEFT(Table1[[#This Row],[Unique ID]], FIND("/", Table1[[#This Row],[Unique ID]]) - 1), 2, LEN(Table1[[#This Row],[Unique ID]])))</f>
        <v>2</v>
      </c>
      <c r="I366" s="3" t="s">
        <v>76</v>
      </c>
      <c r="J366" s="3"/>
      <c r="K366" s="3" t="s">
        <v>56</v>
      </c>
      <c r="L366" s="3" t="s">
        <v>1292</v>
      </c>
      <c r="M366" s="24">
        <v>92000</v>
      </c>
      <c r="N366" s="3" t="s">
        <v>1293</v>
      </c>
      <c r="O366" s="41">
        <v>12</v>
      </c>
      <c r="P366" s="3" t="s">
        <v>56</v>
      </c>
      <c r="Q366" s="17">
        <v>2022</v>
      </c>
      <c r="R366" s="3" t="s">
        <v>1292</v>
      </c>
      <c r="S366" s="3" t="s">
        <v>507</v>
      </c>
      <c r="T366" s="16">
        <v>44549</v>
      </c>
      <c r="U366" s="4" t="s">
        <v>1116</v>
      </c>
      <c r="V366" s="4"/>
      <c r="W366" s="3"/>
      <c r="X366" s="4" t="s">
        <v>1294</v>
      </c>
      <c r="Y366" s="4"/>
    </row>
    <row r="367" spans="1:25">
      <c r="A367" s="3">
        <v>366</v>
      </c>
      <c r="B367" s="3" t="s">
        <v>1242</v>
      </c>
      <c r="C367" s="3" t="s">
        <v>687</v>
      </c>
      <c r="D367" s="3" t="s">
        <v>688</v>
      </c>
      <c r="E367" s="3" t="s">
        <v>689</v>
      </c>
      <c r="F367" s="3" t="s">
        <v>690</v>
      </c>
      <c r="G367" s="3" t="s">
        <v>35</v>
      </c>
      <c r="H367" s="3">
        <f>VALUE(MID(LEFT(Table1[[#This Row],[Unique ID]], FIND("/", Table1[[#This Row],[Unique ID]]) - 1), 2, LEN(Table1[[#This Row],[Unique ID]])))</f>
        <v>2</v>
      </c>
      <c r="I367" s="3" t="s">
        <v>76</v>
      </c>
      <c r="J367" s="3"/>
      <c r="K367" s="3" t="s">
        <v>56</v>
      </c>
      <c r="L367" s="3" t="s">
        <v>1295</v>
      </c>
      <c r="M367" s="24">
        <v>630555</v>
      </c>
      <c r="N367" s="3" t="s">
        <v>708</v>
      </c>
      <c r="O367" s="41">
        <v>24</v>
      </c>
      <c r="P367" s="3" t="s">
        <v>56</v>
      </c>
      <c r="Q367" s="17">
        <v>2022</v>
      </c>
      <c r="R367" s="3" t="s">
        <v>1295</v>
      </c>
      <c r="S367" s="3" t="s">
        <v>507</v>
      </c>
      <c r="T367" s="16">
        <v>44835</v>
      </c>
      <c r="U367" s="4" t="s">
        <v>1116</v>
      </c>
      <c r="V367" s="4"/>
      <c r="W367" s="3"/>
      <c r="X367" s="4"/>
      <c r="Y367" s="4"/>
    </row>
    <row r="368" spans="1:25">
      <c r="A368" s="3">
        <v>367</v>
      </c>
      <c r="B368" s="3" t="s">
        <v>1242</v>
      </c>
      <c r="C368" s="3" t="s">
        <v>687</v>
      </c>
      <c r="D368" s="3" t="s">
        <v>688</v>
      </c>
      <c r="E368" s="3" t="s">
        <v>689</v>
      </c>
      <c r="F368" s="3" t="s">
        <v>690</v>
      </c>
      <c r="G368" s="3" t="s">
        <v>35</v>
      </c>
      <c r="H368" s="3">
        <f>VALUE(MID(LEFT(Table1[[#This Row],[Unique ID]], FIND("/", Table1[[#This Row],[Unique ID]]) - 1), 2, LEN(Table1[[#This Row],[Unique ID]])))</f>
        <v>2</v>
      </c>
      <c r="I368" s="3" t="s">
        <v>76</v>
      </c>
      <c r="J368" s="3"/>
      <c r="K368" s="3" t="s">
        <v>160</v>
      </c>
      <c r="L368" s="3" t="s">
        <v>1296</v>
      </c>
      <c r="M368" s="24"/>
      <c r="N368" s="3" t="s">
        <v>1297</v>
      </c>
      <c r="O368" s="41"/>
      <c r="P368" s="3" t="s">
        <v>160</v>
      </c>
      <c r="Q368" s="17">
        <v>2022</v>
      </c>
      <c r="R368" s="3"/>
      <c r="S368" s="3" t="s">
        <v>507</v>
      </c>
      <c r="T368" s="16">
        <v>44901</v>
      </c>
      <c r="U368" s="4"/>
      <c r="V368" s="4"/>
      <c r="W368" s="3"/>
      <c r="X368" s="4" t="s">
        <v>1298</v>
      </c>
      <c r="Y368" s="4"/>
    </row>
    <row r="369" spans="1:25">
      <c r="A369" s="3">
        <v>368</v>
      </c>
      <c r="B369" s="3" t="s">
        <v>1242</v>
      </c>
      <c r="C369" s="3" t="s">
        <v>687</v>
      </c>
      <c r="D369" s="3" t="s">
        <v>688</v>
      </c>
      <c r="E369" s="3" t="s">
        <v>689</v>
      </c>
      <c r="F369" s="3" t="s">
        <v>690</v>
      </c>
      <c r="G369" s="3" t="s">
        <v>35</v>
      </c>
      <c r="H369" s="3">
        <f>VALUE(MID(LEFT(Table1[[#This Row],[Unique ID]], FIND("/", Table1[[#This Row],[Unique ID]]) - 1), 2, LEN(Table1[[#This Row],[Unique ID]])))</f>
        <v>2</v>
      </c>
      <c r="I369" s="3" t="s">
        <v>76</v>
      </c>
      <c r="J369" s="3"/>
      <c r="K369" s="3" t="s">
        <v>160</v>
      </c>
      <c r="L369" s="3" t="s">
        <v>1299</v>
      </c>
      <c r="M369" s="24"/>
      <c r="N369" s="3" t="s">
        <v>112</v>
      </c>
      <c r="O369" s="41"/>
      <c r="P369" s="3" t="s">
        <v>160</v>
      </c>
      <c r="Q369" s="17">
        <v>2022</v>
      </c>
      <c r="R369" s="3"/>
      <c r="S369" s="3" t="s">
        <v>507</v>
      </c>
      <c r="T369" s="16">
        <v>44887</v>
      </c>
      <c r="U369" s="4"/>
      <c r="V369" s="4"/>
      <c r="W369" s="3"/>
      <c r="X369" s="4" t="s">
        <v>1300</v>
      </c>
      <c r="Y369" s="4"/>
    </row>
    <row r="370" spans="1:25">
      <c r="A370" s="3">
        <v>369</v>
      </c>
      <c r="B370" s="3" t="s">
        <v>1242</v>
      </c>
      <c r="C370" s="3" t="s">
        <v>520</v>
      </c>
      <c r="D370" s="3" t="s">
        <v>521</v>
      </c>
      <c r="E370" s="3" t="s">
        <v>522</v>
      </c>
      <c r="F370" s="3" t="s">
        <v>523</v>
      </c>
      <c r="G370" s="3" t="s">
        <v>61</v>
      </c>
      <c r="H370" s="3">
        <f>VALUE(MID(LEFT(Table1[[#This Row],[Unique ID]], FIND("/", Table1[[#This Row],[Unique ID]]) - 1), 2, LEN(Table1[[#This Row],[Unique ID]])))</f>
        <v>4</v>
      </c>
      <c r="I370" s="3" t="s">
        <v>589</v>
      </c>
      <c r="J370" s="3"/>
      <c r="K370" s="3" t="s">
        <v>56</v>
      </c>
      <c r="L370" s="3" t="s">
        <v>1301</v>
      </c>
      <c r="M370" s="24">
        <v>4100</v>
      </c>
      <c r="N370" s="3" t="s">
        <v>1302</v>
      </c>
      <c r="O370" s="41">
        <v>4</v>
      </c>
      <c r="P370" s="3" t="s">
        <v>56</v>
      </c>
      <c r="Q370" s="17">
        <v>2022</v>
      </c>
      <c r="R370" s="3" t="s">
        <v>1240</v>
      </c>
      <c r="S370" s="3" t="s">
        <v>507</v>
      </c>
      <c r="T370" s="16">
        <v>44724</v>
      </c>
      <c r="U370" s="4" t="s">
        <v>1105</v>
      </c>
      <c r="V370" s="4"/>
      <c r="W370" s="3"/>
      <c r="X370" s="4" t="s">
        <v>1303</v>
      </c>
      <c r="Y370" s="4"/>
    </row>
    <row r="371" spans="1:25">
      <c r="A371" s="3">
        <v>370</v>
      </c>
      <c r="B371" s="3" t="s">
        <v>1242</v>
      </c>
      <c r="C371" s="3" t="s">
        <v>432</v>
      </c>
      <c r="D371" s="3" t="s">
        <v>433</v>
      </c>
      <c r="E371" s="3" t="s">
        <v>434</v>
      </c>
      <c r="F371" s="3" t="s">
        <v>435</v>
      </c>
      <c r="G371" s="3" t="s">
        <v>35</v>
      </c>
      <c r="H371" s="3">
        <f>VALUE(MID(LEFT(Table1[[#This Row],[Unique ID]], FIND("/", Table1[[#This Row],[Unique ID]]) - 1), 2, LEN(Table1[[#This Row],[Unique ID]])))</f>
        <v>7</v>
      </c>
      <c r="I371" s="3" t="s">
        <v>86</v>
      </c>
      <c r="J371" s="3"/>
      <c r="K371" s="3" t="s">
        <v>56</v>
      </c>
      <c r="L371" s="3" t="s">
        <v>1304</v>
      </c>
      <c r="M371" s="24">
        <v>55500</v>
      </c>
      <c r="N371" s="3" t="s">
        <v>283</v>
      </c>
      <c r="O371" s="41">
        <v>12</v>
      </c>
      <c r="P371" s="3" t="s">
        <v>56</v>
      </c>
      <c r="Q371" s="17">
        <v>2022</v>
      </c>
      <c r="R371" s="3" t="s">
        <v>1305</v>
      </c>
      <c r="S371" s="3" t="s">
        <v>507</v>
      </c>
      <c r="T371" s="16">
        <v>44481</v>
      </c>
      <c r="U371" s="4" t="s">
        <v>1116</v>
      </c>
      <c r="V371" s="4" t="s">
        <v>1306</v>
      </c>
      <c r="W371" s="3"/>
      <c r="X371" s="4" t="s">
        <v>1307</v>
      </c>
      <c r="Y371" s="4"/>
    </row>
    <row r="372" spans="1:25">
      <c r="A372" s="3">
        <v>371</v>
      </c>
      <c r="B372" s="3" t="s">
        <v>1242</v>
      </c>
      <c r="C372" s="3" t="s">
        <v>1015</v>
      </c>
      <c r="D372" s="3" t="s">
        <v>1308</v>
      </c>
      <c r="E372" s="3" t="s">
        <v>1017</v>
      </c>
      <c r="F372" s="3" t="s">
        <v>1309</v>
      </c>
      <c r="G372" s="3" t="s">
        <v>61</v>
      </c>
      <c r="H372" s="3">
        <f>VALUE(MID(LEFT(Table1[[#This Row],[Unique ID]], FIND("/", Table1[[#This Row],[Unique ID]]) - 1), 2, LEN(Table1[[#This Row],[Unique ID]])))</f>
        <v>4</v>
      </c>
      <c r="I372" s="3" t="s">
        <v>1310</v>
      </c>
      <c r="J372" s="3"/>
      <c r="K372" s="3" t="s">
        <v>50</v>
      </c>
      <c r="L372" s="3" t="s">
        <v>1311</v>
      </c>
      <c r="M372" s="24">
        <v>298011</v>
      </c>
      <c r="N372" s="3" t="s">
        <v>1312</v>
      </c>
      <c r="O372" s="41">
        <v>18</v>
      </c>
      <c r="P372" s="3" t="s">
        <v>53</v>
      </c>
      <c r="Q372" s="17">
        <v>2022</v>
      </c>
      <c r="R372" s="3" t="s">
        <v>1313</v>
      </c>
      <c r="S372" s="3" t="s">
        <v>507</v>
      </c>
      <c r="T372" s="16">
        <v>44774</v>
      </c>
      <c r="U372" s="4" t="s">
        <v>1314</v>
      </c>
      <c r="V372" s="4"/>
      <c r="W372" s="3"/>
      <c r="X372" s="4" t="s">
        <v>1315</v>
      </c>
      <c r="Y372" s="4"/>
    </row>
    <row r="373" spans="1:25">
      <c r="A373" s="3">
        <v>372</v>
      </c>
      <c r="B373" s="3" t="s">
        <v>1242</v>
      </c>
      <c r="C373" s="3" t="s">
        <v>326</v>
      </c>
      <c r="D373" s="3" t="s">
        <v>327</v>
      </c>
      <c r="E373" s="3" t="s">
        <v>329</v>
      </c>
      <c r="F373" s="3" t="s">
        <v>1316</v>
      </c>
      <c r="G373" s="3" t="s">
        <v>61</v>
      </c>
      <c r="H373" s="3">
        <f>VALUE(MID(LEFT(Table1[[#This Row],[Unique ID]], FIND("/", Table1[[#This Row],[Unique ID]]) - 1), 2, LEN(Table1[[#This Row],[Unique ID]])))</f>
        <v>6</v>
      </c>
      <c r="I373" s="3" t="s">
        <v>76</v>
      </c>
      <c r="J373" s="3"/>
      <c r="K373" s="3" t="s">
        <v>56</v>
      </c>
      <c r="L373" s="3" t="s">
        <v>1317</v>
      </c>
      <c r="M373" s="24">
        <v>100000</v>
      </c>
      <c r="N373" s="3" t="s">
        <v>1318</v>
      </c>
      <c r="O373" s="41">
        <v>24</v>
      </c>
      <c r="P373" s="3" t="s">
        <v>56</v>
      </c>
      <c r="Q373" s="17">
        <v>2022</v>
      </c>
      <c r="R373" s="3" t="s">
        <v>1319</v>
      </c>
      <c r="S373" s="3" t="s">
        <v>507</v>
      </c>
      <c r="T373" s="16">
        <v>44896</v>
      </c>
      <c r="U373" s="4" t="s">
        <v>1105</v>
      </c>
      <c r="V373" s="4"/>
      <c r="W373" s="3"/>
      <c r="X373" s="4" t="s">
        <v>1320</v>
      </c>
      <c r="Y373" s="4"/>
    </row>
    <row r="374" spans="1:25">
      <c r="A374" s="3">
        <v>373</v>
      </c>
      <c r="B374" s="3" t="s">
        <v>1242</v>
      </c>
      <c r="C374" s="17" t="s">
        <v>287</v>
      </c>
      <c r="D374" s="3" t="s">
        <v>1321</v>
      </c>
      <c r="E374" s="3" t="s">
        <v>1322</v>
      </c>
      <c r="F374" s="3" t="s">
        <v>289</v>
      </c>
      <c r="G374" s="3" t="s">
        <v>35</v>
      </c>
      <c r="H374" s="3">
        <f>VALUE(MID(LEFT(Table1[[#This Row],[Unique ID]], FIND("/", Table1[[#This Row],[Unique ID]]) - 1), 2, LEN(Table1[[#This Row],[Unique ID]])))</f>
        <v>6</v>
      </c>
      <c r="I374" s="3" t="s">
        <v>76</v>
      </c>
      <c r="J374" s="3"/>
      <c r="K374" s="3" t="s">
        <v>56</v>
      </c>
      <c r="L374" s="3" t="s">
        <v>1323</v>
      </c>
      <c r="M374" s="24">
        <v>32923.269999999997</v>
      </c>
      <c r="N374" s="3" t="s">
        <v>854</v>
      </c>
      <c r="O374" s="41">
        <v>12</v>
      </c>
      <c r="P374" s="3" t="s">
        <v>56</v>
      </c>
      <c r="Q374" s="17">
        <v>2022</v>
      </c>
      <c r="R374" s="3" t="s">
        <v>1324</v>
      </c>
      <c r="S374" s="3" t="s">
        <v>507</v>
      </c>
      <c r="T374" s="16">
        <v>44833</v>
      </c>
      <c r="U374" s="4" t="s">
        <v>1105</v>
      </c>
      <c r="V374" s="4"/>
      <c r="W374" s="3"/>
      <c r="X374" s="4" t="s">
        <v>1325</v>
      </c>
      <c r="Y374" s="4"/>
    </row>
    <row r="375" spans="1:25">
      <c r="A375" s="3">
        <v>374</v>
      </c>
      <c r="B375" s="3" t="s">
        <v>1242</v>
      </c>
      <c r="C375" s="17" t="s">
        <v>287</v>
      </c>
      <c r="D375" s="3" t="s">
        <v>1321</v>
      </c>
      <c r="E375" s="3" t="s">
        <v>1322</v>
      </c>
      <c r="F375" s="3" t="s">
        <v>289</v>
      </c>
      <c r="G375" s="3" t="s">
        <v>35</v>
      </c>
      <c r="H375" s="3">
        <f>VALUE(MID(LEFT(Table1[[#This Row],[Unique ID]], FIND("/", Table1[[#This Row],[Unique ID]]) - 1), 2, LEN(Table1[[#This Row],[Unique ID]])))</f>
        <v>6</v>
      </c>
      <c r="I375" s="3" t="s">
        <v>76</v>
      </c>
      <c r="J375" s="3"/>
      <c r="K375" s="3" t="s">
        <v>56</v>
      </c>
      <c r="L375" s="3" t="s">
        <v>1326</v>
      </c>
      <c r="M375" s="24">
        <v>241953.95</v>
      </c>
      <c r="N375" s="3" t="s">
        <v>1327</v>
      </c>
      <c r="O375" s="41">
        <v>24</v>
      </c>
      <c r="P375" s="3" t="s">
        <v>56</v>
      </c>
      <c r="Q375" s="17">
        <v>2022</v>
      </c>
      <c r="R375" s="3" t="s">
        <v>1328</v>
      </c>
      <c r="S375" s="3" t="s">
        <v>507</v>
      </c>
      <c r="T375" s="16">
        <v>44621</v>
      </c>
      <c r="U375" s="4" t="s">
        <v>1116</v>
      </c>
      <c r="V375" s="4"/>
      <c r="W375" s="3"/>
      <c r="X375" s="4" t="s">
        <v>1329</v>
      </c>
      <c r="Y375" s="4"/>
    </row>
    <row r="376" spans="1:25">
      <c r="A376" s="3">
        <v>375</v>
      </c>
      <c r="B376" s="3" t="s">
        <v>1242</v>
      </c>
      <c r="C376" s="3" t="s">
        <v>381</v>
      </c>
      <c r="D376" s="3" t="s">
        <v>382</v>
      </c>
      <c r="E376" s="3" t="s">
        <v>383</v>
      </c>
      <c r="F376" s="3" t="s">
        <v>384</v>
      </c>
      <c r="G376" s="3" t="s">
        <v>61</v>
      </c>
      <c r="H376" s="3">
        <f>VALUE(MID(LEFT(Table1[[#This Row],[Unique ID]], FIND("/", Table1[[#This Row],[Unique ID]]) - 1), 2, LEN(Table1[[#This Row],[Unique ID]])))</f>
        <v>7</v>
      </c>
      <c r="I376" s="3" t="s">
        <v>209</v>
      </c>
      <c r="J376" s="3"/>
      <c r="K376" s="3" t="s">
        <v>56</v>
      </c>
      <c r="L376" s="3" t="s">
        <v>1330</v>
      </c>
      <c r="M376" s="24">
        <v>564087.01</v>
      </c>
      <c r="N376" s="3" t="s">
        <v>1331</v>
      </c>
      <c r="O376" s="41">
        <v>24</v>
      </c>
      <c r="P376" s="3" t="s">
        <v>56</v>
      </c>
      <c r="Q376" s="17">
        <v>2022</v>
      </c>
      <c r="R376" s="3" t="s">
        <v>1332</v>
      </c>
      <c r="S376" s="3" t="s">
        <v>507</v>
      </c>
      <c r="T376" s="16">
        <v>44835</v>
      </c>
      <c r="U376" s="4" t="s">
        <v>1105</v>
      </c>
      <c r="V376" s="3" t="s">
        <v>1333</v>
      </c>
      <c r="W376" s="3"/>
      <c r="X376" s="4" t="s">
        <v>1334</v>
      </c>
      <c r="Y376" s="4"/>
    </row>
    <row r="377" spans="1:25">
      <c r="A377" s="3">
        <v>376</v>
      </c>
      <c r="B377" s="3" t="s">
        <v>1242</v>
      </c>
      <c r="C377" s="3" t="s">
        <v>249</v>
      </c>
      <c r="D377" s="17" t="s">
        <v>250</v>
      </c>
      <c r="E377" s="17" t="s">
        <v>251</v>
      </c>
      <c r="F377" s="17" t="s">
        <v>252</v>
      </c>
      <c r="G377" s="17" t="s">
        <v>61</v>
      </c>
      <c r="H377" s="17">
        <f>VALUE(MID(LEFT(Table1[[#This Row],[Unique ID]], FIND("/", Table1[[#This Row],[Unique ID]]) - 1), 2, LEN(Table1[[#This Row],[Unique ID]])))</f>
        <v>7</v>
      </c>
      <c r="I377" s="17" t="s">
        <v>36</v>
      </c>
      <c r="J377" s="17"/>
      <c r="K377" s="17" t="s">
        <v>160</v>
      </c>
      <c r="L377" s="17" t="s">
        <v>1335</v>
      </c>
      <c r="M377" s="26">
        <v>500</v>
      </c>
      <c r="N377" s="17" t="s">
        <v>257</v>
      </c>
      <c r="O377" s="42"/>
      <c r="P377" s="17" t="s">
        <v>160</v>
      </c>
      <c r="Q377" s="17">
        <v>2022</v>
      </c>
      <c r="R377" s="17"/>
      <c r="S377" s="3" t="s">
        <v>507</v>
      </c>
      <c r="T377" s="16">
        <v>44812</v>
      </c>
      <c r="U377" s="18"/>
      <c r="V377" s="18"/>
      <c r="W377" s="17"/>
      <c r="X377" s="4" t="s">
        <v>1336</v>
      </c>
      <c r="Y377" s="4"/>
    </row>
    <row r="378" spans="1:25">
      <c r="A378" s="3">
        <v>377</v>
      </c>
      <c r="B378" s="3" t="s">
        <v>1337</v>
      </c>
      <c r="C378" s="17" t="s">
        <v>205</v>
      </c>
      <c r="D378" s="17" t="s">
        <v>206</v>
      </c>
      <c r="E378" s="17" t="s">
        <v>207</v>
      </c>
      <c r="F378" s="17" t="s">
        <v>208</v>
      </c>
      <c r="G378" s="17" t="s">
        <v>35</v>
      </c>
      <c r="H378" s="17">
        <f>VALUE(MID(LEFT(Table1[[#This Row],[Unique ID]], FIND("/", Table1[[#This Row],[Unique ID]]) - 1), 2, LEN(Table1[[#This Row],[Unique ID]])))</f>
        <v>5</v>
      </c>
      <c r="I378" s="17" t="s">
        <v>209</v>
      </c>
      <c r="J378" s="17" t="s">
        <v>49</v>
      </c>
      <c r="K378" s="17" t="s">
        <v>62</v>
      </c>
      <c r="L378" s="17" t="s">
        <v>1338</v>
      </c>
      <c r="M378" s="27">
        <v>1844720</v>
      </c>
      <c r="N378" s="17" t="s">
        <v>618</v>
      </c>
      <c r="O378" s="42">
        <v>36</v>
      </c>
      <c r="P378" s="17" t="s">
        <v>62</v>
      </c>
      <c r="Q378" s="17">
        <v>2023</v>
      </c>
      <c r="R378" s="17" t="s">
        <v>1339</v>
      </c>
      <c r="S378" s="17" t="s">
        <v>507</v>
      </c>
      <c r="T378" s="16">
        <v>44963</v>
      </c>
      <c r="U378" s="18" t="s">
        <v>1105</v>
      </c>
      <c r="V378" s="18" t="s">
        <v>1340</v>
      </c>
      <c r="W378" s="17"/>
      <c r="X378" s="18" t="s">
        <v>1341</v>
      </c>
      <c r="Y378" s="4"/>
    </row>
    <row r="379" spans="1:25">
      <c r="A379" s="3">
        <v>378</v>
      </c>
      <c r="B379" s="3" t="s">
        <v>1337</v>
      </c>
      <c r="C379" s="17" t="s">
        <v>432</v>
      </c>
      <c r="D379" s="17" t="s">
        <v>433</v>
      </c>
      <c r="E379" s="17" t="s">
        <v>434</v>
      </c>
      <c r="F379" s="17" t="s">
        <v>435</v>
      </c>
      <c r="G379" s="17" t="s">
        <v>35</v>
      </c>
      <c r="H379" s="17">
        <f>VALUE(MID(LEFT(Table1[[#This Row],[Unique ID]], FIND("/", Table1[[#This Row],[Unique ID]]) - 1), 2, LEN(Table1[[#This Row],[Unique ID]])))</f>
        <v>7</v>
      </c>
      <c r="I379" s="17" t="s">
        <v>86</v>
      </c>
      <c r="J379" s="17" t="s">
        <v>86</v>
      </c>
      <c r="K379" s="17" t="s">
        <v>62</v>
      </c>
      <c r="L379" s="17" t="s">
        <v>919</v>
      </c>
      <c r="M379" s="26">
        <v>31474</v>
      </c>
      <c r="N379" s="17" t="s">
        <v>1342</v>
      </c>
      <c r="O379" s="42"/>
      <c r="P379" s="17" t="s">
        <v>56</v>
      </c>
      <c r="Q379" s="17">
        <v>2023</v>
      </c>
      <c r="R379" s="17" t="s">
        <v>1343</v>
      </c>
      <c r="S379" s="17" t="s">
        <v>43</v>
      </c>
      <c r="T379" s="16">
        <v>44938</v>
      </c>
      <c r="U379" s="18" t="s">
        <v>1105</v>
      </c>
      <c r="V379" s="18" t="s">
        <v>1344</v>
      </c>
      <c r="W379" s="17"/>
      <c r="X379" s="18"/>
      <c r="Y379" s="4"/>
    </row>
    <row r="380" spans="1:25">
      <c r="A380" s="3">
        <v>379</v>
      </c>
      <c r="B380" s="3" t="s">
        <v>1337</v>
      </c>
      <c r="C380" s="3" t="s">
        <v>646</v>
      </c>
      <c r="D380" s="3" t="s">
        <v>647</v>
      </c>
      <c r="E380" s="3" t="s">
        <v>648</v>
      </c>
      <c r="F380" s="3" t="s">
        <v>648</v>
      </c>
      <c r="G380" s="3" t="s">
        <v>35</v>
      </c>
      <c r="H380" s="3">
        <f>VALUE(MID(LEFT(Table1[[#This Row],[Unique ID]], FIND("/", Table1[[#This Row],[Unique ID]]) - 1), 2, LEN(Table1[[#This Row],[Unique ID]])))</f>
        <v>9</v>
      </c>
      <c r="I380" s="3" t="s">
        <v>76</v>
      </c>
      <c r="J380" s="3" t="s">
        <v>76</v>
      </c>
      <c r="K380" s="3" t="s">
        <v>56</v>
      </c>
      <c r="L380" s="12" t="s">
        <v>1345</v>
      </c>
      <c r="M380" s="24">
        <v>189459.75</v>
      </c>
      <c r="N380" s="3" t="s">
        <v>1346</v>
      </c>
      <c r="O380" s="41">
        <v>18</v>
      </c>
      <c r="P380" s="3" t="s">
        <v>56</v>
      </c>
      <c r="Q380" s="3">
        <v>2023</v>
      </c>
      <c r="R380" s="3" t="s">
        <v>1347</v>
      </c>
      <c r="S380" s="3" t="s">
        <v>43</v>
      </c>
      <c r="T380" s="16">
        <v>45110</v>
      </c>
      <c r="U380" s="3" t="s">
        <v>1116</v>
      </c>
      <c r="V380" s="4"/>
      <c r="W380" s="3"/>
      <c r="X380" s="4"/>
      <c r="Y380" s="4"/>
    </row>
    <row r="381" spans="1:25">
      <c r="A381" s="3">
        <v>380</v>
      </c>
      <c r="B381" s="3" t="s">
        <v>1337</v>
      </c>
      <c r="C381" s="3" t="s">
        <v>961</v>
      </c>
      <c r="D381" s="3" t="s">
        <v>962</v>
      </c>
      <c r="E381" s="3" t="s">
        <v>963</v>
      </c>
      <c r="F381" s="3" t="s">
        <v>964</v>
      </c>
      <c r="G381" s="3" t="s">
        <v>35</v>
      </c>
      <c r="H381" s="3">
        <f>VALUE(MID(LEFT(Table1[[#This Row],[Unique ID]], FIND("/", Table1[[#This Row],[Unique ID]]) - 1), 2, LEN(Table1[[#This Row],[Unique ID]])))</f>
        <v>9</v>
      </c>
      <c r="I381" s="3" t="s">
        <v>229</v>
      </c>
      <c r="J381" s="3" t="s">
        <v>589</v>
      </c>
      <c r="K381" s="3" t="s">
        <v>56</v>
      </c>
      <c r="L381" s="12" t="s">
        <v>1348</v>
      </c>
      <c r="M381" s="24"/>
      <c r="N381" s="3" t="s">
        <v>1349</v>
      </c>
      <c r="O381" s="41">
        <v>36</v>
      </c>
      <c r="P381" s="3" t="s">
        <v>56</v>
      </c>
      <c r="Q381" s="3">
        <v>2023</v>
      </c>
      <c r="R381" s="3" t="s">
        <v>1348</v>
      </c>
      <c r="S381" s="3" t="s">
        <v>43</v>
      </c>
      <c r="T381" s="16"/>
      <c r="U381" s="3" t="s">
        <v>1116</v>
      </c>
      <c r="V381" s="4"/>
      <c r="W381" s="3"/>
      <c r="X381" s="4"/>
      <c r="Y381" s="4"/>
    </row>
    <row r="382" spans="1:25">
      <c r="A382" s="3">
        <v>381</v>
      </c>
      <c r="B382" s="3" t="s">
        <v>1337</v>
      </c>
      <c r="C382" s="3" t="s">
        <v>1043</v>
      </c>
      <c r="D382" s="3" t="s">
        <v>1044</v>
      </c>
      <c r="E382" s="3" t="s">
        <v>1045</v>
      </c>
      <c r="F382" s="3" t="s">
        <v>1046</v>
      </c>
      <c r="G382" s="3" t="s">
        <v>35</v>
      </c>
      <c r="H382" s="3">
        <f>VALUE(MID(LEFT(Table1[[#This Row],[Unique ID]], FIND("/", Table1[[#This Row],[Unique ID]]) - 1), 2, LEN(Table1[[#This Row],[Unique ID]])))</f>
        <v>10</v>
      </c>
      <c r="I382" s="3" t="s">
        <v>110</v>
      </c>
      <c r="J382" s="3" t="s">
        <v>589</v>
      </c>
      <c r="K382" s="3" t="s">
        <v>56</v>
      </c>
      <c r="L382" s="12" t="s">
        <v>1350</v>
      </c>
      <c r="M382" s="24">
        <v>10000</v>
      </c>
      <c r="N382" s="3" t="s">
        <v>1351</v>
      </c>
      <c r="O382" s="41">
        <v>12</v>
      </c>
      <c r="P382" s="3" t="s">
        <v>56</v>
      </c>
      <c r="Q382" s="3">
        <v>2023</v>
      </c>
      <c r="R382" s="3" t="s">
        <v>1352</v>
      </c>
      <c r="S382" s="3" t="s">
        <v>43</v>
      </c>
      <c r="T382" s="16">
        <v>45078</v>
      </c>
      <c r="U382" s="3" t="s">
        <v>1105</v>
      </c>
      <c r="V382" s="4" t="s">
        <v>1353</v>
      </c>
      <c r="W382" s="3"/>
      <c r="X382" s="4"/>
      <c r="Y382" s="4"/>
    </row>
    <row r="383" spans="1:25">
      <c r="A383" s="3">
        <v>382</v>
      </c>
      <c r="B383" s="3" t="s">
        <v>1337</v>
      </c>
      <c r="C383" s="3" t="s">
        <v>1050</v>
      </c>
      <c r="D383" s="3" t="s">
        <v>1051</v>
      </c>
      <c r="E383" s="3" t="s">
        <v>1042</v>
      </c>
      <c r="F383" s="3" t="s">
        <v>1052</v>
      </c>
      <c r="G383" s="3" t="s">
        <v>35</v>
      </c>
      <c r="H383" s="3">
        <f>VALUE(MID(LEFT(Table1[[#This Row],[Unique ID]], FIND("/", Table1[[#This Row],[Unique ID]]) - 1), 2, LEN(Table1[[#This Row],[Unique ID]])))</f>
        <v>10</v>
      </c>
      <c r="I383" s="3" t="s">
        <v>76</v>
      </c>
      <c r="J383" s="3" t="s">
        <v>76</v>
      </c>
      <c r="K383" s="3" t="s">
        <v>50</v>
      </c>
      <c r="L383" s="12" t="s">
        <v>1354</v>
      </c>
      <c r="M383" s="24">
        <v>4000</v>
      </c>
      <c r="N383" s="3" t="s">
        <v>1057</v>
      </c>
      <c r="O383" s="41"/>
      <c r="P383" s="3" t="s">
        <v>53</v>
      </c>
      <c r="Q383" s="3">
        <v>2023</v>
      </c>
      <c r="R383" s="3"/>
      <c r="S383" s="3" t="s">
        <v>43</v>
      </c>
      <c r="T383" s="16"/>
      <c r="U383" s="4"/>
      <c r="V383" s="4"/>
      <c r="W383" s="3"/>
      <c r="X383" s="4"/>
      <c r="Y383" s="4"/>
    </row>
    <row r="384" spans="1:25">
      <c r="A384" s="3">
        <v>383</v>
      </c>
      <c r="B384" s="3" t="s">
        <v>1337</v>
      </c>
      <c r="C384" s="3" t="s">
        <v>967</v>
      </c>
      <c r="D384" s="3" t="s">
        <v>968</v>
      </c>
      <c r="E384" s="3" t="s">
        <v>969</v>
      </c>
      <c r="F384" s="3" t="s">
        <v>970</v>
      </c>
      <c r="G384" s="3" t="s">
        <v>35</v>
      </c>
      <c r="H384" s="3">
        <f>VALUE(MID(LEFT(Table1[[#This Row],[Unique ID]], FIND("/", Table1[[#This Row],[Unique ID]]) - 1), 2, LEN(Table1[[#This Row],[Unique ID]])))</f>
        <v>10</v>
      </c>
      <c r="I384" s="3" t="s">
        <v>37</v>
      </c>
      <c r="J384" s="3" t="s">
        <v>37</v>
      </c>
      <c r="K384" s="3" t="s">
        <v>42</v>
      </c>
      <c r="L384" s="12" t="s">
        <v>1355</v>
      </c>
      <c r="M384" s="24"/>
      <c r="N384" s="3" t="s">
        <v>1281</v>
      </c>
      <c r="O384" s="41">
        <v>1</v>
      </c>
      <c r="P384" s="3" t="s">
        <v>42</v>
      </c>
      <c r="Q384" s="3">
        <v>2023</v>
      </c>
      <c r="R384" s="3"/>
      <c r="S384" s="3" t="s">
        <v>43</v>
      </c>
      <c r="T384" s="16">
        <v>45054</v>
      </c>
      <c r="U384" s="4"/>
      <c r="V384" s="4"/>
      <c r="W384" s="3"/>
      <c r="X384" s="4"/>
      <c r="Y384" s="4"/>
    </row>
    <row r="385" spans="1:25">
      <c r="A385" s="3">
        <v>384</v>
      </c>
      <c r="B385" s="3" t="s">
        <v>1337</v>
      </c>
      <c r="C385" s="3" t="s">
        <v>1132</v>
      </c>
      <c r="D385" s="3" t="s">
        <v>1133</v>
      </c>
      <c r="E385" s="3"/>
      <c r="F385" s="3" t="s">
        <v>1134</v>
      </c>
      <c r="G385" s="3" t="s">
        <v>61</v>
      </c>
      <c r="H385" s="3">
        <f>VALUE(MID(LEFT(Table1[[#This Row],[Unique ID]], FIND("/", Table1[[#This Row],[Unique ID]]) - 1), 2, LEN(Table1[[#This Row],[Unique ID]])))</f>
        <v>10</v>
      </c>
      <c r="I385" s="3" t="s">
        <v>589</v>
      </c>
      <c r="J385" s="3" t="s">
        <v>589</v>
      </c>
      <c r="K385" s="3" t="s">
        <v>160</v>
      </c>
      <c r="L385" s="12" t="s">
        <v>1356</v>
      </c>
      <c r="M385" s="24">
        <v>4500</v>
      </c>
      <c r="N385" s="3" t="s">
        <v>1357</v>
      </c>
      <c r="O385" s="41">
        <v>1</v>
      </c>
      <c r="P385" s="3" t="s">
        <v>160</v>
      </c>
      <c r="Q385" s="3">
        <v>2023</v>
      </c>
      <c r="R385" s="3"/>
      <c r="S385" s="3" t="s">
        <v>43</v>
      </c>
      <c r="T385" s="16">
        <v>45078</v>
      </c>
      <c r="U385" s="4"/>
      <c r="V385" s="4"/>
      <c r="W385" s="3"/>
      <c r="X385" s="4"/>
      <c r="Y385" s="4"/>
    </row>
    <row r="386" spans="1:25">
      <c r="A386" s="3">
        <v>385</v>
      </c>
      <c r="B386" s="3" t="s">
        <v>1337</v>
      </c>
      <c r="C386" s="17" t="s">
        <v>1358</v>
      </c>
      <c r="D386" s="17" t="s">
        <v>1359</v>
      </c>
      <c r="E386" s="17" t="s">
        <v>1360</v>
      </c>
      <c r="F386" s="17" t="s">
        <v>1361</v>
      </c>
      <c r="G386" s="17" t="s">
        <v>61</v>
      </c>
      <c r="H386" s="17">
        <f>VALUE(MID(LEFT(Table1[[#This Row],[Unique ID]], FIND("/", Table1[[#This Row],[Unique ID]]) - 1), 2, LEN(Table1[[#This Row],[Unique ID]])))</f>
        <v>10</v>
      </c>
      <c r="I386" s="17" t="s">
        <v>93</v>
      </c>
      <c r="J386" s="17" t="s">
        <v>589</v>
      </c>
      <c r="K386" s="3" t="s">
        <v>50</v>
      </c>
      <c r="L386" s="19" t="s">
        <v>1362</v>
      </c>
      <c r="M386" s="24">
        <v>2000</v>
      </c>
      <c r="N386" s="17" t="s">
        <v>1363</v>
      </c>
      <c r="O386" s="42"/>
      <c r="P386" s="17" t="s">
        <v>53</v>
      </c>
      <c r="Q386" s="3">
        <v>2023</v>
      </c>
      <c r="R386" s="17" t="s">
        <v>1364</v>
      </c>
      <c r="S386" s="17" t="s">
        <v>43</v>
      </c>
      <c r="T386" s="16">
        <v>45082</v>
      </c>
      <c r="U386" s="18"/>
      <c r="V386" s="18"/>
      <c r="W386" s="17"/>
      <c r="X386" s="18"/>
      <c r="Y386" s="4"/>
    </row>
    <row r="387" spans="1:25">
      <c r="A387" s="3">
        <v>386</v>
      </c>
      <c r="B387" s="3" t="s">
        <v>1337</v>
      </c>
      <c r="C387" s="3" t="s">
        <v>711</v>
      </c>
      <c r="D387" s="3" t="s">
        <v>712</v>
      </c>
      <c r="E387" s="3" t="s">
        <v>713</v>
      </c>
      <c r="F387" s="3" t="s">
        <v>714</v>
      </c>
      <c r="G387" s="3" t="s">
        <v>61</v>
      </c>
      <c r="H387" s="3">
        <f>VALUE(MID(LEFT(Table1[[#This Row],[Unique ID]], FIND("/", Table1[[#This Row],[Unique ID]]) - 1), 2, LEN(Table1[[#This Row],[Unique ID]])))</f>
        <v>4</v>
      </c>
      <c r="I387" s="3" t="s">
        <v>86</v>
      </c>
      <c r="J387" s="3"/>
      <c r="K387" s="3" t="s">
        <v>42</v>
      </c>
      <c r="L387" s="12" t="s">
        <v>1365</v>
      </c>
      <c r="M387" s="24">
        <v>1660</v>
      </c>
      <c r="N387" s="12" t="s">
        <v>1366</v>
      </c>
      <c r="O387" s="41">
        <v>1</v>
      </c>
      <c r="P387" s="3" t="s">
        <v>42</v>
      </c>
      <c r="Q387" s="3">
        <v>2023</v>
      </c>
      <c r="R387" s="3"/>
      <c r="S387" s="3" t="s">
        <v>507</v>
      </c>
      <c r="T387" s="16">
        <v>45078</v>
      </c>
      <c r="U387" s="3"/>
      <c r="V387" s="4" t="s">
        <v>1239</v>
      </c>
      <c r="W387" s="3"/>
      <c r="X387" s="4" t="s">
        <v>1367</v>
      </c>
      <c r="Y387" s="4"/>
    </row>
    <row r="388" spans="1:25">
      <c r="A388" s="3">
        <v>387</v>
      </c>
      <c r="B388" s="3" t="s">
        <v>1337</v>
      </c>
      <c r="C388" s="3" t="s">
        <v>680</v>
      </c>
      <c r="D388" s="3" t="s">
        <v>681</v>
      </c>
      <c r="E388" s="3" t="s">
        <v>682</v>
      </c>
      <c r="F388" s="3" t="s">
        <v>683</v>
      </c>
      <c r="G388" s="3" t="s">
        <v>35</v>
      </c>
      <c r="H388" s="3">
        <f>VALUE(MID(LEFT(Table1[[#This Row],[Unique ID]], FIND("/", Table1[[#This Row],[Unique ID]]) - 1), 2, LEN(Table1[[#This Row],[Unique ID]])))</f>
        <v>3</v>
      </c>
      <c r="I388" s="3" t="s">
        <v>86</v>
      </c>
      <c r="J388" s="3"/>
      <c r="K388" s="3" t="s">
        <v>160</v>
      </c>
      <c r="L388" s="12" t="s">
        <v>1368</v>
      </c>
      <c r="M388" s="24">
        <v>14000</v>
      </c>
      <c r="N388" s="12" t="s">
        <v>685</v>
      </c>
      <c r="O388" s="41">
        <v>1</v>
      </c>
      <c r="P388" s="3" t="s">
        <v>160</v>
      </c>
      <c r="Q388" s="3">
        <v>2023</v>
      </c>
      <c r="R388" s="3"/>
      <c r="S388" s="3" t="s">
        <v>507</v>
      </c>
      <c r="T388" s="16">
        <v>45090</v>
      </c>
      <c r="U388" s="3"/>
      <c r="V388" s="4" t="s">
        <v>1239</v>
      </c>
      <c r="W388" s="3"/>
      <c r="X388" s="4" t="s">
        <v>1369</v>
      </c>
      <c r="Y388" s="4"/>
    </row>
    <row r="389" spans="1:25">
      <c r="A389" s="3">
        <v>388</v>
      </c>
      <c r="B389" s="3" t="s">
        <v>1337</v>
      </c>
      <c r="C389" s="3" t="s">
        <v>687</v>
      </c>
      <c r="D389" s="3" t="s">
        <v>688</v>
      </c>
      <c r="E389" s="3" t="s">
        <v>689</v>
      </c>
      <c r="F389" s="3" t="s">
        <v>690</v>
      </c>
      <c r="G389" s="3" t="s">
        <v>35</v>
      </c>
      <c r="H389" s="3">
        <f>VALUE(MID(LEFT(Table1[[#This Row],[Unique ID]], FIND("/", Table1[[#This Row],[Unique ID]]) - 1), 2, LEN(Table1[[#This Row],[Unique ID]])))</f>
        <v>2</v>
      </c>
      <c r="I389" s="3" t="s">
        <v>76</v>
      </c>
      <c r="J389" s="3"/>
      <c r="K389" s="3" t="s">
        <v>56</v>
      </c>
      <c r="L389" s="12" t="s">
        <v>1370</v>
      </c>
      <c r="M389" s="24"/>
      <c r="N389" s="12" t="s">
        <v>1371</v>
      </c>
      <c r="O389" s="41">
        <v>36</v>
      </c>
      <c r="P389" s="3" t="s">
        <v>56</v>
      </c>
      <c r="Q389" s="3">
        <v>2023</v>
      </c>
      <c r="R389" s="3"/>
      <c r="S389" s="3" t="s">
        <v>507</v>
      </c>
      <c r="T389" s="16">
        <v>45078</v>
      </c>
      <c r="U389" s="3" t="s">
        <v>1372</v>
      </c>
      <c r="V389" s="4" t="s">
        <v>1239</v>
      </c>
      <c r="W389" s="3"/>
      <c r="X389" s="4" t="s">
        <v>1373</v>
      </c>
      <c r="Y389" s="4"/>
    </row>
    <row r="390" spans="1:25">
      <c r="A390" s="3">
        <v>389</v>
      </c>
      <c r="B390" s="3" t="s">
        <v>1337</v>
      </c>
      <c r="C390" s="3" t="s">
        <v>1108</v>
      </c>
      <c r="D390" s="3" t="s">
        <v>1109</v>
      </c>
      <c r="E390" s="3" t="s">
        <v>1110</v>
      </c>
      <c r="F390" s="3" t="s">
        <v>1111</v>
      </c>
      <c r="G390" s="3" t="s">
        <v>35</v>
      </c>
      <c r="H390" s="3">
        <f>VALUE(MID(LEFT(Table1[[#This Row],[Unique ID]], FIND("/", Table1[[#This Row],[Unique ID]]) - 1), 2, LEN(Table1[[#This Row],[Unique ID]])))</f>
        <v>8</v>
      </c>
      <c r="I390" s="3" t="s">
        <v>86</v>
      </c>
      <c r="J390" s="3"/>
      <c r="K390" s="3" t="s">
        <v>160</v>
      </c>
      <c r="L390" s="12"/>
      <c r="M390" s="24">
        <v>1003</v>
      </c>
      <c r="N390" s="12" t="s">
        <v>1374</v>
      </c>
      <c r="O390" s="41"/>
      <c r="P390" s="3" t="s">
        <v>160</v>
      </c>
      <c r="Q390" s="3">
        <v>2023</v>
      </c>
      <c r="R390" s="3"/>
      <c r="S390" s="3" t="s">
        <v>507</v>
      </c>
      <c r="T390" s="16">
        <v>44976</v>
      </c>
      <c r="U390" s="3"/>
      <c r="V390" s="4" t="s">
        <v>1239</v>
      </c>
      <c r="W390" s="3"/>
      <c r="X390" s="4"/>
      <c r="Y390" s="4"/>
    </row>
    <row r="391" spans="1:25">
      <c r="A391" s="3">
        <v>390</v>
      </c>
      <c r="B391" s="3" t="s">
        <v>1337</v>
      </c>
      <c r="C391" s="3" t="s">
        <v>287</v>
      </c>
      <c r="D391" s="3" t="s">
        <v>1321</v>
      </c>
      <c r="E391" s="3" t="s">
        <v>1322</v>
      </c>
      <c r="F391" s="3" t="s">
        <v>289</v>
      </c>
      <c r="G391" s="3" t="s">
        <v>35</v>
      </c>
      <c r="H391" s="3">
        <f>VALUE(MID(LEFT(Table1[[#This Row],[Unique ID]], FIND("/", Table1[[#This Row],[Unique ID]]) - 1), 2, LEN(Table1[[#This Row],[Unique ID]])))</f>
        <v>6</v>
      </c>
      <c r="I391" s="3" t="s">
        <v>76</v>
      </c>
      <c r="J391" s="3"/>
      <c r="K391" s="3" t="s">
        <v>160</v>
      </c>
      <c r="L391" s="12" t="s">
        <v>1375</v>
      </c>
      <c r="M391" s="24">
        <v>3000</v>
      </c>
      <c r="N391" s="12" t="s">
        <v>1375</v>
      </c>
      <c r="O391" s="41">
        <v>1</v>
      </c>
      <c r="P391" s="3" t="s">
        <v>160</v>
      </c>
      <c r="Q391" s="3">
        <v>2023</v>
      </c>
      <c r="R391" s="3"/>
      <c r="S391" s="3" t="s">
        <v>507</v>
      </c>
      <c r="T391" s="16">
        <v>45087</v>
      </c>
      <c r="U391" s="3"/>
      <c r="V391" s="4" t="s">
        <v>1239</v>
      </c>
      <c r="W391" s="3"/>
      <c r="X391" s="4" t="s">
        <v>1376</v>
      </c>
      <c r="Y391" s="4"/>
    </row>
    <row r="392" spans="1:25">
      <c r="A392" s="3">
        <v>391</v>
      </c>
      <c r="B392" s="3" t="s">
        <v>1337</v>
      </c>
      <c r="C392" s="3" t="s">
        <v>687</v>
      </c>
      <c r="D392" s="3" t="s">
        <v>688</v>
      </c>
      <c r="E392" s="3" t="s">
        <v>689</v>
      </c>
      <c r="F392" s="3" t="s">
        <v>690</v>
      </c>
      <c r="G392" s="3" t="s">
        <v>35</v>
      </c>
      <c r="H392" s="3">
        <f>VALUE(MID(LEFT(Table1[[#This Row],[Unique ID]], FIND("/", Table1[[#This Row],[Unique ID]]) - 1), 2, LEN(Table1[[#This Row],[Unique ID]])))</f>
        <v>2</v>
      </c>
      <c r="I392" s="3" t="s">
        <v>76</v>
      </c>
      <c r="J392" s="3"/>
      <c r="K392" s="3" t="s">
        <v>42</v>
      </c>
      <c r="L392" s="12" t="s">
        <v>1377</v>
      </c>
      <c r="M392" s="24"/>
      <c r="N392" s="12" t="s">
        <v>1378</v>
      </c>
      <c r="O392" s="41">
        <v>1</v>
      </c>
      <c r="P392" s="3" t="s">
        <v>42</v>
      </c>
      <c r="Q392" s="3">
        <v>2023</v>
      </c>
      <c r="R392" s="3"/>
      <c r="S392" s="3" t="s">
        <v>507</v>
      </c>
      <c r="T392" s="16">
        <v>45260</v>
      </c>
      <c r="U392" s="3"/>
      <c r="V392" s="4" t="s">
        <v>1239</v>
      </c>
      <c r="W392" s="3"/>
      <c r="X392" s="4" t="s">
        <v>1379</v>
      </c>
      <c r="Y392" s="4"/>
    </row>
    <row r="393" spans="1:25">
      <c r="A393" s="3">
        <v>392</v>
      </c>
      <c r="B393" s="3" t="s">
        <v>1337</v>
      </c>
      <c r="C393" s="17" t="s">
        <v>631</v>
      </c>
      <c r="D393" s="17" t="s">
        <v>632</v>
      </c>
      <c r="E393" s="17" t="s">
        <v>1380</v>
      </c>
      <c r="F393" s="17" t="s">
        <v>634</v>
      </c>
      <c r="G393" s="17" t="s">
        <v>61</v>
      </c>
      <c r="H393" s="17">
        <f>VALUE(MID(LEFT(Table1[[#This Row],[Unique ID]], FIND("/", Table1[[#This Row],[Unique ID]]) - 1), 2, LEN(Table1[[#This Row],[Unique ID]])))</f>
        <v>9</v>
      </c>
      <c r="I393" s="17" t="s">
        <v>589</v>
      </c>
      <c r="J393" s="17"/>
      <c r="K393" s="17" t="s">
        <v>178</v>
      </c>
      <c r="L393" s="19" t="s">
        <v>1381</v>
      </c>
      <c r="M393" s="26"/>
      <c r="N393" s="19"/>
      <c r="O393" s="42"/>
      <c r="P393" s="17"/>
      <c r="Q393" s="17">
        <v>2023</v>
      </c>
      <c r="R393" s="17"/>
      <c r="S393" s="17" t="s">
        <v>43</v>
      </c>
      <c r="T393" s="16"/>
      <c r="U393" s="17"/>
      <c r="V393" s="18" t="s">
        <v>1239</v>
      </c>
      <c r="W393" s="17"/>
      <c r="X393" s="18" t="s">
        <v>1382</v>
      </c>
      <c r="Y393" s="4"/>
    </row>
    <row r="394" spans="1:25">
      <c r="A394" s="3">
        <v>393</v>
      </c>
      <c r="B394" s="3" t="s">
        <v>1337</v>
      </c>
      <c r="C394" s="17" t="s">
        <v>321</v>
      </c>
      <c r="D394" s="17" t="s">
        <v>322</v>
      </c>
      <c r="E394" s="17"/>
      <c r="F394" s="17" t="s">
        <v>323</v>
      </c>
      <c r="G394" s="17" t="s">
        <v>61</v>
      </c>
      <c r="H394" s="17">
        <f>VALUE(MID(LEFT(Table1[[#This Row],[Unique ID]], FIND("/", Table1[[#This Row],[Unique ID]]) - 1), 2, LEN(Table1[[#This Row],[Unique ID]])))</f>
        <v>5</v>
      </c>
      <c r="I394" s="17" t="s">
        <v>229</v>
      </c>
      <c r="J394" s="17"/>
      <c r="K394" s="3" t="s">
        <v>62</v>
      </c>
      <c r="L394" s="3" t="s">
        <v>1383</v>
      </c>
      <c r="M394" s="3">
        <v>567005</v>
      </c>
      <c r="N394" s="3" t="s">
        <v>474</v>
      </c>
      <c r="O394" s="41">
        <v>60</v>
      </c>
      <c r="P394" s="3" t="s">
        <v>56</v>
      </c>
      <c r="Q394" s="3">
        <v>2023</v>
      </c>
      <c r="R394" s="3"/>
      <c r="S394" s="3" t="s">
        <v>507</v>
      </c>
      <c r="T394" s="16">
        <v>45047</v>
      </c>
      <c r="U394" s="3"/>
      <c r="V394" s="3"/>
      <c r="W394" s="3"/>
      <c r="X394" s="3"/>
      <c r="Y394" s="4"/>
    </row>
    <row r="395" spans="1:25">
      <c r="A395" s="3">
        <v>394</v>
      </c>
      <c r="B395" s="3" t="s">
        <v>1337</v>
      </c>
      <c r="C395" s="3" t="s">
        <v>303</v>
      </c>
      <c r="D395" s="3" t="s">
        <v>304</v>
      </c>
      <c r="E395" s="3"/>
      <c r="F395" s="3" t="s">
        <v>305</v>
      </c>
      <c r="G395" s="3" t="s">
        <v>35</v>
      </c>
      <c r="H395" s="3">
        <f>VALUE(MID(LEFT(Table1[[#This Row],[Unique ID]], FIND("/", Table1[[#This Row],[Unique ID]]) - 1), 2, LEN(Table1[[#This Row],[Unique ID]])))</f>
        <v>4</v>
      </c>
      <c r="I395" s="3" t="s">
        <v>76</v>
      </c>
      <c r="J395" s="3"/>
      <c r="K395" s="3" t="s">
        <v>56</v>
      </c>
      <c r="L395" s="3" t="s">
        <v>1384</v>
      </c>
      <c r="M395" s="3">
        <v>60000</v>
      </c>
      <c r="N395" s="3" t="s">
        <v>1385</v>
      </c>
      <c r="O395" s="41">
        <v>12</v>
      </c>
      <c r="P395" s="3" t="s">
        <v>56</v>
      </c>
      <c r="Q395" s="3">
        <v>2023</v>
      </c>
      <c r="R395" s="3"/>
      <c r="S395" s="3" t="s">
        <v>507</v>
      </c>
      <c r="T395" s="16">
        <v>45107</v>
      </c>
      <c r="U395" s="3" t="s">
        <v>1116</v>
      </c>
      <c r="V395" s="3"/>
      <c r="W395" s="3"/>
      <c r="X395" s="3" t="s">
        <v>1386</v>
      </c>
      <c r="Y395" s="4"/>
    </row>
    <row r="396" spans="1:25">
      <c r="A396" s="3">
        <v>395</v>
      </c>
      <c r="B396" s="3" t="s">
        <v>1337</v>
      </c>
      <c r="C396" s="3" t="s">
        <v>303</v>
      </c>
      <c r="D396" s="3" t="s">
        <v>304</v>
      </c>
      <c r="E396" s="3"/>
      <c r="F396" s="3" t="s">
        <v>305</v>
      </c>
      <c r="G396" s="3" t="s">
        <v>35</v>
      </c>
      <c r="H396" s="3">
        <f>VALUE(MID(LEFT(Table1[[#This Row],[Unique ID]], FIND("/", Table1[[#This Row],[Unique ID]]) - 1), 2, LEN(Table1[[#This Row],[Unique ID]])))</f>
        <v>4</v>
      </c>
      <c r="I396" s="3" t="s">
        <v>76</v>
      </c>
      <c r="J396" s="3"/>
      <c r="K396" s="3" t="s">
        <v>56</v>
      </c>
      <c r="L396" s="28" t="s">
        <v>1387</v>
      </c>
      <c r="M396" s="28">
        <v>35000</v>
      </c>
      <c r="N396" s="28" t="s">
        <v>224</v>
      </c>
      <c r="O396" s="41">
        <v>12</v>
      </c>
      <c r="P396" s="28" t="s">
        <v>56</v>
      </c>
      <c r="Q396" s="28">
        <v>2023</v>
      </c>
      <c r="R396" s="28"/>
      <c r="S396" s="3" t="s">
        <v>507</v>
      </c>
      <c r="T396" s="16">
        <v>45108</v>
      </c>
      <c r="U396" s="28" t="s">
        <v>1105</v>
      </c>
      <c r="V396" s="28"/>
      <c r="W396" s="3"/>
      <c r="X396" s="28"/>
      <c r="Y396" s="4"/>
    </row>
    <row r="397" spans="1:25">
      <c r="A397" s="3">
        <v>396</v>
      </c>
      <c r="B397" s="3" t="s">
        <v>1337</v>
      </c>
      <c r="C397" s="28" t="s">
        <v>394</v>
      </c>
      <c r="D397" s="28" t="s">
        <v>395</v>
      </c>
      <c r="E397" s="28" t="s">
        <v>396</v>
      </c>
      <c r="F397" s="28" t="s">
        <v>397</v>
      </c>
      <c r="G397" s="28" t="s">
        <v>61</v>
      </c>
      <c r="H397" s="28">
        <f>VALUE(MID(LEFT(Table1[[#This Row],[Unique ID]], FIND("/", Table1[[#This Row],[Unique ID]]) - 1), 2, LEN(Table1[[#This Row],[Unique ID]])))</f>
        <v>7</v>
      </c>
      <c r="I397" s="28" t="s">
        <v>93</v>
      </c>
      <c r="J397" s="28" t="s">
        <v>589</v>
      </c>
      <c r="K397" s="3" t="s">
        <v>42</v>
      </c>
      <c r="L397" s="28" t="s">
        <v>1388</v>
      </c>
      <c r="M397" s="28">
        <v>3000</v>
      </c>
      <c r="N397" s="28" t="s">
        <v>1389</v>
      </c>
      <c r="O397" s="41">
        <v>1</v>
      </c>
      <c r="P397" s="28" t="s">
        <v>42</v>
      </c>
      <c r="Q397" s="28">
        <v>2023</v>
      </c>
      <c r="R397" s="28"/>
      <c r="S397" s="3" t="s">
        <v>43</v>
      </c>
      <c r="T397" s="16" t="s">
        <v>1390</v>
      </c>
      <c r="U397" s="28"/>
      <c r="V397" s="28"/>
      <c r="W397" s="3"/>
      <c r="X397" s="28"/>
      <c r="Y397" s="4"/>
    </row>
    <row r="398" spans="1:25">
      <c r="A398" s="3">
        <v>397</v>
      </c>
      <c r="B398" s="3" t="s">
        <v>1391</v>
      </c>
      <c r="C398" s="28" t="s">
        <v>543</v>
      </c>
      <c r="D398" s="28" t="s">
        <v>544</v>
      </c>
      <c r="E398" s="28"/>
      <c r="F398" s="28" t="s">
        <v>545</v>
      </c>
      <c r="G398" s="28" t="s">
        <v>61</v>
      </c>
      <c r="H398" s="28">
        <f>VALUE(MID(LEFT(Table1[[#This Row],[Unique ID]], FIND("/", Table1[[#This Row],[Unique ID]]) - 1), 2, LEN(Table1[[#This Row],[Unique ID]])))</f>
        <v>8</v>
      </c>
      <c r="I398" s="28" t="s">
        <v>110</v>
      </c>
      <c r="J398" s="28" t="s">
        <v>589</v>
      </c>
      <c r="K398" s="3" t="s">
        <v>160</v>
      </c>
      <c r="L398" s="28"/>
      <c r="M398" s="28">
        <v>2500</v>
      </c>
      <c r="N398" s="28" t="s">
        <v>1392</v>
      </c>
      <c r="O398" s="41">
        <v>1</v>
      </c>
      <c r="P398" s="28" t="s">
        <v>160</v>
      </c>
      <c r="Q398" s="28">
        <v>2023</v>
      </c>
      <c r="R398" s="28"/>
      <c r="S398" s="3" t="s">
        <v>43</v>
      </c>
      <c r="T398" s="16" t="s">
        <v>1393</v>
      </c>
      <c r="U398" s="28"/>
      <c r="V398" s="28"/>
      <c r="W398" s="3"/>
      <c r="X398" s="28"/>
      <c r="Y398" s="4"/>
    </row>
    <row r="399" spans="1:25">
      <c r="A399" s="3">
        <v>398</v>
      </c>
      <c r="B399" s="3" t="s">
        <v>1391</v>
      </c>
      <c r="C399" s="28" t="s">
        <v>574</v>
      </c>
      <c r="D399" s="28" t="s">
        <v>575</v>
      </c>
      <c r="E399" s="28" t="s">
        <v>576</v>
      </c>
      <c r="F399" s="28" t="s">
        <v>577</v>
      </c>
      <c r="G399" s="28" t="s">
        <v>61</v>
      </c>
      <c r="H399" s="28">
        <f>VALUE(MID(LEFT(Table1[[#This Row],[Unique ID]], FIND("/", Table1[[#This Row],[Unique ID]]) - 1), 2, LEN(Table1[[#This Row],[Unique ID]])))</f>
        <v>8</v>
      </c>
      <c r="I399" s="28" t="s">
        <v>589</v>
      </c>
      <c r="J399" s="28" t="s">
        <v>589</v>
      </c>
      <c r="K399" s="3" t="s">
        <v>42</v>
      </c>
      <c r="L399" s="28" t="s">
        <v>1394</v>
      </c>
      <c r="M399" s="28">
        <v>1000</v>
      </c>
      <c r="N399" s="28" t="s">
        <v>1181</v>
      </c>
      <c r="O399" s="41">
        <v>1</v>
      </c>
      <c r="P399" s="28" t="s">
        <v>42</v>
      </c>
      <c r="Q399" s="28">
        <v>2023</v>
      </c>
      <c r="R399" s="28"/>
      <c r="S399" s="3" t="s">
        <v>43</v>
      </c>
      <c r="T399" s="16" t="s">
        <v>1395</v>
      </c>
      <c r="U399" s="28"/>
      <c r="V399" s="28"/>
      <c r="W399" s="3"/>
      <c r="X399" s="28"/>
      <c r="Y399" s="4"/>
    </row>
    <row r="400" spans="1:25">
      <c r="A400" s="3">
        <v>399</v>
      </c>
      <c r="B400" s="3" t="s">
        <v>1391</v>
      </c>
      <c r="C400" s="28" t="s">
        <v>664</v>
      </c>
      <c r="D400" s="28" t="s">
        <v>665</v>
      </c>
      <c r="E400" s="28" t="s">
        <v>666</v>
      </c>
      <c r="F400" s="28" t="s">
        <v>667</v>
      </c>
      <c r="G400" s="28" t="s">
        <v>61</v>
      </c>
      <c r="H400" s="28">
        <f>VALUE(MID(LEFT(Table1[[#This Row],[Unique ID]], FIND("/", Table1[[#This Row],[Unique ID]]) - 1), 2, LEN(Table1[[#This Row],[Unique ID]])))</f>
        <v>9</v>
      </c>
      <c r="I400" s="28" t="s">
        <v>36</v>
      </c>
      <c r="J400" s="28" t="s">
        <v>589</v>
      </c>
      <c r="K400" s="3" t="s">
        <v>56</v>
      </c>
      <c r="L400" s="28" t="s">
        <v>1396</v>
      </c>
      <c r="M400" s="28">
        <v>19998.5</v>
      </c>
      <c r="N400" s="28" t="s">
        <v>1397</v>
      </c>
      <c r="O400" s="41">
        <v>10</v>
      </c>
      <c r="P400" s="28" t="s">
        <v>56</v>
      </c>
      <c r="Q400" s="28">
        <v>2023</v>
      </c>
      <c r="R400" s="28"/>
      <c r="S400" s="3" t="s">
        <v>43</v>
      </c>
      <c r="T400" s="16">
        <v>44936</v>
      </c>
      <c r="U400" s="28" t="s">
        <v>1105</v>
      </c>
      <c r="V400" s="28" t="s">
        <v>1398</v>
      </c>
      <c r="W400" s="3"/>
      <c r="X400" s="28"/>
      <c r="Y400" s="4"/>
    </row>
    <row r="401" spans="1:25">
      <c r="A401" s="3">
        <v>400</v>
      </c>
      <c r="B401" s="3" t="s">
        <v>1391</v>
      </c>
      <c r="C401" s="28" t="s">
        <v>967</v>
      </c>
      <c r="D401" s="28" t="s">
        <v>968</v>
      </c>
      <c r="E401" s="28" t="s">
        <v>969</v>
      </c>
      <c r="F401" s="28" t="s">
        <v>970</v>
      </c>
      <c r="G401" s="28" t="s">
        <v>35</v>
      </c>
      <c r="H401" s="28">
        <f>VALUE(MID(LEFT(Table1[[#This Row],[Unique ID]], FIND("/", Table1[[#This Row],[Unique ID]]) - 1), 2, LEN(Table1[[#This Row],[Unique ID]])))</f>
        <v>10</v>
      </c>
      <c r="I401" s="28" t="s">
        <v>37</v>
      </c>
      <c r="J401" s="28" t="s">
        <v>37</v>
      </c>
      <c r="K401" s="3" t="s">
        <v>42</v>
      </c>
      <c r="L401" s="28" t="s">
        <v>1399</v>
      </c>
      <c r="M401" s="28">
        <v>820</v>
      </c>
      <c r="N401" s="28" t="s">
        <v>1400</v>
      </c>
      <c r="O401" s="41"/>
      <c r="P401" s="28" t="s">
        <v>42</v>
      </c>
      <c r="Q401" s="28">
        <v>2023</v>
      </c>
      <c r="R401" s="28"/>
      <c r="S401" s="3" t="s">
        <v>43</v>
      </c>
      <c r="T401" s="16">
        <v>45240</v>
      </c>
      <c r="U401" s="28"/>
      <c r="V401" s="28"/>
      <c r="W401" s="3"/>
      <c r="X401" s="28"/>
      <c r="Y401" s="4"/>
    </row>
    <row r="402" spans="1:25">
      <c r="A402" s="3">
        <v>401</v>
      </c>
      <c r="B402" s="3" t="s">
        <v>1391</v>
      </c>
      <c r="C402" s="28" t="s">
        <v>967</v>
      </c>
      <c r="D402" s="28" t="s">
        <v>968</v>
      </c>
      <c r="E402" s="28" t="s">
        <v>969</v>
      </c>
      <c r="F402" s="28" t="s">
        <v>970</v>
      </c>
      <c r="G402" s="28" t="s">
        <v>35</v>
      </c>
      <c r="H402" s="28">
        <f>VALUE(MID(LEFT(Table1[[#This Row],[Unique ID]], FIND("/", Table1[[#This Row],[Unique ID]]) - 1), 2, LEN(Table1[[#This Row],[Unique ID]])))</f>
        <v>10</v>
      </c>
      <c r="I402" s="28" t="s">
        <v>37</v>
      </c>
      <c r="J402" s="28" t="s">
        <v>37</v>
      </c>
      <c r="K402" s="3" t="s">
        <v>160</v>
      </c>
      <c r="L402" s="28" t="s">
        <v>1401</v>
      </c>
      <c r="M402" s="28"/>
      <c r="N402" s="28" t="s">
        <v>1402</v>
      </c>
      <c r="O402" s="41"/>
      <c r="P402" s="28" t="s">
        <v>160</v>
      </c>
      <c r="Q402" s="28">
        <v>2023</v>
      </c>
      <c r="R402" s="28"/>
      <c r="S402" s="3" t="s">
        <v>43</v>
      </c>
      <c r="T402" s="16" t="s">
        <v>1403</v>
      </c>
      <c r="U402" s="28"/>
      <c r="V402" s="28"/>
      <c r="W402" s="3"/>
      <c r="X402" s="28"/>
      <c r="Y402" s="4"/>
    </row>
    <row r="403" spans="1:25">
      <c r="A403" s="3">
        <v>402</v>
      </c>
      <c r="B403" s="3" t="s">
        <v>1391</v>
      </c>
      <c r="C403" s="28" t="s">
        <v>1132</v>
      </c>
      <c r="D403" s="28" t="s">
        <v>1133</v>
      </c>
      <c r="E403" s="28"/>
      <c r="F403" s="28" t="s">
        <v>1134</v>
      </c>
      <c r="G403" s="28" t="s">
        <v>61</v>
      </c>
      <c r="H403" s="28">
        <f>VALUE(MID(LEFT(Table1[[#This Row],[Unique ID]], FIND("/", Table1[[#This Row],[Unique ID]]) - 1), 2, LEN(Table1[[#This Row],[Unique ID]])))</f>
        <v>10</v>
      </c>
      <c r="I403" s="28" t="s">
        <v>589</v>
      </c>
      <c r="J403" s="28" t="s">
        <v>589</v>
      </c>
      <c r="K403" s="3" t="s">
        <v>50</v>
      </c>
      <c r="L403" s="28" t="s">
        <v>1404</v>
      </c>
      <c r="M403" s="28">
        <v>10000</v>
      </c>
      <c r="N403" s="28" t="s">
        <v>1405</v>
      </c>
      <c r="O403" s="41">
        <v>12</v>
      </c>
      <c r="P403" s="28" t="s">
        <v>53</v>
      </c>
      <c r="Q403" s="28">
        <v>2023</v>
      </c>
      <c r="R403" s="28"/>
      <c r="S403" s="3" t="s">
        <v>43</v>
      </c>
      <c r="T403" s="16">
        <v>44936</v>
      </c>
      <c r="U403" s="28"/>
      <c r="V403" s="28"/>
      <c r="W403" s="3"/>
      <c r="X403" s="28"/>
      <c r="Y403" s="4"/>
    </row>
    <row r="404" spans="1:25">
      <c r="A404" s="3">
        <v>403</v>
      </c>
      <c r="B404" s="3" t="s">
        <v>1391</v>
      </c>
      <c r="C404" s="28" t="s">
        <v>1358</v>
      </c>
      <c r="D404" s="28" t="s">
        <v>1359</v>
      </c>
      <c r="E404" s="28" t="s">
        <v>1360</v>
      </c>
      <c r="F404" s="28" t="s">
        <v>1361</v>
      </c>
      <c r="G404" s="28" t="s">
        <v>61</v>
      </c>
      <c r="H404" s="28">
        <f>VALUE(MID(LEFT(Table1[[#This Row],[Unique ID]], FIND("/", Table1[[#This Row],[Unique ID]]) - 1), 2, LEN(Table1[[#This Row],[Unique ID]])))</f>
        <v>10</v>
      </c>
      <c r="I404" s="28" t="s">
        <v>93</v>
      </c>
      <c r="J404" s="28" t="s">
        <v>589</v>
      </c>
      <c r="K404" s="3" t="s">
        <v>42</v>
      </c>
      <c r="L404" s="29" t="s">
        <v>1406</v>
      </c>
      <c r="M404" s="29">
        <v>100</v>
      </c>
      <c r="N404" s="29" t="s">
        <v>1407</v>
      </c>
      <c r="O404" s="41"/>
      <c r="P404" s="29" t="s">
        <v>42</v>
      </c>
      <c r="Q404" s="29">
        <v>2023</v>
      </c>
      <c r="R404" s="29"/>
      <c r="S404" s="3" t="s">
        <v>43</v>
      </c>
      <c r="T404" s="16"/>
      <c r="U404" s="29"/>
      <c r="V404" s="29"/>
      <c r="W404" s="3"/>
      <c r="X404" s="29"/>
      <c r="Y404" s="4"/>
    </row>
    <row r="405" spans="1:25">
      <c r="A405" s="3">
        <v>404</v>
      </c>
      <c r="B405" s="3" t="s">
        <v>1391</v>
      </c>
      <c r="C405" s="29" t="s">
        <v>885</v>
      </c>
      <c r="D405" s="29" t="s">
        <v>886</v>
      </c>
      <c r="E405" s="29"/>
      <c r="F405" s="29" t="s">
        <v>887</v>
      </c>
      <c r="G405" s="29" t="s">
        <v>61</v>
      </c>
      <c r="H405" s="29">
        <f>VALUE(MID(LEFT(Table1[[#This Row],[Unique ID]], FIND("/", Table1[[#This Row],[Unique ID]]) - 1), 2, LEN(Table1[[#This Row],[Unique ID]])))</f>
        <v>10</v>
      </c>
      <c r="I405" s="29" t="s">
        <v>110</v>
      </c>
      <c r="J405" s="29" t="s">
        <v>589</v>
      </c>
      <c r="K405" s="3" t="s">
        <v>160</v>
      </c>
      <c r="L405" s="3" t="s">
        <v>1408</v>
      </c>
      <c r="M405" s="3">
        <v>2000</v>
      </c>
      <c r="N405" s="3" t="s">
        <v>1286</v>
      </c>
      <c r="O405" s="41"/>
      <c r="P405" s="3" t="s">
        <v>160</v>
      </c>
      <c r="Q405" s="29">
        <v>2023</v>
      </c>
      <c r="R405" s="3"/>
      <c r="S405" s="3" t="s">
        <v>43</v>
      </c>
      <c r="T405" s="16">
        <v>45178</v>
      </c>
      <c r="U405" s="3"/>
      <c r="V405" s="3"/>
      <c r="W405" s="3"/>
      <c r="X405" s="3"/>
      <c r="Y405" s="4"/>
    </row>
    <row r="406" spans="1:25">
      <c r="A406" s="3">
        <v>405</v>
      </c>
      <c r="B406" s="3" t="s">
        <v>1391</v>
      </c>
      <c r="C406" s="28" t="s">
        <v>31</v>
      </c>
      <c r="D406" s="28" t="s">
        <v>32</v>
      </c>
      <c r="E406" s="28" t="s">
        <v>33</v>
      </c>
      <c r="F406" s="28" t="s">
        <v>34</v>
      </c>
      <c r="G406" s="28" t="s">
        <v>35</v>
      </c>
      <c r="H406" s="28">
        <f>VALUE(MID(LEFT(Table1[[#This Row],[Unique ID]], FIND("/", Table1[[#This Row],[Unique ID]]) - 1), 2, LEN(Table1[[#This Row],[Unique ID]])))</f>
        <v>4</v>
      </c>
      <c r="I406" s="28" t="s">
        <v>36</v>
      </c>
      <c r="J406" s="3"/>
      <c r="K406" s="3" t="s">
        <v>1409</v>
      </c>
      <c r="L406" s="29" t="s">
        <v>1410</v>
      </c>
      <c r="M406" s="3">
        <v>16533</v>
      </c>
      <c r="N406" s="3" t="s">
        <v>1411</v>
      </c>
      <c r="O406" s="43">
        <v>6</v>
      </c>
      <c r="P406" s="3" t="s">
        <v>53</v>
      </c>
      <c r="Q406" s="29">
        <v>2023</v>
      </c>
      <c r="R406" s="3"/>
      <c r="S406" s="3" t="s">
        <v>507</v>
      </c>
      <c r="T406" s="16">
        <v>44935</v>
      </c>
      <c r="U406" s="3"/>
      <c r="V406" s="3"/>
      <c r="W406" s="29"/>
      <c r="X406" s="3" t="s">
        <v>1412</v>
      </c>
      <c r="Y406" s="4"/>
    </row>
    <row r="407" spans="1:25">
      <c r="A407" s="3">
        <v>406</v>
      </c>
      <c r="B407" s="3" t="s">
        <v>1391</v>
      </c>
      <c r="C407" s="28" t="s">
        <v>711</v>
      </c>
      <c r="D407" s="28" t="s">
        <v>712</v>
      </c>
      <c r="E407" s="28" t="s">
        <v>713</v>
      </c>
      <c r="F407" s="28" t="s">
        <v>714</v>
      </c>
      <c r="G407" s="28" t="s">
        <v>61</v>
      </c>
      <c r="H407" s="28">
        <f>VALUE(MID(LEFT(Table1[[#This Row],[Unique ID]], FIND("/", Table1[[#This Row],[Unique ID]]) - 1), 2, LEN(Table1[[#This Row],[Unique ID]])))</f>
        <v>4</v>
      </c>
      <c r="I407" s="28" t="s">
        <v>86</v>
      </c>
      <c r="J407" s="3"/>
      <c r="K407" s="3" t="s">
        <v>42</v>
      </c>
      <c r="L407" s="29" t="s">
        <v>1413</v>
      </c>
      <c r="M407" s="3">
        <v>2000</v>
      </c>
      <c r="N407" s="3" t="s">
        <v>1414</v>
      </c>
      <c r="O407" s="43">
        <v>1</v>
      </c>
      <c r="P407" s="3" t="s">
        <v>42</v>
      </c>
      <c r="Q407" s="29">
        <v>2023</v>
      </c>
      <c r="R407" s="3"/>
      <c r="S407" s="3" t="s">
        <v>507</v>
      </c>
      <c r="T407" s="16" t="s">
        <v>1415</v>
      </c>
      <c r="U407" s="3"/>
      <c r="V407" s="3"/>
      <c r="W407" s="29"/>
      <c r="X407" s="3" t="s">
        <v>1416</v>
      </c>
      <c r="Y407" s="4"/>
    </row>
    <row r="408" spans="1:25">
      <c r="A408" s="3">
        <v>407</v>
      </c>
      <c r="B408" s="3" t="s">
        <v>1391</v>
      </c>
      <c r="C408" s="28" t="s">
        <v>1417</v>
      </c>
      <c r="D408" s="28" t="s">
        <v>1418</v>
      </c>
      <c r="E408" s="28" t="s">
        <v>1419</v>
      </c>
      <c r="F408" s="28" t="s">
        <v>1420</v>
      </c>
      <c r="G408" s="28" t="s">
        <v>35</v>
      </c>
      <c r="H408" s="28">
        <f>VALUE(MID(LEFT(Table1[[#This Row],[Unique ID]], FIND("/", Table1[[#This Row],[Unique ID]]) - 1), 2, LEN(Table1[[#This Row],[Unique ID]])))</f>
        <v>3</v>
      </c>
      <c r="I408" s="28" t="s">
        <v>229</v>
      </c>
      <c r="J408" s="3"/>
      <c r="K408" s="3" t="s">
        <v>56</v>
      </c>
      <c r="L408" s="29" t="s">
        <v>1421</v>
      </c>
      <c r="M408" s="3">
        <v>2000</v>
      </c>
      <c r="N408" s="3" t="s">
        <v>1422</v>
      </c>
      <c r="O408" s="43">
        <v>3</v>
      </c>
      <c r="P408" s="3" t="s">
        <v>56</v>
      </c>
      <c r="Q408" s="29">
        <v>2023</v>
      </c>
      <c r="R408" s="3"/>
      <c r="S408" s="3" t="s">
        <v>507</v>
      </c>
      <c r="T408" s="16">
        <v>44935</v>
      </c>
      <c r="U408" s="3" t="s">
        <v>1105</v>
      </c>
      <c r="V408" s="3"/>
      <c r="W408" s="29"/>
      <c r="X408" s="3" t="s">
        <v>1423</v>
      </c>
      <c r="Y408" s="4"/>
    </row>
    <row r="409" spans="1:25">
      <c r="A409" s="3">
        <v>408</v>
      </c>
      <c r="B409" s="3" t="s">
        <v>1391</v>
      </c>
      <c r="C409" s="28" t="s">
        <v>834</v>
      </c>
      <c r="D409" s="28" t="s">
        <v>835</v>
      </c>
      <c r="E409" s="28" t="s">
        <v>1042</v>
      </c>
      <c r="F409" s="28" t="s">
        <v>836</v>
      </c>
      <c r="G409" s="28" t="s">
        <v>35</v>
      </c>
      <c r="H409" s="28">
        <f>VALUE(MID(LEFT(Table1[[#This Row],[Unique ID]], FIND("/", Table1[[#This Row],[Unique ID]]) - 1), 2, LEN(Table1[[#This Row],[Unique ID]])))</f>
        <v>4</v>
      </c>
      <c r="I409" s="28" t="s">
        <v>589</v>
      </c>
      <c r="J409" s="3"/>
      <c r="K409" s="3" t="s">
        <v>56</v>
      </c>
      <c r="L409" s="29" t="s">
        <v>1424</v>
      </c>
      <c r="M409" s="3">
        <v>1100</v>
      </c>
      <c r="N409" s="3" t="s">
        <v>1425</v>
      </c>
      <c r="O409" s="43">
        <v>3</v>
      </c>
      <c r="P409" s="3" t="s">
        <v>56</v>
      </c>
      <c r="Q409" s="29">
        <v>2023</v>
      </c>
      <c r="R409" s="3"/>
      <c r="S409" s="3" t="s">
        <v>507</v>
      </c>
      <c r="T409" s="16">
        <v>44936</v>
      </c>
      <c r="U409" s="3" t="s">
        <v>178</v>
      </c>
      <c r="V409" s="3"/>
      <c r="W409" s="29"/>
      <c r="X409" s="3" t="s">
        <v>1426</v>
      </c>
      <c r="Y409" s="4"/>
    </row>
    <row r="410" spans="1:25">
      <c r="A410" s="3">
        <v>409</v>
      </c>
      <c r="B410" s="3" t="s">
        <v>1391</v>
      </c>
      <c r="C410" s="28" t="s">
        <v>489</v>
      </c>
      <c r="D410" s="28" t="s">
        <v>490</v>
      </c>
      <c r="E410" s="28" t="s">
        <v>1427</v>
      </c>
      <c r="F410" s="28" t="s">
        <v>492</v>
      </c>
      <c r="G410" s="28" t="s">
        <v>61</v>
      </c>
      <c r="H410" s="28">
        <f>VALUE(MID(LEFT(Table1[[#This Row],[Unique ID]], FIND("/", Table1[[#This Row],[Unique ID]]) - 1), 2, LEN(Table1[[#This Row],[Unique ID]])))</f>
        <v>6</v>
      </c>
      <c r="I410" s="28" t="s">
        <v>589</v>
      </c>
      <c r="J410" s="3"/>
      <c r="K410" s="3" t="s">
        <v>56</v>
      </c>
      <c r="L410" s="29" t="s">
        <v>1428</v>
      </c>
      <c r="M410" s="3">
        <v>11000</v>
      </c>
      <c r="N410" s="3" t="s">
        <v>1429</v>
      </c>
      <c r="O410" s="43">
        <v>24</v>
      </c>
      <c r="P410" s="3" t="s">
        <v>56</v>
      </c>
      <c r="Q410" s="29">
        <v>2023</v>
      </c>
      <c r="R410" s="3"/>
      <c r="S410" s="3" t="s">
        <v>507</v>
      </c>
      <c r="T410" s="16">
        <v>44992</v>
      </c>
      <c r="U410" s="3" t="s">
        <v>1105</v>
      </c>
      <c r="V410" s="3"/>
      <c r="W410" s="29"/>
      <c r="X410" s="3" t="s">
        <v>1430</v>
      </c>
      <c r="Y410" s="4"/>
    </row>
    <row r="411" spans="1:25">
      <c r="A411" s="3">
        <v>410</v>
      </c>
      <c r="B411" s="3" t="s">
        <v>1391</v>
      </c>
      <c r="C411" s="28" t="s">
        <v>89</v>
      </c>
      <c r="D411" s="28" t="s">
        <v>90</v>
      </c>
      <c r="E411" s="28" t="s">
        <v>91</v>
      </c>
      <c r="F411" s="28" t="s">
        <v>92</v>
      </c>
      <c r="G411" s="28" t="s">
        <v>61</v>
      </c>
      <c r="H411" s="28">
        <f>VALUE(MID(LEFT(Table1[[#This Row],[Unique ID]], FIND("/", Table1[[#This Row],[Unique ID]]) - 1), 2, LEN(Table1[[#This Row],[Unique ID]])))</f>
        <v>7</v>
      </c>
      <c r="I411" s="28" t="s">
        <v>93</v>
      </c>
      <c r="J411" s="3"/>
      <c r="K411" s="3" t="s">
        <v>160</v>
      </c>
      <c r="L411" s="29" t="s">
        <v>1431</v>
      </c>
      <c r="M411" s="3">
        <v>5000</v>
      </c>
      <c r="N411" s="3" t="s">
        <v>1432</v>
      </c>
      <c r="O411" s="43">
        <v>1</v>
      </c>
      <c r="P411" s="3" t="s">
        <v>160</v>
      </c>
      <c r="Q411" s="29">
        <v>2023</v>
      </c>
      <c r="R411" s="3"/>
      <c r="S411" s="3" t="s">
        <v>507</v>
      </c>
      <c r="T411" s="16" t="s">
        <v>1433</v>
      </c>
      <c r="U411" s="3"/>
      <c r="V411" s="3"/>
      <c r="W411" s="29"/>
      <c r="X411" s="3" t="s">
        <v>1434</v>
      </c>
      <c r="Y411" s="4"/>
    </row>
    <row r="412" spans="1:25">
      <c r="A412" s="3">
        <v>411</v>
      </c>
      <c r="B412" s="3" t="s">
        <v>1391</v>
      </c>
      <c r="C412" s="28" t="s">
        <v>469</v>
      </c>
      <c r="D412" s="28" t="s">
        <v>470</v>
      </c>
      <c r="E412" s="28" t="s">
        <v>471</v>
      </c>
      <c r="F412" s="28" t="s">
        <v>472</v>
      </c>
      <c r="G412" s="28" t="s">
        <v>61</v>
      </c>
      <c r="H412" s="28">
        <f>VALUE(MID(LEFT(Table1[[#This Row],[Unique ID]], FIND("/", Table1[[#This Row],[Unique ID]]) - 1), 2, LEN(Table1[[#This Row],[Unique ID]])))</f>
        <v>7</v>
      </c>
      <c r="I412" s="28" t="s">
        <v>36</v>
      </c>
      <c r="J412" s="3"/>
      <c r="K412" s="3" t="s">
        <v>160</v>
      </c>
      <c r="L412" s="29" t="s">
        <v>1435</v>
      </c>
      <c r="M412" s="3">
        <v>3000</v>
      </c>
      <c r="N412" s="3" t="s">
        <v>1436</v>
      </c>
      <c r="O412" s="43">
        <v>4</v>
      </c>
      <c r="P412" s="3" t="s">
        <v>160</v>
      </c>
      <c r="Q412" s="29">
        <v>2023</v>
      </c>
      <c r="R412" s="3"/>
      <c r="S412" s="3" t="s">
        <v>507</v>
      </c>
      <c r="T412" s="16">
        <v>44937</v>
      </c>
      <c r="U412" s="3"/>
      <c r="V412" s="3"/>
      <c r="W412" s="29"/>
      <c r="X412" s="3" t="s">
        <v>1437</v>
      </c>
      <c r="Y412" s="4"/>
    </row>
    <row r="413" spans="1:25">
      <c r="A413" s="3">
        <v>412</v>
      </c>
      <c r="B413" s="3" t="s">
        <v>1391</v>
      </c>
      <c r="C413" s="28" t="s">
        <v>287</v>
      </c>
      <c r="D413" s="28" t="s">
        <v>1321</v>
      </c>
      <c r="E413" s="28" t="s">
        <v>1322</v>
      </c>
      <c r="F413" s="28" t="s">
        <v>289</v>
      </c>
      <c r="G413" s="28" t="s">
        <v>35</v>
      </c>
      <c r="H413" s="28">
        <f>VALUE(MID(LEFT(Table1[[#This Row],[Unique ID]], FIND("/", Table1[[#This Row],[Unique ID]]) - 1), 2, LEN(Table1[[#This Row],[Unique ID]])))</f>
        <v>6</v>
      </c>
      <c r="I413" s="28" t="s">
        <v>76</v>
      </c>
      <c r="J413" s="3"/>
      <c r="K413" s="3" t="s">
        <v>56</v>
      </c>
      <c r="L413" s="29" t="s">
        <v>62</v>
      </c>
      <c r="M413" s="3">
        <v>889410</v>
      </c>
      <c r="N413" s="3" t="s">
        <v>1438</v>
      </c>
      <c r="O413" s="43">
        <v>36</v>
      </c>
      <c r="P413" s="3" t="s">
        <v>56</v>
      </c>
      <c r="Q413" s="29">
        <v>2023</v>
      </c>
      <c r="R413" s="3"/>
      <c r="S413" s="3" t="s">
        <v>507</v>
      </c>
      <c r="T413" s="16">
        <v>44932</v>
      </c>
      <c r="U413" s="3" t="s">
        <v>1116</v>
      </c>
      <c r="V413" s="3"/>
      <c r="W413" s="29"/>
      <c r="X413" s="3" t="s">
        <v>1439</v>
      </c>
      <c r="Y413" s="4"/>
    </row>
    <row r="414" spans="1:25">
      <c r="A414" s="3">
        <v>413</v>
      </c>
      <c r="B414" s="3" t="s">
        <v>1391</v>
      </c>
      <c r="C414" s="28" t="s">
        <v>249</v>
      </c>
      <c r="D414" s="28" t="s">
        <v>250</v>
      </c>
      <c r="E414" s="28" t="s">
        <v>251</v>
      </c>
      <c r="F414" s="28" t="s">
        <v>252</v>
      </c>
      <c r="G414" s="28" t="s">
        <v>61</v>
      </c>
      <c r="H414" s="28">
        <f>VALUE(MID(LEFT(Table1[[#This Row],[Unique ID]], FIND("/", Table1[[#This Row],[Unique ID]]) - 1), 2, LEN(Table1[[#This Row],[Unique ID]])))</f>
        <v>7</v>
      </c>
      <c r="I414" s="28" t="s">
        <v>36</v>
      </c>
      <c r="J414" s="3"/>
      <c r="K414" s="3" t="s">
        <v>160</v>
      </c>
      <c r="L414" s="29" t="s">
        <v>1440</v>
      </c>
      <c r="M414" s="3">
        <v>500</v>
      </c>
      <c r="N414" s="3" t="s">
        <v>1441</v>
      </c>
      <c r="O414" s="43"/>
      <c r="P414" s="3" t="s">
        <v>160</v>
      </c>
      <c r="Q414" s="29">
        <v>2023</v>
      </c>
      <c r="R414" s="3"/>
      <c r="S414" s="3" t="s">
        <v>507</v>
      </c>
      <c r="T414" s="16" t="s">
        <v>1442</v>
      </c>
      <c r="U414" s="3"/>
      <c r="V414" s="3"/>
      <c r="W414" s="29"/>
      <c r="X414" s="3" t="s">
        <v>1443</v>
      </c>
      <c r="Y414" s="4"/>
    </row>
    <row r="415" spans="1:25">
      <c r="A415" s="3">
        <v>414</v>
      </c>
      <c r="B415" s="3" t="s">
        <v>1391</v>
      </c>
      <c r="C415" s="28" t="s">
        <v>631</v>
      </c>
      <c r="D415" s="28" t="s">
        <v>632</v>
      </c>
      <c r="E415" s="28" t="s">
        <v>1380</v>
      </c>
      <c r="F415" s="28" t="s">
        <v>634</v>
      </c>
      <c r="G415" s="28" t="s">
        <v>61</v>
      </c>
      <c r="H415" s="28">
        <f>VALUE(MID(LEFT(Table1[[#This Row],[Unique ID]], FIND("/", Table1[[#This Row],[Unique ID]]) - 1), 2, LEN(Table1[[#This Row],[Unique ID]])))</f>
        <v>9</v>
      </c>
      <c r="I415" s="28" t="s">
        <v>589</v>
      </c>
      <c r="J415" s="3"/>
      <c r="K415" s="3" t="s">
        <v>42</v>
      </c>
      <c r="L415" s="29" t="s">
        <v>1444</v>
      </c>
      <c r="M415" s="3">
        <v>550</v>
      </c>
      <c r="N415" s="3" t="s">
        <v>1445</v>
      </c>
      <c r="O415" s="43"/>
      <c r="P415" s="3" t="s">
        <v>42</v>
      </c>
      <c r="Q415" s="29">
        <v>2023</v>
      </c>
      <c r="R415" s="3"/>
      <c r="S415" s="3" t="s">
        <v>507</v>
      </c>
      <c r="T415" s="16"/>
      <c r="U415" s="3"/>
      <c r="V415" s="3"/>
      <c r="W415" s="29"/>
      <c r="X415" s="3"/>
      <c r="Y415" s="4"/>
    </row>
    <row r="416" spans="1:25">
      <c r="A416" s="3">
        <v>415</v>
      </c>
      <c r="B416" s="3" t="s">
        <v>1391</v>
      </c>
      <c r="C416" s="28" t="s">
        <v>549</v>
      </c>
      <c r="D416" s="29" t="s">
        <v>550</v>
      </c>
      <c r="E416" s="29" t="s">
        <v>551</v>
      </c>
      <c r="F416" s="29" t="s">
        <v>552</v>
      </c>
      <c r="G416" s="29" t="s">
        <v>61</v>
      </c>
      <c r="H416" s="29">
        <f>VALUE(MID(LEFT(Table1[[#This Row],[Unique ID]], FIND("/", Table1[[#This Row],[Unique ID]]) - 1), 2, LEN(Table1[[#This Row],[Unique ID]])))</f>
        <v>8</v>
      </c>
      <c r="I416" s="29" t="s">
        <v>37</v>
      </c>
      <c r="J416" s="17"/>
      <c r="K416" s="17" t="s">
        <v>56</v>
      </c>
      <c r="L416" s="29" t="s">
        <v>1446</v>
      </c>
      <c r="M416" s="17">
        <v>188598</v>
      </c>
      <c r="N416" s="17" t="s">
        <v>308</v>
      </c>
      <c r="O416" s="43">
        <v>15</v>
      </c>
      <c r="P416" s="17" t="s">
        <v>56</v>
      </c>
      <c r="Q416" s="29">
        <v>2023</v>
      </c>
      <c r="R416" s="17"/>
      <c r="S416" s="3" t="s">
        <v>507</v>
      </c>
      <c r="T416" s="16" t="s">
        <v>1447</v>
      </c>
      <c r="U416" s="3" t="s">
        <v>1116</v>
      </c>
      <c r="V416" s="17"/>
      <c r="W416" s="29"/>
      <c r="X416" s="17" t="s">
        <v>1448</v>
      </c>
      <c r="Y416" s="4"/>
    </row>
    <row r="417" spans="1:25">
      <c r="A417" s="3">
        <v>416</v>
      </c>
      <c r="B417" s="3" t="s">
        <v>1449</v>
      </c>
      <c r="C417" s="3" t="s">
        <v>1043</v>
      </c>
      <c r="D417" s="3" t="s">
        <v>1450</v>
      </c>
      <c r="E417" s="3"/>
      <c r="F417" s="3" t="s">
        <v>1046</v>
      </c>
      <c r="G417" s="3" t="s">
        <v>35</v>
      </c>
      <c r="H417" s="3">
        <f>VALUE(MID(LEFT(Table1[[#This Row],[Unique ID]], FIND("/", Table1[[#This Row],[Unique ID]]) - 1), 2, LEN(Table1[[#This Row],[Unique ID]])))</f>
        <v>10</v>
      </c>
      <c r="I417" s="3" t="s">
        <v>110</v>
      </c>
      <c r="J417" s="3" t="s">
        <v>110</v>
      </c>
      <c r="K417" t="s">
        <v>56</v>
      </c>
      <c r="L417" s="29" t="s">
        <v>1451</v>
      </c>
      <c r="M417" s="3">
        <v>60000</v>
      </c>
      <c r="N417" s="3" t="s">
        <v>1452</v>
      </c>
      <c r="O417" s="41">
        <v>24</v>
      </c>
      <c r="P417" t="s">
        <v>56</v>
      </c>
      <c r="Q417" s="3">
        <v>2024</v>
      </c>
      <c r="R417" s="3"/>
      <c r="S417" s="3" t="s">
        <v>43</v>
      </c>
      <c r="T417" s="16">
        <v>45323</v>
      </c>
      <c r="U417" s="4" t="s">
        <v>1116</v>
      </c>
      <c r="V417" t="s">
        <v>1353</v>
      </c>
      <c r="W417" s="4"/>
      <c r="X417" s="4" t="s">
        <v>1271</v>
      </c>
      <c r="Y417" s="4"/>
    </row>
    <row r="418" spans="1:25">
      <c r="A418" s="3">
        <v>417</v>
      </c>
      <c r="B418" s="3" t="s">
        <v>1449</v>
      </c>
      <c r="C418" s="3" t="s">
        <v>879</v>
      </c>
      <c r="D418" s="3" t="s">
        <v>880</v>
      </c>
      <c r="E418" s="3" t="s">
        <v>881</v>
      </c>
      <c r="F418" s="3" t="s">
        <v>882</v>
      </c>
      <c r="G418" s="3" t="s">
        <v>61</v>
      </c>
      <c r="H418" s="3">
        <f>VALUE(MID(LEFT(Table1[[#This Row],[Unique ID]], FIND("/", Table1[[#This Row],[Unique ID]]) - 1), 2, LEN(Table1[[#This Row],[Unique ID]])))</f>
        <v>10</v>
      </c>
      <c r="I418" s="3" t="s">
        <v>86</v>
      </c>
      <c r="J418" s="3" t="s">
        <v>589</v>
      </c>
      <c r="K418" t="s">
        <v>56</v>
      </c>
      <c r="L418" s="29" t="s">
        <v>1453</v>
      </c>
      <c r="M418" s="3">
        <v>269582.59999999998</v>
      </c>
      <c r="N418" s="3" t="s">
        <v>1454</v>
      </c>
      <c r="O418" s="41">
        <v>12</v>
      </c>
      <c r="P418" t="s">
        <v>56</v>
      </c>
      <c r="Q418" s="3">
        <v>2024</v>
      </c>
      <c r="R418" s="3"/>
      <c r="S418" s="3" t="s">
        <v>43</v>
      </c>
      <c r="T418" s="16">
        <v>45323</v>
      </c>
      <c r="U418" s="4" t="s">
        <v>1105</v>
      </c>
      <c r="V418" t="s">
        <v>1455</v>
      </c>
      <c r="W418" s="4"/>
      <c r="X418" s="4" t="s">
        <v>1271</v>
      </c>
      <c r="Y418" s="4"/>
    </row>
    <row r="419" spans="1:25">
      <c r="A419" s="3">
        <v>418</v>
      </c>
      <c r="B419" s="3" t="s">
        <v>1449</v>
      </c>
      <c r="C419" s="17" t="s">
        <v>716</v>
      </c>
      <c r="D419" s="17" t="s">
        <v>717</v>
      </c>
      <c r="E419" s="17" t="s">
        <v>718</v>
      </c>
      <c r="F419" s="17" t="s">
        <v>719</v>
      </c>
      <c r="G419" s="17" t="s">
        <v>61</v>
      </c>
      <c r="H419" s="17">
        <f>VALUE(MID(LEFT(Table1[[#This Row],[Unique ID]], FIND("/", Table1[[#This Row],[Unique ID]]) - 1), 2, LEN(Table1[[#This Row],[Unique ID]])))</f>
        <v>3</v>
      </c>
      <c r="I419" s="17" t="s">
        <v>229</v>
      </c>
      <c r="J419" s="17"/>
      <c r="K419" s="17" t="s">
        <v>56</v>
      </c>
      <c r="L419" s="29" t="s">
        <v>1456</v>
      </c>
      <c r="M419" s="26">
        <v>699000</v>
      </c>
      <c r="N419" s="17" t="s">
        <v>474</v>
      </c>
      <c r="O419" s="42">
        <v>60</v>
      </c>
      <c r="P419" s="17" t="s">
        <v>56</v>
      </c>
      <c r="Q419" s="17">
        <v>2024</v>
      </c>
      <c r="R419" s="31" t="s">
        <v>1457</v>
      </c>
      <c r="S419" s="17" t="s">
        <v>507</v>
      </c>
      <c r="T419" s="16">
        <v>45383</v>
      </c>
      <c r="U419" s="4" t="s">
        <v>1105</v>
      </c>
      <c r="V419" s="4"/>
      <c r="W419" s="17"/>
      <c r="X419" s="18"/>
      <c r="Y419" s="4"/>
    </row>
    <row r="420" spans="1:25">
      <c r="A420" s="3">
        <v>419</v>
      </c>
      <c r="B420" s="3" t="s">
        <v>1449</v>
      </c>
      <c r="C420" s="28" t="s">
        <v>711</v>
      </c>
      <c r="D420" s="30" t="s">
        <v>712</v>
      </c>
      <c r="E420" s="30" t="s">
        <v>713</v>
      </c>
      <c r="F420" s="30" t="s">
        <v>714</v>
      </c>
      <c r="G420" s="30" t="s">
        <v>61</v>
      </c>
      <c r="H420" s="3">
        <f>VALUE(MID(LEFT(Table1[[#This Row],[Unique ID]], FIND("/", Table1[[#This Row],[Unique ID]]) - 1), 2, LEN(Table1[[#This Row],[Unique ID]])))</f>
        <v>4</v>
      </c>
      <c r="I420" s="28" t="s">
        <v>86</v>
      </c>
      <c r="J420" s="17"/>
      <c r="K420" s="28" t="s">
        <v>56</v>
      </c>
      <c r="L420" s="28" t="s">
        <v>1458</v>
      </c>
      <c r="M420" s="28">
        <v>2000</v>
      </c>
      <c r="N420" s="28" t="s">
        <v>283</v>
      </c>
      <c r="O420" s="44">
        <v>12</v>
      </c>
      <c r="P420" s="28" t="s">
        <v>56</v>
      </c>
      <c r="Q420" s="17">
        <v>2024</v>
      </c>
      <c r="R420" s="28" t="s">
        <v>1459</v>
      </c>
      <c r="S420" s="17" t="s">
        <v>507</v>
      </c>
      <c r="T420" s="16"/>
      <c r="U420" s="28" t="s">
        <v>1105</v>
      </c>
      <c r="V420" s="18"/>
      <c r="W420" s="17"/>
      <c r="X420" s="28" t="s">
        <v>1460</v>
      </c>
      <c r="Y420" s="4"/>
    </row>
    <row r="421" spans="1:25">
      <c r="A421" s="3">
        <v>420</v>
      </c>
      <c r="B421" s="3" t="s">
        <v>1449</v>
      </c>
      <c r="C421" s="31" t="s">
        <v>1417</v>
      </c>
      <c r="D421" s="32" t="s">
        <v>1418</v>
      </c>
      <c r="E421" s="32" t="s">
        <v>1419</v>
      </c>
      <c r="F421" s="32" t="s">
        <v>1420</v>
      </c>
      <c r="G421" s="32" t="s">
        <v>35</v>
      </c>
      <c r="H421" s="3">
        <f>VALUE(MID(LEFT(Table1[[#This Row],[Unique ID]], FIND("/", Table1[[#This Row],[Unique ID]]) - 1), 2, LEN(Table1[[#This Row],[Unique ID]])))</f>
        <v>3</v>
      </c>
      <c r="I421" s="31" t="s">
        <v>229</v>
      </c>
      <c r="J421" s="3"/>
      <c r="K421" s="31" t="s">
        <v>56</v>
      </c>
      <c r="L421" s="31" t="s">
        <v>1461</v>
      </c>
      <c r="M421" s="31">
        <v>19090</v>
      </c>
      <c r="N421" s="31" t="s">
        <v>1462</v>
      </c>
      <c r="O421" s="45">
        <v>11</v>
      </c>
      <c r="P421" s="31" t="s">
        <v>56</v>
      </c>
      <c r="Q421" s="17">
        <v>2024</v>
      </c>
      <c r="R421" s="31" t="s">
        <v>1463</v>
      </c>
      <c r="S421" s="17" t="s">
        <v>507</v>
      </c>
      <c r="T421" s="16">
        <v>45292</v>
      </c>
      <c r="U421" s="28" t="s">
        <v>1464</v>
      </c>
      <c r="V421" s="4"/>
      <c r="W421" s="3"/>
      <c r="X421" s="31" t="s">
        <v>1465</v>
      </c>
      <c r="Y421" s="4"/>
    </row>
    <row r="422" spans="1:25">
      <c r="A422" s="3">
        <v>421</v>
      </c>
      <c r="B422" s="3" t="s">
        <v>1449</v>
      </c>
      <c r="C422" s="31" t="s">
        <v>1466</v>
      </c>
      <c r="D422" s="32" t="s">
        <v>1467</v>
      </c>
      <c r="E422" s="32" t="s">
        <v>1468</v>
      </c>
      <c r="F422" s="32" t="s">
        <v>1469</v>
      </c>
      <c r="G422" s="32" t="s">
        <v>61</v>
      </c>
      <c r="H422" s="3">
        <f>VALUE(MID(LEFT(Table1[[#This Row],[Unique ID]], FIND("/", Table1[[#This Row],[Unique ID]]) - 1), 2, LEN(Table1[[#This Row],[Unique ID]])))</f>
        <v>4</v>
      </c>
      <c r="I422" s="31" t="s">
        <v>209</v>
      </c>
      <c r="J422" s="3"/>
      <c r="K422" s="31" t="s">
        <v>1470</v>
      </c>
      <c r="L422" s="31" t="s">
        <v>1471</v>
      </c>
      <c r="M422" s="31">
        <v>30000</v>
      </c>
      <c r="N422" s="31" t="s">
        <v>1472</v>
      </c>
      <c r="O422" s="45">
        <v>24</v>
      </c>
      <c r="P422" s="28" t="s">
        <v>53</v>
      </c>
      <c r="Q422" s="17">
        <v>2024</v>
      </c>
      <c r="R422" s="31" t="s">
        <v>1460</v>
      </c>
      <c r="S422" s="17" t="s">
        <v>507</v>
      </c>
      <c r="T422" s="16">
        <v>45294</v>
      </c>
      <c r="U422" s="31" t="s">
        <v>1460</v>
      </c>
      <c r="V422" s="4"/>
      <c r="W422" s="3"/>
      <c r="X422" s="31" t="s">
        <v>1473</v>
      </c>
      <c r="Y422" s="4"/>
    </row>
    <row r="423" spans="1:25">
      <c r="A423" s="3">
        <v>422</v>
      </c>
      <c r="B423" s="3" t="s">
        <v>1449</v>
      </c>
      <c r="C423" s="31" t="s">
        <v>278</v>
      </c>
      <c r="D423" s="32" t="s">
        <v>279</v>
      </c>
      <c r="E423" s="32" t="s">
        <v>280</v>
      </c>
      <c r="F423" s="32" t="s">
        <v>281</v>
      </c>
      <c r="G423" s="32" t="s">
        <v>61</v>
      </c>
      <c r="H423" s="3">
        <f>VALUE(MID(LEFT(Table1[[#This Row],[Unique ID]], FIND("/", Table1[[#This Row],[Unique ID]]) - 1), 2, LEN(Table1[[#This Row],[Unique ID]])))</f>
        <v>7</v>
      </c>
      <c r="I423" s="31" t="s">
        <v>86</v>
      </c>
      <c r="J423" s="3"/>
      <c r="K423" s="31" t="s">
        <v>56</v>
      </c>
      <c r="L423" s="31" t="s">
        <v>1474</v>
      </c>
      <c r="M423" s="31">
        <v>7500</v>
      </c>
      <c r="N423" s="31" t="s">
        <v>1475</v>
      </c>
      <c r="O423" s="45">
        <v>12</v>
      </c>
      <c r="P423" s="31" t="s">
        <v>56</v>
      </c>
      <c r="Q423" s="17">
        <v>2024</v>
      </c>
      <c r="R423" s="31" t="s">
        <v>1476</v>
      </c>
      <c r="S423" s="3" t="s">
        <v>507</v>
      </c>
      <c r="T423" s="16">
        <v>45389</v>
      </c>
      <c r="U423" s="31" t="s">
        <v>1105</v>
      </c>
      <c r="V423" s="4"/>
      <c r="W423" s="3"/>
      <c r="X423" s="31" t="s">
        <v>1477</v>
      </c>
      <c r="Y423" s="4"/>
    </row>
    <row r="424" spans="1:25">
      <c r="A424" s="3">
        <v>423</v>
      </c>
      <c r="B424" s="3" t="s">
        <v>1449</v>
      </c>
      <c r="C424" s="31" t="s">
        <v>560</v>
      </c>
      <c r="D424" s="32" t="s">
        <v>561</v>
      </c>
      <c r="E424" s="32" t="s">
        <v>562</v>
      </c>
      <c r="F424" s="32" t="s">
        <v>563</v>
      </c>
      <c r="G424" s="32" t="s">
        <v>61</v>
      </c>
      <c r="H424" s="17">
        <f>VALUE(MID(LEFT(Table1[[#This Row],[Unique ID]], FIND("/", Table1[[#This Row],[Unique ID]]) - 1), 2, LEN(Table1[[#This Row],[Unique ID]])))</f>
        <v>8</v>
      </c>
      <c r="I424" s="31" t="s">
        <v>37</v>
      </c>
      <c r="J424" s="3"/>
      <c r="K424" s="31" t="s">
        <v>56</v>
      </c>
      <c r="L424" s="31" t="s">
        <v>1478</v>
      </c>
      <c r="M424" s="31">
        <v>7000</v>
      </c>
      <c r="N424" s="31" t="s">
        <v>1479</v>
      </c>
      <c r="O424" s="45">
        <v>6</v>
      </c>
      <c r="P424" s="31" t="s">
        <v>56</v>
      </c>
      <c r="Q424" s="17">
        <v>2024</v>
      </c>
      <c r="R424" s="31" t="s">
        <v>1480</v>
      </c>
      <c r="S424" s="3" t="s">
        <v>507</v>
      </c>
      <c r="T424" s="16">
        <v>45293</v>
      </c>
      <c r="U424" s="31" t="s">
        <v>1105</v>
      </c>
      <c r="V424" s="4"/>
      <c r="W424" s="3"/>
      <c r="X424" s="31" t="s">
        <v>1481</v>
      </c>
      <c r="Y424" s="4"/>
    </row>
    <row r="425" spans="1:25">
      <c r="A425" s="3">
        <v>424</v>
      </c>
      <c r="B425" s="3" t="s">
        <v>1449</v>
      </c>
      <c r="C425" s="28" t="s">
        <v>1482</v>
      </c>
      <c r="D425" s="28" t="s">
        <v>1483</v>
      </c>
      <c r="E425" s="28" t="s">
        <v>1484</v>
      </c>
      <c r="F425" s="28" t="s">
        <v>1485</v>
      </c>
      <c r="G425" s="28" t="s">
        <v>61</v>
      </c>
      <c r="H425" s="3">
        <f>VALUE(MID(LEFT(Table1[[#This Row],[Unique ID]], FIND("/", Table1[[#This Row],[Unique ID]]) - 1), 2, LEN(Table1[[#This Row],[Unique ID]])))</f>
        <v>4</v>
      </c>
      <c r="I425" s="31" t="s">
        <v>229</v>
      </c>
      <c r="J425" s="3"/>
      <c r="K425" s="31" t="s">
        <v>56</v>
      </c>
      <c r="L425" s="31" t="s">
        <v>1486</v>
      </c>
      <c r="M425" s="31">
        <v>49990</v>
      </c>
      <c r="N425" s="31" t="s">
        <v>1487</v>
      </c>
      <c r="O425" s="45">
        <v>24</v>
      </c>
      <c r="P425" s="31" t="s">
        <v>56</v>
      </c>
      <c r="Q425" s="17">
        <v>2024</v>
      </c>
      <c r="R425" s="31" t="s">
        <v>1488</v>
      </c>
      <c r="S425" s="3" t="s">
        <v>507</v>
      </c>
      <c r="T425" s="16" t="s">
        <v>1489</v>
      </c>
      <c r="U425" s="31" t="s">
        <v>1116</v>
      </c>
      <c r="V425" s="4"/>
      <c r="W425" s="3"/>
      <c r="X425" s="31" t="s">
        <v>1460</v>
      </c>
      <c r="Y425" s="4"/>
    </row>
    <row r="426" spans="1:25">
      <c r="A426" s="3">
        <v>425</v>
      </c>
      <c r="B426" s="3" t="s">
        <v>1449</v>
      </c>
      <c r="C426" s="28" t="s">
        <v>631</v>
      </c>
      <c r="D426" s="28" t="s">
        <v>632</v>
      </c>
      <c r="E426" s="28" t="s">
        <v>1380</v>
      </c>
      <c r="F426" s="28" t="s">
        <v>634</v>
      </c>
      <c r="G426" s="28" t="s">
        <v>61</v>
      </c>
      <c r="H426" s="3">
        <f>VALUE(MID(LEFT(Table1[[#This Row],[Unique ID]], FIND("/", Table1[[#This Row],[Unique ID]]) - 1), 2, LEN(Table1[[#This Row],[Unique ID]])))</f>
        <v>9</v>
      </c>
      <c r="I426" s="31" t="s">
        <v>589</v>
      </c>
      <c r="J426" s="3"/>
      <c r="K426" s="31" t="s">
        <v>56</v>
      </c>
      <c r="L426" s="31" t="s">
        <v>1490</v>
      </c>
      <c r="M426" s="31">
        <v>12000</v>
      </c>
      <c r="N426" s="31" t="s">
        <v>1460</v>
      </c>
      <c r="O426" s="45">
        <v>12</v>
      </c>
      <c r="P426" s="31" t="s">
        <v>56</v>
      </c>
      <c r="Q426" s="17">
        <v>2024</v>
      </c>
      <c r="R426" s="31" t="s">
        <v>1491</v>
      </c>
      <c r="S426" s="3" t="s">
        <v>507</v>
      </c>
      <c r="T426" s="16">
        <v>45478</v>
      </c>
      <c r="U426" s="31" t="s">
        <v>1105</v>
      </c>
      <c r="V426" s="4"/>
      <c r="W426" s="3"/>
      <c r="X426" s="31" t="s">
        <v>1460</v>
      </c>
      <c r="Y426" s="4"/>
    </row>
    <row r="427" spans="1:25">
      <c r="A427" s="3">
        <v>426</v>
      </c>
      <c r="B427" s="3" t="s">
        <v>1449</v>
      </c>
      <c r="C427" s="28" t="s">
        <v>549</v>
      </c>
      <c r="D427" s="28" t="s">
        <v>550</v>
      </c>
      <c r="E427" s="28" t="s">
        <v>551</v>
      </c>
      <c r="F427" s="28" t="s">
        <v>552</v>
      </c>
      <c r="G427" s="28" t="s">
        <v>61</v>
      </c>
      <c r="H427" s="3">
        <f>VALUE(MID(LEFT(Table1[[#This Row],[Unique ID]], FIND("/", Table1[[#This Row],[Unique ID]]) - 1), 2, LEN(Table1[[#This Row],[Unique ID]])))</f>
        <v>8</v>
      </c>
      <c r="I427" s="31" t="s">
        <v>37</v>
      </c>
      <c r="J427" s="3"/>
      <c r="K427" s="31" t="s">
        <v>56</v>
      </c>
      <c r="L427" s="31" t="s">
        <v>1492</v>
      </c>
      <c r="M427" s="31">
        <v>6000</v>
      </c>
      <c r="N427" s="31" t="s">
        <v>1493</v>
      </c>
      <c r="O427" s="45">
        <v>6</v>
      </c>
      <c r="P427" s="31" t="s">
        <v>56</v>
      </c>
      <c r="Q427" s="17">
        <v>2024</v>
      </c>
      <c r="R427" s="31" t="s">
        <v>1494</v>
      </c>
      <c r="S427" s="3" t="s">
        <v>507</v>
      </c>
      <c r="T427" s="16">
        <v>45295</v>
      </c>
      <c r="U427" s="31" t="s">
        <v>1105</v>
      </c>
      <c r="V427" s="4"/>
      <c r="W427" s="3"/>
      <c r="X427" s="31" t="s">
        <v>1495</v>
      </c>
      <c r="Y427" s="4"/>
    </row>
    <row r="428" spans="1:25">
      <c r="A428" s="3">
        <v>427</v>
      </c>
      <c r="B428" s="3" t="s">
        <v>1449</v>
      </c>
      <c r="C428" s="28" t="s">
        <v>549</v>
      </c>
      <c r="D428" s="28" t="s">
        <v>550</v>
      </c>
      <c r="E428" s="28" t="s">
        <v>551</v>
      </c>
      <c r="F428" s="28" t="s">
        <v>552</v>
      </c>
      <c r="G428" s="28" t="s">
        <v>61</v>
      </c>
      <c r="H428" s="3">
        <f>VALUE(MID(LEFT(Table1[[#This Row],[Unique ID]], FIND("/", Table1[[#This Row],[Unique ID]]) - 1), 2, LEN(Table1[[#This Row],[Unique ID]])))</f>
        <v>8</v>
      </c>
      <c r="I428" s="31" t="s">
        <v>37</v>
      </c>
      <c r="J428" s="3"/>
      <c r="K428" s="31" t="s">
        <v>56</v>
      </c>
      <c r="L428" s="31" t="s">
        <v>1496</v>
      </c>
      <c r="M428" s="31">
        <v>1442000</v>
      </c>
      <c r="N428" s="31" t="s">
        <v>1497</v>
      </c>
      <c r="O428" s="45">
        <v>60</v>
      </c>
      <c r="P428" s="31" t="s">
        <v>56</v>
      </c>
      <c r="Q428" s="17">
        <v>2024</v>
      </c>
      <c r="R428" s="31" t="s">
        <v>1496</v>
      </c>
      <c r="S428" s="3" t="s">
        <v>507</v>
      </c>
      <c r="T428" s="16">
        <v>45293</v>
      </c>
      <c r="U428" s="31" t="s">
        <v>1116</v>
      </c>
      <c r="V428" s="4"/>
      <c r="W428" s="3"/>
      <c r="X428" s="31" t="s">
        <v>1498</v>
      </c>
      <c r="Y428" s="4"/>
    </row>
    <row r="429" spans="1:25">
      <c r="A429" s="3">
        <v>428</v>
      </c>
      <c r="B429" s="3" t="s">
        <v>1449</v>
      </c>
      <c r="C429" s="28" t="s">
        <v>664</v>
      </c>
      <c r="D429" s="28" t="s">
        <v>1499</v>
      </c>
      <c r="E429" s="28" t="s">
        <v>1500</v>
      </c>
      <c r="F429" s="28" t="s">
        <v>1501</v>
      </c>
      <c r="G429" s="28" t="s">
        <v>61</v>
      </c>
      <c r="H429" s="3">
        <f>VALUE(MID(LEFT(Table1[[#This Row],[Unique ID]], FIND("/", Table1[[#This Row],[Unique ID]]) - 1), 2, LEN(Table1[[#This Row],[Unique ID]])))</f>
        <v>9</v>
      </c>
      <c r="I429" s="31" t="s">
        <v>36</v>
      </c>
      <c r="J429" s="3"/>
      <c r="K429" s="31" t="s">
        <v>56</v>
      </c>
      <c r="L429" s="31" t="s">
        <v>1502</v>
      </c>
      <c r="M429" s="31">
        <v>19998.5</v>
      </c>
      <c r="N429" s="31" t="s">
        <v>1503</v>
      </c>
      <c r="O429" s="45">
        <v>9</v>
      </c>
      <c r="P429" s="31" t="s">
        <v>56</v>
      </c>
      <c r="Q429" s="17">
        <v>2024</v>
      </c>
      <c r="R429" s="28" t="s">
        <v>1504</v>
      </c>
      <c r="S429" s="3" t="s">
        <v>507</v>
      </c>
      <c r="T429" s="16">
        <v>45295</v>
      </c>
      <c r="U429" s="31" t="s">
        <v>1105</v>
      </c>
      <c r="V429" s="4"/>
      <c r="W429" s="3"/>
      <c r="X429" s="31" t="s">
        <v>1460</v>
      </c>
      <c r="Y429" s="4"/>
    </row>
    <row r="430" spans="1:25">
      <c r="A430" s="3">
        <v>429</v>
      </c>
      <c r="B430" s="3" t="s">
        <v>1449</v>
      </c>
      <c r="C430" s="28" t="s">
        <v>543</v>
      </c>
      <c r="D430" s="28" t="s">
        <v>544</v>
      </c>
      <c r="E430" s="28"/>
      <c r="F430" s="28" t="s">
        <v>545</v>
      </c>
      <c r="G430" s="28" t="s">
        <v>61</v>
      </c>
      <c r="H430" s="3">
        <f>VALUE(MID(LEFT(Table1[[#This Row],[Unique ID]], FIND("/", Table1[[#This Row],[Unique ID]]) - 1), 2, LEN(Table1[[#This Row],[Unique ID]])))</f>
        <v>8</v>
      </c>
      <c r="I430" s="31" t="s">
        <v>110</v>
      </c>
      <c r="J430" s="3" t="s">
        <v>589</v>
      </c>
      <c r="K430" s="31" t="s">
        <v>160</v>
      </c>
      <c r="L430" s="31" t="s">
        <v>1505</v>
      </c>
      <c r="M430" s="31">
        <v>2500</v>
      </c>
      <c r="N430" s="31" t="s">
        <v>1506</v>
      </c>
      <c r="O430" s="45">
        <v>1</v>
      </c>
      <c r="P430" s="31" t="s">
        <v>160</v>
      </c>
      <c r="Q430" s="17">
        <v>2024</v>
      </c>
      <c r="R430" s="3"/>
      <c r="S430" s="17" t="s">
        <v>43</v>
      </c>
      <c r="T430" s="16"/>
      <c r="U430" s="31"/>
      <c r="V430" s="4"/>
      <c r="W430" s="3"/>
      <c r="X430" s="31"/>
      <c r="Y430" s="4"/>
    </row>
    <row r="431" spans="1:25">
      <c r="A431" s="3">
        <v>430</v>
      </c>
      <c r="B431" s="3" t="s">
        <v>1449</v>
      </c>
      <c r="C431" s="28" t="s">
        <v>659</v>
      </c>
      <c r="D431" s="28" t="s">
        <v>660</v>
      </c>
      <c r="E431" s="28"/>
      <c r="F431" s="28" t="s">
        <v>662</v>
      </c>
      <c r="G431" s="28" t="s">
        <v>61</v>
      </c>
      <c r="H431" s="3">
        <f>VALUE(MID(LEFT(Table1[[#This Row],[Unique ID]], FIND("/", Table1[[#This Row],[Unique ID]]) - 1), 2, LEN(Table1[[#This Row],[Unique ID]])))</f>
        <v>9</v>
      </c>
      <c r="I431" s="31" t="s">
        <v>589</v>
      </c>
      <c r="J431" s="3" t="s">
        <v>589</v>
      </c>
      <c r="K431" s="31" t="s">
        <v>56</v>
      </c>
      <c r="L431" s="31" t="s">
        <v>1507</v>
      </c>
      <c r="M431" s="31">
        <v>5500</v>
      </c>
      <c r="N431" s="31" t="s">
        <v>1508</v>
      </c>
      <c r="O431" s="45">
        <v>24</v>
      </c>
      <c r="P431" s="31" t="s">
        <v>56</v>
      </c>
      <c r="Q431" s="17">
        <v>2024</v>
      </c>
      <c r="R431" s="3"/>
      <c r="S431" s="17" t="s">
        <v>43</v>
      </c>
      <c r="T431" s="16">
        <v>45297</v>
      </c>
      <c r="U431" s="31" t="s">
        <v>1105</v>
      </c>
      <c r="V431" s="4"/>
      <c r="W431" s="3"/>
      <c r="X431" s="31" t="s">
        <v>1509</v>
      </c>
      <c r="Y431" s="4"/>
    </row>
    <row r="432" spans="1:25">
      <c r="A432" s="3">
        <v>431</v>
      </c>
      <c r="B432" s="3" t="s">
        <v>1449</v>
      </c>
      <c r="C432" s="3" t="s">
        <v>321</v>
      </c>
      <c r="D432" s="3" t="s">
        <v>322</v>
      </c>
      <c r="E432" s="3"/>
      <c r="F432" s="3" t="s">
        <v>323</v>
      </c>
      <c r="G432" s="3" t="s">
        <v>61</v>
      </c>
      <c r="H432" s="3">
        <f>VALUE(MID(LEFT(Table1[[#This Row],[Unique ID]], FIND("/", Table1[[#This Row],[Unique ID]]) - 1), 2, LEN(Table1[[#This Row],[Unique ID]])))</f>
        <v>5</v>
      </c>
      <c r="I432" s="3" t="s">
        <v>229</v>
      </c>
      <c r="J432" s="3" t="s">
        <v>49</v>
      </c>
      <c r="K432" s="3" t="s">
        <v>56</v>
      </c>
      <c r="L432" s="3"/>
      <c r="M432" s="24">
        <v>100000</v>
      </c>
      <c r="N432" s="3" t="s">
        <v>1510</v>
      </c>
      <c r="O432" s="41">
        <v>24</v>
      </c>
      <c r="P432" s="3" t="s">
        <v>56</v>
      </c>
      <c r="Q432" s="3">
        <v>2024</v>
      </c>
      <c r="R432" s="3" t="s">
        <v>1511</v>
      </c>
      <c r="S432" s="3" t="s">
        <v>507</v>
      </c>
      <c r="T432" s="33">
        <v>45292</v>
      </c>
      <c r="U432" s="4" t="s">
        <v>1512</v>
      </c>
      <c r="V432" s="4"/>
      <c r="W432" s="3"/>
      <c r="X432" s="4"/>
      <c r="Y432" s="4"/>
    </row>
    <row r="433" spans="1:25">
      <c r="A433" s="3">
        <v>432</v>
      </c>
      <c r="B433" s="3" t="s">
        <v>1449</v>
      </c>
      <c r="C433" s="3" t="s">
        <v>1513</v>
      </c>
      <c r="D433" s="3" t="s">
        <v>1514</v>
      </c>
      <c r="E433" s="3"/>
      <c r="F433" s="3" t="s">
        <v>1515</v>
      </c>
      <c r="G433" s="3" t="s">
        <v>35</v>
      </c>
      <c r="H433" s="3">
        <f>VALUE(MID(LEFT(Table1[[#This Row],[Unique ID]], FIND("/", Table1[[#This Row],[Unique ID]]) - 1), 2, LEN(Table1[[#This Row],[Unique ID]])))</f>
        <v>8</v>
      </c>
      <c r="I433" s="3" t="s">
        <v>37</v>
      </c>
      <c r="J433" s="3"/>
      <c r="K433" s="3" t="s">
        <v>56</v>
      </c>
      <c r="L433" s="3"/>
      <c r="M433" s="24">
        <v>50000</v>
      </c>
      <c r="N433" s="3" t="s">
        <v>1516</v>
      </c>
      <c r="O433" s="41">
        <v>12</v>
      </c>
      <c r="P433" s="3" t="s">
        <v>56</v>
      </c>
      <c r="Q433" s="3">
        <v>2024</v>
      </c>
      <c r="R433" s="3" t="s">
        <v>1517</v>
      </c>
      <c r="S433" s="3" t="s">
        <v>507</v>
      </c>
      <c r="T433" s="33">
        <v>45481</v>
      </c>
      <c r="U433" s="4"/>
      <c r="V433" s="4"/>
      <c r="W433" s="3"/>
      <c r="X433" s="4"/>
      <c r="Y433" s="4"/>
    </row>
    <row r="434" spans="1:25">
      <c r="A434" s="3">
        <v>433</v>
      </c>
      <c r="B434" s="3" t="s">
        <v>1449</v>
      </c>
      <c r="C434" s="3" t="s">
        <v>442</v>
      </c>
      <c r="D434" s="3" t="s">
        <v>433</v>
      </c>
      <c r="E434" s="3" t="s">
        <v>435</v>
      </c>
      <c r="F434" s="3" t="s">
        <v>434</v>
      </c>
      <c r="G434" s="3" t="s">
        <v>35</v>
      </c>
      <c r="H434" s="3">
        <f>VALUE(MID(LEFT(Table1[[#This Row],[Unique ID]], FIND("/", Table1[[#This Row],[Unique ID]]) - 1), 2, LEN(Table1[[#This Row],[Unique ID]])))</f>
        <v>5</v>
      </c>
      <c r="I434" s="3" t="s">
        <v>86</v>
      </c>
      <c r="J434" s="3"/>
      <c r="K434" s="3" t="s">
        <v>56</v>
      </c>
      <c r="L434" s="3" t="s">
        <v>1518</v>
      </c>
      <c r="M434" s="24">
        <v>5000</v>
      </c>
      <c r="N434" s="3"/>
      <c r="O434" s="41">
        <v>12</v>
      </c>
      <c r="P434" s="3" t="s">
        <v>56</v>
      </c>
      <c r="Q434" s="3">
        <v>2024</v>
      </c>
      <c r="R434" s="3" t="s">
        <v>1519</v>
      </c>
      <c r="S434" s="3" t="s">
        <v>43</v>
      </c>
      <c r="T434" s="33"/>
      <c r="U434" s="4"/>
      <c r="V434" s="4"/>
      <c r="W434" s="3"/>
      <c r="X434" s="4"/>
      <c r="Y434" s="4"/>
    </row>
    <row r="435" spans="1:25">
      <c r="A435" s="3">
        <v>434</v>
      </c>
      <c r="B435" s="3" t="s">
        <v>1449</v>
      </c>
      <c r="C435" s="3" t="s">
        <v>1050</v>
      </c>
      <c r="D435" s="3" t="s">
        <v>1520</v>
      </c>
      <c r="E435" s="3"/>
      <c r="F435" s="3" t="s">
        <v>1051</v>
      </c>
      <c r="G435" s="3" t="s">
        <v>35</v>
      </c>
      <c r="H435" s="3">
        <f>VALUE(MID(LEFT(Table1[[#This Row],[Unique ID]], FIND("/", Table1[[#This Row],[Unique ID]]) - 1), 2, LEN(Table1[[#This Row],[Unique ID]])))</f>
        <v>10</v>
      </c>
      <c r="I435" s="3" t="s">
        <v>76</v>
      </c>
      <c r="J435" s="3"/>
      <c r="K435" s="3" t="s">
        <v>56</v>
      </c>
      <c r="L435" s="3"/>
      <c r="M435" s="24">
        <v>1400000</v>
      </c>
      <c r="N435" s="3"/>
      <c r="O435" s="41"/>
      <c r="P435" s="3" t="s">
        <v>56</v>
      </c>
      <c r="Q435" s="3">
        <v>2024</v>
      </c>
      <c r="R435" s="3" t="s">
        <v>1521</v>
      </c>
      <c r="S435" s="3" t="s">
        <v>507</v>
      </c>
      <c r="T435" s="33"/>
      <c r="U435" s="4"/>
      <c r="V435" s="4"/>
      <c r="W435" s="3"/>
      <c r="X435" s="4"/>
      <c r="Y435" s="4"/>
    </row>
    <row r="436" spans="1:25">
      <c r="A436" s="3">
        <v>435</v>
      </c>
      <c r="B436" s="3" t="s">
        <v>1449</v>
      </c>
      <c r="C436" s="3" t="s">
        <v>741</v>
      </c>
      <c r="D436" s="3" t="s">
        <v>742</v>
      </c>
      <c r="E436" s="3" t="s">
        <v>743</v>
      </c>
      <c r="F436" s="3" t="s">
        <v>744</v>
      </c>
      <c r="G436" s="3" t="s">
        <v>35</v>
      </c>
      <c r="H436" s="3">
        <f>VALUE(MID(LEFT(Table1[[#This Row],[Unique ID]], FIND("/", Table1[[#This Row],[Unique ID]]) - 1), 2, LEN(Table1[[#This Row],[Unique ID]])))</f>
        <v>3</v>
      </c>
      <c r="I436" s="3" t="s">
        <v>76</v>
      </c>
      <c r="J436" s="3"/>
      <c r="K436" s="3" t="s">
        <v>56</v>
      </c>
      <c r="L436" s="3" t="s">
        <v>1521</v>
      </c>
      <c r="M436" s="24">
        <v>200000</v>
      </c>
      <c r="N436" s="3" t="s">
        <v>1522</v>
      </c>
      <c r="O436" s="41">
        <v>24</v>
      </c>
      <c r="P436" s="3" t="s">
        <v>56</v>
      </c>
      <c r="Q436" s="3">
        <v>2024</v>
      </c>
      <c r="R436" s="3"/>
      <c r="S436" s="3" t="s">
        <v>507</v>
      </c>
      <c r="T436" s="33"/>
      <c r="U436" s="4" t="s">
        <v>1105</v>
      </c>
      <c r="V436" s="4"/>
      <c r="W436" s="3"/>
      <c r="X436" s="4"/>
      <c r="Y436" s="4"/>
    </row>
    <row r="437" spans="1:25">
      <c r="A437" s="3">
        <v>436</v>
      </c>
      <c r="B437" s="3" t="s">
        <v>1449</v>
      </c>
      <c r="C437" s="3" t="s">
        <v>741</v>
      </c>
      <c r="D437" s="3" t="s">
        <v>742</v>
      </c>
      <c r="E437" s="3" t="s">
        <v>743</v>
      </c>
      <c r="F437" s="3" t="s">
        <v>744</v>
      </c>
      <c r="G437" s="3" t="s">
        <v>35</v>
      </c>
      <c r="H437" s="3">
        <f>VALUE(MID(LEFT(Table1[[#This Row],[Unique ID]], FIND("/", Table1[[#This Row],[Unique ID]]) - 1), 2, LEN(Table1[[#This Row],[Unique ID]])))</f>
        <v>3</v>
      </c>
      <c r="I437" s="3" t="s">
        <v>76</v>
      </c>
      <c r="J437" s="3"/>
      <c r="K437" s="3" t="s">
        <v>56</v>
      </c>
      <c r="L437" s="3" t="s">
        <v>1523</v>
      </c>
      <c r="M437" s="38">
        <v>1600000</v>
      </c>
      <c r="N437" s="3" t="s">
        <v>854</v>
      </c>
      <c r="O437" s="41">
        <v>38</v>
      </c>
      <c r="P437" s="3" t="s">
        <v>56</v>
      </c>
      <c r="Q437" s="3">
        <v>2020</v>
      </c>
      <c r="R437" s="3"/>
      <c r="S437" s="3" t="s">
        <v>507</v>
      </c>
      <c r="T437" s="33"/>
      <c r="U437" s="4" t="s">
        <v>1105</v>
      </c>
      <c r="V437" s="4"/>
      <c r="W437" s="3"/>
      <c r="X437" s="4"/>
      <c r="Y437" s="4"/>
    </row>
    <row r="438" spans="1:25">
      <c r="A438" s="3">
        <v>437</v>
      </c>
      <c r="B438" s="3" t="s">
        <v>1449</v>
      </c>
      <c r="C438" s="3" t="s">
        <v>741</v>
      </c>
      <c r="D438" s="3" t="s">
        <v>742</v>
      </c>
      <c r="E438" s="3" t="s">
        <v>743</v>
      </c>
      <c r="F438" s="3" t="s">
        <v>744</v>
      </c>
      <c r="G438" s="3" t="s">
        <v>35</v>
      </c>
      <c r="H438" s="3">
        <f>VALUE(MID(LEFT(Table1[[#This Row],[Unique ID]], FIND("/", Table1[[#This Row],[Unique ID]]) - 1), 2, LEN(Table1[[#This Row],[Unique ID]])))</f>
        <v>3</v>
      </c>
      <c r="I438" s="3" t="s">
        <v>76</v>
      </c>
      <c r="J438" s="3"/>
      <c r="K438" s="3" t="s">
        <v>56</v>
      </c>
      <c r="L438" s="3" t="s">
        <v>1524</v>
      </c>
      <c r="M438" s="38">
        <v>100000</v>
      </c>
      <c r="N438" s="3" t="s">
        <v>891</v>
      </c>
      <c r="O438" s="41">
        <v>18</v>
      </c>
      <c r="P438" s="3" t="s">
        <v>56</v>
      </c>
      <c r="Q438" s="3">
        <v>2023</v>
      </c>
      <c r="R438" s="3"/>
      <c r="S438" s="3" t="s">
        <v>507</v>
      </c>
      <c r="T438" s="33"/>
      <c r="U438" s="4" t="s">
        <v>1105</v>
      </c>
      <c r="V438" s="4"/>
      <c r="W438" s="3"/>
      <c r="X438" s="4"/>
      <c r="Y438" s="4"/>
    </row>
    <row r="439" spans="1:25">
      <c r="A439" s="3">
        <v>438</v>
      </c>
      <c r="B439" s="3" t="s">
        <v>1449</v>
      </c>
      <c r="C439" s="3" t="s">
        <v>741</v>
      </c>
      <c r="D439" s="3" t="s">
        <v>742</v>
      </c>
      <c r="E439" s="3" t="s">
        <v>743</v>
      </c>
      <c r="F439" s="3" t="s">
        <v>744</v>
      </c>
      <c r="G439" s="3" t="s">
        <v>35</v>
      </c>
      <c r="H439" s="3">
        <f>VALUE(MID(LEFT(Table1[[#This Row],[Unique ID]], FIND("/", Table1[[#This Row],[Unique ID]]) - 1), 2, LEN(Table1[[#This Row],[Unique ID]])))</f>
        <v>3</v>
      </c>
      <c r="I439" s="3" t="s">
        <v>76</v>
      </c>
      <c r="J439" s="3"/>
      <c r="K439" s="3" t="s">
        <v>56</v>
      </c>
      <c r="L439" s="3" t="s">
        <v>1525</v>
      </c>
      <c r="M439" s="38">
        <v>1000000</v>
      </c>
      <c r="N439" s="3" t="s">
        <v>854</v>
      </c>
      <c r="O439" s="41">
        <v>24</v>
      </c>
      <c r="P439" s="3" t="s">
        <v>56</v>
      </c>
      <c r="Q439" s="3">
        <v>2023</v>
      </c>
      <c r="R439" s="3"/>
      <c r="S439" s="3" t="s">
        <v>507</v>
      </c>
      <c r="T439" s="33"/>
      <c r="U439" s="4" t="s">
        <v>1526</v>
      </c>
      <c r="V439" s="4"/>
      <c r="W439" s="3"/>
      <c r="X439" s="4"/>
      <c r="Y439" s="4"/>
    </row>
    <row r="440" spans="1:25">
      <c r="A440" s="3">
        <v>439</v>
      </c>
      <c r="B440" s="3" t="s">
        <v>1449</v>
      </c>
      <c r="C440" s="3" t="s">
        <v>741</v>
      </c>
      <c r="D440" s="3" t="s">
        <v>742</v>
      </c>
      <c r="E440" s="3" t="s">
        <v>743</v>
      </c>
      <c r="F440" s="3" t="s">
        <v>744</v>
      </c>
      <c r="G440" s="3" t="s">
        <v>35</v>
      </c>
      <c r="H440" s="3">
        <f>VALUE(MID(LEFT(Table1[[#This Row],[Unique ID]], FIND("/", Table1[[#This Row],[Unique ID]]) - 1), 2, LEN(Table1[[#This Row],[Unique ID]])))</f>
        <v>3</v>
      </c>
      <c r="I440" s="3" t="s">
        <v>76</v>
      </c>
      <c r="J440" s="3"/>
      <c r="K440" s="3" t="s">
        <v>56</v>
      </c>
      <c r="L440" s="3" t="s">
        <v>1527</v>
      </c>
      <c r="M440" s="38">
        <v>868808</v>
      </c>
      <c r="N440" s="3" t="s">
        <v>1528</v>
      </c>
      <c r="O440" s="41">
        <v>36</v>
      </c>
      <c r="P440" s="3" t="s">
        <v>56</v>
      </c>
      <c r="Q440" s="3">
        <v>2023</v>
      </c>
      <c r="R440" s="3"/>
      <c r="S440" s="3" t="s">
        <v>507</v>
      </c>
      <c r="T440" s="33"/>
      <c r="U440" s="4" t="s">
        <v>1526</v>
      </c>
      <c r="V440" s="4"/>
      <c r="W440" s="3"/>
      <c r="X440" s="4"/>
      <c r="Y440" s="4"/>
    </row>
    <row r="441" spans="1:25">
      <c r="A441" s="3">
        <v>440</v>
      </c>
      <c r="B441" s="3" t="s">
        <v>1449</v>
      </c>
      <c r="C441" s="3" t="s">
        <v>741</v>
      </c>
      <c r="D441" s="3" t="s">
        <v>742</v>
      </c>
      <c r="E441" s="3" t="s">
        <v>743</v>
      </c>
      <c r="F441" s="3" t="s">
        <v>744</v>
      </c>
      <c r="G441" s="3" t="s">
        <v>35</v>
      </c>
      <c r="H441" s="3">
        <f>VALUE(MID(LEFT(Table1[[#This Row],[Unique ID]], FIND("/", Table1[[#This Row],[Unique ID]]) - 1), 2, LEN(Table1[[#This Row],[Unique ID]])))</f>
        <v>3</v>
      </c>
      <c r="I441" s="3" t="s">
        <v>76</v>
      </c>
      <c r="J441" s="3"/>
      <c r="K441" s="3" t="s">
        <v>56</v>
      </c>
      <c r="L441" s="3" t="s">
        <v>1529</v>
      </c>
      <c r="M441" s="24">
        <v>1500000</v>
      </c>
      <c r="N441" s="3" t="s">
        <v>854</v>
      </c>
      <c r="O441" s="41">
        <v>45</v>
      </c>
      <c r="P441" s="3" t="s">
        <v>56</v>
      </c>
      <c r="Q441" s="3">
        <v>2020</v>
      </c>
      <c r="R441" s="3"/>
      <c r="S441" s="3" t="s">
        <v>507</v>
      </c>
      <c r="T441" s="33"/>
      <c r="U441" s="4" t="s">
        <v>1526</v>
      </c>
      <c r="V441" s="4"/>
      <c r="W441" s="3"/>
      <c r="X441" s="4"/>
      <c r="Y441" s="4"/>
    </row>
    <row r="442" spans="1:25">
      <c r="A442" s="3">
        <v>441</v>
      </c>
      <c r="B442" s="3" t="s">
        <v>1449</v>
      </c>
      <c r="C442" s="3" t="s">
        <v>741</v>
      </c>
      <c r="D442" s="3" t="s">
        <v>742</v>
      </c>
      <c r="E442" s="3" t="s">
        <v>743</v>
      </c>
      <c r="F442" s="3" t="s">
        <v>744</v>
      </c>
      <c r="G442" s="3" t="s">
        <v>35</v>
      </c>
      <c r="H442" s="3">
        <f>VALUE(MID(LEFT(Table1[[#This Row],[Unique ID]], FIND("/", Table1[[#This Row],[Unique ID]]) - 1), 2, LEN(Table1[[#This Row],[Unique ID]])))</f>
        <v>3</v>
      </c>
      <c r="I442" s="3" t="s">
        <v>76</v>
      </c>
      <c r="J442" s="3"/>
      <c r="K442" s="3" t="s">
        <v>56</v>
      </c>
      <c r="L442" s="3" t="s">
        <v>1530</v>
      </c>
      <c r="M442" s="24">
        <v>141317</v>
      </c>
      <c r="N442" s="3" t="s">
        <v>1531</v>
      </c>
      <c r="O442" s="41">
        <v>48</v>
      </c>
      <c r="P442" s="3" t="s">
        <v>56</v>
      </c>
      <c r="Q442" s="3">
        <v>2019</v>
      </c>
      <c r="R442" s="3"/>
      <c r="S442" s="3" t="s">
        <v>507</v>
      </c>
      <c r="T442" s="33"/>
      <c r="U442" s="4" t="s">
        <v>1105</v>
      </c>
      <c r="V442" s="4"/>
      <c r="W442" s="3"/>
      <c r="X442" s="4"/>
      <c r="Y442" s="4"/>
    </row>
    <row r="443" spans="1:25">
      <c r="A443" s="3">
        <v>442</v>
      </c>
      <c r="B443" s="17" t="s">
        <v>1449</v>
      </c>
      <c r="C443" s="17" t="s">
        <v>741</v>
      </c>
      <c r="D443" s="17" t="s">
        <v>742</v>
      </c>
      <c r="E443" s="17" t="s">
        <v>743</v>
      </c>
      <c r="F443" s="17" t="s">
        <v>744</v>
      </c>
      <c r="G443" s="17" t="s">
        <v>35</v>
      </c>
      <c r="H443" s="17">
        <f>VALUE(MID(LEFT(Table1[[#This Row],[Unique ID]], FIND("/", Table1[[#This Row],[Unique ID]]) - 1), 2, LEN(Table1[[#This Row],[Unique ID]])))</f>
        <v>3</v>
      </c>
      <c r="I443" s="17" t="s">
        <v>76</v>
      </c>
      <c r="J443" s="17"/>
      <c r="K443" s="17" t="s">
        <v>56</v>
      </c>
      <c r="L443" s="17" t="s">
        <v>1532</v>
      </c>
      <c r="M443" s="26">
        <v>108601</v>
      </c>
      <c r="N443" s="17" t="s">
        <v>1533</v>
      </c>
      <c r="O443" s="42">
        <v>12</v>
      </c>
      <c r="P443" s="17" t="s">
        <v>56</v>
      </c>
      <c r="Q443" s="17">
        <v>2016</v>
      </c>
      <c r="R443" s="17"/>
      <c r="S443" s="17" t="s">
        <v>507</v>
      </c>
      <c r="T443" s="39"/>
      <c r="U443" s="18" t="s">
        <v>1105</v>
      </c>
      <c r="V443" s="18"/>
      <c r="W443" s="17"/>
      <c r="X443" s="18"/>
      <c r="Y443" s="4"/>
    </row>
    <row r="444" spans="1:25">
      <c r="A444" s="3">
        <v>443</v>
      </c>
      <c r="B444" s="17" t="s">
        <v>1534</v>
      </c>
      <c r="C444" s="17" t="s">
        <v>269</v>
      </c>
      <c r="D444" s="17" t="s">
        <v>270</v>
      </c>
      <c r="E444" s="17" t="s">
        <v>271</v>
      </c>
      <c r="F444" s="17" t="s">
        <v>272</v>
      </c>
      <c r="G444" s="17" t="s">
        <v>61</v>
      </c>
      <c r="H444" s="17">
        <f>VALUE(MID(LEFT(Table1[[#This Row],[Unique ID]], FIND("/", Table1[[#This Row],[Unique ID]]) - 1), 2, LEN(Table1[[#This Row],[Unique ID]])))</f>
        <v>6</v>
      </c>
      <c r="I444" s="17" t="s">
        <v>49</v>
      </c>
      <c r="J444" s="17" t="s">
        <v>49</v>
      </c>
      <c r="K444" s="17" t="s">
        <v>62</v>
      </c>
      <c r="L444" s="17" t="s">
        <v>1535</v>
      </c>
      <c r="M444" s="26">
        <v>5228</v>
      </c>
      <c r="N444" s="17" t="s">
        <v>1536</v>
      </c>
      <c r="O444" s="42">
        <v>12</v>
      </c>
      <c r="P444" s="17" t="s">
        <v>56</v>
      </c>
      <c r="Q444" s="17">
        <v>2024</v>
      </c>
      <c r="R444" s="17"/>
      <c r="S444" s="17" t="s">
        <v>507</v>
      </c>
      <c r="T444" s="39"/>
      <c r="U444" s="18" t="s">
        <v>1105</v>
      </c>
      <c r="V444" s="18"/>
      <c r="W444" s="17"/>
      <c r="X444" s="18" t="s">
        <v>1537</v>
      </c>
      <c r="Y444" s="4"/>
    </row>
    <row r="445" spans="1:25">
      <c r="A445" s="3">
        <v>444</v>
      </c>
      <c r="B445" s="17" t="s">
        <v>1534</v>
      </c>
      <c r="C445" s="3" t="s">
        <v>646</v>
      </c>
      <c r="D445" s="3" t="s">
        <v>647</v>
      </c>
      <c r="E445" s="3" t="s">
        <v>648</v>
      </c>
      <c r="F445" s="3" t="s">
        <v>648</v>
      </c>
      <c r="G445" s="3" t="s">
        <v>35</v>
      </c>
      <c r="H445" s="3">
        <f>VALUE(MID(LEFT(Table1[[#This Row],[Unique ID]], FIND("/", Table1[[#This Row],[Unique ID]]) - 1), 2, LEN(Table1[[#This Row],[Unique ID]])))</f>
        <v>9</v>
      </c>
      <c r="I445" s="3" t="s">
        <v>76</v>
      </c>
      <c r="J445" s="3" t="s">
        <v>76</v>
      </c>
      <c r="K445" s="17" t="s">
        <v>62</v>
      </c>
      <c r="L445" s="17" t="s">
        <v>1538</v>
      </c>
      <c r="M445" s="26">
        <v>66179.839999999997</v>
      </c>
      <c r="N445" s="17" t="s">
        <v>1539</v>
      </c>
      <c r="O445" s="42"/>
      <c r="P445" s="17" t="s">
        <v>56</v>
      </c>
      <c r="Q445" s="17">
        <v>2024</v>
      </c>
      <c r="R445" s="17" t="s">
        <v>1540</v>
      </c>
      <c r="S445" s="17" t="s">
        <v>507</v>
      </c>
      <c r="T445" s="39"/>
      <c r="U445" s="18" t="s">
        <v>1541</v>
      </c>
      <c r="V445" s="18"/>
      <c r="W445" s="17"/>
      <c r="X445" s="18"/>
      <c r="Y445" s="4"/>
    </row>
    <row r="446" spans="1:25">
      <c r="A446" s="3">
        <v>445</v>
      </c>
      <c r="B446" s="17" t="s">
        <v>1534</v>
      </c>
      <c r="C446" s="3" t="s">
        <v>646</v>
      </c>
      <c r="D446" s="3" t="s">
        <v>647</v>
      </c>
      <c r="E446" s="3" t="s">
        <v>648</v>
      </c>
      <c r="F446" s="3" t="s">
        <v>648</v>
      </c>
      <c r="G446" s="3" t="s">
        <v>35</v>
      </c>
      <c r="H446" s="3">
        <f>VALUE(MID(LEFT(Table1[[#This Row],[Unique ID]], FIND("/", Table1[[#This Row],[Unique ID]]) - 1), 2, LEN(Table1[[#This Row],[Unique ID]])))</f>
        <v>9</v>
      </c>
      <c r="I446" s="3" t="s">
        <v>76</v>
      </c>
      <c r="J446" s="3" t="s">
        <v>76</v>
      </c>
      <c r="K446" s="17" t="s">
        <v>62</v>
      </c>
      <c r="L446" s="17"/>
      <c r="M446" s="26">
        <v>1390408.68</v>
      </c>
      <c r="N446" s="17" t="s">
        <v>1542</v>
      </c>
      <c r="O446" s="42">
        <v>36</v>
      </c>
      <c r="P446" s="17" t="s">
        <v>56</v>
      </c>
      <c r="Q446" s="17">
        <v>2024</v>
      </c>
      <c r="R446" s="17"/>
      <c r="S446" s="17" t="s">
        <v>507</v>
      </c>
      <c r="T446" s="39"/>
      <c r="U446" s="18" t="s">
        <v>1526</v>
      </c>
      <c r="V446" s="18"/>
      <c r="W446" s="17"/>
      <c r="X446" s="18" t="s">
        <v>1543</v>
      </c>
      <c r="Y446" s="4"/>
    </row>
    <row r="447" spans="1:25">
      <c r="A447" s="3">
        <v>446</v>
      </c>
      <c r="B447" s="17" t="s">
        <v>1534</v>
      </c>
      <c r="C447" s="3" t="s">
        <v>394</v>
      </c>
      <c r="D447" s="3" t="s">
        <v>395</v>
      </c>
      <c r="E447" s="3" t="s">
        <v>396</v>
      </c>
      <c r="F447" s="3" t="s">
        <v>397</v>
      </c>
      <c r="G447" s="3" t="s">
        <v>61</v>
      </c>
      <c r="H447" s="3">
        <f>VALUE(MID(LEFT(Table1[[#This Row],[Unique ID]], FIND("/", Table1[[#This Row],[Unique ID]]) - 1), 2, LEN(Table1[[#This Row],[Unique ID]])))</f>
        <v>7</v>
      </c>
      <c r="I447" s="3" t="s">
        <v>93</v>
      </c>
      <c r="J447" s="3" t="s">
        <v>589</v>
      </c>
      <c r="K447" s="3" t="s">
        <v>42</v>
      </c>
      <c r="L447" s="3" t="s">
        <v>1544</v>
      </c>
      <c r="M447" s="3">
        <v>2000</v>
      </c>
      <c r="N447" s="3" t="s">
        <v>1545</v>
      </c>
      <c r="O447" s="3">
        <v>1</v>
      </c>
      <c r="P447" s="3" t="s">
        <v>42</v>
      </c>
      <c r="Q447" s="17">
        <v>2024</v>
      </c>
      <c r="R447" s="17"/>
      <c r="S447" s="17" t="s">
        <v>43</v>
      </c>
      <c r="T447" s="14">
        <v>45510</v>
      </c>
      <c r="U447" s="3"/>
      <c r="V447" s="18"/>
      <c r="W447" s="17"/>
      <c r="X447" s="3"/>
      <c r="Y447" s="4"/>
    </row>
    <row r="448" spans="1:25">
      <c r="A448" s="3">
        <v>447</v>
      </c>
      <c r="B448" s="17" t="s">
        <v>1534</v>
      </c>
      <c r="C448" s="3" t="s">
        <v>394</v>
      </c>
      <c r="D448" s="3" t="s">
        <v>395</v>
      </c>
      <c r="E448" s="3" t="s">
        <v>396</v>
      </c>
      <c r="F448" s="3" t="s">
        <v>397</v>
      </c>
      <c r="G448" s="3" t="s">
        <v>61</v>
      </c>
      <c r="H448" s="3">
        <f>VALUE(MID(LEFT(Table1[[#This Row],[Unique ID]], FIND("/", Table1[[#This Row],[Unique ID]]) - 1), 2, LEN(Table1[[#This Row],[Unique ID]])))</f>
        <v>7</v>
      </c>
      <c r="I448" s="3" t="s">
        <v>93</v>
      </c>
      <c r="J448" s="3" t="s">
        <v>589</v>
      </c>
      <c r="K448" s="3" t="s">
        <v>56</v>
      </c>
      <c r="L448" s="3" t="s">
        <v>1546</v>
      </c>
      <c r="M448" s="3">
        <v>10000</v>
      </c>
      <c r="N448" s="3" t="s">
        <v>1547</v>
      </c>
      <c r="O448" s="3">
        <v>6</v>
      </c>
      <c r="P448" s="3" t="s">
        <v>56</v>
      </c>
      <c r="Q448" s="17">
        <v>2024</v>
      </c>
      <c r="R448" s="3"/>
      <c r="S448" s="17" t="s">
        <v>43</v>
      </c>
      <c r="T448" s="14">
        <v>45475</v>
      </c>
      <c r="U448" s="3" t="s">
        <v>1105</v>
      </c>
      <c r="V448" s="4"/>
      <c r="W448" s="3"/>
      <c r="X448" s="3" t="s">
        <v>1548</v>
      </c>
      <c r="Y448" s="4"/>
    </row>
    <row r="449" spans="1:25">
      <c r="A449" s="3">
        <v>448</v>
      </c>
      <c r="B449" s="17" t="s">
        <v>1534</v>
      </c>
      <c r="C449" s="3" t="s">
        <v>967</v>
      </c>
      <c r="D449" s="3" t="s">
        <v>968</v>
      </c>
      <c r="E449" s="3" t="s">
        <v>969</v>
      </c>
      <c r="F449" s="3" t="s">
        <v>970</v>
      </c>
      <c r="G449" s="3" t="s">
        <v>35</v>
      </c>
      <c r="H449" s="3">
        <f>VALUE(MID(LEFT(Table1[[#This Row],[Unique ID]], FIND("/", Table1[[#This Row],[Unique ID]]) - 1), 2, LEN(Table1[[#This Row],[Unique ID]])))</f>
        <v>10</v>
      </c>
      <c r="I449" s="3" t="s">
        <v>37</v>
      </c>
      <c r="J449" s="3" t="s">
        <v>37</v>
      </c>
      <c r="K449" s="3" t="s">
        <v>42</v>
      </c>
      <c r="L449" s="3" t="s">
        <v>1549</v>
      </c>
      <c r="M449" s="3"/>
      <c r="N449" s="3" t="s">
        <v>1402</v>
      </c>
      <c r="O449" s="3">
        <v>1</v>
      </c>
      <c r="P449" s="3" t="s">
        <v>42</v>
      </c>
      <c r="Q449" s="17">
        <v>2024</v>
      </c>
      <c r="R449" s="3"/>
      <c r="S449" s="17" t="s">
        <v>43</v>
      </c>
      <c r="T449" s="14">
        <v>45495</v>
      </c>
      <c r="U449" s="3"/>
      <c r="V449" s="4"/>
      <c r="W449" s="3"/>
      <c r="X449" s="3"/>
      <c r="Y449" s="4"/>
    </row>
    <row r="450" spans="1:25">
      <c r="A450" s="3">
        <v>449</v>
      </c>
      <c r="B450" s="17" t="s">
        <v>1534</v>
      </c>
      <c r="C450" s="3" t="s">
        <v>1550</v>
      </c>
      <c r="D450" s="3" t="s">
        <v>1551</v>
      </c>
      <c r="E450" s="3" t="s">
        <v>1552</v>
      </c>
      <c r="F450" s="3" t="s">
        <v>1553</v>
      </c>
      <c r="G450" s="3" t="s">
        <v>61</v>
      </c>
      <c r="H450" s="3">
        <f>VALUE(MID(LEFT(Table1[[#This Row],[Unique ID]], FIND("/", Table1[[#This Row],[Unique ID]]) - 1), 2, LEN(Table1[[#This Row],[Unique ID]])))</f>
        <v>10</v>
      </c>
      <c r="I450" s="3" t="s">
        <v>36</v>
      </c>
      <c r="J450" s="3" t="s">
        <v>36</v>
      </c>
      <c r="K450" s="3" t="s">
        <v>160</v>
      </c>
      <c r="L450" s="3" t="s">
        <v>1554</v>
      </c>
      <c r="M450" s="3">
        <v>200</v>
      </c>
      <c r="N450" s="3" t="s">
        <v>1555</v>
      </c>
      <c r="O450" s="3">
        <v>1</v>
      </c>
      <c r="P450" s="3" t="s">
        <v>160</v>
      </c>
      <c r="Q450" s="17">
        <v>2024</v>
      </c>
      <c r="R450" s="3"/>
      <c r="S450" s="17" t="s">
        <v>43</v>
      </c>
      <c r="T450" s="3"/>
      <c r="U450" s="3"/>
      <c r="V450" s="4"/>
      <c r="W450" s="3"/>
      <c r="X450" s="3"/>
      <c r="Y450" s="4"/>
    </row>
    <row r="451" spans="1:25">
      <c r="A451" s="3">
        <v>450</v>
      </c>
      <c r="B451" s="17" t="s">
        <v>1534</v>
      </c>
      <c r="C451" s="17" t="s">
        <v>879</v>
      </c>
      <c r="D451" s="17" t="s">
        <v>880</v>
      </c>
      <c r="E451" s="17" t="s">
        <v>881</v>
      </c>
      <c r="F451" s="17" t="s">
        <v>882</v>
      </c>
      <c r="G451" s="17" t="s">
        <v>61</v>
      </c>
      <c r="H451" s="17">
        <f>VALUE(MID(LEFT(Table1[[#This Row],[Unique ID]], FIND("/", Table1[[#This Row],[Unique ID]]) - 1), 2, LEN(Table1[[#This Row],[Unique ID]])))</f>
        <v>10</v>
      </c>
      <c r="I451" s="17" t="s">
        <v>86</v>
      </c>
      <c r="J451" s="17" t="s">
        <v>589</v>
      </c>
      <c r="K451" s="3" t="s">
        <v>56</v>
      </c>
      <c r="L451" s="3" t="s">
        <v>1453</v>
      </c>
      <c r="M451" s="3">
        <v>269582.59999999998</v>
      </c>
      <c r="N451" s="3" t="s">
        <v>1556</v>
      </c>
      <c r="O451" s="3">
        <v>12</v>
      </c>
      <c r="P451" s="3" t="s">
        <v>56</v>
      </c>
      <c r="Q451" s="17">
        <v>2024</v>
      </c>
      <c r="R451" s="17"/>
      <c r="S451" s="17" t="s">
        <v>43</v>
      </c>
      <c r="T451" s="14">
        <v>45323</v>
      </c>
      <c r="U451" s="3" t="s">
        <v>1105</v>
      </c>
      <c r="V451" s="18"/>
      <c r="W451" s="17"/>
      <c r="X451" s="3" t="s">
        <v>1557</v>
      </c>
      <c r="Y451" s="4"/>
    </row>
    <row r="452" spans="1:25">
      <c r="A452" s="3">
        <v>451</v>
      </c>
      <c r="B452" s="17" t="s">
        <v>1534</v>
      </c>
      <c r="C452" s="3" t="s">
        <v>711</v>
      </c>
      <c r="D452" s="3" t="s">
        <v>712</v>
      </c>
      <c r="E452" s="3" t="s">
        <v>713</v>
      </c>
      <c r="F452" s="3" t="s">
        <v>714</v>
      </c>
      <c r="G452" s="3" t="s">
        <v>61</v>
      </c>
      <c r="H452" s="3">
        <f>VALUE(MID(LEFT(Table1[[#This Row],[Unique ID]], FIND("/", Table1[[#This Row],[Unique ID]]) - 1), 2, LEN(Table1[[#This Row],[Unique ID]])))</f>
        <v>4</v>
      </c>
      <c r="I452" s="3" t="s">
        <v>86</v>
      </c>
      <c r="J452" s="3"/>
      <c r="K452" s="3" t="s">
        <v>56</v>
      </c>
      <c r="L452" s="3" t="s">
        <v>1458</v>
      </c>
      <c r="M452" s="3">
        <v>20000</v>
      </c>
      <c r="N452" s="3" t="s">
        <v>283</v>
      </c>
      <c r="O452" s="3">
        <v>24</v>
      </c>
      <c r="P452" s="3" t="s">
        <v>56</v>
      </c>
      <c r="Q452" s="3">
        <v>2024</v>
      </c>
      <c r="R452" s="3"/>
      <c r="S452" s="17" t="s">
        <v>507</v>
      </c>
      <c r="T452" s="14">
        <v>45444</v>
      </c>
      <c r="U452" s="3" t="s">
        <v>1116</v>
      </c>
      <c r="V452" s="4"/>
      <c r="W452" s="3"/>
      <c r="X452" s="3"/>
      <c r="Y452" s="4"/>
    </row>
    <row r="453" spans="1:25">
      <c r="A453" s="3">
        <v>452</v>
      </c>
      <c r="B453" s="17" t="s">
        <v>1534</v>
      </c>
      <c r="C453" s="3" t="s">
        <v>560</v>
      </c>
      <c r="D453" s="3" t="s">
        <v>561</v>
      </c>
      <c r="E453" s="3" t="s">
        <v>562</v>
      </c>
      <c r="F453" s="3" t="s">
        <v>563</v>
      </c>
      <c r="G453" s="3" t="s">
        <v>61</v>
      </c>
      <c r="H453" s="3">
        <f>VALUE(MID(LEFT(Table1[[#This Row],[Unique ID]], FIND("/", Table1[[#This Row],[Unique ID]]) - 1), 2, LEN(Table1[[#This Row],[Unique ID]])))</f>
        <v>8</v>
      </c>
      <c r="I453" s="3" t="s">
        <v>37</v>
      </c>
      <c r="J453" s="3"/>
      <c r="K453" s="3" t="s">
        <v>56</v>
      </c>
      <c r="L453" s="3" t="s">
        <v>1558</v>
      </c>
      <c r="M453" s="3">
        <v>36612</v>
      </c>
      <c r="N453" s="3" t="s">
        <v>1559</v>
      </c>
      <c r="O453" s="3">
        <v>12</v>
      </c>
      <c r="P453" s="3" t="s">
        <v>56</v>
      </c>
      <c r="Q453" s="3">
        <v>2024</v>
      </c>
      <c r="R453" s="3"/>
      <c r="S453" s="17" t="s">
        <v>507</v>
      </c>
      <c r="T453" s="14">
        <v>45597</v>
      </c>
      <c r="U453" s="3" t="s">
        <v>1116</v>
      </c>
      <c r="V453" s="4"/>
      <c r="W453" s="3"/>
      <c r="X453" s="3" t="s">
        <v>1560</v>
      </c>
      <c r="Y453" s="4"/>
    </row>
    <row r="454" spans="1:25">
      <c r="A454" s="3">
        <v>453</v>
      </c>
      <c r="B454" s="17" t="s">
        <v>1534</v>
      </c>
      <c r="C454" s="3" t="s">
        <v>1482</v>
      </c>
      <c r="D454" s="3" t="s">
        <v>1483</v>
      </c>
      <c r="E454" s="3" t="s">
        <v>1484</v>
      </c>
      <c r="F454" s="3" t="s">
        <v>1485</v>
      </c>
      <c r="G454" s="3" t="s">
        <v>61</v>
      </c>
      <c r="H454" s="3">
        <f>VALUE(MID(LEFT(Table1[[#This Row],[Unique ID]], FIND("/", Table1[[#This Row],[Unique ID]]) - 1), 2, LEN(Table1[[#This Row],[Unique ID]])))</f>
        <v>4</v>
      </c>
      <c r="I454" s="3" t="s">
        <v>229</v>
      </c>
      <c r="J454" s="3"/>
      <c r="K454" s="3" t="s">
        <v>56</v>
      </c>
      <c r="L454" s="3"/>
      <c r="M454" s="3"/>
      <c r="N454" s="3"/>
      <c r="O454" s="3"/>
      <c r="P454" s="3" t="s">
        <v>56</v>
      </c>
      <c r="Q454" s="3">
        <v>2024</v>
      </c>
      <c r="R454" s="3"/>
      <c r="S454" s="17" t="s">
        <v>507</v>
      </c>
      <c r="T454" s="3"/>
      <c r="U454" s="3" t="s">
        <v>1116</v>
      </c>
      <c r="V454" s="4"/>
      <c r="W454" s="3"/>
      <c r="X454" s="3"/>
      <c r="Y454" s="4"/>
    </row>
    <row r="455" spans="1:25">
      <c r="A455" s="3">
        <v>454</v>
      </c>
      <c r="B455" s="17" t="s">
        <v>1534</v>
      </c>
      <c r="C455" s="3" t="s">
        <v>1108</v>
      </c>
      <c r="D455" s="3" t="s">
        <v>1109</v>
      </c>
      <c r="E455" s="3" t="s">
        <v>1110</v>
      </c>
      <c r="F455" s="3" t="s">
        <v>1111</v>
      </c>
      <c r="G455" s="3" t="s">
        <v>35</v>
      </c>
      <c r="H455" s="3">
        <f>VALUE(MID(LEFT(Table1[[#This Row],[Unique ID]], FIND("/", Table1[[#This Row],[Unique ID]]) - 1), 2, LEN(Table1[[#This Row],[Unique ID]])))</f>
        <v>8</v>
      </c>
      <c r="I455" s="3" t="s">
        <v>86</v>
      </c>
      <c r="J455" s="3"/>
      <c r="K455" s="3" t="s">
        <v>56</v>
      </c>
      <c r="L455" s="3" t="s">
        <v>1561</v>
      </c>
      <c r="M455" s="3">
        <v>3000</v>
      </c>
      <c r="N455" s="3" t="s">
        <v>1562</v>
      </c>
      <c r="O455" s="3">
        <v>12</v>
      </c>
      <c r="P455" s="3" t="s">
        <v>56</v>
      </c>
      <c r="Q455" s="3">
        <v>2024</v>
      </c>
      <c r="R455" s="3"/>
      <c r="S455" s="17" t="s">
        <v>507</v>
      </c>
      <c r="T455" s="14">
        <v>45627</v>
      </c>
      <c r="U455" s="3" t="s">
        <v>1105</v>
      </c>
      <c r="V455" s="4"/>
      <c r="W455" s="3"/>
      <c r="X455" s="3" t="s">
        <v>1563</v>
      </c>
      <c r="Y455" s="4"/>
    </row>
    <row r="456" spans="1:25">
      <c r="A456" s="3">
        <v>455</v>
      </c>
      <c r="B456" s="17" t="s">
        <v>1534</v>
      </c>
      <c r="C456" s="3" t="s">
        <v>151</v>
      </c>
      <c r="D456" s="3" t="s">
        <v>1564</v>
      </c>
      <c r="E456" s="3" t="s">
        <v>1565</v>
      </c>
      <c r="F456" s="3" t="s">
        <v>1566</v>
      </c>
      <c r="G456" s="3" t="s">
        <v>61</v>
      </c>
      <c r="H456" s="3">
        <f>VALUE(MID(LEFT(Table1[[#This Row],[Unique ID]], FIND("/", Table1[[#This Row],[Unique ID]]) - 1), 2, LEN(Table1[[#This Row],[Unique ID]])))</f>
        <v>7</v>
      </c>
      <c r="I456" s="3" t="s">
        <v>36</v>
      </c>
      <c r="J456" s="3"/>
      <c r="K456" s="3" t="s">
        <v>42</v>
      </c>
      <c r="L456" s="3" t="s">
        <v>1567</v>
      </c>
      <c r="M456" s="3"/>
      <c r="N456" s="3" t="s">
        <v>1568</v>
      </c>
      <c r="O456" s="3"/>
      <c r="P456" s="3" t="s">
        <v>42</v>
      </c>
      <c r="Q456" s="3">
        <v>2024</v>
      </c>
      <c r="R456" s="3"/>
      <c r="S456" s="17" t="s">
        <v>507</v>
      </c>
      <c r="T456" s="14">
        <v>45629</v>
      </c>
      <c r="U456" s="3"/>
      <c r="V456" s="4"/>
      <c r="W456" s="3"/>
      <c r="X456" s="3" t="s">
        <v>1569</v>
      </c>
      <c r="Y456" s="4"/>
    </row>
    <row r="457" spans="1:25">
      <c r="A457" s="3">
        <v>456</v>
      </c>
      <c r="B457" s="17" t="s">
        <v>1534</v>
      </c>
      <c r="C457" s="3" t="s">
        <v>287</v>
      </c>
      <c r="D457" s="3" t="s">
        <v>1321</v>
      </c>
      <c r="E457" s="3" t="s">
        <v>1322</v>
      </c>
      <c r="F457" s="3" t="s">
        <v>289</v>
      </c>
      <c r="G457" s="3" t="s">
        <v>35</v>
      </c>
      <c r="H457" s="3">
        <f>VALUE(MID(LEFT(Table1[[#This Row],[Unique ID]], FIND("/", Table1[[#This Row],[Unique ID]]) - 1), 2, LEN(Table1[[#This Row],[Unique ID]])))</f>
        <v>6</v>
      </c>
      <c r="I457" s="3" t="s">
        <v>76</v>
      </c>
      <c r="J457" s="3"/>
      <c r="K457" s="3" t="s">
        <v>1570</v>
      </c>
      <c r="L457" s="3" t="s">
        <v>1571</v>
      </c>
      <c r="M457" s="3"/>
      <c r="N457" s="3" t="s">
        <v>1572</v>
      </c>
      <c r="O457" s="3">
        <v>12</v>
      </c>
      <c r="P457" s="3" t="s">
        <v>1570</v>
      </c>
      <c r="Q457" s="3">
        <v>2024</v>
      </c>
      <c r="R457" s="3"/>
      <c r="S457" s="17" t="s">
        <v>507</v>
      </c>
      <c r="T457" s="14">
        <v>45652</v>
      </c>
      <c r="U457" s="3"/>
      <c r="V457" s="4"/>
      <c r="W457" s="3"/>
      <c r="X457" s="3" t="s">
        <v>1573</v>
      </c>
      <c r="Y457" s="4"/>
    </row>
    <row r="458" spans="1:25">
      <c r="A458" s="3">
        <v>457</v>
      </c>
      <c r="B458" s="17" t="s">
        <v>1534</v>
      </c>
      <c r="C458" s="28" t="s">
        <v>565</v>
      </c>
      <c r="D458" s="3" t="s">
        <v>566</v>
      </c>
      <c r="E458" s="3" t="s">
        <v>202</v>
      </c>
      <c r="F458" s="3" t="s">
        <v>567</v>
      </c>
      <c r="G458" s="3" t="s">
        <v>61</v>
      </c>
      <c r="H458" s="3">
        <f>VALUE(MID(LEFT(Table1[[#This Row],[Unique ID]], FIND("/", Table1[[#This Row],[Unique ID]]) - 1), 2, LEN(Table1[[#This Row],[Unique ID]])))</f>
        <v>8</v>
      </c>
      <c r="I458" s="3" t="s">
        <v>86</v>
      </c>
      <c r="J458" s="3"/>
      <c r="K458" s="3" t="s">
        <v>1574</v>
      </c>
      <c r="L458" s="3" t="s">
        <v>1575</v>
      </c>
      <c r="M458" s="3">
        <v>19008</v>
      </c>
      <c r="N458" s="3" t="s">
        <v>1576</v>
      </c>
      <c r="O458" s="3">
        <v>6</v>
      </c>
      <c r="P458" s="3" t="s">
        <v>1574</v>
      </c>
      <c r="Q458" s="3">
        <v>2024</v>
      </c>
      <c r="R458" s="3"/>
      <c r="S458" s="17" t="s">
        <v>507</v>
      </c>
      <c r="T458" s="14">
        <v>45505</v>
      </c>
      <c r="U458" s="3"/>
      <c r="V458" s="4"/>
      <c r="W458" s="3"/>
      <c r="X458" s="3" t="s">
        <v>1577</v>
      </c>
      <c r="Y458" s="4"/>
    </row>
    <row r="459" spans="1:25">
      <c r="A459" s="3">
        <v>458</v>
      </c>
      <c r="B459" s="17" t="s">
        <v>1534</v>
      </c>
      <c r="C459" s="47" t="s">
        <v>1578</v>
      </c>
      <c r="D459" s="3" t="s">
        <v>1579</v>
      </c>
      <c r="E459" s="3" t="s">
        <v>1580</v>
      </c>
      <c r="F459" s="3" t="s">
        <v>1581</v>
      </c>
      <c r="G459" s="3" t="s">
        <v>61</v>
      </c>
      <c r="H459" s="3">
        <f>VALUE(MID(LEFT(Table1[[#This Row],[Unique ID]], FIND("/", Table1[[#This Row],[Unique ID]]) - 1), 2, LEN(Table1[[#This Row],[Unique ID]])))</f>
        <v>9</v>
      </c>
      <c r="I459" s="3" t="s">
        <v>86</v>
      </c>
      <c r="J459" s="3"/>
      <c r="K459" s="3" t="s">
        <v>42</v>
      </c>
      <c r="L459" s="3" t="s">
        <v>1582</v>
      </c>
      <c r="M459" s="3">
        <v>0</v>
      </c>
      <c r="N459" s="3" t="s">
        <v>1582</v>
      </c>
      <c r="O459" s="3">
        <v>10</v>
      </c>
      <c r="P459" s="3" t="s">
        <v>42</v>
      </c>
      <c r="Q459" s="3">
        <v>2024</v>
      </c>
      <c r="R459" s="3"/>
      <c r="S459" s="17" t="s">
        <v>507</v>
      </c>
      <c r="T459" s="3"/>
      <c r="U459" s="3"/>
      <c r="V459" s="4"/>
      <c r="W459" s="3"/>
      <c r="X459" s="3" t="s">
        <v>1582</v>
      </c>
      <c r="Y459" s="4"/>
    </row>
    <row r="460" spans="1:25">
      <c r="A460" s="3">
        <v>459</v>
      </c>
      <c r="B460" s="17" t="s">
        <v>1534</v>
      </c>
      <c r="C460" s="3" t="s">
        <v>625</v>
      </c>
      <c r="D460" s="3" t="s">
        <v>626</v>
      </c>
      <c r="E460" s="3" t="s">
        <v>627</v>
      </c>
      <c r="F460" s="3" t="s">
        <v>628</v>
      </c>
      <c r="G460" s="3" t="s">
        <v>35</v>
      </c>
      <c r="H460" s="3">
        <f>VALUE(MID(LEFT(Table1[[#This Row],[Unique ID]], FIND("/", Table1[[#This Row],[Unique ID]]) - 1), 2, LEN(Table1[[#This Row],[Unique ID]])))</f>
        <v>9</v>
      </c>
      <c r="I460" s="3" t="s">
        <v>86</v>
      </c>
      <c r="J460" s="3"/>
      <c r="K460" s="3" t="s">
        <v>56</v>
      </c>
      <c r="L460" s="3" t="s">
        <v>1583</v>
      </c>
      <c r="M460" s="3">
        <v>2500</v>
      </c>
      <c r="N460" s="3" t="s">
        <v>283</v>
      </c>
      <c r="O460" s="3">
        <v>12</v>
      </c>
      <c r="P460" s="3" t="s">
        <v>56</v>
      </c>
      <c r="Q460" s="3">
        <v>2024</v>
      </c>
      <c r="R460" s="3"/>
      <c r="S460" s="17" t="s">
        <v>507</v>
      </c>
      <c r="T460" s="14">
        <v>45505</v>
      </c>
      <c r="U460" s="3" t="s">
        <v>1105</v>
      </c>
      <c r="V460" s="4"/>
      <c r="W460" s="3"/>
      <c r="X460" s="3" t="s">
        <v>1584</v>
      </c>
      <c r="Y460" s="4"/>
    </row>
    <row r="461" spans="1:25">
      <c r="A461" s="3">
        <v>460</v>
      </c>
      <c r="B461" s="17" t="s">
        <v>1534</v>
      </c>
      <c r="C461" s="3" t="s">
        <v>955</v>
      </c>
      <c r="D461" s="3" t="s">
        <v>1585</v>
      </c>
      <c r="E461" s="3"/>
      <c r="F461" s="3" t="s">
        <v>957</v>
      </c>
      <c r="G461" s="3" t="s">
        <v>61</v>
      </c>
      <c r="H461" s="3">
        <f>VALUE(MID(LEFT(Table1[[#This Row],[Unique ID]], FIND("/", Table1[[#This Row],[Unique ID]]) - 1), 2, LEN(Table1[[#This Row],[Unique ID]])))</f>
        <v>9</v>
      </c>
      <c r="I461" s="3" t="s">
        <v>589</v>
      </c>
      <c r="J461" s="17"/>
      <c r="K461" s="3" t="s">
        <v>160</v>
      </c>
      <c r="L461" s="3" t="s">
        <v>1586</v>
      </c>
      <c r="M461" s="3">
        <v>388</v>
      </c>
      <c r="N461" s="3" t="s">
        <v>1587</v>
      </c>
      <c r="O461" s="3">
        <v>1</v>
      </c>
      <c r="P461" s="3" t="s">
        <v>160</v>
      </c>
      <c r="Q461" s="3">
        <v>2024</v>
      </c>
      <c r="R461" s="17"/>
      <c r="S461" s="17" t="s">
        <v>507</v>
      </c>
      <c r="T461" s="14">
        <v>45535</v>
      </c>
      <c r="U461" s="3"/>
      <c r="V461" s="18"/>
      <c r="W461" s="17"/>
      <c r="X461" s="3" t="s">
        <v>1588</v>
      </c>
      <c r="Y461" s="4"/>
    </row>
    <row r="462" spans="1:25">
      <c r="A462" s="3">
        <v>461</v>
      </c>
      <c r="B462" s="17" t="s">
        <v>1589</v>
      </c>
      <c r="C462" s="17" t="s">
        <v>1590</v>
      </c>
      <c r="D462" s="17" t="s">
        <v>1591</v>
      </c>
      <c r="E462" s="17"/>
      <c r="F462" s="17" t="s">
        <v>1592</v>
      </c>
      <c r="G462" s="17" t="s">
        <v>61</v>
      </c>
      <c r="H462" s="17">
        <f>VALUE(MID(LEFT(Table1[[#This Row],[Unique ID]], FIND("/", Table1[[#This Row],[Unique ID]]) - 1), 2, LEN(Table1[[#This Row],[Unique ID]])))</f>
        <v>1</v>
      </c>
      <c r="I462" s="17" t="s">
        <v>1593</v>
      </c>
      <c r="J462" s="17"/>
      <c r="K462" s="17" t="s">
        <v>62</v>
      </c>
      <c r="L462" s="17" t="s">
        <v>1594</v>
      </c>
      <c r="M462" s="26">
        <v>200000</v>
      </c>
      <c r="N462" s="17" t="s">
        <v>1595</v>
      </c>
      <c r="O462" s="42">
        <v>36</v>
      </c>
      <c r="P462" s="17" t="s">
        <v>56</v>
      </c>
      <c r="Q462" s="17">
        <v>2025</v>
      </c>
      <c r="R462" s="17" t="s">
        <v>1596</v>
      </c>
      <c r="S462" s="17" t="s">
        <v>507</v>
      </c>
      <c r="T462" s="39">
        <v>45649</v>
      </c>
      <c r="U462" s="18" t="s">
        <v>1105</v>
      </c>
      <c r="V462" s="18"/>
      <c r="W462" s="17"/>
      <c r="X462" s="18"/>
      <c r="Y462" s="4"/>
    </row>
    <row r="463" spans="1:25">
      <c r="A463" s="3">
        <v>462</v>
      </c>
      <c r="B463" s="17" t="s">
        <v>1534</v>
      </c>
      <c r="C463" s="17" t="s">
        <v>1174</v>
      </c>
      <c r="D463" s="17" t="s">
        <v>1175</v>
      </c>
      <c r="E463" s="17" t="s">
        <v>1176</v>
      </c>
      <c r="F463" s="17" t="s">
        <v>1177</v>
      </c>
      <c r="G463" s="17" t="s">
        <v>61</v>
      </c>
      <c r="H463" s="17">
        <f>VALUE(MID(LEFT(Table1[[#This Row],[Unique ID]], FIND("/", Table1[[#This Row],[Unique ID]]) - 1), 2, LEN(Table1[[#This Row],[Unique ID]])))</f>
        <v>8</v>
      </c>
      <c r="I463" s="17" t="s">
        <v>36</v>
      </c>
      <c r="J463" s="17" t="s">
        <v>36</v>
      </c>
      <c r="K463" s="17" t="s">
        <v>56</v>
      </c>
      <c r="L463" s="17" t="s">
        <v>1597</v>
      </c>
      <c r="M463" s="26">
        <v>15000</v>
      </c>
      <c r="N463" s="17" t="s">
        <v>1598</v>
      </c>
      <c r="O463" s="42">
        <v>12</v>
      </c>
      <c r="P463" s="17" t="s">
        <v>56</v>
      </c>
      <c r="Q463" s="17">
        <v>2024</v>
      </c>
      <c r="R463" s="17" t="s">
        <v>1599</v>
      </c>
      <c r="S463" s="17" t="s">
        <v>507</v>
      </c>
      <c r="T463" s="39">
        <v>45474</v>
      </c>
      <c r="U463" s="18" t="s">
        <v>1105</v>
      </c>
      <c r="V463" s="18"/>
      <c r="W463" s="17"/>
      <c r="X463" s="18"/>
      <c r="Y463" s="4"/>
    </row>
    <row r="464" spans="1:25">
      <c r="A464" s="3">
        <v>463</v>
      </c>
      <c r="B464" s="17" t="s">
        <v>1534</v>
      </c>
      <c r="C464" s="29" t="s">
        <v>549</v>
      </c>
      <c r="D464" s="29" t="s">
        <v>550</v>
      </c>
      <c r="E464" s="29" t="s">
        <v>551</v>
      </c>
      <c r="F464" s="29" t="s">
        <v>552</v>
      </c>
      <c r="G464" s="29" t="s">
        <v>61</v>
      </c>
      <c r="H464" s="17">
        <f>VALUE(MID(LEFT(Table1[[#This Row],[Unique ID]], FIND("/", Table1[[#This Row],[Unique ID]]) - 1), 2, LEN(Table1[[#This Row],[Unique ID]])))</f>
        <v>8</v>
      </c>
      <c r="I464" s="29" t="s">
        <v>37</v>
      </c>
      <c r="J464" s="17"/>
      <c r="K464" s="29" t="s">
        <v>56</v>
      </c>
      <c r="L464" s="17" t="s">
        <v>1600</v>
      </c>
      <c r="M464" s="24">
        <v>35700</v>
      </c>
      <c r="N464" s="17" t="s">
        <v>1601</v>
      </c>
      <c r="O464" s="3">
        <v>12</v>
      </c>
      <c r="P464" s="17" t="s">
        <v>56</v>
      </c>
      <c r="Q464" s="17">
        <v>2024</v>
      </c>
      <c r="R464" s="17" t="s">
        <v>1602</v>
      </c>
      <c r="S464" s="17" t="s">
        <v>507</v>
      </c>
      <c r="T464" s="39">
        <v>45597</v>
      </c>
      <c r="U464" s="18" t="s">
        <v>1105</v>
      </c>
      <c r="V464" s="18"/>
      <c r="W464" s="17"/>
      <c r="X464" s="18"/>
      <c r="Y464" s="4"/>
    </row>
    <row r="465" spans="1:25">
      <c r="A465" s="3">
        <v>464</v>
      </c>
      <c r="B465" s="17" t="s">
        <v>1589</v>
      </c>
      <c r="C465" s="3" t="s">
        <v>1603</v>
      </c>
      <c r="D465" s="3" t="s">
        <v>1604</v>
      </c>
      <c r="E465" s="3" t="s">
        <v>33</v>
      </c>
      <c r="F465" s="3" t="s">
        <v>1605</v>
      </c>
      <c r="G465" s="3" t="s">
        <v>35</v>
      </c>
      <c r="H465" s="3">
        <f>VALUE(MID(LEFT(Table1[[#This Row],[Unique ID]], FIND("/", Table1[[#This Row],[Unique ID]]) - 1), 2, LEN(Table1[[#This Row],[Unique ID]])))</f>
        <v>9</v>
      </c>
      <c r="I465" s="3" t="s">
        <v>209</v>
      </c>
      <c r="J465" s="3"/>
      <c r="K465" s="29" t="s">
        <v>56</v>
      </c>
      <c r="L465" s="3" t="s">
        <v>1606</v>
      </c>
      <c r="M465" s="26">
        <v>85000</v>
      </c>
      <c r="N465" s="3" t="s">
        <v>1607</v>
      </c>
      <c r="O465" s="41">
        <v>10</v>
      </c>
      <c r="P465" s="3" t="s">
        <v>876</v>
      </c>
      <c r="Q465" s="17">
        <v>2025</v>
      </c>
      <c r="R465" s="17" t="s">
        <v>1608</v>
      </c>
      <c r="S465" s="17" t="s">
        <v>507</v>
      </c>
      <c r="T465" s="33">
        <v>45658</v>
      </c>
      <c r="U465" s="4" t="s">
        <v>1609</v>
      </c>
      <c r="V465" s="4"/>
      <c r="W465" s="3"/>
      <c r="X465" s="4"/>
      <c r="Y465" s="4"/>
    </row>
    <row r="466" spans="1:25" ht="12.75" customHeight="1">
      <c r="A466" s="3">
        <v>465</v>
      </c>
      <c r="B466" s="17" t="s">
        <v>1589</v>
      </c>
      <c r="C466" s="17" t="s">
        <v>303</v>
      </c>
      <c r="D466" s="17" t="s">
        <v>304</v>
      </c>
      <c r="E466" s="17"/>
      <c r="F466" s="17" t="s">
        <v>305</v>
      </c>
      <c r="G466" s="17" t="s">
        <v>35</v>
      </c>
      <c r="H466" s="17">
        <f>VALUE(MID(LEFT(Table1[[#This Row],[Unique ID]], FIND("/", Table1[[#This Row],[Unique ID]]) - 1), 2, LEN(Table1[[#This Row],[Unique ID]])))</f>
        <v>4</v>
      </c>
      <c r="I466" s="17" t="s">
        <v>76</v>
      </c>
      <c r="J466" s="17"/>
      <c r="K466" s="29" t="s">
        <v>1610</v>
      </c>
      <c r="L466" s="3" t="s">
        <v>1611</v>
      </c>
      <c r="M466" s="27">
        <v>1000</v>
      </c>
      <c r="N466" s="17" t="s">
        <v>1612</v>
      </c>
      <c r="O466" s="3">
        <v>3</v>
      </c>
      <c r="P466" s="3" t="s">
        <v>42</v>
      </c>
      <c r="Q466" s="17">
        <v>2025</v>
      </c>
      <c r="R466" s="17"/>
      <c r="S466" s="17" t="s">
        <v>507</v>
      </c>
      <c r="T466" s="39">
        <v>45790</v>
      </c>
      <c r="U466" s="18"/>
      <c r="V466" s="18"/>
      <c r="W466" s="17"/>
      <c r="X466" s="18" t="s">
        <v>1613</v>
      </c>
      <c r="Y466" s="4"/>
    </row>
    <row r="467" spans="1:25">
      <c r="A467" s="3">
        <v>466</v>
      </c>
      <c r="B467" s="17" t="s">
        <v>1589</v>
      </c>
      <c r="C467" s="17" t="s">
        <v>303</v>
      </c>
      <c r="D467" s="17" t="s">
        <v>304</v>
      </c>
      <c r="E467" s="17"/>
      <c r="F467" s="17" t="s">
        <v>305</v>
      </c>
      <c r="G467" s="17" t="s">
        <v>35</v>
      </c>
      <c r="H467" s="17">
        <f>VALUE(MID(LEFT(Table1[[#This Row],[Unique ID]], FIND("/", Table1[[#This Row],[Unique ID]]) - 1), 2, LEN(Table1[[#This Row],[Unique ID]])))</f>
        <v>4</v>
      </c>
      <c r="I467" s="17" t="s">
        <v>76</v>
      </c>
      <c r="J467" s="17"/>
      <c r="K467" s="29" t="s">
        <v>56</v>
      </c>
      <c r="L467" s="3" t="s">
        <v>1614</v>
      </c>
      <c r="M467" s="27">
        <v>100000</v>
      </c>
      <c r="N467" s="17" t="s">
        <v>1615</v>
      </c>
      <c r="O467" s="42">
        <v>24</v>
      </c>
      <c r="P467" s="17" t="s">
        <v>56</v>
      </c>
      <c r="Q467" s="17">
        <v>2025</v>
      </c>
      <c r="R467" s="17" t="s">
        <v>1616</v>
      </c>
      <c r="S467" s="17" t="s">
        <v>507</v>
      </c>
      <c r="T467" s="39">
        <v>45677</v>
      </c>
      <c r="U467" s="3" t="s">
        <v>1116</v>
      </c>
      <c r="V467" s="18"/>
      <c r="W467" s="17"/>
      <c r="X467" s="18" t="s">
        <v>1617</v>
      </c>
      <c r="Y467" s="4"/>
    </row>
    <row r="468" spans="1:25">
      <c r="A468" s="3">
        <v>467</v>
      </c>
      <c r="B468" s="17" t="s">
        <v>1589</v>
      </c>
      <c r="C468" s="3" t="s">
        <v>347</v>
      </c>
      <c r="D468" s="3" t="s">
        <v>348</v>
      </c>
      <c r="E468" s="3" t="s">
        <v>349</v>
      </c>
      <c r="F468" s="3" t="s">
        <v>350</v>
      </c>
      <c r="G468" s="3" t="s">
        <v>35</v>
      </c>
      <c r="H468" s="3">
        <f>VALUE(MID(LEFT(Table1[[#This Row],[Unique ID]], FIND("/", Table1[[#This Row],[Unique ID]]) - 1), 2, LEN(Table1[[#This Row],[Unique ID]])))</f>
        <v>6</v>
      </c>
      <c r="I468" s="3" t="s">
        <v>36</v>
      </c>
      <c r="J468" s="3"/>
      <c r="K468" s="29" t="s">
        <v>56</v>
      </c>
      <c r="L468" s="3" t="s">
        <v>1618</v>
      </c>
      <c r="M468" s="26">
        <v>13425</v>
      </c>
      <c r="N468" s="17" t="s">
        <v>1619</v>
      </c>
      <c r="O468" s="42">
        <v>24</v>
      </c>
      <c r="P468" s="17" t="s">
        <v>56</v>
      </c>
      <c r="Q468" s="17">
        <v>2025</v>
      </c>
      <c r="R468" s="17" t="s">
        <v>1620</v>
      </c>
      <c r="S468" s="17" t="s">
        <v>507</v>
      </c>
      <c r="T468" s="39">
        <v>45870</v>
      </c>
      <c r="U468" s="3" t="s">
        <v>1116</v>
      </c>
      <c r="V468" s="18"/>
      <c r="W468" s="17"/>
      <c r="X468" s="18" t="s">
        <v>1621</v>
      </c>
      <c r="Y468" s="4"/>
    </row>
    <row r="469" spans="1:25">
      <c r="A469" s="3">
        <v>468</v>
      </c>
      <c r="B469" s="28" t="s">
        <v>1589</v>
      </c>
      <c r="C469" s="28" t="s">
        <v>89</v>
      </c>
      <c r="D469" s="28" t="s">
        <v>90</v>
      </c>
      <c r="E469" s="28" t="s">
        <v>91</v>
      </c>
      <c r="F469" s="28" t="s">
        <v>92</v>
      </c>
      <c r="G469" s="28" t="s">
        <v>61</v>
      </c>
      <c r="H469" s="28">
        <f>VALUE(MID(LEFT(Table1[[#This Row],[Unique ID]], FIND("/", Table1[[#This Row],[Unique ID]]) - 1), 2, LEN(Table1[[#This Row],[Unique ID]])))</f>
        <v>7</v>
      </c>
      <c r="I469" s="28" t="s">
        <v>93</v>
      </c>
      <c r="J469" s="17"/>
      <c r="K469" s="29" t="s">
        <v>56</v>
      </c>
      <c r="L469" s="3" t="s">
        <v>1622</v>
      </c>
      <c r="M469" s="26">
        <v>190000</v>
      </c>
      <c r="N469" s="17" t="s">
        <v>1619</v>
      </c>
      <c r="O469" s="42">
        <v>12</v>
      </c>
      <c r="P469" s="17" t="s">
        <v>56</v>
      </c>
      <c r="Q469" s="17">
        <v>2025</v>
      </c>
      <c r="R469" s="17" t="s">
        <v>1623</v>
      </c>
      <c r="S469" s="17" t="s">
        <v>507</v>
      </c>
      <c r="T469" s="39">
        <v>45685</v>
      </c>
      <c r="U469" s="3" t="s">
        <v>1105</v>
      </c>
      <c r="V469" s="18"/>
      <c r="W469" s="17"/>
      <c r="X469" s="18" t="s">
        <v>1624</v>
      </c>
      <c r="Y469" s="4"/>
    </row>
    <row r="470" spans="1:25">
      <c r="A470" s="3">
        <v>469</v>
      </c>
      <c r="B470" s="28" t="s">
        <v>1589</v>
      </c>
      <c r="C470" s="28" t="s">
        <v>1482</v>
      </c>
      <c r="D470" s="28" t="s">
        <v>1483</v>
      </c>
      <c r="E470" s="28" t="s">
        <v>1484</v>
      </c>
      <c r="F470" s="17" t="s">
        <v>1485</v>
      </c>
      <c r="G470" s="17" t="s">
        <v>61</v>
      </c>
      <c r="H470" s="17">
        <f>VALUE(MID(LEFT(Table1[[#This Row],[Unique ID]], FIND("/", Table1[[#This Row],[Unique ID]]) - 1), 2, LEN(Table1[[#This Row],[Unique ID]])))</f>
        <v>4</v>
      </c>
      <c r="I470" s="17" t="s">
        <v>229</v>
      </c>
      <c r="J470" s="17"/>
      <c r="K470" s="29" t="s">
        <v>56</v>
      </c>
      <c r="L470" s="17" t="s">
        <v>1625</v>
      </c>
      <c r="M470" s="26">
        <v>22000</v>
      </c>
      <c r="N470" s="17" t="s">
        <v>1626</v>
      </c>
      <c r="O470" s="42">
        <v>24</v>
      </c>
      <c r="P470" s="17" t="s">
        <v>56</v>
      </c>
      <c r="Q470" s="17">
        <v>2025</v>
      </c>
      <c r="R470" s="17" t="s">
        <v>1627</v>
      </c>
      <c r="S470" s="17" t="s">
        <v>507</v>
      </c>
      <c r="T470" s="39">
        <v>45798</v>
      </c>
      <c r="U470" s="3" t="s">
        <v>1105</v>
      </c>
      <c r="V470" s="18"/>
      <c r="W470" s="17"/>
      <c r="X470" s="18" t="s">
        <v>1628</v>
      </c>
      <c r="Y470" s="4"/>
    </row>
    <row r="471" spans="1:25">
      <c r="A471" s="3">
        <v>470</v>
      </c>
      <c r="B471" s="28" t="s">
        <v>1589</v>
      </c>
      <c r="C471" s="28" t="s">
        <v>1629</v>
      </c>
      <c r="D471" s="28" t="s">
        <v>1630</v>
      </c>
      <c r="E471" s="28" t="s">
        <v>1631</v>
      </c>
      <c r="F471" s="55" t="s">
        <v>1632</v>
      </c>
      <c r="G471" s="17" t="s">
        <v>61</v>
      </c>
      <c r="H471" s="17">
        <f>VALUE(MID(LEFT(Table1[[#This Row],[Unique ID]], FIND("/", Table1[[#This Row],[Unique ID]]) - 1), 2, LEN(Table1[[#This Row],[Unique ID]])))</f>
        <v>9</v>
      </c>
      <c r="I471" s="17" t="s">
        <v>36</v>
      </c>
      <c r="J471" s="17"/>
      <c r="K471" s="29" t="s">
        <v>56</v>
      </c>
      <c r="L471" s="17" t="s">
        <v>1633</v>
      </c>
      <c r="M471" s="26">
        <v>7244.36</v>
      </c>
      <c r="N471" s="17" t="s">
        <v>1634</v>
      </c>
      <c r="O471" s="42">
        <v>12</v>
      </c>
      <c r="P471" s="17" t="s">
        <v>56</v>
      </c>
      <c r="Q471" s="17">
        <v>2024</v>
      </c>
      <c r="R471" s="17" t="s">
        <v>1635</v>
      </c>
      <c r="S471" s="17" t="s">
        <v>507</v>
      </c>
      <c r="T471" s="39"/>
      <c r="U471" s="18"/>
      <c r="V471" s="18"/>
      <c r="W471" s="17"/>
      <c r="X471" s="18"/>
      <c r="Y471" s="4"/>
    </row>
    <row r="472" spans="1:25">
      <c r="A472" s="3">
        <v>471</v>
      </c>
      <c r="B472" s="28" t="s">
        <v>1589</v>
      </c>
      <c r="C472" s="56" t="s">
        <v>1578</v>
      </c>
      <c r="D472" s="17" t="s">
        <v>1579</v>
      </c>
      <c r="E472" s="17" t="s">
        <v>1580</v>
      </c>
      <c r="F472" s="17" t="s">
        <v>1581</v>
      </c>
      <c r="G472" s="17" t="s">
        <v>61</v>
      </c>
      <c r="H472" s="17">
        <f>VALUE(MID(LEFT(Table1[[#This Row],[Unique ID]], FIND("/", Table1[[#This Row],[Unique ID]]) - 1), 2, LEN(Table1[[#This Row],[Unique ID]])))</f>
        <v>9</v>
      </c>
      <c r="I472" s="17" t="s">
        <v>86</v>
      </c>
      <c r="J472" s="17"/>
      <c r="K472" s="17" t="s">
        <v>160</v>
      </c>
      <c r="L472" s="17" t="s">
        <v>1636</v>
      </c>
      <c r="M472" s="26">
        <v>157</v>
      </c>
      <c r="N472" s="17" t="s">
        <v>1637</v>
      </c>
      <c r="O472" s="17">
        <v>1</v>
      </c>
      <c r="P472" s="17" t="s">
        <v>160</v>
      </c>
      <c r="Q472" s="17">
        <v>2025</v>
      </c>
      <c r="R472" s="17"/>
      <c r="S472" s="17" t="s">
        <v>507</v>
      </c>
      <c r="T472" s="39">
        <v>45758</v>
      </c>
      <c r="U472" s="18"/>
      <c r="V472" s="18"/>
      <c r="W472" s="17"/>
      <c r="X472" s="18" t="s">
        <v>1638</v>
      </c>
      <c r="Y472" s="4"/>
    </row>
    <row r="473" spans="1:25">
      <c r="A473" s="3">
        <v>472</v>
      </c>
      <c r="B473" s="28" t="s">
        <v>1589</v>
      </c>
      <c r="C473" s="17" t="s">
        <v>863</v>
      </c>
      <c r="D473" s="17" t="s">
        <v>864</v>
      </c>
      <c r="E473" s="17" t="s">
        <v>865</v>
      </c>
      <c r="F473" s="17" t="s">
        <v>866</v>
      </c>
      <c r="G473" s="17" t="s">
        <v>35</v>
      </c>
      <c r="H473" s="17">
        <f>VALUE(MID(LEFT(Table1[[#This Row],[Unique ID]], FIND("/", Table1[[#This Row],[Unique ID]]) - 1), 2, LEN(Table1[[#This Row],[Unique ID]])))</f>
        <v>9</v>
      </c>
      <c r="I473" s="17" t="s">
        <v>93</v>
      </c>
      <c r="J473" s="17" t="s">
        <v>93</v>
      </c>
      <c r="K473" s="17" t="s">
        <v>160</v>
      </c>
      <c r="L473" s="17" t="s">
        <v>1639</v>
      </c>
      <c r="M473" s="26">
        <v>5000</v>
      </c>
      <c r="N473" s="17" t="s">
        <v>1640</v>
      </c>
      <c r="O473" s="17"/>
      <c r="P473" s="17" t="s">
        <v>160</v>
      </c>
      <c r="Q473" s="17">
        <v>2025</v>
      </c>
      <c r="R473" s="17"/>
      <c r="S473" s="17" t="s">
        <v>507</v>
      </c>
      <c r="T473" s="57"/>
      <c r="U473" s="18"/>
      <c r="V473" s="18"/>
      <c r="W473" s="17"/>
      <c r="X473" s="18" t="s">
        <v>1641</v>
      </c>
      <c r="Y473" s="4"/>
    </row>
    <row r="474" spans="1:25">
      <c r="A474" s="3">
        <v>473</v>
      </c>
      <c r="B474" s="28" t="s">
        <v>1589</v>
      </c>
      <c r="C474" s="29" t="s">
        <v>1550</v>
      </c>
      <c r="D474" s="29" t="s">
        <v>1551</v>
      </c>
      <c r="E474" s="29" t="s">
        <v>1552</v>
      </c>
      <c r="F474" s="29" t="s">
        <v>1553</v>
      </c>
      <c r="G474" s="29" t="s">
        <v>61</v>
      </c>
      <c r="H474" s="29">
        <f>VALUE(MID(LEFT(Table1[[#This Row],[Unique ID]], FIND("/", Table1[[#This Row],[Unique ID]]) - 1), 2, LEN(Table1[[#This Row],[Unique ID]])))</f>
        <v>10</v>
      </c>
      <c r="I474" s="29" t="s">
        <v>36</v>
      </c>
      <c r="J474" s="29" t="s">
        <v>36</v>
      </c>
      <c r="K474" s="29" t="s">
        <v>1642</v>
      </c>
      <c r="L474" s="17" t="s">
        <v>1643</v>
      </c>
      <c r="M474" s="26">
        <v>2500</v>
      </c>
      <c r="N474" s="17" t="s">
        <v>283</v>
      </c>
      <c r="O474" s="17">
        <v>12</v>
      </c>
      <c r="P474" s="17" t="s">
        <v>56</v>
      </c>
      <c r="Q474" s="17">
        <v>2025</v>
      </c>
      <c r="R474" s="17" t="s">
        <v>1644</v>
      </c>
      <c r="S474" s="17" t="s">
        <v>43</v>
      </c>
      <c r="T474" s="39">
        <v>45803</v>
      </c>
      <c r="U474" s="3" t="s">
        <v>1105</v>
      </c>
      <c r="V474" s="18"/>
      <c r="W474" s="17"/>
      <c r="X474" s="18" t="s">
        <v>1645</v>
      </c>
      <c r="Y474" s="4"/>
    </row>
    <row r="475" spans="1:25">
      <c r="A475" s="3">
        <v>474</v>
      </c>
      <c r="B475" s="29" t="s">
        <v>1589</v>
      </c>
      <c r="C475" s="29" t="s">
        <v>89</v>
      </c>
      <c r="D475" s="29" t="s">
        <v>90</v>
      </c>
      <c r="E475" s="29" t="s">
        <v>91</v>
      </c>
      <c r="F475" s="29" t="s">
        <v>92</v>
      </c>
      <c r="G475" s="29" t="s">
        <v>61</v>
      </c>
      <c r="H475" s="29">
        <f>VALUE(MID(LEFT(Table1[[#This Row],[Unique ID]], FIND("/", Table1[[#This Row],[Unique ID]]) - 1), 2, LEN(Table1[[#This Row],[Unique ID]])))</f>
        <v>7</v>
      </c>
      <c r="I475" s="29" t="s">
        <v>93</v>
      </c>
      <c r="J475" s="17"/>
      <c r="K475" s="29" t="s">
        <v>56</v>
      </c>
      <c r="L475" s="3" t="s">
        <v>1646</v>
      </c>
      <c r="M475" s="26">
        <v>39000</v>
      </c>
      <c r="N475" s="17" t="s">
        <v>1619</v>
      </c>
      <c r="O475" s="42">
        <v>12</v>
      </c>
      <c r="P475" s="17" t="s">
        <v>56</v>
      </c>
      <c r="Q475" s="17">
        <v>2025</v>
      </c>
      <c r="R475" s="17" t="s">
        <v>1647</v>
      </c>
      <c r="S475" s="17" t="s">
        <v>507</v>
      </c>
      <c r="T475" s="39">
        <v>45807</v>
      </c>
      <c r="U475" s="3" t="s">
        <v>1105</v>
      </c>
      <c r="V475" s="18"/>
      <c r="W475" s="17"/>
      <c r="X475" s="18" t="s">
        <v>1648</v>
      </c>
      <c r="Y475" s="4"/>
    </row>
    <row r="476" spans="1:25">
      <c r="A476" s="3">
        <v>475</v>
      </c>
      <c r="B476" s="17" t="s">
        <v>1589</v>
      </c>
      <c r="C476" s="29" t="s">
        <v>631</v>
      </c>
      <c r="D476" s="29" t="s">
        <v>632</v>
      </c>
      <c r="E476" s="29" t="s">
        <v>1380</v>
      </c>
      <c r="F476" s="29" t="s">
        <v>634</v>
      </c>
      <c r="G476" s="29" t="s">
        <v>61</v>
      </c>
      <c r="H476" s="17">
        <f>VALUE(MID(LEFT(Table1[[#This Row],[Unique ID]], FIND("/", Table1[[#This Row],[Unique ID]]) - 1), 2, LEN(Table1[[#This Row],[Unique ID]])))</f>
        <v>9</v>
      </c>
      <c r="I476" s="29" t="s">
        <v>589</v>
      </c>
      <c r="J476" s="17"/>
      <c r="K476" s="29" t="s">
        <v>1610</v>
      </c>
      <c r="L476" s="17" t="s">
        <v>1649</v>
      </c>
      <c r="M476" s="26">
        <v>2000</v>
      </c>
      <c r="N476" s="17" t="s">
        <v>1650</v>
      </c>
      <c r="O476" s="42">
        <v>1</v>
      </c>
      <c r="P476" s="3" t="s">
        <v>42</v>
      </c>
      <c r="Q476" s="17">
        <v>2025</v>
      </c>
      <c r="R476" s="17"/>
      <c r="S476" s="17" t="s">
        <v>507</v>
      </c>
      <c r="T476" s="39">
        <v>45658</v>
      </c>
      <c r="U476" s="18"/>
      <c r="V476" s="18"/>
      <c r="W476" s="17"/>
      <c r="X476" s="18" t="s">
        <v>1651</v>
      </c>
      <c r="Y476" s="4"/>
    </row>
    <row r="477" spans="1:25">
      <c r="A477" s="3">
        <v>476</v>
      </c>
      <c r="B477" s="17" t="s">
        <v>1589</v>
      </c>
      <c r="C477" s="17" t="s">
        <v>1043</v>
      </c>
      <c r="D477" s="17" t="s">
        <v>1044</v>
      </c>
      <c r="E477" s="17" t="s">
        <v>1045</v>
      </c>
      <c r="F477" s="17" t="s">
        <v>1046</v>
      </c>
      <c r="G477" s="17" t="s">
        <v>35</v>
      </c>
      <c r="H477" s="17">
        <f>VALUE(MID(LEFT(Table1[[#This Row],[Unique ID]], FIND("/", Table1[[#This Row],[Unique ID]]) - 1), 2, LEN(Table1[[#This Row],[Unique ID]])))</f>
        <v>10</v>
      </c>
      <c r="I477" s="17" t="s">
        <v>110</v>
      </c>
      <c r="J477" s="17" t="s">
        <v>589</v>
      </c>
      <c r="K477" s="29" t="s">
        <v>56</v>
      </c>
      <c r="L477" s="17" t="s">
        <v>1652</v>
      </c>
      <c r="M477" s="26">
        <v>5000</v>
      </c>
      <c r="N477" s="17" t="s">
        <v>1653</v>
      </c>
      <c r="O477" s="42">
        <v>12</v>
      </c>
      <c r="P477" s="17" t="s">
        <v>56</v>
      </c>
      <c r="Q477" s="17">
        <v>2025</v>
      </c>
      <c r="R477" s="17"/>
      <c r="S477" s="17" t="s">
        <v>507</v>
      </c>
      <c r="T477" s="39">
        <v>45809</v>
      </c>
      <c r="U477" s="3" t="s">
        <v>1105</v>
      </c>
      <c r="V477" s="18"/>
      <c r="W477" s="17"/>
      <c r="X477" s="18" t="s">
        <v>1654</v>
      </c>
      <c r="Y477" s="4"/>
    </row>
    <row r="478" spans="1:25">
      <c r="A478" s="3">
        <v>477</v>
      </c>
      <c r="B478" s="17" t="s">
        <v>1589</v>
      </c>
      <c r="C478" s="17" t="s">
        <v>641</v>
      </c>
      <c r="D478" s="17" t="s">
        <v>642</v>
      </c>
      <c r="E478" s="17" t="s">
        <v>643</v>
      </c>
      <c r="F478" s="17" t="s">
        <v>644</v>
      </c>
      <c r="G478" s="17" t="s">
        <v>61</v>
      </c>
      <c r="H478" s="17">
        <f>VALUE(MID(LEFT(Table1[[#This Row],[Unique ID]], FIND("/", Table1[[#This Row],[Unique ID]]) - 1), 2, LEN(Table1[[#This Row],[Unique ID]])))</f>
        <v>9</v>
      </c>
      <c r="I478" s="17" t="s">
        <v>37</v>
      </c>
      <c r="J478" s="17" t="s">
        <v>37</v>
      </c>
      <c r="K478" s="17" t="s">
        <v>1655</v>
      </c>
      <c r="L478" s="17" t="s">
        <v>1656</v>
      </c>
      <c r="M478" s="26">
        <v>7500</v>
      </c>
      <c r="N478" s="17" t="s">
        <v>1657</v>
      </c>
      <c r="O478" s="42">
        <v>8</v>
      </c>
      <c r="P478" s="17" t="s">
        <v>1655</v>
      </c>
      <c r="Q478" s="17">
        <v>2025</v>
      </c>
      <c r="R478" s="17"/>
      <c r="S478" s="17" t="s">
        <v>507</v>
      </c>
      <c r="T478" s="39">
        <v>45809</v>
      </c>
      <c r="U478" s="18"/>
      <c r="V478" s="18"/>
      <c r="W478" s="17"/>
      <c r="X478" s="18" t="s">
        <v>1658</v>
      </c>
      <c r="Y478" s="4"/>
    </row>
    <row r="479" spans="1:25">
      <c r="A479" s="3">
        <v>478</v>
      </c>
      <c r="B479" s="17" t="s">
        <v>1589</v>
      </c>
      <c r="C479" s="17" t="s">
        <v>641</v>
      </c>
      <c r="D479" s="17" t="s">
        <v>642</v>
      </c>
      <c r="E479" s="17" t="s">
        <v>643</v>
      </c>
      <c r="F479" s="17" t="s">
        <v>644</v>
      </c>
      <c r="G479" s="17" t="s">
        <v>61</v>
      </c>
      <c r="H479" s="17">
        <f>VALUE(MID(LEFT(Table1[[#This Row],[Unique ID]], FIND("/", Table1[[#This Row],[Unique ID]]) - 1), 2, LEN(Table1[[#This Row],[Unique ID]])))</f>
        <v>9</v>
      </c>
      <c r="I479" s="17" t="s">
        <v>37</v>
      </c>
      <c r="J479" s="17" t="s">
        <v>37</v>
      </c>
      <c r="K479" s="29" t="s">
        <v>56</v>
      </c>
      <c r="L479" s="17" t="s">
        <v>1659</v>
      </c>
      <c r="M479" s="26">
        <v>73690</v>
      </c>
      <c r="N479" s="17" t="s">
        <v>1660</v>
      </c>
      <c r="O479" s="3">
        <v>24</v>
      </c>
      <c r="P479" s="17" t="s">
        <v>56</v>
      </c>
      <c r="Q479" s="17">
        <v>2025</v>
      </c>
      <c r="R479" s="17" t="s">
        <v>1661</v>
      </c>
      <c r="S479" s="17" t="s">
        <v>507</v>
      </c>
      <c r="T479" s="39">
        <v>45901</v>
      </c>
      <c r="U479" s="3" t="s">
        <v>1105</v>
      </c>
      <c r="V479" s="18"/>
      <c r="W479" s="17"/>
      <c r="X479" s="18" t="s">
        <v>1662</v>
      </c>
      <c r="Y479" s="4"/>
    </row>
    <row r="480" spans="1:25" ht="15">
      <c r="A480" s="3">
        <v>479</v>
      </c>
      <c r="B480" s="17" t="s">
        <v>1663</v>
      </c>
      <c r="C480" s="3" t="s">
        <v>1664</v>
      </c>
      <c r="D480" s="3" t="s">
        <v>1665</v>
      </c>
      <c r="E480" s="3" t="s">
        <v>1666</v>
      </c>
      <c r="F480" s="3" t="s">
        <v>1553</v>
      </c>
      <c r="G480" s="3" t="s">
        <v>61</v>
      </c>
      <c r="H480" s="59">
        <f>VALUE(MID(LEFT(Table1[[#This Row],[Unique ID]], FIND("/", Table1[[#This Row],[Unique ID]]) - 1), 2, LEN(Table1[[#This Row],[Unique ID]])))</f>
        <v>11</v>
      </c>
      <c r="I480" s="59" t="s">
        <v>37</v>
      </c>
      <c r="J480" s="59" t="s">
        <v>37</v>
      </c>
      <c r="K480" s="59" t="s">
        <v>56</v>
      </c>
      <c r="L480" s="59" t="s">
        <v>1667</v>
      </c>
      <c r="M480" s="59">
        <v>50000</v>
      </c>
      <c r="N480" s="59" t="s">
        <v>1668</v>
      </c>
      <c r="O480" s="59">
        <v>12</v>
      </c>
      <c r="P480" s="3"/>
      <c r="Q480" s="17">
        <v>2025</v>
      </c>
      <c r="R480" s="59" t="s">
        <v>1669</v>
      </c>
      <c r="S480" s="17" t="s">
        <v>43</v>
      </c>
      <c r="T480" s="39">
        <v>45901</v>
      </c>
      <c r="U480" s="59" t="s">
        <v>1105</v>
      </c>
      <c r="V480" s="59"/>
      <c r="W480" s="59"/>
      <c r="X480" s="4" t="s">
        <v>1670</v>
      </c>
      <c r="Y480" s="4"/>
    </row>
    <row r="481" spans="1:25" ht="15">
      <c r="A481" s="3">
        <v>480</v>
      </c>
      <c r="B481" s="17" t="s">
        <v>1663</v>
      </c>
      <c r="C481" s="17" t="s">
        <v>1671</v>
      </c>
      <c r="D481" s="17" t="s">
        <v>1672</v>
      </c>
      <c r="E481" s="17" t="s">
        <v>1206</v>
      </c>
      <c r="F481" s="17" t="s">
        <v>1673</v>
      </c>
      <c r="G481" s="17" t="s">
        <v>61</v>
      </c>
      <c r="H481" s="59">
        <f>VALUE(MID(LEFT(Table1[[#This Row],[Unique ID]], FIND("/", Table1[[#This Row],[Unique ID]]) - 1), 2, LEN(Table1[[#This Row],[Unique ID]])))</f>
        <v>11</v>
      </c>
      <c r="I481" s="59" t="s">
        <v>86</v>
      </c>
      <c r="J481" s="59" t="s">
        <v>86</v>
      </c>
      <c r="K481" s="59" t="s">
        <v>160</v>
      </c>
      <c r="L481" s="59" t="s">
        <v>1674</v>
      </c>
      <c r="M481" s="59">
        <v>7500</v>
      </c>
      <c r="N481" s="59" t="s">
        <v>1675</v>
      </c>
      <c r="O481" s="59">
        <v>12</v>
      </c>
      <c r="P481" s="17"/>
      <c r="Q481" s="17">
        <v>2025</v>
      </c>
      <c r="R481" s="59"/>
      <c r="S481" s="17" t="s">
        <v>43</v>
      </c>
      <c r="T481" s="39">
        <v>45905</v>
      </c>
      <c r="U481" s="59"/>
      <c r="V481" s="59"/>
      <c r="W481" s="59"/>
      <c r="X481" s="59"/>
      <c r="Y481" s="18"/>
    </row>
    <row r="482" spans="1:25" ht="15">
      <c r="A482" s="3">
        <v>481</v>
      </c>
      <c r="B482" s="17" t="s">
        <v>1663</v>
      </c>
      <c r="C482" s="3" t="s">
        <v>774</v>
      </c>
      <c r="D482" s="17" t="s">
        <v>1676</v>
      </c>
      <c r="E482" s="17" t="s">
        <v>1677</v>
      </c>
      <c r="F482" s="17" t="s">
        <v>775</v>
      </c>
      <c r="G482" s="3" t="s">
        <v>61</v>
      </c>
      <c r="H482" s="3">
        <f>VALUE(MID(LEFT(Table1[[#This Row],[Unique ID]], FIND("/", Table1[[#This Row],[Unique ID]]) - 1), 2, LEN(Table1[[#This Row],[Unique ID]])))</f>
        <v>3</v>
      </c>
      <c r="I482" s="3" t="s">
        <v>36</v>
      </c>
      <c r="J482" s="3"/>
      <c r="K482" s="3" t="s">
        <v>56</v>
      </c>
      <c r="L482" s="3" t="s">
        <v>283</v>
      </c>
      <c r="M482" s="3">
        <v>27754</v>
      </c>
      <c r="N482" s="3" t="s">
        <v>1678</v>
      </c>
      <c r="O482" s="3">
        <v>2</v>
      </c>
      <c r="P482" s="3">
        <v>2</v>
      </c>
      <c r="Q482" s="17">
        <v>2025</v>
      </c>
      <c r="R482" s="3" t="s">
        <v>1679</v>
      </c>
      <c r="S482" s="17" t="s">
        <v>507</v>
      </c>
      <c r="T482" s="14">
        <v>46037</v>
      </c>
      <c r="U482" s="3" t="s">
        <v>1116</v>
      </c>
      <c r="V482" s="4"/>
      <c r="W482" s="3"/>
      <c r="X482" s="3" t="s">
        <v>1680</v>
      </c>
      <c r="Y482" s="4"/>
    </row>
    <row r="483" spans="1:25" ht="15">
      <c r="A483" s="3">
        <v>482</v>
      </c>
      <c r="B483" s="17" t="s">
        <v>1663</v>
      </c>
      <c r="C483" s="3" t="s">
        <v>303</v>
      </c>
      <c r="D483" s="17" t="s">
        <v>304</v>
      </c>
      <c r="E483" s="17" t="s">
        <v>1681</v>
      </c>
      <c r="F483" s="17" t="s">
        <v>305</v>
      </c>
      <c r="G483" s="3" t="s">
        <v>35</v>
      </c>
      <c r="H483" s="3">
        <f>VALUE(MID(LEFT(Table1[[#This Row],[Unique ID]], FIND("/", Table1[[#This Row],[Unique ID]]) - 1), 2, LEN(Table1[[#This Row],[Unique ID]])))</f>
        <v>4</v>
      </c>
      <c r="I483" s="3" t="s">
        <v>76</v>
      </c>
      <c r="J483" s="3"/>
      <c r="K483" s="3" t="s">
        <v>56</v>
      </c>
      <c r="L483" s="3" t="s">
        <v>1682</v>
      </c>
      <c r="M483" s="3">
        <v>54000</v>
      </c>
      <c r="N483" s="3" t="s">
        <v>1683</v>
      </c>
      <c r="O483" s="3">
        <v>12</v>
      </c>
      <c r="P483" s="3">
        <v>12</v>
      </c>
      <c r="Q483" s="17">
        <v>2025</v>
      </c>
      <c r="R483" s="3" t="s">
        <v>1684</v>
      </c>
      <c r="S483" s="17" t="s">
        <v>507</v>
      </c>
      <c r="T483" s="14">
        <v>45968</v>
      </c>
      <c r="U483" s="3" t="s">
        <v>1116</v>
      </c>
      <c r="V483" s="4"/>
      <c r="W483" s="3"/>
      <c r="X483" s="3" t="s">
        <v>1685</v>
      </c>
      <c r="Y483" s="4"/>
    </row>
    <row r="484" spans="1:25" ht="15">
      <c r="A484" s="3">
        <v>483</v>
      </c>
      <c r="B484" s="17" t="s">
        <v>1663</v>
      </c>
      <c r="C484" s="3" t="s">
        <v>716</v>
      </c>
      <c r="D484" s="17" t="s">
        <v>717</v>
      </c>
      <c r="E484" s="17" t="s">
        <v>718</v>
      </c>
      <c r="F484" s="17" t="s">
        <v>719</v>
      </c>
      <c r="G484" s="3" t="s">
        <v>61</v>
      </c>
      <c r="H484" s="3">
        <f>VALUE(MID(LEFT(Table1[[#This Row],[Unique ID]], FIND("/", Table1[[#This Row],[Unique ID]]) - 1), 2, LEN(Table1[[#This Row],[Unique ID]])))</f>
        <v>3</v>
      </c>
      <c r="I484" s="3" t="s">
        <v>229</v>
      </c>
      <c r="J484" s="3"/>
      <c r="K484" s="3" t="s">
        <v>876</v>
      </c>
      <c r="L484" s="3" t="s">
        <v>1686</v>
      </c>
      <c r="M484" s="3">
        <v>2000</v>
      </c>
      <c r="N484" s="3" t="s">
        <v>1687</v>
      </c>
      <c r="O484" s="3">
        <v>1</v>
      </c>
      <c r="P484" s="3">
        <v>1</v>
      </c>
      <c r="Q484" s="17">
        <v>2025</v>
      </c>
      <c r="R484" s="3"/>
      <c r="S484" s="17" t="s">
        <v>507</v>
      </c>
      <c r="T484" s="14">
        <v>45966</v>
      </c>
      <c r="U484" s="3"/>
      <c r="V484" s="4"/>
      <c r="W484" s="3"/>
      <c r="X484" s="3" t="s">
        <v>1688</v>
      </c>
      <c r="Y484" s="4"/>
    </row>
    <row r="485" spans="1:25" ht="15">
      <c r="A485" s="3">
        <v>484</v>
      </c>
      <c r="B485" s="17" t="s">
        <v>1663</v>
      </c>
      <c r="C485" s="3" t="s">
        <v>1174</v>
      </c>
      <c r="D485" s="17" t="s">
        <v>1689</v>
      </c>
      <c r="E485" s="17" t="s">
        <v>1690</v>
      </c>
      <c r="F485" s="17" t="s">
        <v>1500</v>
      </c>
      <c r="G485" s="3" t="s">
        <v>61</v>
      </c>
      <c r="H485" s="3">
        <f>VALUE(MID(LEFT(Table1[[#This Row],[Unique ID]], FIND("/", Table1[[#This Row],[Unique ID]]) - 1), 2, LEN(Table1[[#This Row],[Unique ID]])))</f>
        <v>8</v>
      </c>
      <c r="I485" s="3" t="s">
        <v>36</v>
      </c>
      <c r="J485" s="3"/>
      <c r="K485" s="3" t="s">
        <v>56</v>
      </c>
      <c r="L485" s="3" t="s">
        <v>1691</v>
      </c>
      <c r="M485" s="3">
        <v>15000</v>
      </c>
      <c r="N485" s="3" t="s">
        <v>1692</v>
      </c>
      <c r="O485" s="3">
        <v>12</v>
      </c>
      <c r="P485" s="3">
        <v>12</v>
      </c>
      <c r="Q485" s="17">
        <v>2025</v>
      </c>
      <c r="R485" s="3" t="s">
        <v>1693</v>
      </c>
      <c r="S485" s="17" t="s">
        <v>507</v>
      </c>
      <c r="T485" s="14">
        <v>45474</v>
      </c>
      <c r="U485" s="3" t="s">
        <v>1105</v>
      </c>
      <c r="V485" s="4"/>
      <c r="W485" s="3"/>
      <c r="X485" s="3"/>
      <c r="Y485" s="4"/>
    </row>
    <row r="486" spans="1:25" ht="15">
      <c r="A486" s="3">
        <v>485</v>
      </c>
      <c r="B486" s="17" t="s">
        <v>1663</v>
      </c>
      <c r="C486" s="3" t="s">
        <v>287</v>
      </c>
      <c r="D486" s="17" t="s">
        <v>1321</v>
      </c>
      <c r="E486" s="17" t="s">
        <v>1322</v>
      </c>
      <c r="F486" s="17" t="s">
        <v>289</v>
      </c>
      <c r="G486" s="3" t="s">
        <v>35</v>
      </c>
      <c r="H486" s="3">
        <f>VALUE(MID(LEFT(Table1[[#This Row],[Unique ID]], FIND("/", Table1[[#This Row],[Unique ID]]) - 1), 2, LEN(Table1[[#This Row],[Unique ID]])))</f>
        <v>6</v>
      </c>
      <c r="I486" s="3" t="s">
        <v>76</v>
      </c>
      <c r="J486" s="3"/>
      <c r="K486" s="3" t="s">
        <v>160</v>
      </c>
      <c r="L486" s="3" t="s">
        <v>1694</v>
      </c>
      <c r="M486" s="3">
        <v>1180</v>
      </c>
      <c r="N486" s="3" t="s">
        <v>1695</v>
      </c>
      <c r="O486" s="3">
        <v>1</v>
      </c>
      <c r="P486" s="3">
        <v>1</v>
      </c>
      <c r="Q486" s="17">
        <v>2025</v>
      </c>
      <c r="R486" s="3"/>
      <c r="S486" s="17" t="s">
        <v>507</v>
      </c>
      <c r="T486" s="14">
        <v>45901</v>
      </c>
      <c r="U486" s="3"/>
      <c r="V486" s="4"/>
      <c r="W486" s="3"/>
      <c r="X486" s="3" t="s">
        <v>1696</v>
      </c>
      <c r="Y486" s="4"/>
    </row>
    <row r="487" spans="1:25" ht="15">
      <c r="A487" s="3">
        <v>486</v>
      </c>
      <c r="B487" s="17" t="s">
        <v>1663</v>
      </c>
      <c r="C487" s="3" t="s">
        <v>287</v>
      </c>
      <c r="D487" s="17" t="s">
        <v>1321</v>
      </c>
      <c r="E487" s="17" t="s">
        <v>1322</v>
      </c>
      <c r="F487" s="17" t="s">
        <v>289</v>
      </c>
      <c r="G487" s="3" t="s">
        <v>35</v>
      </c>
      <c r="H487" s="3">
        <f>VALUE(MID(LEFT(Table1[[#This Row],[Unique ID]], FIND("/", Table1[[#This Row],[Unique ID]]) - 1), 2, LEN(Table1[[#This Row],[Unique ID]])))</f>
        <v>6</v>
      </c>
      <c r="I487" s="3" t="s">
        <v>76</v>
      </c>
      <c r="J487" s="3"/>
      <c r="K487" s="3" t="s">
        <v>56</v>
      </c>
      <c r="L487" s="3" t="s">
        <v>1697</v>
      </c>
      <c r="M487" s="3">
        <v>142000</v>
      </c>
      <c r="N487" s="3" t="s">
        <v>1698</v>
      </c>
      <c r="O487" s="3">
        <v>12</v>
      </c>
      <c r="P487" s="3">
        <v>12</v>
      </c>
      <c r="Q487" s="17">
        <v>2025</v>
      </c>
      <c r="R487" s="3" t="s">
        <v>1699</v>
      </c>
      <c r="S487" s="17" t="s">
        <v>507</v>
      </c>
      <c r="T487" s="14">
        <v>45941</v>
      </c>
      <c r="U487" s="3" t="s">
        <v>1116</v>
      </c>
      <c r="V487" s="4"/>
      <c r="W487" s="3"/>
      <c r="X487" s="3" t="s">
        <v>1700</v>
      </c>
      <c r="Y487" s="4"/>
    </row>
    <row r="488" spans="1:25" ht="15">
      <c r="A488" s="3">
        <v>487</v>
      </c>
      <c r="B488" s="17" t="s">
        <v>1663</v>
      </c>
      <c r="C488" s="3" t="s">
        <v>549</v>
      </c>
      <c r="D488" s="17" t="s">
        <v>550</v>
      </c>
      <c r="E488" s="17" t="s">
        <v>551</v>
      </c>
      <c r="F488" s="17" t="s">
        <v>552</v>
      </c>
      <c r="G488" s="3" t="s">
        <v>61</v>
      </c>
      <c r="H488" s="3">
        <f>VALUE(MID(LEFT(Table1[[#This Row],[Unique ID]], FIND("/", Table1[[#This Row],[Unique ID]]) - 1), 2, LEN(Table1[[#This Row],[Unique ID]])))</f>
        <v>8</v>
      </c>
      <c r="I488" s="3" t="s">
        <v>37</v>
      </c>
      <c r="J488" s="3"/>
      <c r="K488" s="3" t="s">
        <v>56</v>
      </c>
      <c r="L488" s="3" t="s">
        <v>1701</v>
      </c>
      <c r="M488" s="3">
        <v>200827</v>
      </c>
      <c r="N488" s="3" t="s">
        <v>1702</v>
      </c>
      <c r="O488" s="3">
        <v>1</v>
      </c>
      <c r="P488" s="3">
        <v>1</v>
      </c>
      <c r="Q488" s="17">
        <v>2025</v>
      </c>
      <c r="R488" s="3" t="s">
        <v>1703</v>
      </c>
      <c r="S488" s="17" t="s">
        <v>507</v>
      </c>
      <c r="T488" s="3"/>
      <c r="U488" s="3" t="s">
        <v>1116</v>
      </c>
      <c r="V488" s="4"/>
      <c r="W488" s="3"/>
      <c r="X488" s="3" t="s">
        <v>1704</v>
      </c>
      <c r="Y488" s="4"/>
    </row>
    <row r="489" spans="1:25" ht="15">
      <c r="A489" s="3">
        <v>488</v>
      </c>
      <c r="B489" s="17" t="s">
        <v>1663</v>
      </c>
      <c r="C489" s="3" t="s">
        <v>879</v>
      </c>
      <c r="D489" s="17" t="s">
        <v>880</v>
      </c>
      <c r="E489" s="17" t="s">
        <v>881</v>
      </c>
      <c r="F489" s="17" t="s">
        <v>882</v>
      </c>
      <c r="G489" s="3" t="s">
        <v>61</v>
      </c>
      <c r="H489" s="3">
        <f>VALUE(MID(LEFT(Table1[[#This Row],[Unique ID]], FIND("/", Table1[[#This Row],[Unique ID]]) - 1), 2, LEN(Table1[[#This Row],[Unique ID]])))</f>
        <v>10</v>
      </c>
      <c r="I489" s="3" t="s">
        <v>86</v>
      </c>
      <c r="J489" s="3"/>
      <c r="K489" s="3" t="s">
        <v>1705</v>
      </c>
      <c r="L489" s="3" t="s">
        <v>1706</v>
      </c>
      <c r="M489" s="3">
        <v>67215.39</v>
      </c>
      <c r="N489" s="3" t="s">
        <v>1556</v>
      </c>
      <c r="O489" s="3">
        <v>6</v>
      </c>
      <c r="P489" s="3">
        <v>6</v>
      </c>
      <c r="Q489" s="17">
        <v>2025</v>
      </c>
      <c r="R489" s="3"/>
      <c r="S489" s="17" t="s">
        <v>507</v>
      </c>
      <c r="T489" s="14">
        <v>46082</v>
      </c>
      <c r="U489" s="3"/>
      <c r="V489" s="4"/>
      <c r="W489" s="3"/>
      <c r="X489" s="3" t="s">
        <v>1707</v>
      </c>
      <c r="Y489" s="4"/>
    </row>
    <row r="490" spans="1:25" ht="15">
      <c r="A490" s="3">
        <v>489</v>
      </c>
      <c r="B490" s="17" t="s">
        <v>1663</v>
      </c>
      <c r="C490" s="3" t="s">
        <v>641</v>
      </c>
      <c r="D490" s="17" t="s">
        <v>642</v>
      </c>
      <c r="E490" s="17" t="s">
        <v>643</v>
      </c>
      <c r="F490" s="17" t="s">
        <v>644</v>
      </c>
      <c r="G490" s="3" t="s">
        <v>61</v>
      </c>
      <c r="H490" s="3">
        <f>VALUE(MID(LEFT(Table1[[#This Row],[Unique ID]], FIND("/", Table1[[#This Row],[Unique ID]]) - 1), 2, LEN(Table1[[#This Row],[Unique ID]])))</f>
        <v>9</v>
      </c>
      <c r="I490" s="3" t="s">
        <v>37</v>
      </c>
      <c r="J490" s="3"/>
      <c r="K490" s="3" t="s">
        <v>1708</v>
      </c>
      <c r="L490" s="3" t="s">
        <v>1709</v>
      </c>
      <c r="M490" s="3">
        <v>10000</v>
      </c>
      <c r="N490" s="3" t="s">
        <v>1710</v>
      </c>
      <c r="O490" s="3">
        <v>6</v>
      </c>
      <c r="P490" s="3">
        <v>6</v>
      </c>
      <c r="Q490" s="17">
        <v>2025</v>
      </c>
      <c r="R490" s="3"/>
      <c r="S490" s="17" t="s">
        <v>507</v>
      </c>
      <c r="T490" s="14">
        <v>45962</v>
      </c>
      <c r="U490" s="3"/>
      <c r="V490" s="4"/>
      <c r="W490" s="3"/>
      <c r="X490" s="3" t="s">
        <v>1711</v>
      </c>
      <c r="Y490" s="4"/>
    </row>
    <row r="491" spans="1:25" ht="15">
      <c r="A491" s="3">
        <v>490</v>
      </c>
      <c r="B491" s="17" t="s">
        <v>1663</v>
      </c>
      <c r="C491" s="3" t="s">
        <v>659</v>
      </c>
      <c r="D491" s="17" t="s">
        <v>660</v>
      </c>
      <c r="E491" s="17" t="s">
        <v>661</v>
      </c>
      <c r="F491" s="17" t="s">
        <v>662</v>
      </c>
      <c r="G491" s="3" t="s">
        <v>61</v>
      </c>
      <c r="H491" s="17">
        <f>VALUE(MID(LEFT(Table1[[#This Row],[Unique ID]], FIND("/", Table1[[#This Row],[Unique ID]]) - 1), 2, LEN(Table1[[#This Row],[Unique ID]])))</f>
        <v>9</v>
      </c>
      <c r="I491" s="29" t="s">
        <v>589</v>
      </c>
      <c r="J491" s="17"/>
      <c r="K491" s="3" t="s">
        <v>56</v>
      </c>
      <c r="L491" s="3" t="s">
        <v>1712</v>
      </c>
      <c r="M491" s="3">
        <v>4500</v>
      </c>
      <c r="N491" s="3" t="s">
        <v>1713</v>
      </c>
      <c r="O491" s="3">
        <v>24</v>
      </c>
      <c r="P491" s="3">
        <v>24</v>
      </c>
      <c r="Q491" s="17">
        <v>2025</v>
      </c>
      <c r="R491" s="3" t="s">
        <v>1714</v>
      </c>
      <c r="S491" s="17" t="s">
        <v>507</v>
      </c>
      <c r="T491" s="14">
        <v>45917</v>
      </c>
      <c r="U491" s="3" t="s">
        <v>1105</v>
      </c>
      <c r="V491" s="18"/>
      <c r="W491" s="17"/>
      <c r="X491" s="3" t="s">
        <v>1715</v>
      </c>
      <c r="Y491" s="18"/>
    </row>
    <row r="494" spans="1:25" ht="15"/>
  </sheetData>
  <phoneticPr fontId="7" type="noConversion"/>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E85CA-42B6-4C1B-B385-D3A1D3F01783}">
  <sheetPr codeName="Sheet3"/>
  <dimension ref="A1:D1994"/>
  <sheetViews>
    <sheetView workbookViewId="0">
      <selection activeCell="B13" sqref="B13"/>
    </sheetView>
  </sheetViews>
  <sheetFormatPr defaultRowHeight="14.45"/>
  <cols>
    <col min="1" max="1" width="24" bestFit="1" customWidth="1"/>
    <col min="2" max="2" width="18.42578125" style="35" bestFit="1" customWidth="1"/>
    <col min="3" max="3" width="9.140625" bestFit="1" customWidth="1"/>
    <col min="4" max="4" width="11.7109375" bestFit="1" customWidth="1"/>
    <col min="5" max="9" width="11.140625" bestFit="1" customWidth="1"/>
  </cols>
  <sheetData>
    <row r="1" spans="1:4">
      <c r="A1" s="5" t="s">
        <v>17</v>
      </c>
      <c r="B1" t="s">
        <v>1716</v>
      </c>
    </row>
    <row r="2" spans="1:4">
      <c r="A2" s="5" t="s">
        <v>18</v>
      </c>
      <c r="B2" s="58">
        <v>2025</v>
      </c>
    </row>
    <row r="3" spans="1:4">
      <c r="A3" s="5" t="s">
        <v>20</v>
      </c>
      <c r="B3" t="s">
        <v>507</v>
      </c>
    </row>
    <row r="4" spans="1:4">
      <c r="B4"/>
    </row>
    <row r="5" spans="1:4">
      <c r="A5" s="5" t="s">
        <v>1717</v>
      </c>
      <c r="B5" s="5" t="s">
        <v>8</v>
      </c>
    </row>
    <row r="6" spans="1:4">
      <c r="A6" s="5" t="s">
        <v>4</v>
      </c>
      <c r="B6" t="s">
        <v>61</v>
      </c>
      <c r="C6" t="s">
        <v>35</v>
      </c>
      <c r="D6" t="s">
        <v>1718</v>
      </c>
    </row>
    <row r="7" spans="1:4">
      <c r="A7" t="s">
        <v>89</v>
      </c>
      <c r="B7" s="13">
        <v>229000</v>
      </c>
      <c r="C7" s="13"/>
      <c r="D7" s="13">
        <v>229000</v>
      </c>
    </row>
    <row r="8" spans="1:4">
      <c r="A8" t="s">
        <v>1590</v>
      </c>
      <c r="B8" s="13">
        <v>200000</v>
      </c>
      <c r="C8" s="13"/>
      <c r="D8" s="13">
        <v>200000</v>
      </c>
    </row>
    <row r="9" spans="1:4">
      <c r="A9" t="s">
        <v>303</v>
      </c>
      <c r="B9" s="13"/>
      <c r="C9" s="13">
        <v>101000</v>
      </c>
      <c r="D9" s="13">
        <v>101000</v>
      </c>
    </row>
    <row r="10" spans="1:4">
      <c r="A10" t="s">
        <v>1603</v>
      </c>
      <c r="B10" s="13"/>
      <c r="C10" s="13">
        <v>85000</v>
      </c>
      <c r="D10" s="13">
        <v>85000</v>
      </c>
    </row>
    <row r="11" spans="1:4">
      <c r="A11" t="s">
        <v>641</v>
      </c>
      <c r="B11" s="13">
        <v>73690</v>
      </c>
      <c r="C11" s="13"/>
      <c r="D11" s="13">
        <v>73690</v>
      </c>
    </row>
    <row r="12" spans="1:4">
      <c r="A12" t="s">
        <v>1482</v>
      </c>
      <c r="B12" s="13">
        <v>22000</v>
      </c>
      <c r="C12" s="13"/>
      <c r="D12" s="13">
        <v>22000</v>
      </c>
    </row>
    <row r="13" spans="1:4">
      <c r="A13" t="s">
        <v>347</v>
      </c>
      <c r="B13" s="13"/>
      <c r="C13" s="13">
        <v>13425</v>
      </c>
      <c r="D13" s="13">
        <v>13425</v>
      </c>
    </row>
    <row r="14" spans="1:4">
      <c r="A14" t="s">
        <v>1043</v>
      </c>
      <c r="B14" s="13"/>
      <c r="C14" s="13">
        <v>5000</v>
      </c>
      <c r="D14" s="13">
        <v>5000</v>
      </c>
    </row>
    <row r="15" spans="1:4">
      <c r="A15" t="s">
        <v>863</v>
      </c>
      <c r="B15" s="13"/>
      <c r="C15" s="13">
        <v>5000</v>
      </c>
      <c r="D15" s="13">
        <v>5000</v>
      </c>
    </row>
    <row r="16" spans="1:4">
      <c r="A16" t="s">
        <v>631</v>
      </c>
      <c r="B16" s="13">
        <v>2000</v>
      </c>
      <c r="C16" s="13"/>
      <c r="D16" s="13">
        <v>2000</v>
      </c>
    </row>
    <row r="17" spans="1:4">
      <c r="A17" t="s">
        <v>1578</v>
      </c>
      <c r="B17" s="13">
        <v>157</v>
      </c>
      <c r="C17" s="13"/>
      <c r="D17" s="13">
        <v>157</v>
      </c>
    </row>
    <row r="18" spans="1:4">
      <c r="A18" t="s">
        <v>1718</v>
      </c>
      <c r="B18" s="13">
        <v>526847</v>
      </c>
      <c r="C18" s="13">
        <v>209425</v>
      </c>
      <c r="D18" s="13">
        <v>736272</v>
      </c>
    </row>
    <row r="19" spans="1:4">
      <c r="B19"/>
    </row>
    <row r="20" spans="1:4">
      <c r="B20"/>
    </row>
    <row r="21" spans="1:4">
      <c r="B21"/>
    </row>
    <row r="22" spans="1:4">
      <c r="B22"/>
    </row>
    <row r="23" spans="1:4">
      <c r="B23"/>
    </row>
    <row r="24" spans="1:4">
      <c r="B24"/>
    </row>
    <row r="25" spans="1:4">
      <c r="B25"/>
    </row>
    <row r="26" spans="1:4">
      <c r="B26"/>
    </row>
    <row r="27" spans="1:4">
      <c r="B27"/>
    </row>
    <row r="28" spans="1:4">
      <c r="B28"/>
    </row>
    <row r="29" spans="1:4">
      <c r="B29"/>
    </row>
    <row r="30" spans="1:4">
      <c r="B30"/>
    </row>
    <row r="31" spans="1:4">
      <c r="B31"/>
    </row>
    <row r="32" spans="1:4">
      <c r="B32"/>
    </row>
    <row r="33" spans="2:2">
      <c r="B33"/>
    </row>
    <row r="34" spans="2:2">
      <c r="B34"/>
    </row>
    <row r="35" spans="2:2">
      <c r="B35"/>
    </row>
    <row r="36" spans="2:2">
      <c r="B36"/>
    </row>
    <row r="37" spans="2:2">
      <c r="B37"/>
    </row>
    <row r="38" spans="2:2">
      <c r="B38"/>
    </row>
    <row r="39" spans="2:2">
      <c r="B39"/>
    </row>
    <row r="40" spans="2:2">
      <c r="B40"/>
    </row>
    <row r="41" spans="2:2">
      <c r="B41"/>
    </row>
    <row r="42" spans="2:2">
      <c r="B42"/>
    </row>
    <row r="43" spans="2:2">
      <c r="B43"/>
    </row>
    <row r="44" spans="2:2">
      <c r="B44"/>
    </row>
    <row r="45" spans="2:2">
      <c r="B45"/>
    </row>
    <row r="46" spans="2:2">
      <c r="B46"/>
    </row>
    <row r="47" spans="2:2">
      <c r="B47"/>
    </row>
    <row r="48" spans="2:2">
      <c r="B48"/>
    </row>
    <row r="49" spans="2:2">
      <c r="B49"/>
    </row>
    <row r="50" spans="2:2">
      <c r="B50"/>
    </row>
    <row r="51" spans="2:2">
      <c r="B51"/>
    </row>
    <row r="52" spans="2:2">
      <c r="B52"/>
    </row>
    <row r="53" spans="2:2">
      <c r="B53"/>
    </row>
    <row r="54" spans="2:2">
      <c r="B54"/>
    </row>
    <row r="55" spans="2:2">
      <c r="B55"/>
    </row>
    <row r="56" spans="2:2">
      <c r="B56"/>
    </row>
    <row r="57" spans="2:2">
      <c r="B57"/>
    </row>
    <row r="58" spans="2:2">
      <c r="B58"/>
    </row>
    <row r="59" spans="2:2">
      <c r="B59"/>
    </row>
    <row r="60" spans="2:2">
      <c r="B60"/>
    </row>
    <row r="61" spans="2:2">
      <c r="B61"/>
    </row>
    <row r="62" spans="2:2">
      <c r="B62"/>
    </row>
    <row r="63" spans="2:2">
      <c r="B63"/>
    </row>
    <row r="64" spans="2:2">
      <c r="B64"/>
    </row>
    <row r="65" spans="2:2">
      <c r="B65"/>
    </row>
    <row r="66" spans="2:2">
      <c r="B66"/>
    </row>
    <row r="67" spans="2:2">
      <c r="B67"/>
    </row>
    <row r="68" spans="2:2">
      <c r="B68"/>
    </row>
    <row r="69" spans="2:2">
      <c r="B69"/>
    </row>
    <row r="70" spans="2:2">
      <c r="B70"/>
    </row>
    <row r="71" spans="2:2">
      <c r="B71"/>
    </row>
    <row r="72" spans="2:2">
      <c r="B72"/>
    </row>
    <row r="73" spans="2:2">
      <c r="B73"/>
    </row>
    <row r="74" spans="2:2">
      <c r="B74"/>
    </row>
    <row r="75" spans="2:2">
      <c r="B75"/>
    </row>
    <row r="76" spans="2:2">
      <c r="B76"/>
    </row>
    <row r="77" spans="2:2">
      <c r="B77"/>
    </row>
    <row r="78" spans="2:2">
      <c r="B78"/>
    </row>
    <row r="79" spans="2:2">
      <c r="B79"/>
    </row>
    <row r="80" spans="2:2">
      <c r="B80"/>
    </row>
    <row r="81" spans="2:2">
      <c r="B81"/>
    </row>
    <row r="82" spans="2:2">
      <c r="B82"/>
    </row>
    <row r="83" spans="2:2">
      <c r="B83"/>
    </row>
    <row r="84" spans="2:2">
      <c r="B84"/>
    </row>
    <row r="85" spans="2:2">
      <c r="B85"/>
    </row>
    <row r="86" spans="2:2">
      <c r="B86"/>
    </row>
    <row r="87" spans="2:2">
      <c r="B87"/>
    </row>
    <row r="88" spans="2:2">
      <c r="B88"/>
    </row>
    <row r="89" spans="2:2">
      <c r="B89"/>
    </row>
    <row r="90" spans="2:2">
      <c r="B90"/>
    </row>
    <row r="91" spans="2:2">
      <c r="B91"/>
    </row>
    <row r="92" spans="2:2">
      <c r="B92"/>
    </row>
    <row r="93" spans="2:2">
      <c r="B93"/>
    </row>
    <row r="94" spans="2:2">
      <c r="B94"/>
    </row>
    <row r="95" spans="2:2">
      <c r="B95"/>
    </row>
    <row r="96" spans="2:2">
      <c r="B96"/>
    </row>
    <row r="97" spans="2:2">
      <c r="B97"/>
    </row>
    <row r="98" spans="2:2">
      <c r="B98"/>
    </row>
    <row r="99" spans="2:2">
      <c r="B99"/>
    </row>
    <row r="100" spans="2:2">
      <c r="B100"/>
    </row>
    <row r="101" spans="2:2">
      <c r="B101"/>
    </row>
    <row r="102" spans="2:2">
      <c r="B102"/>
    </row>
    <row r="103" spans="2:2">
      <c r="B103"/>
    </row>
    <row r="104" spans="2:2">
      <c r="B104"/>
    </row>
    <row r="105" spans="2:2">
      <c r="B105"/>
    </row>
    <row r="106" spans="2:2">
      <c r="B106"/>
    </row>
    <row r="107" spans="2:2">
      <c r="B107"/>
    </row>
    <row r="108" spans="2:2">
      <c r="B108"/>
    </row>
    <row r="109" spans="2:2">
      <c r="B109"/>
    </row>
    <row r="110" spans="2:2">
      <c r="B110"/>
    </row>
    <row r="111" spans="2:2">
      <c r="B111"/>
    </row>
    <row r="112" spans="2:2">
      <c r="B112"/>
    </row>
    <row r="113" spans="2:2">
      <c r="B113"/>
    </row>
    <row r="114" spans="2:2">
      <c r="B114"/>
    </row>
    <row r="115" spans="2:2">
      <c r="B115"/>
    </row>
    <row r="116" spans="2:2">
      <c r="B116"/>
    </row>
    <row r="117" spans="2:2">
      <c r="B117"/>
    </row>
    <row r="118" spans="2:2">
      <c r="B118"/>
    </row>
    <row r="119" spans="2:2">
      <c r="B119"/>
    </row>
    <row r="120" spans="2:2">
      <c r="B120"/>
    </row>
    <row r="121" spans="2:2">
      <c r="B121"/>
    </row>
    <row r="122" spans="2:2">
      <c r="B122"/>
    </row>
    <row r="123" spans="2:2">
      <c r="B123"/>
    </row>
    <row r="124" spans="2:2">
      <c r="B124"/>
    </row>
    <row r="125" spans="2:2">
      <c r="B125"/>
    </row>
    <row r="126" spans="2:2">
      <c r="B126"/>
    </row>
    <row r="127" spans="2:2">
      <c r="B127"/>
    </row>
    <row r="128" spans="2:2">
      <c r="B128"/>
    </row>
    <row r="129" spans="2:2">
      <c r="B129"/>
    </row>
    <row r="130" spans="2:2">
      <c r="B130"/>
    </row>
    <row r="131" spans="2:2">
      <c r="B131"/>
    </row>
    <row r="132" spans="2:2">
      <c r="B132"/>
    </row>
    <row r="133" spans="2:2">
      <c r="B133"/>
    </row>
    <row r="134" spans="2:2">
      <c r="B134"/>
    </row>
    <row r="135" spans="2:2">
      <c r="B135"/>
    </row>
    <row r="136" spans="2:2">
      <c r="B136"/>
    </row>
    <row r="137" spans="2:2">
      <c r="B137"/>
    </row>
    <row r="138" spans="2:2">
      <c r="B138"/>
    </row>
    <row r="139" spans="2:2">
      <c r="B139"/>
    </row>
    <row r="140" spans="2:2">
      <c r="B140"/>
    </row>
    <row r="141" spans="2:2">
      <c r="B141"/>
    </row>
    <row r="142" spans="2:2">
      <c r="B142"/>
    </row>
    <row r="143" spans="2:2">
      <c r="B143"/>
    </row>
    <row r="144" spans="2:2">
      <c r="B144"/>
    </row>
    <row r="145" spans="2:2">
      <c r="B145"/>
    </row>
    <row r="146" spans="2:2">
      <c r="B146"/>
    </row>
    <row r="147" spans="2:2">
      <c r="B147"/>
    </row>
    <row r="148" spans="2:2">
      <c r="B148"/>
    </row>
    <row r="149" spans="2:2">
      <c r="B149"/>
    </row>
    <row r="150" spans="2:2">
      <c r="B150"/>
    </row>
    <row r="151" spans="2:2">
      <c r="B151"/>
    </row>
    <row r="152" spans="2:2">
      <c r="B152"/>
    </row>
    <row r="153" spans="2:2">
      <c r="B153"/>
    </row>
    <row r="154" spans="2:2">
      <c r="B154"/>
    </row>
    <row r="155" spans="2:2">
      <c r="B155"/>
    </row>
    <row r="156" spans="2:2">
      <c r="B156"/>
    </row>
    <row r="157" spans="2:2">
      <c r="B157"/>
    </row>
    <row r="158" spans="2:2">
      <c r="B158"/>
    </row>
    <row r="159" spans="2:2">
      <c r="B159"/>
    </row>
    <row r="160" spans="2:2">
      <c r="B160"/>
    </row>
    <row r="161" spans="2:2">
      <c r="B161"/>
    </row>
    <row r="162" spans="2:2">
      <c r="B162"/>
    </row>
    <row r="163" spans="2:2">
      <c r="B163"/>
    </row>
    <row r="164" spans="2:2">
      <c r="B164"/>
    </row>
    <row r="165" spans="2:2">
      <c r="B165"/>
    </row>
    <row r="166" spans="2:2">
      <c r="B166"/>
    </row>
    <row r="167" spans="2:2">
      <c r="B167"/>
    </row>
    <row r="168" spans="2:2">
      <c r="B168"/>
    </row>
    <row r="169" spans="2:2">
      <c r="B169"/>
    </row>
    <row r="170" spans="2:2">
      <c r="B170"/>
    </row>
    <row r="171" spans="2:2">
      <c r="B171"/>
    </row>
    <row r="172" spans="2:2">
      <c r="B172"/>
    </row>
    <row r="173" spans="2:2">
      <c r="B173"/>
    </row>
    <row r="174" spans="2:2">
      <c r="B174"/>
    </row>
    <row r="175" spans="2:2">
      <c r="B175"/>
    </row>
    <row r="176" spans="2:2">
      <c r="B176"/>
    </row>
    <row r="177" spans="2:2">
      <c r="B177"/>
    </row>
    <row r="178" spans="2:2">
      <c r="B178"/>
    </row>
    <row r="179" spans="2:2">
      <c r="B179"/>
    </row>
    <row r="180" spans="2:2">
      <c r="B180"/>
    </row>
    <row r="181" spans="2:2">
      <c r="B181"/>
    </row>
    <row r="182" spans="2:2">
      <c r="B182"/>
    </row>
    <row r="183" spans="2:2">
      <c r="B183"/>
    </row>
    <row r="184" spans="2:2">
      <c r="B184"/>
    </row>
    <row r="185" spans="2:2">
      <c r="B185"/>
    </row>
    <row r="186" spans="2:2">
      <c r="B186"/>
    </row>
    <row r="187" spans="2:2">
      <c r="B187"/>
    </row>
    <row r="188" spans="2:2">
      <c r="B188"/>
    </row>
    <row r="189" spans="2:2">
      <c r="B189"/>
    </row>
    <row r="190" spans="2:2">
      <c r="B190"/>
    </row>
    <row r="191" spans="2:2">
      <c r="B191"/>
    </row>
    <row r="192" spans="2:2">
      <c r="B192"/>
    </row>
    <row r="193" spans="2:2">
      <c r="B193"/>
    </row>
    <row r="194" spans="2:2">
      <c r="B194"/>
    </row>
    <row r="195" spans="2:2">
      <c r="B195"/>
    </row>
    <row r="196" spans="2:2">
      <c r="B196"/>
    </row>
    <row r="197" spans="2:2">
      <c r="B197"/>
    </row>
    <row r="198" spans="2:2">
      <c r="B198"/>
    </row>
    <row r="199" spans="2:2">
      <c r="B199"/>
    </row>
    <row r="200" spans="2:2">
      <c r="B200"/>
    </row>
    <row r="201" spans="2:2">
      <c r="B201"/>
    </row>
    <row r="202" spans="2:2">
      <c r="B202"/>
    </row>
    <row r="203" spans="2:2">
      <c r="B203"/>
    </row>
    <row r="204" spans="2:2">
      <c r="B204"/>
    </row>
    <row r="205" spans="2:2">
      <c r="B205"/>
    </row>
    <row r="206" spans="2:2">
      <c r="B206"/>
    </row>
    <row r="207" spans="2:2">
      <c r="B207"/>
    </row>
    <row r="208" spans="2:2">
      <c r="B208"/>
    </row>
    <row r="209" spans="2:2">
      <c r="B209"/>
    </row>
    <row r="210" spans="2:2">
      <c r="B210"/>
    </row>
    <row r="211" spans="2:2">
      <c r="B211"/>
    </row>
    <row r="212" spans="2:2">
      <c r="B212"/>
    </row>
    <row r="213" spans="2:2">
      <c r="B213"/>
    </row>
    <row r="214" spans="2:2">
      <c r="B214"/>
    </row>
    <row r="215" spans="2:2">
      <c r="B215"/>
    </row>
    <row r="216" spans="2:2">
      <c r="B216"/>
    </row>
    <row r="217" spans="2:2">
      <c r="B217"/>
    </row>
    <row r="218" spans="2:2">
      <c r="B218"/>
    </row>
    <row r="219" spans="2:2">
      <c r="B219"/>
    </row>
    <row r="220" spans="2:2">
      <c r="B220"/>
    </row>
    <row r="221" spans="2:2">
      <c r="B221"/>
    </row>
    <row r="222" spans="2:2">
      <c r="B222"/>
    </row>
    <row r="223" spans="2:2">
      <c r="B223"/>
    </row>
    <row r="224" spans="2:2">
      <c r="B224"/>
    </row>
    <row r="225" spans="2:2">
      <c r="B225"/>
    </row>
    <row r="226" spans="2:2">
      <c r="B226"/>
    </row>
    <row r="227" spans="2:2">
      <c r="B227"/>
    </row>
    <row r="228" spans="2:2">
      <c r="B228"/>
    </row>
    <row r="229" spans="2:2">
      <c r="B229"/>
    </row>
    <row r="230" spans="2:2">
      <c r="B230"/>
    </row>
    <row r="231" spans="2:2">
      <c r="B231"/>
    </row>
    <row r="232" spans="2:2">
      <c r="B232"/>
    </row>
    <row r="233" spans="2:2">
      <c r="B233"/>
    </row>
    <row r="234" spans="2:2">
      <c r="B234"/>
    </row>
    <row r="235" spans="2:2">
      <c r="B235"/>
    </row>
    <row r="236" spans="2:2">
      <c r="B236"/>
    </row>
    <row r="237" spans="2:2">
      <c r="B237"/>
    </row>
    <row r="238" spans="2:2">
      <c r="B238"/>
    </row>
    <row r="239" spans="2:2">
      <c r="B239"/>
    </row>
    <row r="240" spans="2:2">
      <c r="B240"/>
    </row>
    <row r="241" spans="2:2">
      <c r="B241"/>
    </row>
    <row r="242" spans="2:2">
      <c r="B242"/>
    </row>
    <row r="243" spans="2:2">
      <c r="B243"/>
    </row>
    <row r="244" spans="2:2">
      <c r="B244"/>
    </row>
    <row r="245" spans="2:2">
      <c r="B245"/>
    </row>
    <row r="246" spans="2:2">
      <c r="B246"/>
    </row>
    <row r="247" spans="2:2">
      <c r="B247"/>
    </row>
    <row r="248" spans="2:2">
      <c r="B248"/>
    </row>
    <row r="249" spans="2:2">
      <c r="B249"/>
    </row>
    <row r="250" spans="2:2">
      <c r="B250"/>
    </row>
    <row r="251" spans="2:2">
      <c r="B251"/>
    </row>
    <row r="252" spans="2:2">
      <c r="B252"/>
    </row>
    <row r="253" spans="2:2">
      <c r="B253"/>
    </row>
    <row r="254" spans="2:2">
      <c r="B254"/>
    </row>
    <row r="255" spans="2:2">
      <c r="B255"/>
    </row>
    <row r="256" spans="2:2">
      <c r="B256"/>
    </row>
    <row r="257" spans="2:2">
      <c r="B257"/>
    </row>
    <row r="258" spans="2:2">
      <c r="B258"/>
    </row>
    <row r="259" spans="2:2">
      <c r="B259"/>
    </row>
    <row r="260" spans="2:2">
      <c r="B260"/>
    </row>
    <row r="261" spans="2:2">
      <c r="B261"/>
    </row>
    <row r="262" spans="2:2">
      <c r="B262"/>
    </row>
    <row r="263" spans="2:2">
      <c r="B263"/>
    </row>
    <row r="264" spans="2:2">
      <c r="B264"/>
    </row>
    <row r="265" spans="2:2">
      <c r="B265"/>
    </row>
    <row r="266" spans="2:2">
      <c r="B266"/>
    </row>
    <row r="267" spans="2:2">
      <c r="B267"/>
    </row>
    <row r="268" spans="2:2">
      <c r="B268"/>
    </row>
    <row r="269" spans="2:2">
      <c r="B269"/>
    </row>
    <row r="270" spans="2:2">
      <c r="B270"/>
    </row>
    <row r="271" spans="2:2">
      <c r="B271"/>
    </row>
    <row r="272" spans="2:2">
      <c r="B272"/>
    </row>
    <row r="273" spans="2:2">
      <c r="B273"/>
    </row>
    <row r="274" spans="2:2">
      <c r="B274"/>
    </row>
    <row r="275" spans="2:2">
      <c r="B275"/>
    </row>
    <row r="276" spans="2:2">
      <c r="B276"/>
    </row>
    <row r="277" spans="2:2">
      <c r="B277"/>
    </row>
    <row r="278" spans="2:2">
      <c r="B278"/>
    </row>
    <row r="279" spans="2:2">
      <c r="B279"/>
    </row>
    <row r="280" spans="2:2">
      <c r="B280"/>
    </row>
    <row r="281" spans="2:2">
      <c r="B281"/>
    </row>
    <row r="282" spans="2:2">
      <c r="B282"/>
    </row>
    <row r="283" spans="2:2">
      <c r="B283"/>
    </row>
    <row r="284" spans="2:2">
      <c r="B284"/>
    </row>
    <row r="285" spans="2:2">
      <c r="B285"/>
    </row>
    <row r="286" spans="2:2">
      <c r="B286"/>
    </row>
    <row r="287" spans="2:2">
      <c r="B287"/>
    </row>
    <row r="288" spans="2:2">
      <c r="B288"/>
    </row>
    <row r="289" spans="2:2">
      <c r="B289"/>
    </row>
    <row r="290" spans="2:2">
      <c r="B290"/>
    </row>
    <row r="291" spans="2:2">
      <c r="B291"/>
    </row>
    <row r="292" spans="2:2">
      <c r="B292"/>
    </row>
    <row r="293" spans="2:2">
      <c r="B293"/>
    </row>
    <row r="294" spans="2:2">
      <c r="B294"/>
    </row>
    <row r="295" spans="2:2">
      <c r="B295"/>
    </row>
    <row r="296" spans="2:2">
      <c r="B296"/>
    </row>
    <row r="297" spans="2:2">
      <c r="B297"/>
    </row>
    <row r="298" spans="2:2">
      <c r="B298"/>
    </row>
    <row r="299" spans="2:2">
      <c r="B299"/>
    </row>
    <row r="300" spans="2:2">
      <c r="B300"/>
    </row>
    <row r="301" spans="2:2">
      <c r="B301"/>
    </row>
    <row r="302" spans="2:2">
      <c r="B302"/>
    </row>
    <row r="303" spans="2:2">
      <c r="B303"/>
    </row>
    <row r="304" spans="2:2">
      <c r="B304"/>
    </row>
    <row r="305" spans="2:2">
      <c r="B305"/>
    </row>
    <row r="306" spans="2:2">
      <c r="B306"/>
    </row>
    <row r="307" spans="2:2">
      <c r="B307"/>
    </row>
    <row r="308" spans="2:2">
      <c r="B308"/>
    </row>
    <row r="309" spans="2:2">
      <c r="B309"/>
    </row>
    <row r="310" spans="2:2">
      <c r="B310"/>
    </row>
    <row r="311" spans="2:2">
      <c r="B311"/>
    </row>
    <row r="312" spans="2:2">
      <c r="B312"/>
    </row>
    <row r="313" spans="2:2">
      <c r="B313"/>
    </row>
    <row r="314" spans="2:2">
      <c r="B314"/>
    </row>
    <row r="315" spans="2:2">
      <c r="B315"/>
    </row>
    <row r="316" spans="2:2">
      <c r="B316"/>
    </row>
    <row r="317" spans="2:2">
      <c r="B317"/>
    </row>
    <row r="318" spans="2:2">
      <c r="B318"/>
    </row>
    <row r="319" spans="2:2">
      <c r="B319"/>
    </row>
    <row r="320" spans="2:2">
      <c r="B320"/>
    </row>
    <row r="321" spans="2:2">
      <c r="B321"/>
    </row>
    <row r="322" spans="2:2">
      <c r="B322"/>
    </row>
    <row r="323" spans="2:2">
      <c r="B323"/>
    </row>
    <row r="324" spans="2:2">
      <c r="B324"/>
    </row>
    <row r="325" spans="2:2">
      <c r="B325"/>
    </row>
    <row r="326" spans="2:2">
      <c r="B326"/>
    </row>
    <row r="327" spans="2:2">
      <c r="B327"/>
    </row>
    <row r="328" spans="2:2">
      <c r="B328"/>
    </row>
    <row r="329" spans="2:2">
      <c r="B329"/>
    </row>
    <row r="330" spans="2:2">
      <c r="B330"/>
    </row>
    <row r="331" spans="2:2">
      <c r="B331"/>
    </row>
    <row r="332" spans="2:2">
      <c r="B332"/>
    </row>
    <row r="333" spans="2:2">
      <c r="B333"/>
    </row>
    <row r="334" spans="2:2">
      <c r="B334"/>
    </row>
    <row r="335" spans="2:2">
      <c r="B335"/>
    </row>
    <row r="336" spans="2:2">
      <c r="B336"/>
    </row>
    <row r="337" spans="2:2">
      <c r="B337"/>
    </row>
    <row r="338" spans="2:2">
      <c r="B338"/>
    </row>
    <row r="339" spans="2:2">
      <c r="B339"/>
    </row>
    <row r="340" spans="2:2">
      <c r="B340"/>
    </row>
    <row r="341" spans="2:2">
      <c r="B341"/>
    </row>
    <row r="342" spans="2:2">
      <c r="B342"/>
    </row>
    <row r="343" spans="2:2">
      <c r="B343"/>
    </row>
    <row r="344" spans="2:2">
      <c r="B344"/>
    </row>
    <row r="345" spans="2:2">
      <c r="B345"/>
    </row>
    <row r="346" spans="2:2">
      <c r="B346"/>
    </row>
    <row r="347" spans="2:2">
      <c r="B347"/>
    </row>
    <row r="348" spans="2:2">
      <c r="B348"/>
    </row>
    <row r="349" spans="2:2">
      <c r="B349"/>
    </row>
    <row r="350" spans="2:2">
      <c r="B350"/>
    </row>
    <row r="351" spans="2:2">
      <c r="B351"/>
    </row>
    <row r="352" spans="2:2">
      <c r="B352"/>
    </row>
    <row r="353" spans="2:2">
      <c r="B353"/>
    </row>
    <row r="354" spans="2:2">
      <c r="B354"/>
    </row>
    <row r="355" spans="2:2">
      <c r="B355"/>
    </row>
    <row r="356" spans="2:2">
      <c r="B356"/>
    </row>
    <row r="357" spans="2:2">
      <c r="B357"/>
    </row>
    <row r="358" spans="2:2">
      <c r="B358"/>
    </row>
    <row r="359" spans="2:2">
      <c r="B359"/>
    </row>
    <row r="360" spans="2:2">
      <c r="B360"/>
    </row>
    <row r="361" spans="2:2">
      <c r="B361"/>
    </row>
    <row r="362" spans="2:2">
      <c r="B362"/>
    </row>
    <row r="363" spans="2:2">
      <c r="B363"/>
    </row>
    <row r="364" spans="2:2">
      <c r="B364"/>
    </row>
    <row r="365" spans="2:2">
      <c r="B365"/>
    </row>
    <row r="366" spans="2:2">
      <c r="B366"/>
    </row>
    <row r="367" spans="2:2">
      <c r="B367"/>
    </row>
    <row r="368" spans="2:2">
      <c r="B368"/>
    </row>
    <row r="369" spans="2:2">
      <c r="B369"/>
    </row>
    <row r="370" spans="2:2">
      <c r="B370"/>
    </row>
    <row r="371" spans="2:2">
      <c r="B371"/>
    </row>
    <row r="372" spans="2:2">
      <c r="B372"/>
    </row>
    <row r="373" spans="2:2">
      <c r="B373"/>
    </row>
    <row r="374" spans="2:2">
      <c r="B374"/>
    </row>
    <row r="375" spans="2:2">
      <c r="B375"/>
    </row>
    <row r="376" spans="2:2">
      <c r="B376"/>
    </row>
    <row r="377" spans="2:2">
      <c r="B377"/>
    </row>
    <row r="378" spans="2:2">
      <c r="B378"/>
    </row>
    <row r="379" spans="2:2">
      <c r="B379"/>
    </row>
    <row r="380" spans="2:2">
      <c r="B380"/>
    </row>
    <row r="381" spans="2:2">
      <c r="B381"/>
    </row>
    <row r="382" spans="2:2">
      <c r="B382"/>
    </row>
    <row r="383" spans="2:2">
      <c r="B383"/>
    </row>
    <row r="384" spans="2:2">
      <c r="B384"/>
    </row>
    <row r="385" spans="2:2">
      <c r="B385"/>
    </row>
    <row r="386" spans="2:2">
      <c r="B386"/>
    </row>
    <row r="387" spans="2:2">
      <c r="B387"/>
    </row>
    <row r="388" spans="2:2">
      <c r="B388"/>
    </row>
    <row r="389" spans="2:2">
      <c r="B389"/>
    </row>
    <row r="390" spans="2:2">
      <c r="B390"/>
    </row>
    <row r="391" spans="2:2">
      <c r="B391"/>
    </row>
    <row r="392" spans="2:2">
      <c r="B392"/>
    </row>
    <row r="393" spans="2:2">
      <c r="B393"/>
    </row>
    <row r="394" spans="2:2">
      <c r="B394"/>
    </row>
    <row r="395" spans="2:2">
      <c r="B395"/>
    </row>
    <row r="396" spans="2:2">
      <c r="B396"/>
    </row>
    <row r="397" spans="2:2">
      <c r="B397"/>
    </row>
    <row r="398" spans="2:2">
      <c r="B398"/>
    </row>
    <row r="399" spans="2:2">
      <c r="B399"/>
    </row>
    <row r="400" spans="2:2">
      <c r="B400"/>
    </row>
    <row r="401" spans="2:2">
      <c r="B401"/>
    </row>
    <row r="402" spans="2:2">
      <c r="B402"/>
    </row>
    <row r="403" spans="2:2">
      <c r="B403"/>
    </row>
    <row r="404" spans="2:2">
      <c r="B404"/>
    </row>
    <row r="405" spans="2:2">
      <c r="B405"/>
    </row>
    <row r="406" spans="2:2">
      <c r="B406"/>
    </row>
    <row r="407" spans="2:2">
      <c r="B407"/>
    </row>
    <row r="408" spans="2:2">
      <c r="B408"/>
    </row>
    <row r="409" spans="2:2">
      <c r="B409"/>
    </row>
    <row r="410" spans="2:2">
      <c r="B410"/>
    </row>
    <row r="411" spans="2:2">
      <c r="B411"/>
    </row>
    <row r="412" spans="2:2">
      <c r="B412"/>
    </row>
    <row r="413" spans="2:2">
      <c r="B413"/>
    </row>
    <row r="414" spans="2:2">
      <c r="B414"/>
    </row>
    <row r="415" spans="2:2">
      <c r="B415"/>
    </row>
    <row r="416" spans="2:2">
      <c r="B416"/>
    </row>
    <row r="417" spans="2:2">
      <c r="B417"/>
    </row>
    <row r="418" spans="2:2">
      <c r="B418"/>
    </row>
    <row r="419" spans="2:2">
      <c r="B419"/>
    </row>
    <row r="420" spans="2:2">
      <c r="B420"/>
    </row>
    <row r="421" spans="2:2">
      <c r="B421"/>
    </row>
    <row r="422" spans="2:2">
      <c r="B422"/>
    </row>
    <row r="423" spans="2:2">
      <c r="B423"/>
    </row>
    <row r="424" spans="2:2">
      <c r="B424"/>
    </row>
    <row r="425" spans="2:2">
      <c r="B425"/>
    </row>
    <row r="426" spans="2:2">
      <c r="B426"/>
    </row>
    <row r="427" spans="2:2">
      <c r="B427"/>
    </row>
    <row r="428" spans="2:2">
      <c r="B428"/>
    </row>
    <row r="429" spans="2:2">
      <c r="B429"/>
    </row>
    <row r="430" spans="2:2">
      <c r="B430"/>
    </row>
    <row r="431" spans="2:2">
      <c r="B431"/>
    </row>
    <row r="432" spans="2:2">
      <c r="B432"/>
    </row>
    <row r="433" spans="2:2">
      <c r="B433"/>
    </row>
    <row r="434" spans="2:2">
      <c r="B434"/>
    </row>
    <row r="435" spans="2:2">
      <c r="B435"/>
    </row>
    <row r="436" spans="2:2">
      <c r="B436"/>
    </row>
    <row r="437" spans="2:2">
      <c r="B437"/>
    </row>
    <row r="438" spans="2:2">
      <c r="B438"/>
    </row>
    <row r="439" spans="2:2">
      <c r="B439"/>
    </row>
    <row r="440" spans="2:2">
      <c r="B440"/>
    </row>
    <row r="441" spans="2:2">
      <c r="B441"/>
    </row>
    <row r="442" spans="2:2">
      <c r="B442"/>
    </row>
    <row r="443" spans="2:2">
      <c r="B443"/>
    </row>
    <row r="444" spans="2:2">
      <c r="B444"/>
    </row>
    <row r="445" spans="2:2">
      <c r="B445"/>
    </row>
    <row r="446" spans="2:2">
      <c r="B446"/>
    </row>
    <row r="447" spans="2:2">
      <c r="B447"/>
    </row>
    <row r="448" spans="2:2">
      <c r="B448"/>
    </row>
    <row r="449" spans="2:2">
      <c r="B449"/>
    </row>
    <row r="450" spans="2:2">
      <c r="B450"/>
    </row>
    <row r="451" spans="2:2">
      <c r="B451"/>
    </row>
    <row r="452" spans="2:2">
      <c r="B452"/>
    </row>
    <row r="453" spans="2:2">
      <c r="B453"/>
    </row>
    <row r="454" spans="2:2">
      <c r="B454"/>
    </row>
    <row r="455" spans="2:2">
      <c r="B455"/>
    </row>
    <row r="456" spans="2:2">
      <c r="B456"/>
    </row>
    <row r="457" spans="2:2">
      <c r="B457"/>
    </row>
    <row r="458" spans="2:2">
      <c r="B458"/>
    </row>
    <row r="459" spans="2:2">
      <c r="B459"/>
    </row>
    <row r="460" spans="2:2">
      <c r="B460"/>
    </row>
    <row r="461" spans="2:2">
      <c r="B461"/>
    </row>
    <row r="462" spans="2:2">
      <c r="B462"/>
    </row>
    <row r="463" spans="2:2">
      <c r="B463"/>
    </row>
    <row r="464" spans="2:2">
      <c r="B464"/>
    </row>
    <row r="465" spans="2:2">
      <c r="B465"/>
    </row>
    <row r="466" spans="2:2">
      <c r="B466"/>
    </row>
    <row r="467" spans="2:2">
      <c r="B467"/>
    </row>
    <row r="468" spans="2:2">
      <c r="B468"/>
    </row>
    <row r="469" spans="2:2">
      <c r="B469"/>
    </row>
    <row r="470" spans="2:2">
      <c r="B470"/>
    </row>
    <row r="471" spans="2:2">
      <c r="B471"/>
    </row>
    <row r="472" spans="2:2">
      <c r="B472"/>
    </row>
    <row r="473" spans="2:2">
      <c r="B473"/>
    </row>
    <row r="474" spans="2:2">
      <c r="B474"/>
    </row>
    <row r="475" spans="2:2">
      <c r="B475"/>
    </row>
    <row r="476" spans="2:2">
      <c r="B476"/>
    </row>
    <row r="477" spans="2:2">
      <c r="B477"/>
    </row>
    <row r="478" spans="2:2">
      <c r="B478"/>
    </row>
    <row r="479" spans="2:2">
      <c r="B479"/>
    </row>
    <row r="480" spans="2:2">
      <c r="B480"/>
    </row>
    <row r="481" spans="2:2">
      <c r="B481"/>
    </row>
    <row r="482" spans="2:2">
      <c r="B482"/>
    </row>
    <row r="483" spans="2:2">
      <c r="B483"/>
    </row>
    <row r="484" spans="2:2">
      <c r="B484"/>
    </row>
    <row r="485" spans="2:2">
      <c r="B485"/>
    </row>
    <row r="486" spans="2:2">
      <c r="B486"/>
    </row>
    <row r="487" spans="2:2">
      <c r="B487"/>
    </row>
    <row r="488" spans="2:2">
      <c r="B488"/>
    </row>
    <row r="489" spans="2:2">
      <c r="B489"/>
    </row>
    <row r="490" spans="2:2">
      <c r="B490"/>
    </row>
    <row r="491" spans="2:2">
      <c r="B491"/>
    </row>
    <row r="492" spans="2:2">
      <c r="B492"/>
    </row>
    <row r="493" spans="2:2">
      <c r="B493"/>
    </row>
    <row r="494" spans="2:2">
      <c r="B494"/>
    </row>
    <row r="495" spans="2:2">
      <c r="B495"/>
    </row>
    <row r="496" spans="2:2">
      <c r="B496"/>
    </row>
    <row r="497" spans="2:2">
      <c r="B497"/>
    </row>
    <row r="498" spans="2:2">
      <c r="B498"/>
    </row>
    <row r="499" spans="2:2">
      <c r="B499"/>
    </row>
    <row r="500" spans="2:2">
      <c r="B500"/>
    </row>
    <row r="501" spans="2:2">
      <c r="B501"/>
    </row>
    <row r="502" spans="2:2">
      <c r="B502"/>
    </row>
    <row r="503" spans="2:2">
      <c r="B503"/>
    </row>
    <row r="504" spans="2:2">
      <c r="B504"/>
    </row>
    <row r="505" spans="2:2">
      <c r="B505"/>
    </row>
    <row r="506" spans="2:2">
      <c r="B506"/>
    </row>
    <row r="507" spans="2:2">
      <c r="B507"/>
    </row>
    <row r="508" spans="2:2">
      <c r="B508"/>
    </row>
    <row r="509" spans="2:2">
      <c r="B509"/>
    </row>
    <row r="510" spans="2:2">
      <c r="B510"/>
    </row>
    <row r="511" spans="2:2">
      <c r="B511"/>
    </row>
    <row r="512" spans="2:2">
      <c r="B512"/>
    </row>
    <row r="513" spans="2:2">
      <c r="B513"/>
    </row>
    <row r="514" spans="2:2">
      <c r="B514"/>
    </row>
    <row r="515" spans="2:2">
      <c r="B515"/>
    </row>
    <row r="516" spans="2:2">
      <c r="B516"/>
    </row>
    <row r="517" spans="2:2">
      <c r="B517"/>
    </row>
    <row r="518" spans="2:2">
      <c r="B518"/>
    </row>
    <row r="519" spans="2:2">
      <c r="B519"/>
    </row>
    <row r="520" spans="2:2">
      <c r="B520"/>
    </row>
    <row r="521" spans="2:2">
      <c r="B521"/>
    </row>
    <row r="522" spans="2:2">
      <c r="B522"/>
    </row>
    <row r="523" spans="2:2">
      <c r="B523"/>
    </row>
    <row r="524" spans="2:2">
      <c r="B524"/>
    </row>
    <row r="525" spans="2:2">
      <c r="B525"/>
    </row>
    <row r="526" spans="2:2">
      <c r="B526"/>
    </row>
    <row r="527" spans="2:2">
      <c r="B527"/>
    </row>
    <row r="528" spans="2:2">
      <c r="B528"/>
    </row>
    <row r="529" spans="2:2">
      <c r="B529"/>
    </row>
    <row r="530" spans="2:2">
      <c r="B530"/>
    </row>
    <row r="531" spans="2:2">
      <c r="B531"/>
    </row>
    <row r="532" spans="2:2">
      <c r="B532"/>
    </row>
    <row r="533" spans="2:2">
      <c r="B533"/>
    </row>
    <row r="534" spans="2:2">
      <c r="B534"/>
    </row>
    <row r="535" spans="2:2">
      <c r="B535"/>
    </row>
    <row r="536" spans="2:2">
      <c r="B536"/>
    </row>
    <row r="537" spans="2:2">
      <c r="B537"/>
    </row>
    <row r="538" spans="2:2">
      <c r="B538"/>
    </row>
    <row r="539" spans="2:2">
      <c r="B539"/>
    </row>
    <row r="540" spans="2:2">
      <c r="B540"/>
    </row>
    <row r="541" spans="2:2">
      <c r="B541"/>
    </row>
    <row r="542" spans="2:2">
      <c r="B542"/>
    </row>
    <row r="543" spans="2:2">
      <c r="B543"/>
    </row>
    <row r="544" spans="2:2">
      <c r="B544"/>
    </row>
    <row r="545" spans="2:2">
      <c r="B545"/>
    </row>
    <row r="546" spans="2:2">
      <c r="B546"/>
    </row>
    <row r="547" spans="2:2">
      <c r="B547"/>
    </row>
    <row r="548" spans="2:2">
      <c r="B548"/>
    </row>
    <row r="549" spans="2:2">
      <c r="B549"/>
    </row>
    <row r="550" spans="2:2">
      <c r="B550"/>
    </row>
    <row r="551" spans="2:2">
      <c r="B551"/>
    </row>
    <row r="552" spans="2:2">
      <c r="B552"/>
    </row>
    <row r="553" spans="2:2">
      <c r="B553"/>
    </row>
    <row r="554" spans="2:2">
      <c r="B554"/>
    </row>
    <row r="555" spans="2:2">
      <c r="B555"/>
    </row>
    <row r="556" spans="2:2">
      <c r="B556"/>
    </row>
    <row r="557" spans="2:2">
      <c r="B557"/>
    </row>
    <row r="558" spans="2:2">
      <c r="B558"/>
    </row>
    <row r="559" spans="2:2">
      <c r="B559"/>
    </row>
    <row r="560" spans="2:2">
      <c r="B560"/>
    </row>
    <row r="561" spans="2:2">
      <c r="B561"/>
    </row>
    <row r="562" spans="2:2">
      <c r="B562"/>
    </row>
    <row r="563" spans="2:2">
      <c r="B563"/>
    </row>
    <row r="564" spans="2:2">
      <c r="B564"/>
    </row>
    <row r="565" spans="2:2">
      <c r="B565"/>
    </row>
    <row r="566" spans="2:2">
      <c r="B566"/>
    </row>
    <row r="567" spans="2:2">
      <c r="B567"/>
    </row>
    <row r="568" spans="2:2">
      <c r="B568"/>
    </row>
    <row r="569" spans="2:2">
      <c r="B569"/>
    </row>
    <row r="570" spans="2:2">
      <c r="B570"/>
    </row>
    <row r="571" spans="2:2">
      <c r="B571"/>
    </row>
    <row r="572" spans="2:2">
      <c r="B572"/>
    </row>
    <row r="573" spans="2:2">
      <c r="B573"/>
    </row>
    <row r="574" spans="2:2">
      <c r="B574"/>
    </row>
    <row r="575" spans="2:2">
      <c r="B575"/>
    </row>
    <row r="576" spans="2:2">
      <c r="B576"/>
    </row>
    <row r="577" spans="2:2">
      <c r="B577"/>
    </row>
    <row r="578" spans="2:2">
      <c r="B578"/>
    </row>
    <row r="579" spans="2:2">
      <c r="B579"/>
    </row>
    <row r="580" spans="2:2">
      <c r="B580"/>
    </row>
    <row r="581" spans="2:2">
      <c r="B581"/>
    </row>
    <row r="582" spans="2:2">
      <c r="B582"/>
    </row>
    <row r="583" spans="2:2">
      <c r="B583"/>
    </row>
    <row r="584" spans="2:2">
      <c r="B584"/>
    </row>
    <row r="585" spans="2:2">
      <c r="B585"/>
    </row>
    <row r="586" spans="2:2">
      <c r="B586"/>
    </row>
    <row r="587" spans="2:2">
      <c r="B587"/>
    </row>
    <row r="588" spans="2:2">
      <c r="B588"/>
    </row>
    <row r="589" spans="2:2">
      <c r="B589"/>
    </row>
    <row r="590" spans="2:2">
      <c r="B590"/>
    </row>
    <row r="591" spans="2:2">
      <c r="B591"/>
    </row>
    <row r="592" spans="2:2">
      <c r="B592"/>
    </row>
    <row r="593" spans="2:2">
      <c r="B593"/>
    </row>
    <row r="594" spans="2:2">
      <c r="B594"/>
    </row>
    <row r="595" spans="2:2">
      <c r="B595"/>
    </row>
    <row r="596" spans="2:2">
      <c r="B596"/>
    </row>
    <row r="597" spans="2:2">
      <c r="B597"/>
    </row>
    <row r="598" spans="2:2">
      <c r="B598"/>
    </row>
    <row r="599" spans="2:2">
      <c r="B599"/>
    </row>
    <row r="600" spans="2:2">
      <c r="B600"/>
    </row>
    <row r="601" spans="2:2">
      <c r="B601"/>
    </row>
    <row r="602" spans="2:2">
      <c r="B602"/>
    </row>
    <row r="603" spans="2:2">
      <c r="B603"/>
    </row>
    <row r="604" spans="2:2">
      <c r="B604"/>
    </row>
    <row r="605" spans="2:2">
      <c r="B605"/>
    </row>
    <row r="606" spans="2:2">
      <c r="B606"/>
    </row>
    <row r="607" spans="2:2">
      <c r="B607"/>
    </row>
    <row r="608" spans="2:2">
      <c r="B608"/>
    </row>
    <row r="609" spans="2:2">
      <c r="B609"/>
    </row>
    <row r="610" spans="2:2">
      <c r="B610"/>
    </row>
    <row r="611" spans="2:2">
      <c r="B611"/>
    </row>
    <row r="612" spans="2:2">
      <c r="B612"/>
    </row>
    <row r="613" spans="2:2">
      <c r="B613"/>
    </row>
    <row r="614" spans="2:2">
      <c r="B614"/>
    </row>
    <row r="615" spans="2:2">
      <c r="B615"/>
    </row>
    <row r="616" spans="2:2">
      <c r="B616"/>
    </row>
    <row r="617" spans="2:2">
      <c r="B617"/>
    </row>
    <row r="618" spans="2:2">
      <c r="B618"/>
    </row>
    <row r="619" spans="2:2">
      <c r="B619"/>
    </row>
    <row r="620" spans="2:2">
      <c r="B620"/>
    </row>
    <row r="621" spans="2:2">
      <c r="B621"/>
    </row>
    <row r="622" spans="2:2">
      <c r="B622"/>
    </row>
    <row r="623" spans="2:2">
      <c r="B623"/>
    </row>
    <row r="624" spans="2:2">
      <c r="B624"/>
    </row>
    <row r="625" spans="2:2">
      <c r="B625"/>
    </row>
    <row r="626" spans="2:2">
      <c r="B626"/>
    </row>
    <row r="627" spans="2:2">
      <c r="B627"/>
    </row>
    <row r="628" spans="2:2">
      <c r="B628"/>
    </row>
    <row r="629" spans="2:2">
      <c r="B629"/>
    </row>
    <row r="630" spans="2:2">
      <c r="B630"/>
    </row>
    <row r="631" spans="2:2">
      <c r="B631"/>
    </row>
    <row r="632" spans="2:2">
      <c r="B632"/>
    </row>
    <row r="633" spans="2:2">
      <c r="B633"/>
    </row>
    <row r="634" spans="2:2">
      <c r="B634"/>
    </row>
    <row r="635" spans="2:2">
      <c r="B635"/>
    </row>
    <row r="636" spans="2:2">
      <c r="B636"/>
    </row>
    <row r="637" spans="2:2">
      <c r="B637"/>
    </row>
    <row r="638" spans="2:2">
      <c r="B638"/>
    </row>
    <row r="639" spans="2:2">
      <c r="B639"/>
    </row>
    <row r="640" spans="2:2">
      <c r="B640"/>
    </row>
    <row r="641" spans="2:2">
      <c r="B641"/>
    </row>
    <row r="642" spans="2:2">
      <c r="B642"/>
    </row>
    <row r="643" spans="2:2">
      <c r="B643"/>
    </row>
    <row r="644" spans="2:2">
      <c r="B644"/>
    </row>
    <row r="645" spans="2:2">
      <c r="B645"/>
    </row>
    <row r="646" spans="2:2">
      <c r="B646"/>
    </row>
    <row r="647" spans="2:2">
      <c r="B647"/>
    </row>
    <row r="648" spans="2:2">
      <c r="B648"/>
    </row>
    <row r="649" spans="2:2">
      <c r="B649"/>
    </row>
    <row r="650" spans="2:2">
      <c r="B650"/>
    </row>
    <row r="651" spans="2:2">
      <c r="B651"/>
    </row>
    <row r="652" spans="2:2">
      <c r="B652"/>
    </row>
    <row r="653" spans="2:2">
      <c r="B653"/>
    </row>
    <row r="654" spans="2:2">
      <c r="B654"/>
    </row>
    <row r="655" spans="2:2">
      <c r="B655"/>
    </row>
    <row r="656" spans="2:2">
      <c r="B656"/>
    </row>
    <row r="657" spans="2:2">
      <c r="B657"/>
    </row>
    <row r="658" spans="2:2">
      <c r="B658"/>
    </row>
    <row r="659" spans="2:2">
      <c r="B659"/>
    </row>
    <row r="660" spans="2:2">
      <c r="B660"/>
    </row>
    <row r="661" spans="2:2">
      <c r="B661"/>
    </row>
    <row r="662" spans="2:2">
      <c r="B662"/>
    </row>
    <row r="663" spans="2:2">
      <c r="B663"/>
    </row>
    <row r="664" spans="2:2">
      <c r="B664"/>
    </row>
    <row r="665" spans="2:2">
      <c r="B665"/>
    </row>
    <row r="666" spans="2:2">
      <c r="B666"/>
    </row>
    <row r="667" spans="2:2">
      <c r="B667"/>
    </row>
    <row r="668" spans="2:2">
      <c r="B668"/>
    </row>
    <row r="669" spans="2:2">
      <c r="B669"/>
    </row>
    <row r="670" spans="2:2">
      <c r="B670"/>
    </row>
    <row r="671" spans="2:2">
      <c r="B671"/>
    </row>
    <row r="672" spans="2:2">
      <c r="B672"/>
    </row>
    <row r="673" spans="2:2">
      <c r="B673"/>
    </row>
    <row r="674" spans="2:2">
      <c r="B674"/>
    </row>
    <row r="675" spans="2:2">
      <c r="B675"/>
    </row>
    <row r="676" spans="2:2">
      <c r="B676"/>
    </row>
    <row r="677" spans="2:2">
      <c r="B677"/>
    </row>
    <row r="678" spans="2:2">
      <c r="B678"/>
    </row>
    <row r="679" spans="2:2">
      <c r="B679"/>
    </row>
    <row r="680" spans="2:2">
      <c r="B680"/>
    </row>
    <row r="681" spans="2:2">
      <c r="B681"/>
    </row>
    <row r="682" spans="2:2">
      <c r="B682"/>
    </row>
    <row r="683" spans="2:2">
      <c r="B683"/>
    </row>
    <row r="684" spans="2:2">
      <c r="B684"/>
    </row>
    <row r="685" spans="2:2">
      <c r="B685"/>
    </row>
    <row r="686" spans="2:2">
      <c r="B686"/>
    </row>
    <row r="687" spans="2:2">
      <c r="B687"/>
    </row>
    <row r="688" spans="2:2">
      <c r="B688"/>
    </row>
    <row r="689" spans="2:2">
      <c r="B689"/>
    </row>
    <row r="690" spans="2:2">
      <c r="B690"/>
    </row>
    <row r="691" spans="2:2">
      <c r="B691"/>
    </row>
    <row r="692" spans="2:2">
      <c r="B692"/>
    </row>
    <row r="693" spans="2:2">
      <c r="B693"/>
    </row>
    <row r="694" spans="2:2">
      <c r="B694"/>
    </row>
    <row r="695" spans="2:2">
      <c r="B695"/>
    </row>
    <row r="696" spans="2:2">
      <c r="B696"/>
    </row>
    <row r="697" spans="2:2">
      <c r="B697"/>
    </row>
    <row r="698" spans="2:2">
      <c r="B698"/>
    </row>
    <row r="699" spans="2:2">
      <c r="B699"/>
    </row>
    <row r="700" spans="2:2">
      <c r="B700"/>
    </row>
    <row r="701" spans="2:2">
      <c r="B701"/>
    </row>
    <row r="702" spans="2:2">
      <c r="B702"/>
    </row>
    <row r="703" spans="2:2">
      <c r="B703"/>
    </row>
    <row r="704" spans="2:2">
      <c r="B704"/>
    </row>
    <row r="705" spans="2:2">
      <c r="B705"/>
    </row>
    <row r="706" spans="2:2">
      <c r="B706"/>
    </row>
    <row r="707" spans="2:2">
      <c r="B707"/>
    </row>
    <row r="708" spans="2:2">
      <c r="B708"/>
    </row>
    <row r="709" spans="2:2">
      <c r="B709"/>
    </row>
    <row r="710" spans="2:2">
      <c r="B710"/>
    </row>
    <row r="711" spans="2:2">
      <c r="B711"/>
    </row>
    <row r="712" spans="2:2">
      <c r="B712"/>
    </row>
    <row r="713" spans="2:2">
      <c r="B713"/>
    </row>
    <row r="714" spans="2:2">
      <c r="B714"/>
    </row>
    <row r="715" spans="2:2">
      <c r="B715"/>
    </row>
    <row r="716" spans="2:2">
      <c r="B716"/>
    </row>
    <row r="717" spans="2:2">
      <c r="B717"/>
    </row>
    <row r="718" spans="2:2">
      <c r="B718"/>
    </row>
    <row r="719" spans="2:2">
      <c r="B719"/>
    </row>
    <row r="720" spans="2:2">
      <c r="B720"/>
    </row>
    <row r="721" spans="2:2">
      <c r="B721"/>
    </row>
    <row r="722" spans="2:2">
      <c r="B722"/>
    </row>
    <row r="723" spans="2:2">
      <c r="B723"/>
    </row>
    <row r="724" spans="2:2">
      <c r="B724"/>
    </row>
    <row r="725" spans="2:2">
      <c r="B725"/>
    </row>
    <row r="726" spans="2:2">
      <c r="B726"/>
    </row>
    <row r="727" spans="2:2">
      <c r="B727"/>
    </row>
    <row r="728" spans="2:2">
      <c r="B728"/>
    </row>
    <row r="729" spans="2:2">
      <c r="B729"/>
    </row>
    <row r="730" spans="2:2">
      <c r="B730"/>
    </row>
    <row r="731" spans="2:2">
      <c r="B731"/>
    </row>
    <row r="732" spans="2:2">
      <c r="B732"/>
    </row>
    <row r="733" spans="2:2">
      <c r="B733"/>
    </row>
    <row r="734" spans="2:2">
      <c r="B734"/>
    </row>
    <row r="735" spans="2:2">
      <c r="B735"/>
    </row>
    <row r="736" spans="2:2">
      <c r="B736"/>
    </row>
    <row r="737" spans="2:2">
      <c r="B737"/>
    </row>
    <row r="738" spans="2:2">
      <c r="B738"/>
    </row>
    <row r="739" spans="2:2">
      <c r="B739"/>
    </row>
    <row r="740" spans="2:2">
      <c r="B740"/>
    </row>
    <row r="741" spans="2:2">
      <c r="B741"/>
    </row>
    <row r="742" spans="2:2">
      <c r="B742"/>
    </row>
    <row r="743" spans="2:2">
      <c r="B743"/>
    </row>
    <row r="744" spans="2:2">
      <c r="B744"/>
    </row>
    <row r="745" spans="2:2">
      <c r="B745"/>
    </row>
    <row r="746" spans="2:2">
      <c r="B746"/>
    </row>
    <row r="747" spans="2:2">
      <c r="B747"/>
    </row>
    <row r="748" spans="2:2">
      <c r="B748"/>
    </row>
    <row r="749" spans="2:2">
      <c r="B749"/>
    </row>
    <row r="750" spans="2:2">
      <c r="B750"/>
    </row>
    <row r="751" spans="2:2">
      <c r="B751"/>
    </row>
    <row r="752" spans="2:2">
      <c r="B752"/>
    </row>
    <row r="753" spans="2:2">
      <c r="B753"/>
    </row>
    <row r="754" spans="2:2">
      <c r="B754"/>
    </row>
    <row r="755" spans="2:2">
      <c r="B755"/>
    </row>
    <row r="756" spans="2:2">
      <c r="B756"/>
    </row>
    <row r="757" spans="2:2">
      <c r="B757"/>
    </row>
    <row r="758" spans="2:2">
      <c r="B758"/>
    </row>
    <row r="759" spans="2:2">
      <c r="B759"/>
    </row>
    <row r="760" spans="2:2">
      <c r="B760"/>
    </row>
    <row r="761" spans="2:2">
      <c r="B761"/>
    </row>
    <row r="762" spans="2:2">
      <c r="B762"/>
    </row>
    <row r="763" spans="2:2">
      <c r="B763"/>
    </row>
    <row r="764" spans="2:2">
      <c r="B764"/>
    </row>
    <row r="765" spans="2:2">
      <c r="B765"/>
    </row>
    <row r="766" spans="2:2">
      <c r="B766"/>
    </row>
    <row r="767" spans="2:2">
      <c r="B767"/>
    </row>
    <row r="768" spans="2:2">
      <c r="B768"/>
    </row>
    <row r="769" spans="2:2">
      <c r="B769"/>
    </row>
    <row r="770" spans="2:2">
      <c r="B770"/>
    </row>
    <row r="771" spans="2:2">
      <c r="B771"/>
    </row>
    <row r="772" spans="2:2">
      <c r="B772"/>
    </row>
    <row r="773" spans="2:2">
      <c r="B773"/>
    </row>
    <row r="774" spans="2:2">
      <c r="B774"/>
    </row>
    <row r="775" spans="2:2">
      <c r="B775"/>
    </row>
    <row r="776" spans="2:2">
      <c r="B776"/>
    </row>
    <row r="777" spans="2:2">
      <c r="B777"/>
    </row>
    <row r="778" spans="2:2">
      <c r="B778"/>
    </row>
    <row r="779" spans="2:2">
      <c r="B779"/>
    </row>
    <row r="780" spans="2:2">
      <c r="B780"/>
    </row>
    <row r="781" spans="2:2">
      <c r="B781"/>
    </row>
    <row r="782" spans="2:2">
      <c r="B782"/>
    </row>
    <row r="783" spans="2:2">
      <c r="B783"/>
    </row>
    <row r="784" spans="2:2">
      <c r="B784"/>
    </row>
    <row r="785" spans="2:2">
      <c r="B785"/>
    </row>
    <row r="786" spans="2:2">
      <c r="B786"/>
    </row>
    <row r="787" spans="2:2">
      <c r="B787"/>
    </row>
    <row r="788" spans="2:2">
      <c r="B788"/>
    </row>
    <row r="789" spans="2:2">
      <c r="B789"/>
    </row>
    <row r="790" spans="2:2">
      <c r="B790"/>
    </row>
    <row r="791" spans="2:2">
      <c r="B791"/>
    </row>
    <row r="792" spans="2:2">
      <c r="B792"/>
    </row>
    <row r="793" spans="2:2">
      <c r="B793"/>
    </row>
    <row r="794" spans="2:2">
      <c r="B794"/>
    </row>
    <row r="795" spans="2:2">
      <c r="B795"/>
    </row>
    <row r="796" spans="2:2">
      <c r="B796"/>
    </row>
    <row r="797" spans="2:2">
      <c r="B797"/>
    </row>
    <row r="798" spans="2:2">
      <c r="B798"/>
    </row>
    <row r="799" spans="2:2">
      <c r="B799"/>
    </row>
    <row r="800" spans="2:2">
      <c r="B800"/>
    </row>
    <row r="801" spans="2:2">
      <c r="B801"/>
    </row>
    <row r="802" spans="2:2">
      <c r="B802"/>
    </row>
    <row r="803" spans="2:2">
      <c r="B803"/>
    </row>
    <row r="804" spans="2:2">
      <c r="B804"/>
    </row>
    <row r="805" spans="2:2">
      <c r="B805"/>
    </row>
    <row r="806" spans="2:2">
      <c r="B806"/>
    </row>
    <row r="807" spans="2:2">
      <c r="B807"/>
    </row>
    <row r="808" spans="2:2">
      <c r="B808"/>
    </row>
    <row r="809" spans="2:2">
      <c r="B809"/>
    </row>
    <row r="810" spans="2:2">
      <c r="B810"/>
    </row>
    <row r="811" spans="2:2">
      <c r="B811"/>
    </row>
    <row r="812" spans="2:2">
      <c r="B812"/>
    </row>
    <row r="813" spans="2:2">
      <c r="B813"/>
    </row>
    <row r="814" spans="2:2">
      <c r="B814"/>
    </row>
    <row r="815" spans="2:2">
      <c r="B815"/>
    </row>
    <row r="816" spans="2:2">
      <c r="B816"/>
    </row>
    <row r="817" spans="2:2">
      <c r="B817"/>
    </row>
    <row r="818" spans="2:2">
      <c r="B818"/>
    </row>
    <row r="819" spans="2:2">
      <c r="B819"/>
    </row>
    <row r="820" spans="2:2">
      <c r="B820"/>
    </row>
    <row r="821" spans="2:2">
      <c r="B821"/>
    </row>
    <row r="822" spans="2:2">
      <c r="B822"/>
    </row>
    <row r="823" spans="2:2">
      <c r="B823"/>
    </row>
    <row r="824" spans="2:2">
      <c r="B824"/>
    </row>
    <row r="825" spans="2:2">
      <c r="B825"/>
    </row>
    <row r="826" spans="2:2">
      <c r="B826"/>
    </row>
    <row r="827" spans="2:2">
      <c r="B827"/>
    </row>
    <row r="828" spans="2:2">
      <c r="B828"/>
    </row>
    <row r="829" spans="2:2">
      <c r="B829"/>
    </row>
    <row r="830" spans="2:2">
      <c r="B830"/>
    </row>
    <row r="831" spans="2:2">
      <c r="B831"/>
    </row>
    <row r="832" spans="2:2">
      <c r="B832"/>
    </row>
    <row r="833" spans="2:2">
      <c r="B833"/>
    </row>
    <row r="834" spans="2:2">
      <c r="B834"/>
    </row>
    <row r="835" spans="2:2">
      <c r="B835"/>
    </row>
    <row r="836" spans="2:2">
      <c r="B836"/>
    </row>
    <row r="837" spans="2:2">
      <c r="B837"/>
    </row>
    <row r="838" spans="2:2">
      <c r="B838"/>
    </row>
    <row r="839" spans="2:2">
      <c r="B839"/>
    </row>
    <row r="840" spans="2:2">
      <c r="B840"/>
    </row>
    <row r="841" spans="2:2">
      <c r="B841"/>
    </row>
    <row r="842" spans="2:2">
      <c r="B842"/>
    </row>
    <row r="843" spans="2:2">
      <c r="B843"/>
    </row>
    <row r="844" spans="2:2">
      <c r="B844"/>
    </row>
    <row r="845" spans="2:2">
      <c r="B845"/>
    </row>
    <row r="846" spans="2:2">
      <c r="B846"/>
    </row>
    <row r="847" spans="2:2">
      <c r="B847"/>
    </row>
    <row r="848" spans="2:2">
      <c r="B848"/>
    </row>
    <row r="849" spans="2:2">
      <c r="B849"/>
    </row>
    <row r="850" spans="2:2">
      <c r="B850"/>
    </row>
    <row r="851" spans="2:2">
      <c r="B851"/>
    </row>
    <row r="852" spans="2:2">
      <c r="B852"/>
    </row>
    <row r="853" spans="2:2">
      <c r="B853"/>
    </row>
    <row r="854" spans="2:2">
      <c r="B854"/>
    </row>
    <row r="855" spans="2:2">
      <c r="B855"/>
    </row>
    <row r="856" spans="2:2">
      <c r="B856"/>
    </row>
    <row r="857" spans="2:2">
      <c r="B857"/>
    </row>
    <row r="858" spans="2:2">
      <c r="B858"/>
    </row>
    <row r="859" spans="2:2">
      <c r="B859"/>
    </row>
    <row r="860" spans="2:2">
      <c r="B860"/>
    </row>
    <row r="861" spans="2:2">
      <c r="B861"/>
    </row>
    <row r="862" spans="2:2">
      <c r="B862"/>
    </row>
    <row r="863" spans="2:2">
      <c r="B863"/>
    </row>
    <row r="864" spans="2:2">
      <c r="B864"/>
    </row>
    <row r="865" spans="2:2">
      <c r="B865"/>
    </row>
    <row r="866" spans="2:2">
      <c r="B866"/>
    </row>
    <row r="867" spans="2:2">
      <c r="B867"/>
    </row>
    <row r="868" spans="2:2">
      <c r="B868"/>
    </row>
    <row r="869" spans="2:2">
      <c r="B869"/>
    </row>
    <row r="870" spans="2:2">
      <c r="B870"/>
    </row>
    <row r="871" spans="2:2">
      <c r="B871"/>
    </row>
    <row r="872" spans="2:2">
      <c r="B872"/>
    </row>
    <row r="873" spans="2:2">
      <c r="B873"/>
    </row>
    <row r="874" spans="2:2">
      <c r="B874"/>
    </row>
    <row r="875" spans="2:2">
      <c r="B875"/>
    </row>
    <row r="876" spans="2:2">
      <c r="B876"/>
    </row>
    <row r="877" spans="2:2">
      <c r="B877"/>
    </row>
    <row r="878" spans="2:2">
      <c r="B878"/>
    </row>
    <row r="879" spans="2:2">
      <c r="B879"/>
    </row>
    <row r="880" spans="2:2">
      <c r="B880"/>
    </row>
    <row r="881" spans="2:2">
      <c r="B881"/>
    </row>
    <row r="882" spans="2:2">
      <c r="B882"/>
    </row>
    <row r="883" spans="2:2">
      <c r="B883"/>
    </row>
    <row r="884" spans="2:2">
      <c r="B884"/>
    </row>
    <row r="885" spans="2:2">
      <c r="B885"/>
    </row>
    <row r="886" spans="2:2">
      <c r="B886"/>
    </row>
    <row r="887" spans="2:2">
      <c r="B887"/>
    </row>
    <row r="888" spans="2:2">
      <c r="B888"/>
    </row>
    <row r="889" spans="2:2">
      <c r="B889"/>
    </row>
    <row r="890" spans="2:2">
      <c r="B890"/>
    </row>
    <row r="891" spans="2:2">
      <c r="B891"/>
    </row>
    <row r="892" spans="2:2">
      <c r="B892"/>
    </row>
    <row r="893" spans="2:2">
      <c r="B893"/>
    </row>
    <row r="894" spans="2:2">
      <c r="B894"/>
    </row>
    <row r="895" spans="2:2">
      <c r="B895"/>
    </row>
    <row r="896" spans="2:2">
      <c r="B896"/>
    </row>
    <row r="897" spans="2:2">
      <c r="B897"/>
    </row>
    <row r="898" spans="2:2">
      <c r="B898"/>
    </row>
    <row r="899" spans="2:2">
      <c r="B899"/>
    </row>
    <row r="900" spans="2:2">
      <c r="B900"/>
    </row>
    <row r="901" spans="2:2">
      <c r="B901"/>
    </row>
    <row r="902" spans="2:2">
      <c r="B902"/>
    </row>
    <row r="903" spans="2:2">
      <c r="B903"/>
    </row>
    <row r="904" spans="2:2">
      <c r="B904"/>
    </row>
    <row r="905" spans="2:2">
      <c r="B905"/>
    </row>
    <row r="906" spans="2:2">
      <c r="B906"/>
    </row>
    <row r="907" spans="2:2">
      <c r="B907"/>
    </row>
    <row r="908" spans="2:2">
      <c r="B908"/>
    </row>
    <row r="909" spans="2:2">
      <c r="B909"/>
    </row>
    <row r="910" spans="2:2">
      <c r="B910"/>
    </row>
    <row r="911" spans="2:2">
      <c r="B911"/>
    </row>
    <row r="912" spans="2:2">
      <c r="B912"/>
    </row>
    <row r="913" spans="2:2">
      <c r="B913"/>
    </row>
    <row r="914" spans="2:2">
      <c r="B914"/>
    </row>
    <row r="915" spans="2:2">
      <c r="B915"/>
    </row>
    <row r="916" spans="2:2">
      <c r="B916"/>
    </row>
    <row r="917" spans="2:2">
      <c r="B917"/>
    </row>
    <row r="918" spans="2:2">
      <c r="B918"/>
    </row>
    <row r="919" spans="2:2">
      <c r="B919"/>
    </row>
    <row r="920" spans="2:2">
      <c r="B920"/>
    </row>
    <row r="921" spans="2:2">
      <c r="B921"/>
    </row>
    <row r="922" spans="2:2">
      <c r="B922"/>
    </row>
    <row r="923" spans="2:2">
      <c r="B923"/>
    </row>
    <row r="924" spans="2:2">
      <c r="B924"/>
    </row>
    <row r="925" spans="2:2">
      <c r="B925"/>
    </row>
    <row r="926" spans="2:2">
      <c r="B926"/>
    </row>
    <row r="927" spans="2:2">
      <c r="B927"/>
    </row>
    <row r="928" spans="2:2">
      <c r="B928"/>
    </row>
    <row r="929" spans="2:2">
      <c r="B929"/>
    </row>
    <row r="930" spans="2:2">
      <c r="B930"/>
    </row>
    <row r="931" spans="2:2">
      <c r="B931"/>
    </row>
    <row r="932" spans="2:2">
      <c r="B932"/>
    </row>
    <row r="933" spans="2:2">
      <c r="B933"/>
    </row>
    <row r="934" spans="2:2">
      <c r="B934"/>
    </row>
    <row r="935" spans="2:2">
      <c r="B935"/>
    </row>
    <row r="936" spans="2:2">
      <c r="B936"/>
    </row>
    <row r="937" spans="2:2">
      <c r="B937"/>
    </row>
    <row r="938" spans="2:2">
      <c r="B938"/>
    </row>
    <row r="939" spans="2:2">
      <c r="B939"/>
    </row>
    <row r="940" spans="2:2">
      <c r="B940"/>
    </row>
    <row r="941" spans="2:2">
      <c r="B941"/>
    </row>
    <row r="942" spans="2:2">
      <c r="B942"/>
    </row>
    <row r="943" spans="2:2">
      <c r="B943"/>
    </row>
    <row r="944" spans="2:2">
      <c r="B944"/>
    </row>
    <row r="945" spans="2:2">
      <c r="B945"/>
    </row>
    <row r="946" spans="2:2">
      <c r="B946"/>
    </row>
    <row r="947" spans="2:2">
      <c r="B947"/>
    </row>
    <row r="948" spans="2:2">
      <c r="B948"/>
    </row>
    <row r="949" spans="2:2">
      <c r="B949"/>
    </row>
    <row r="950" spans="2:2">
      <c r="B950"/>
    </row>
    <row r="951" spans="2:2">
      <c r="B951"/>
    </row>
    <row r="952" spans="2:2">
      <c r="B952"/>
    </row>
    <row r="953" spans="2:2">
      <c r="B953"/>
    </row>
    <row r="954" spans="2:2">
      <c r="B954"/>
    </row>
    <row r="955" spans="2:2">
      <c r="B955"/>
    </row>
    <row r="956" spans="2:2">
      <c r="B956"/>
    </row>
    <row r="957" spans="2:2">
      <c r="B957"/>
    </row>
    <row r="958" spans="2:2">
      <c r="B958"/>
    </row>
    <row r="959" spans="2:2">
      <c r="B959"/>
    </row>
    <row r="960" spans="2:2">
      <c r="B960"/>
    </row>
    <row r="961" spans="2:2">
      <c r="B961"/>
    </row>
    <row r="962" spans="2:2">
      <c r="B962"/>
    </row>
    <row r="963" spans="2:2">
      <c r="B963"/>
    </row>
    <row r="964" spans="2:2">
      <c r="B964"/>
    </row>
    <row r="965" spans="2:2">
      <c r="B965"/>
    </row>
    <row r="966" spans="2:2">
      <c r="B966"/>
    </row>
    <row r="967" spans="2:2">
      <c r="B967"/>
    </row>
    <row r="968" spans="2:2">
      <c r="B968"/>
    </row>
    <row r="969" spans="2:2">
      <c r="B969"/>
    </row>
    <row r="970" spans="2:2">
      <c r="B970"/>
    </row>
    <row r="971" spans="2:2">
      <c r="B971"/>
    </row>
    <row r="972" spans="2:2">
      <c r="B972"/>
    </row>
    <row r="973" spans="2:2">
      <c r="B973"/>
    </row>
    <row r="974" spans="2:2">
      <c r="B974"/>
    </row>
    <row r="975" spans="2:2">
      <c r="B975"/>
    </row>
    <row r="976" spans="2:2">
      <c r="B976"/>
    </row>
    <row r="977" spans="2:2">
      <c r="B977"/>
    </row>
    <row r="978" spans="2:2">
      <c r="B978"/>
    </row>
    <row r="979" spans="2:2">
      <c r="B979"/>
    </row>
    <row r="980" spans="2:2">
      <c r="B980"/>
    </row>
    <row r="981" spans="2:2">
      <c r="B981"/>
    </row>
    <row r="982" spans="2:2">
      <c r="B982"/>
    </row>
    <row r="983" spans="2:2">
      <c r="B983"/>
    </row>
    <row r="984" spans="2:2">
      <c r="B984"/>
    </row>
    <row r="985" spans="2:2">
      <c r="B985"/>
    </row>
    <row r="986" spans="2:2">
      <c r="B986"/>
    </row>
    <row r="987" spans="2:2">
      <c r="B987"/>
    </row>
    <row r="988" spans="2:2">
      <c r="B988"/>
    </row>
    <row r="989" spans="2:2">
      <c r="B989"/>
    </row>
    <row r="990" spans="2:2">
      <c r="B990"/>
    </row>
    <row r="991" spans="2:2">
      <c r="B991"/>
    </row>
    <row r="992" spans="2:2">
      <c r="B992"/>
    </row>
    <row r="993" spans="2:2">
      <c r="B993"/>
    </row>
    <row r="994" spans="2:2">
      <c r="B994"/>
    </row>
    <row r="995" spans="2:2">
      <c r="B995"/>
    </row>
    <row r="996" spans="2:2">
      <c r="B996"/>
    </row>
    <row r="997" spans="2:2">
      <c r="B997"/>
    </row>
    <row r="998" spans="2:2">
      <c r="B998"/>
    </row>
    <row r="999" spans="2:2">
      <c r="B999"/>
    </row>
    <row r="1000" spans="2:2">
      <c r="B1000"/>
    </row>
    <row r="1001" spans="2:2">
      <c r="B1001"/>
    </row>
    <row r="1002" spans="2:2">
      <c r="B1002"/>
    </row>
    <row r="1003" spans="2:2">
      <c r="B1003"/>
    </row>
    <row r="1004" spans="2:2">
      <c r="B1004"/>
    </row>
    <row r="1005" spans="2:2">
      <c r="B1005"/>
    </row>
    <row r="1006" spans="2:2">
      <c r="B1006"/>
    </row>
    <row r="1007" spans="2:2">
      <c r="B1007"/>
    </row>
    <row r="1008" spans="2:2">
      <c r="B1008"/>
    </row>
    <row r="1009" spans="2:2">
      <c r="B1009"/>
    </row>
    <row r="1010" spans="2:2">
      <c r="B1010"/>
    </row>
    <row r="1011" spans="2:2">
      <c r="B1011"/>
    </row>
    <row r="1012" spans="2:2">
      <c r="B1012"/>
    </row>
    <row r="1013" spans="2:2">
      <c r="B1013"/>
    </row>
    <row r="1014" spans="2:2">
      <c r="B1014"/>
    </row>
    <row r="1015" spans="2:2">
      <c r="B1015"/>
    </row>
    <row r="1016" spans="2:2">
      <c r="B1016"/>
    </row>
    <row r="1017" spans="2:2">
      <c r="B1017"/>
    </row>
    <row r="1018" spans="2:2">
      <c r="B1018"/>
    </row>
    <row r="1019" spans="2:2">
      <c r="B1019"/>
    </row>
    <row r="1020" spans="2:2">
      <c r="B1020"/>
    </row>
    <row r="1021" spans="2:2">
      <c r="B1021"/>
    </row>
    <row r="1022" spans="2:2">
      <c r="B1022"/>
    </row>
    <row r="1023" spans="2:2">
      <c r="B1023"/>
    </row>
    <row r="1024" spans="2:2">
      <c r="B1024"/>
    </row>
    <row r="1025" spans="2:2">
      <c r="B1025"/>
    </row>
    <row r="1026" spans="2:2">
      <c r="B1026"/>
    </row>
    <row r="1027" spans="2:2">
      <c r="B1027"/>
    </row>
    <row r="1028" spans="2:2">
      <c r="B1028"/>
    </row>
    <row r="1029" spans="2:2">
      <c r="B1029"/>
    </row>
    <row r="1030" spans="2:2">
      <c r="B1030"/>
    </row>
    <row r="1031" spans="2:2">
      <c r="B1031"/>
    </row>
    <row r="1032" spans="2:2">
      <c r="B1032"/>
    </row>
    <row r="1033" spans="2:2">
      <c r="B1033"/>
    </row>
    <row r="1034" spans="2:2">
      <c r="B1034"/>
    </row>
    <row r="1035" spans="2:2">
      <c r="B1035"/>
    </row>
    <row r="1036" spans="2:2">
      <c r="B1036"/>
    </row>
    <row r="1037" spans="2:2">
      <c r="B1037"/>
    </row>
    <row r="1038" spans="2:2">
      <c r="B1038"/>
    </row>
    <row r="1039" spans="2:2">
      <c r="B1039"/>
    </row>
    <row r="1040" spans="2:2">
      <c r="B1040"/>
    </row>
    <row r="1041" spans="2:2">
      <c r="B1041"/>
    </row>
    <row r="1042" spans="2:2">
      <c r="B1042"/>
    </row>
    <row r="1043" spans="2:2">
      <c r="B1043"/>
    </row>
    <row r="1044" spans="2:2">
      <c r="B1044"/>
    </row>
    <row r="1045" spans="2:2">
      <c r="B1045"/>
    </row>
    <row r="1046" spans="2:2">
      <c r="B1046"/>
    </row>
    <row r="1047" spans="2:2">
      <c r="B1047"/>
    </row>
    <row r="1048" spans="2:2">
      <c r="B1048"/>
    </row>
    <row r="1049" spans="2:2">
      <c r="B1049"/>
    </row>
    <row r="1050" spans="2:2">
      <c r="B1050"/>
    </row>
    <row r="1051" spans="2:2">
      <c r="B1051"/>
    </row>
    <row r="1052" spans="2:2">
      <c r="B1052"/>
    </row>
    <row r="1053" spans="2:2">
      <c r="B1053"/>
    </row>
    <row r="1054" spans="2:2">
      <c r="B1054"/>
    </row>
    <row r="1055" spans="2:2">
      <c r="B1055"/>
    </row>
    <row r="1056" spans="2:2">
      <c r="B1056"/>
    </row>
    <row r="1057" spans="2:2">
      <c r="B1057"/>
    </row>
    <row r="1058" spans="2:2">
      <c r="B1058"/>
    </row>
    <row r="1059" spans="2:2">
      <c r="B1059"/>
    </row>
    <row r="1060" spans="2:2">
      <c r="B1060"/>
    </row>
    <row r="1061" spans="2:2">
      <c r="B1061"/>
    </row>
    <row r="1062" spans="2:2">
      <c r="B1062"/>
    </row>
    <row r="1063" spans="2:2">
      <c r="B1063"/>
    </row>
    <row r="1064" spans="2:2">
      <c r="B1064"/>
    </row>
    <row r="1065" spans="2:2">
      <c r="B1065"/>
    </row>
    <row r="1066" spans="2:2">
      <c r="B1066"/>
    </row>
    <row r="1067" spans="2:2">
      <c r="B1067"/>
    </row>
    <row r="1068" spans="2:2">
      <c r="B1068"/>
    </row>
    <row r="1069" spans="2:2">
      <c r="B1069"/>
    </row>
    <row r="1070" spans="2:2">
      <c r="B1070"/>
    </row>
    <row r="1071" spans="2:2">
      <c r="B1071"/>
    </row>
    <row r="1072" spans="2:2">
      <c r="B1072"/>
    </row>
    <row r="1073" spans="2:2">
      <c r="B1073"/>
    </row>
    <row r="1074" spans="2:2">
      <c r="B1074"/>
    </row>
    <row r="1075" spans="2:2">
      <c r="B1075"/>
    </row>
    <row r="1076" spans="2:2">
      <c r="B1076"/>
    </row>
    <row r="1077" spans="2:2">
      <c r="B1077"/>
    </row>
    <row r="1078" spans="2:2">
      <c r="B1078"/>
    </row>
    <row r="1079" spans="2:2">
      <c r="B1079"/>
    </row>
    <row r="1080" spans="2:2">
      <c r="B1080"/>
    </row>
    <row r="1081" spans="2:2">
      <c r="B1081"/>
    </row>
    <row r="1082" spans="2:2">
      <c r="B1082"/>
    </row>
    <row r="1083" spans="2:2">
      <c r="B1083"/>
    </row>
    <row r="1084" spans="2:2">
      <c r="B1084"/>
    </row>
    <row r="1085" spans="2:2">
      <c r="B1085"/>
    </row>
    <row r="1086" spans="2:2">
      <c r="B1086"/>
    </row>
    <row r="1087" spans="2:2">
      <c r="B1087"/>
    </row>
    <row r="1088" spans="2:2">
      <c r="B1088"/>
    </row>
    <row r="1089" spans="2:2">
      <c r="B1089"/>
    </row>
    <row r="1090" spans="2:2">
      <c r="B1090"/>
    </row>
    <row r="1091" spans="2:2">
      <c r="B1091"/>
    </row>
    <row r="1092" spans="2:2">
      <c r="B1092"/>
    </row>
    <row r="1093" spans="2:2">
      <c r="B1093"/>
    </row>
    <row r="1094" spans="2:2">
      <c r="B1094"/>
    </row>
    <row r="1095" spans="2:2">
      <c r="B1095"/>
    </row>
    <row r="1096" spans="2:2">
      <c r="B1096"/>
    </row>
    <row r="1097" spans="2:2">
      <c r="B1097"/>
    </row>
    <row r="1098" spans="2:2">
      <c r="B1098"/>
    </row>
    <row r="1099" spans="2:2">
      <c r="B1099"/>
    </row>
    <row r="1100" spans="2:2">
      <c r="B1100"/>
    </row>
    <row r="1101" spans="2:2">
      <c r="B1101"/>
    </row>
    <row r="1102" spans="2:2">
      <c r="B1102"/>
    </row>
    <row r="1103" spans="2:2">
      <c r="B1103"/>
    </row>
    <row r="1104" spans="2:2">
      <c r="B1104"/>
    </row>
    <row r="1105" spans="2:2">
      <c r="B1105"/>
    </row>
    <row r="1106" spans="2:2">
      <c r="B1106"/>
    </row>
    <row r="1107" spans="2:2">
      <c r="B1107"/>
    </row>
    <row r="1108" spans="2:2">
      <c r="B1108"/>
    </row>
    <row r="1109" spans="2:2">
      <c r="B1109"/>
    </row>
    <row r="1110" spans="2:2">
      <c r="B1110"/>
    </row>
    <row r="1111" spans="2:2">
      <c r="B1111"/>
    </row>
    <row r="1112" spans="2:2">
      <c r="B1112"/>
    </row>
    <row r="1113" spans="2:2">
      <c r="B1113"/>
    </row>
    <row r="1114" spans="2:2">
      <c r="B1114"/>
    </row>
    <row r="1115" spans="2:2">
      <c r="B1115"/>
    </row>
    <row r="1116" spans="2:2">
      <c r="B1116"/>
    </row>
    <row r="1117" spans="2:2">
      <c r="B1117"/>
    </row>
    <row r="1118" spans="2:2">
      <c r="B1118"/>
    </row>
    <row r="1119" spans="2:2">
      <c r="B1119"/>
    </row>
    <row r="1120" spans="2:2">
      <c r="B1120"/>
    </row>
    <row r="1121" spans="2:2">
      <c r="B1121"/>
    </row>
    <row r="1122" spans="2:2">
      <c r="B1122"/>
    </row>
    <row r="1123" spans="2:2">
      <c r="B1123"/>
    </row>
    <row r="1124" spans="2:2">
      <c r="B1124"/>
    </row>
    <row r="1125" spans="2:2">
      <c r="B1125"/>
    </row>
    <row r="1126" spans="2:2">
      <c r="B1126"/>
    </row>
    <row r="1127" spans="2:2">
      <c r="B1127"/>
    </row>
    <row r="1128" spans="2:2">
      <c r="B1128"/>
    </row>
    <row r="1129" spans="2:2">
      <c r="B1129"/>
    </row>
    <row r="1130" spans="2:2">
      <c r="B1130"/>
    </row>
    <row r="1131" spans="2:2">
      <c r="B1131"/>
    </row>
    <row r="1132" spans="2:2">
      <c r="B1132"/>
    </row>
    <row r="1133" spans="2:2">
      <c r="B1133"/>
    </row>
    <row r="1134" spans="2:2">
      <c r="B1134"/>
    </row>
    <row r="1135" spans="2:2">
      <c r="B1135"/>
    </row>
    <row r="1136" spans="2:2">
      <c r="B1136"/>
    </row>
    <row r="1137" spans="2:2">
      <c r="B1137"/>
    </row>
    <row r="1138" spans="2:2">
      <c r="B1138"/>
    </row>
    <row r="1139" spans="2:2">
      <c r="B1139"/>
    </row>
    <row r="1140" spans="2:2">
      <c r="B1140"/>
    </row>
    <row r="1141" spans="2:2">
      <c r="B1141"/>
    </row>
    <row r="1142" spans="2:2">
      <c r="B1142"/>
    </row>
    <row r="1143" spans="2:2">
      <c r="B1143"/>
    </row>
    <row r="1144" spans="2:2">
      <c r="B1144"/>
    </row>
    <row r="1145" spans="2:2">
      <c r="B1145"/>
    </row>
    <row r="1146" spans="2:2">
      <c r="B1146"/>
    </row>
    <row r="1147" spans="2:2">
      <c r="B1147"/>
    </row>
    <row r="1148" spans="2:2">
      <c r="B1148"/>
    </row>
    <row r="1149" spans="2:2">
      <c r="B1149"/>
    </row>
    <row r="1150" spans="2:2">
      <c r="B1150"/>
    </row>
    <row r="1151" spans="2:2">
      <c r="B1151"/>
    </row>
    <row r="1152" spans="2:2">
      <c r="B1152"/>
    </row>
    <row r="1153" spans="2:2">
      <c r="B1153"/>
    </row>
    <row r="1154" spans="2:2">
      <c r="B1154"/>
    </row>
    <row r="1155" spans="2:2">
      <c r="B1155"/>
    </row>
    <row r="1156" spans="2:2">
      <c r="B1156"/>
    </row>
    <row r="1157" spans="2:2">
      <c r="B1157"/>
    </row>
    <row r="1158" spans="2:2">
      <c r="B1158"/>
    </row>
    <row r="1159" spans="2:2">
      <c r="B1159"/>
    </row>
    <row r="1160" spans="2:2">
      <c r="B1160"/>
    </row>
    <row r="1161" spans="2:2">
      <c r="B1161"/>
    </row>
    <row r="1162" spans="2:2">
      <c r="B1162"/>
    </row>
    <row r="1163" spans="2:2">
      <c r="B1163"/>
    </row>
    <row r="1164" spans="2:2">
      <c r="B1164"/>
    </row>
    <row r="1165" spans="2:2">
      <c r="B1165"/>
    </row>
    <row r="1166" spans="2:2">
      <c r="B1166"/>
    </row>
    <row r="1167" spans="2:2">
      <c r="B1167"/>
    </row>
    <row r="1168" spans="2:2">
      <c r="B1168"/>
    </row>
    <row r="1169" spans="2:2">
      <c r="B1169"/>
    </row>
    <row r="1170" spans="2:2">
      <c r="B1170"/>
    </row>
    <row r="1171" spans="2:2">
      <c r="B1171"/>
    </row>
    <row r="1172" spans="2:2">
      <c r="B1172"/>
    </row>
    <row r="1173" spans="2:2">
      <c r="B1173"/>
    </row>
    <row r="1174" spans="2:2">
      <c r="B1174"/>
    </row>
    <row r="1175" spans="2:2">
      <c r="B1175"/>
    </row>
    <row r="1176" spans="2:2">
      <c r="B1176"/>
    </row>
    <row r="1177" spans="2:2">
      <c r="B1177"/>
    </row>
    <row r="1178" spans="2:2">
      <c r="B1178"/>
    </row>
    <row r="1179" spans="2:2">
      <c r="B1179"/>
    </row>
    <row r="1180" spans="2:2">
      <c r="B1180"/>
    </row>
    <row r="1181" spans="2:2">
      <c r="B1181"/>
    </row>
    <row r="1182" spans="2:2">
      <c r="B1182"/>
    </row>
    <row r="1183" spans="2:2">
      <c r="B1183"/>
    </row>
    <row r="1184" spans="2:2">
      <c r="B1184"/>
    </row>
    <row r="1185" spans="2:2">
      <c r="B1185"/>
    </row>
    <row r="1186" spans="2:2">
      <c r="B1186"/>
    </row>
    <row r="1187" spans="2:2">
      <c r="B1187"/>
    </row>
    <row r="1188" spans="2:2">
      <c r="B1188"/>
    </row>
    <row r="1189" spans="2:2">
      <c r="B1189"/>
    </row>
    <row r="1190" spans="2:2">
      <c r="B1190"/>
    </row>
    <row r="1191" spans="2:2">
      <c r="B1191"/>
    </row>
    <row r="1192" spans="2:2">
      <c r="B1192"/>
    </row>
    <row r="1193" spans="2:2">
      <c r="B1193"/>
    </row>
    <row r="1194" spans="2:2">
      <c r="B1194"/>
    </row>
    <row r="1195" spans="2:2">
      <c r="B1195"/>
    </row>
    <row r="1196" spans="2:2">
      <c r="B1196"/>
    </row>
    <row r="1197" spans="2:2">
      <c r="B1197"/>
    </row>
    <row r="1198" spans="2:2">
      <c r="B1198"/>
    </row>
    <row r="1199" spans="2:2">
      <c r="B1199"/>
    </row>
    <row r="1200" spans="2:2">
      <c r="B1200"/>
    </row>
    <row r="1201" spans="2:2">
      <c r="B1201"/>
    </row>
    <row r="1202" spans="2:2">
      <c r="B1202"/>
    </row>
    <row r="1203" spans="2:2">
      <c r="B1203"/>
    </row>
    <row r="1204" spans="2:2">
      <c r="B1204"/>
    </row>
    <row r="1205" spans="2:2">
      <c r="B1205"/>
    </row>
    <row r="1206" spans="2:2">
      <c r="B1206"/>
    </row>
    <row r="1207" spans="2:2">
      <c r="B1207"/>
    </row>
    <row r="1208" spans="2:2">
      <c r="B1208"/>
    </row>
    <row r="1209" spans="2:2">
      <c r="B1209"/>
    </row>
    <row r="1210" spans="2:2">
      <c r="B1210"/>
    </row>
    <row r="1211" spans="2:2">
      <c r="B1211"/>
    </row>
    <row r="1212" spans="2:2">
      <c r="B1212"/>
    </row>
    <row r="1213" spans="2:2">
      <c r="B1213"/>
    </row>
    <row r="1214" spans="2:2">
      <c r="B1214"/>
    </row>
    <row r="1215" spans="2:2">
      <c r="B1215"/>
    </row>
    <row r="1216" spans="2:2">
      <c r="B1216"/>
    </row>
    <row r="1217" spans="2:2">
      <c r="B1217"/>
    </row>
    <row r="1218" spans="2:2">
      <c r="B1218"/>
    </row>
    <row r="1219" spans="2:2">
      <c r="B1219"/>
    </row>
    <row r="1220" spans="2:2">
      <c r="B1220"/>
    </row>
    <row r="1221" spans="2:2">
      <c r="B1221"/>
    </row>
    <row r="1222" spans="2:2">
      <c r="B1222"/>
    </row>
    <row r="1223" spans="2:2">
      <c r="B1223"/>
    </row>
    <row r="1224" spans="2:2">
      <c r="B1224"/>
    </row>
    <row r="1225" spans="2:2">
      <c r="B1225"/>
    </row>
    <row r="1226" spans="2:2">
      <c r="B1226"/>
    </row>
    <row r="1227" spans="2:2">
      <c r="B1227"/>
    </row>
    <row r="1228" spans="2:2">
      <c r="B1228"/>
    </row>
    <row r="1229" spans="2:2">
      <c r="B1229"/>
    </row>
    <row r="1230" spans="2:2">
      <c r="B1230"/>
    </row>
    <row r="1231" spans="2:2">
      <c r="B1231"/>
    </row>
    <row r="1232" spans="2:2">
      <c r="B1232"/>
    </row>
    <row r="1233" spans="2:2">
      <c r="B1233"/>
    </row>
    <row r="1234" spans="2:2">
      <c r="B1234"/>
    </row>
    <row r="1235" spans="2:2">
      <c r="B1235"/>
    </row>
    <row r="1236" spans="2:2">
      <c r="B1236"/>
    </row>
    <row r="1237" spans="2:2">
      <c r="B1237"/>
    </row>
    <row r="1238" spans="2:2">
      <c r="B1238"/>
    </row>
    <row r="1239" spans="2:2">
      <c r="B1239"/>
    </row>
    <row r="1240" spans="2:2">
      <c r="B1240"/>
    </row>
    <row r="1241" spans="2:2">
      <c r="B1241"/>
    </row>
    <row r="1242" spans="2:2">
      <c r="B1242"/>
    </row>
    <row r="1243" spans="2:2">
      <c r="B1243"/>
    </row>
    <row r="1244" spans="2:2">
      <c r="B1244"/>
    </row>
    <row r="1245" spans="2:2">
      <c r="B1245"/>
    </row>
    <row r="1246" spans="2:2">
      <c r="B1246"/>
    </row>
    <row r="1247" spans="2:2">
      <c r="B1247"/>
    </row>
    <row r="1248" spans="2:2">
      <c r="B1248"/>
    </row>
    <row r="1249" spans="2:2">
      <c r="B1249"/>
    </row>
    <row r="1250" spans="2:2">
      <c r="B1250"/>
    </row>
    <row r="1251" spans="2:2">
      <c r="B1251"/>
    </row>
    <row r="1252" spans="2:2">
      <c r="B1252"/>
    </row>
    <row r="1253" spans="2:2">
      <c r="B1253"/>
    </row>
    <row r="1254" spans="2:2">
      <c r="B1254"/>
    </row>
    <row r="1255" spans="2:2">
      <c r="B1255"/>
    </row>
    <row r="1256" spans="2:2">
      <c r="B1256"/>
    </row>
    <row r="1257" spans="2:2">
      <c r="B1257"/>
    </row>
    <row r="1258" spans="2:2">
      <c r="B1258"/>
    </row>
    <row r="1259" spans="2:2">
      <c r="B1259"/>
    </row>
    <row r="1260" spans="2:2">
      <c r="B1260"/>
    </row>
    <row r="1261" spans="2:2">
      <c r="B1261"/>
    </row>
    <row r="1262" spans="2:2">
      <c r="B1262"/>
    </row>
    <row r="1263" spans="2:2">
      <c r="B1263"/>
    </row>
    <row r="1264" spans="2:2">
      <c r="B1264"/>
    </row>
    <row r="1265" spans="2:2">
      <c r="B1265"/>
    </row>
    <row r="1266" spans="2:2">
      <c r="B1266"/>
    </row>
    <row r="1267" spans="2:2">
      <c r="B1267"/>
    </row>
    <row r="1268" spans="2:2">
      <c r="B1268"/>
    </row>
    <row r="1269" spans="2:2">
      <c r="B1269"/>
    </row>
    <row r="1270" spans="2:2">
      <c r="B1270"/>
    </row>
    <row r="1271" spans="2:2">
      <c r="B1271"/>
    </row>
    <row r="1272" spans="2:2">
      <c r="B1272"/>
    </row>
    <row r="1273" spans="2:2">
      <c r="B1273"/>
    </row>
    <row r="1274" spans="2:2">
      <c r="B1274"/>
    </row>
    <row r="1275" spans="2:2">
      <c r="B1275"/>
    </row>
    <row r="1276" spans="2:2">
      <c r="B1276"/>
    </row>
    <row r="1277" spans="2:2">
      <c r="B1277"/>
    </row>
    <row r="1278" spans="2:2">
      <c r="B1278"/>
    </row>
    <row r="1279" spans="2:2">
      <c r="B1279"/>
    </row>
    <row r="1280" spans="2:2">
      <c r="B1280"/>
    </row>
    <row r="1281" spans="2:2">
      <c r="B1281"/>
    </row>
    <row r="1282" spans="2:2">
      <c r="B1282"/>
    </row>
    <row r="1283" spans="2:2">
      <c r="B1283"/>
    </row>
    <row r="1284" spans="2:2">
      <c r="B1284"/>
    </row>
    <row r="1285" spans="2:2">
      <c r="B1285"/>
    </row>
    <row r="1286" spans="2:2">
      <c r="B1286"/>
    </row>
    <row r="1287" spans="2:2">
      <c r="B1287"/>
    </row>
    <row r="1288" spans="2:2">
      <c r="B1288"/>
    </row>
    <row r="1289" spans="2:2">
      <c r="B1289"/>
    </row>
    <row r="1290" spans="2:2">
      <c r="B1290"/>
    </row>
    <row r="1291" spans="2:2">
      <c r="B1291"/>
    </row>
    <row r="1292" spans="2:2">
      <c r="B1292"/>
    </row>
    <row r="1293" spans="2:2">
      <c r="B1293"/>
    </row>
    <row r="1294" spans="2:2">
      <c r="B1294"/>
    </row>
    <row r="1295" spans="2:2">
      <c r="B1295"/>
    </row>
    <row r="1296" spans="2:2">
      <c r="B1296"/>
    </row>
    <row r="1297" spans="2:2">
      <c r="B1297"/>
    </row>
    <row r="1298" spans="2:2">
      <c r="B1298"/>
    </row>
    <row r="1299" spans="2:2">
      <c r="B1299"/>
    </row>
    <row r="1300" spans="2:2">
      <c r="B1300"/>
    </row>
    <row r="1301" spans="2:2">
      <c r="B1301"/>
    </row>
    <row r="1302" spans="2:2">
      <c r="B1302"/>
    </row>
    <row r="1303" spans="2:2">
      <c r="B1303"/>
    </row>
    <row r="1304" spans="2:2">
      <c r="B1304"/>
    </row>
    <row r="1305" spans="2:2">
      <c r="B1305"/>
    </row>
    <row r="1306" spans="2:2">
      <c r="B1306"/>
    </row>
    <row r="1307" spans="2:2">
      <c r="B1307"/>
    </row>
    <row r="1308" spans="2:2">
      <c r="B1308"/>
    </row>
    <row r="1309" spans="2:2">
      <c r="B1309"/>
    </row>
    <row r="1310" spans="2:2">
      <c r="B1310"/>
    </row>
    <row r="1311" spans="2:2">
      <c r="B1311"/>
    </row>
    <row r="1312" spans="2:2">
      <c r="B1312"/>
    </row>
    <row r="1313" spans="2:2">
      <c r="B1313"/>
    </row>
    <row r="1314" spans="2:2">
      <c r="B1314"/>
    </row>
    <row r="1315" spans="2:2">
      <c r="B1315"/>
    </row>
    <row r="1316" spans="2:2">
      <c r="B1316"/>
    </row>
    <row r="1317" spans="2:2">
      <c r="B1317"/>
    </row>
    <row r="1318" spans="2:2">
      <c r="B1318"/>
    </row>
    <row r="1319" spans="2:2">
      <c r="B1319"/>
    </row>
    <row r="1320" spans="2:2">
      <c r="B1320"/>
    </row>
    <row r="1321" spans="2:2">
      <c r="B1321"/>
    </row>
    <row r="1322" spans="2:2">
      <c r="B1322"/>
    </row>
    <row r="1323" spans="2:2">
      <c r="B1323"/>
    </row>
    <row r="1324" spans="2:2">
      <c r="B1324"/>
    </row>
    <row r="1325" spans="2:2">
      <c r="B1325"/>
    </row>
    <row r="1326" spans="2:2">
      <c r="B1326"/>
    </row>
    <row r="1327" spans="2:2">
      <c r="B1327"/>
    </row>
    <row r="1328" spans="2:2">
      <c r="B1328"/>
    </row>
    <row r="1329" spans="2:2">
      <c r="B1329"/>
    </row>
    <row r="1330" spans="2:2">
      <c r="B1330"/>
    </row>
    <row r="1331" spans="2:2">
      <c r="B1331"/>
    </row>
    <row r="1332" spans="2:2">
      <c r="B1332"/>
    </row>
    <row r="1333" spans="2:2">
      <c r="B1333"/>
    </row>
    <row r="1334" spans="2:2">
      <c r="B1334"/>
    </row>
    <row r="1335" spans="2:2">
      <c r="B1335"/>
    </row>
    <row r="1336" spans="2:2">
      <c r="B1336"/>
    </row>
    <row r="1337" spans="2:2">
      <c r="B1337"/>
    </row>
    <row r="1338" spans="2:2">
      <c r="B1338"/>
    </row>
    <row r="1339" spans="2:2">
      <c r="B1339"/>
    </row>
    <row r="1340" spans="2:2">
      <c r="B1340"/>
    </row>
    <row r="1341" spans="2:2">
      <c r="B1341"/>
    </row>
    <row r="1342" spans="2:2">
      <c r="B1342"/>
    </row>
    <row r="1343" spans="2:2">
      <c r="B1343"/>
    </row>
    <row r="1344" spans="2:2">
      <c r="B1344"/>
    </row>
    <row r="1345" spans="2:2">
      <c r="B1345"/>
    </row>
    <row r="1346" spans="2:2">
      <c r="B1346"/>
    </row>
    <row r="1347" spans="2:2">
      <c r="B1347"/>
    </row>
    <row r="1348" spans="2:2">
      <c r="B1348"/>
    </row>
    <row r="1349" spans="2:2">
      <c r="B1349"/>
    </row>
    <row r="1350" spans="2:2">
      <c r="B1350"/>
    </row>
    <row r="1351" spans="2:2">
      <c r="B1351"/>
    </row>
    <row r="1352" spans="2:2">
      <c r="B1352"/>
    </row>
    <row r="1353" spans="2:2">
      <c r="B1353"/>
    </row>
    <row r="1354" spans="2:2">
      <c r="B1354"/>
    </row>
    <row r="1355" spans="2:2">
      <c r="B1355"/>
    </row>
    <row r="1356" spans="2:2">
      <c r="B1356"/>
    </row>
    <row r="1357" spans="2:2">
      <c r="B1357"/>
    </row>
    <row r="1358" spans="2:2">
      <c r="B1358"/>
    </row>
    <row r="1359" spans="2:2">
      <c r="B1359"/>
    </row>
    <row r="1360" spans="2:2">
      <c r="B1360"/>
    </row>
    <row r="1361" spans="2:2">
      <c r="B1361"/>
    </row>
    <row r="1362" spans="2:2">
      <c r="B1362"/>
    </row>
    <row r="1363" spans="2:2">
      <c r="B1363"/>
    </row>
    <row r="1364" spans="2:2">
      <c r="B1364"/>
    </row>
    <row r="1365" spans="2:2">
      <c r="B1365"/>
    </row>
    <row r="1366" spans="2:2">
      <c r="B1366"/>
    </row>
    <row r="1367" spans="2:2">
      <c r="B1367"/>
    </row>
    <row r="1368" spans="2:2">
      <c r="B1368"/>
    </row>
    <row r="1369" spans="2:2">
      <c r="B1369"/>
    </row>
    <row r="1370" spans="2:2">
      <c r="B1370"/>
    </row>
    <row r="1371" spans="2:2">
      <c r="B1371"/>
    </row>
    <row r="1372" spans="2:2">
      <c r="B1372"/>
    </row>
    <row r="1373" spans="2:2">
      <c r="B1373"/>
    </row>
    <row r="1374" spans="2:2">
      <c r="B1374"/>
    </row>
    <row r="1375" spans="2:2">
      <c r="B1375"/>
    </row>
    <row r="1376" spans="2:2">
      <c r="B1376"/>
    </row>
    <row r="1377" spans="2:2">
      <c r="B1377"/>
    </row>
    <row r="1378" spans="2:2">
      <c r="B1378"/>
    </row>
    <row r="1379" spans="2:2">
      <c r="B1379"/>
    </row>
    <row r="1380" spans="2:2">
      <c r="B1380"/>
    </row>
    <row r="1381" spans="2:2">
      <c r="B1381"/>
    </row>
    <row r="1382" spans="2:2">
      <c r="B1382"/>
    </row>
    <row r="1383" spans="2:2">
      <c r="B1383"/>
    </row>
    <row r="1384" spans="2:2">
      <c r="B1384"/>
    </row>
    <row r="1385" spans="2:2">
      <c r="B1385"/>
    </row>
    <row r="1386" spans="2:2">
      <c r="B1386"/>
    </row>
    <row r="1387" spans="2:2">
      <c r="B1387"/>
    </row>
    <row r="1388" spans="2:2">
      <c r="B1388"/>
    </row>
    <row r="1389" spans="2:2">
      <c r="B1389"/>
    </row>
    <row r="1390" spans="2:2">
      <c r="B1390"/>
    </row>
    <row r="1391" spans="2:2">
      <c r="B1391"/>
    </row>
    <row r="1392" spans="2:2">
      <c r="B1392"/>
    </row>
    <row r="1393" spans="2:2">
      <c r="B1393"/>
    </row>
    <row r="1394" spans="2:2">
      <c r="B1394"/>
    </row>
    <row r="1395" spans="2:2">
      <c r="B1395"/>
    </row>
    <row r="1396" spans="2:2">
      <c r="B1396"/>
    </row>
    <row r="1397" spans="2:2">
      <c r="B1397"/>
    </row>
    <row r="1398" spans="2:2">
      <c r="B1398"/>
    </row>
    <row r="1399" spans="2:2">
      <c r="B1399"/>
    </row>
    <row r="1400" spans="2:2">
      <c r="B1400"/>
    </row>
    <row r="1401" spans="2:2">
      <c r="B1401"/>
    </row>
    <row r="1402" spans="2:2">
      <c r="B1402"/>
    </row>
    <row r="1403" spans="2:2">
      <c r="B1403"/>
    </row>
    <row r="1404" spans="2:2">
      <c r="B1404"/>
    </row>
    <row r="1405" spans="2:2">
      <c r="B1405"/>
    </row>
    <row r="1406" spans="2:2">
      <c r="B1406"/>
    </row>
    <row r="1407" spans="2:2">
      <c r="B1407"/>
    </row>
    <row r="1408" spans="2:2">
      <c r="B1408"/>
    </row>
    <row r="1409" spans="2:2">
      <c r="B1409"/>
    </row>
    <row r="1410" spans="2:2">
      <c r="B1410"/>
    </row>
    <row r="1411" spans="2:2">
      <c r="B1411"/>
    </row>
    <row r="1412" spans="2:2">
      <c r="B1412"/>
    </row>
    <row r="1413" spans="2:2">
      <c r="B1413"/>
    </row>
    <row r="1414" spans="2:2">
      <c r="B1414"/>
    </row>
    <row r="1415" spans="2:2">
      <c r="B1415"/>
    </row>
    <row r="1416" spans="2:2">
      <c r="B1416"/>
    </row>
    <row r="1417" spans="2:2">
      <c r="B1417"/>
    </row>
    <row r="1418" spans="2:2">
      <c r="B1418"/>
    </row>
    <row r="1419" spans="2:2">
      <c r="B1419"/>
    </row>
    <row r="1420" spans="2:2">
      <c r="B1420"/>
    </row>
    <row r="1421" spans="2:2">
      <c r="B1421"/>
    </row>
    <row r="1422" spans="2:2">
      <c r="B1422"/>
    </row>
    <row r="1423" spans="2:2">
      <c r="B1423"/>
    </row>
    <row r="1424" spans="2:2">
      <c r="B1424"/>
    </row>
    <row r="1425" spans="2:2">
      <c r="B1425"/>
    </row>
    <row r="1426" spans="2:2">
      <c r="B1426"/>
    </row>
    <row r="1427" spans="2:2">
      <c r="B1427"/>
    </row>
    <row r="1428" spans="2:2">
      <c r="B1428"/>
    </row>
    <row r="1429" spans="2:2">
      <c r="B1429"/>
    </row>
    <row r="1430" spans="2:2">
      <c r="B1430"/>
    </row>
    <row r="1431" spans="2:2">
      <c r="B1431"/>
    </row>
    <row r="1432" spans="2:2">
      <c r="B1432"/>
    </row>
    <row r="1433" spans="2:2">
      <c r="B1433"/>
    </row>
    <row r="1434" spans="2:2">
      <c r="B1434"/>
    </row>
    <row r="1435" spans="2:2">
      <c r="B1435"/>
    </row>
    <row r="1436" spans="2:2">
      <c r="B1436"/>
    </row>
    <row r="1437" spans="2:2">
      <c r="B1437"/>
    </row>
    <row r="1438" spans="2:2">
      <c r="B1438"/>
    </row>
    <row r="1439" spans="2:2">
      <c r="B1439"/>
    </row>
    <row r="1440" spans="2:2">
      <c r="B1440"/>
    </row>
    <row r="1441" spans="2:2">
      <c r="B1441"/>
    </row>
    <row r="1442" spans="2:2">
      <c r="B1442"/>
    </row>
    <row r="1443" spans="2:2">
      <c r="B1443"/>
    </row>
    <row r="1444" spans="2:2">
      <c r="B1444"/>
    </row>
    <row r="1445" spans="2:2">
      <c r="B1445"/>
    </row>
    <row r="1446" spans="2:2">
      <c r="B1446"/>
    </row>
    <row r="1447" spans="2:2">
      <c r="B1447"/>
    </row>
    <row r="1448" spans="2:2">
      <c r="B1448"/>
    </row>
    <row r="1449" spans="2:2">
      <c r="B1449"/>
    </row>
    <row r="1450" spans="2:2">
      <c r="B1450"/>
    </row>
    <row r="1451" spans="2:2">
      <c r="B1451"/>
    </row>
    <row r="1452" spans="2:2">
      <c r="B1452"/>
    </row>
    <row r="1453" spans="2:2">
      <c r="B1453"/>
    </row>
    <row r="1454" spans="2:2">
      <c r="B1454"/>
    </row>
    <row r="1455" spans="2:2">
      <c r="B1455"/>
    </row>
    <row r="1456" spans="2:2">
      <c r="B1456"/>
    </row>
    <row r="1457" spans="2:2">
      <c r="B1457"/>
    </row>
    <row r="1458" spans="2:2">
      <c r="B1458"/>
    </row>
    <row r="1459" spans="2:2">
      <c r="B1459"/>
    </row>
    <row r="1460" spans="2:2">
      <c r="B1460"/>
    </row>
    <row r="1461" spans="2:2">
      <c r="B1461"/>
    </row>
    <row r="1462" spans="2:2">
      <c r="B1462"/>
    </row>
    <row r="1463" spans="2:2">
      <c r="B1463"/>
    </row>
    <row r="1464" spans="2:2">
      <c r="B1464"/>
    </row>
    <row r="1465" spans="2:2">
      <c r="B1465"/>
    </row>
    <row r="1466" spans="2:2">
      <c r="B1466"/>
    </row>
    <row r="1467" spans="2:2">
      <c r="B1467"/>
    </row>
    <row r="1468" spans="2:2">
      <c r="B1468"/>
    </row>
    <row r="1469" spans="2:2">
      <c r="B1469"/>
    </row>
    <row r="1470" spans="2:2">
      <c r="B1470"/>
    </row>
    <row r="1471" spans="2:2">
      <c r="B1471"/>
    </row>
    <row r="1472" spans="2:2">
      <c r="B1472"/>
    </row>
    <row r="1473" spans="2:2">
      <c r="B1473"/>
    </row>
    <row r="1474" spans="2:2">
      <c r="B1474"/>
    </row>
    <row r="1475" spans="2:2">
      <c r="B1475"/>
    </row>
    <row r="1476" spans="2:2">
      <c r="B1476"/>
    </row>
    <row r="1477" spans="2:2">
      <c r="B1477"/>
    </row>
    <row r="1478" spans="2:2">
      <c r="B1478"/>
    </row>
    <row r="1479" spans="2:2">
      <c r="B1479"/>
    </row>
    <row r="1480" spans="2:2">
      <c r="B1480"/>
    </row>
    <row r="1481" spans="2:2">
      <c r="B1481"/>
    </row>
    <row r="1482" spans="2:2">
      <c r="B1482"/>
    </row>
    <row r="1483" spans="2:2">
      <c r="B1483"/>
    </row>
    <row r="1484" spans="2:2">
      <c r="B1484"/>
    </row>
    <row r="1485" spans="2:2">
      <c r="B1485"/>
    </row>
    <row r="1486" spans="2:2">
      <c r="B1486"/>
    </row>
    <row r="1487" spans="2:2">
      <c r="B1487"/>
    </row>
    <row r="1488" spans="2:2">
      <c r="B1488"/>
    </row>
    <row r="1489" spans="2:2">
      <c r="B1489"/>
    </row>
    <row r="1490" spans="2:2">
      <c r="B1490"/>
    </row>
    <row r="1491" spans="2:2">
      <c r="B1491"/>
    </row>
    <row r="1492" spans="2:2">
      <c r="B1492"/>
    </row>
    <row r="1493" spans="2:2">
      <c r="B1493"/>
    </row>
    <row r="1494" spans="2:2">
      <c r="B1494"/>
    </row>
    <row r="1495" spans="2:2">
      <c r="B1495"/>
    </row>
    <row r="1496" spans="2:2">
      <c r="B1496"/>
    </row>
    <row r="1497" spans="2:2">
      <c r="B1497"/>
    </row>
    <row r="1498" spans="2:2">
      <c r="B1498"/>
    </row>
    <row r="1499" spans="2:2">
      <c r="B1499"/>
    </row>
    <row r="1500" spans="2:2">
      <c r="B1500"/>
    </row>
    <row r="1501" spans="2:2">
      <c r="B1501"/>
    </row>
    <row r="1502" spans="2:2">
      <c r="B1502"/>
    </row>
    <row r="1503" spans="2:2">
      <c r="B1503"/>
    </row>
    <row r="1504" spans="2:2">
      <c r="B1504"/>
    </row>
    <row r="1505" spans="2:2">
      <c r="B1505"/>
    </row>
    <row r="1506" spans="2:2">
      <c r="B1506"/>
    </row>
    <row r="1507" spans="2:2">
      <c r="B1507"/>
    </row>
    <row r="1508" spans="2:2">
      <c r="B1508"/>
    </row>
    <row r="1509" spans="2:2">
      <c r="B1509"/>
    </row>
    <row r="1510" spans="2:2">
      <c r="B1510"/>
    </row>
    <row r="1511" spans="2:2">
      <c r="B1511"/>
    </row>
    <row r="1512" spans="2:2">
      <c r="B1512"/>
    </row>
    <row r="1513" spans="2:2">
      <c r="B1513"/>
    </row>
    <row r="1514" spans="2:2">
      <c r="B1514"/>
    </row>
    <row r="1515" spans="2:2">
      <c r="B1515"/>
    </row>
    <row r="1516" spans="2:2">
      <c r="B1516"/>
    </row>
    <row r="1517" spans="2:2">
      <c r="B1517"/>
    </row>
    <row r="1518" spans="2:2">
      <c r="B1518"/>
    </row>
    <row r="1519" spans="2:2">
      <c r="B1519"/>
    </row>
    <row r="1520" spans="2:2">
      <c r="B1520"/>
    </row>
    <row r="1521" spans="2:2">
      <c r="B1521"/>
    </row>
    <row r="1522" spans="2:2">
      <c r="B1522"/>
    </row>
    <row r="1523" spans="2:2">
      <c r="B1523"/>
    </row>
    <row r="1524" spans="2:2">
      <c r="B1524"/>
    </row>
    <row r="1525" spans="2:2">
      <c r="B1525"/>
    </row>
    <row r="1526" spans="2:2">
      <c r="B1526"/>
    </row>
    <row r="1527" spans="2:2">
      <c r="B1527"/>
    </row>
    <row r="1528" spans="2:2">
      <c r="B1528"/>
    </row>
    <row r="1529" spans="2:2">
      <c r="B1529"/>
    </row>
    <row r="1530" spans="2:2">
      <c r="B1530"/>
    </row>
    <row r="1531" spans="2:2">
      <c r="B1531"/>
    </row>
    <row r="1532" spans="2:2">
      <c r="B1532"/>
    </row>
    <row r="1533" spans="2:2">
      <c r="B1533"/>
    </row>
    <row r="1534" spans="2:2">
      <c r="B1534"/>
    </row>
    <row r="1535" spans="2:2">
      <c r="B1535"/>
    </row>
    <row r="1536" spans="2:2">
      <c r="B1536"/>
    </row>
    <row r="1537" spans="2:2">
      <c r="B1537"/>
    </row>
    <row r="1538" spans="2:2">
      <c r="B1538"/>
    </row>
    <row r="1539" spans="2:2">
      <c r="B1539"/>
    </row>
    <row r="1540" spans="2:2">
      <c r="B1540"/>
    </row>
    <row r="1541" spans="2:2">
      <c r="B1541"/>
    </row>
    <row r="1542" spans="2:2">
      <c r="B1542"/>
    </row>
    <row r="1543" spans="2:2">
      <c r="B1543"/>
    </row>
    <row r="1544" spans="2:2">
      <c r="B1544"/>
    </row>
    <row r="1545" spans="2:2">
      <c r="B1545"/>
    </row>
    <row r="1546" spans="2:2">
      <c r="B1546"/>
    </row>
    <row r="1547" spans="2:2">
      <c r="B1547"/>
    </row>
    <row r="1548" spans="2:2">
      <c r="B1548"/>
    </row>
    <row r="1549" spans="2:2">
      <c r="B1549"/>
    </row>
    <row r="1550" spans="2:2">
      <c r="B1550"/>
    </row>
    <row r="1551" spans="2:2">
      <c r="B1551"/>
    </row>
    <row r="1552" spans="2:2">
      <c r="B1552"/>
    </row>
    <row r="1553" spans="2:2">
      <c r="B1553"/>
    </row>
    <row r="1554" spans="2:2">
      <c r="B1554"/>
    </row>
    <row r="1555" spans="2:2">
      <c r="B1555"/>
    </row>
    <row r="1556" spans="2:2">
      <c r="B1556"/>
    </row>
    <row r="1557" spans="2:2">
      <c r="B1557"/>
    </row>
    <row r="1558" spans="2:2">
      <c r="B1558"/>
    </row>
    <row r="1559" spans="2:2">
      <c r="B1559"/>
    </row>
    <row r="1560" spans="2:2">
      <c r="B1560"/>
    </row>
    <row r="1561" spans="2:2">
      <c r="B1561"/>
    </row>
    <row r="1562" spans="2:2">
      <c r="B1562"/>
    </row>
    <row r="1563" spans="2:2">
      <c r="B1563"/>
    </row>
    <row r="1564" spans="2:2">
      <c r="B1564"/>
    </row>
    <row r="1565" spans="2:2">
      <c r="B1565"/>
    </row>
    <row r="1566" spans="2:2">
      <c r="B1566"/>
    </row>
    <row r="1567" spans="2:2">
      <c r="B1567"/>
    </row>
    <row r="1568" spans="2:2">
      <c r="B1568"/>
    </row>
    <row r="1569" spans="2:2">
      <c r="B1569"/>
    </row>
    <row r="1570" spans="2:2">
      <c r="B1570"/>
    </row>
    <row r="1571" spans="2:2">
      <c r="B1571"/>
    </row>
    <row r="1572" spans="2:2">
      <c r="B1572"/>
    </row>
    <row r="1573" spans="2:2">
      <c r="B1573"/>
    </row>
    <row r="1574" spans="2:2">
      <c r="B1574"/>
    </row>
    <row r="1575" spans="2:2">
      <c r="B1575"/>
    </row>
    <row r="1576" spans="2:2">
      <c r="B1576"/>
    </row>
    <row r="1577" spans="2:2">
      <c r="B1577"/>
    </row>
    <row r="1578" spans="2:2">
      <c r="B1578"/>
    </row>
    <row r="1579" spans="2:2">
      <c r="B1579"/>
    </row>
    <row r="1580" spans="2:2">
      <c r="B1580"/>
    </row>
    <row r="1581" spans="2:2">
      <c r="B1581"/>
    </row>
    <row r="1582" spans="2:2">
      <c r="B1582"/>
    </row>
    <row r="1583" spans="2:2">
      <c r="B1583"/>
    </row>
    <row r="1584" spans="2:2">
      <c r="B1584"/>
    </row>
    <row r="1585" spans="2:2">
      <c r="B1585"/>
    </row>
    <row r="1586" spans="2:2">
      <c r="B1586"/>
    </row>
    <row r="1587" spans="2:2">
      <c r="B1587"/>
    </row>
    <row r="1588" spans="2:2">
      <c r="B1588"/>
    </row>
    <row r="1589" spans="2:2">
      <c r="B1589"/>
    </row>
    <row r="1590" spans="2:2">
      <c r="B1590"/>
    </row>
    <row r="1591" spans="2:2">
      <c r="B1591"/>
    </row>
    <row r="1592" spans="2:2">
      <c r="B1592"/>
    </row>
    <row r="1593" spans="2:2">
      <c r="B1593"/>
    </row>
    <row r="1594" spans="2:2">
      <c r="B1594"/>
    </row>
    <row r="1595" spans="2:2">
      <c r="B1595"/>
    </row>
    <row r="1596" spans="2:2">
      <c r="B1596"/>
    </row>
    <row r="1597" spans="2:2">
      <c r="B1597"/>
    </row>
    <row r="1598" spans="2:2">
      <c r="B1598"/>
    </row>
    <row r="1599" spans="2:2">
      <c r="B1599"/>
    </row>
    <row r="1600" spans="2:2">
      <c r="B1600"/>
    </row>
    <row r="1601" spans="2:2">
      <c r="B1601"/>
    </row>
    <row r="1602" spans="2:2">
      <c r="B1602"/>
    </row>
    <row r="1603" spans="2:2">
      <c r="B1603"/>
    </row>
    <row r="1604" spans="2:2">
      <c r="B1604"/>
    </row>
    <row r="1605" spans="2:2">
      <c r="B1605"/>
    </row>
    <row r="1606" spans="2:2">
      <c r="B1606"/>
    </row>
    <row r="1607" spans="2:2">
      <c r="B1607"/>
    </row>
    <row r="1608" spans="2:2">
      <c r="B1608"/>
    </row>
    <row r="1609" spans="2:2">
      <c r="B1609"/>
    </row>
    <row r="1610" spans="2:2">
      <c r="B1610"/>
    </row>
    <row r="1611" spans="2:2">
      <c r="B1611"/>
    </row>
    <row r="1612" spans="2:2">
      <c r="B1612"/>
    </row>
    <row r="1613" spans="2:2">
      <c r="B1613"/>
    </row>
    <row r="1614" spans="2:2">
      <c r="B1614"/>
    </row>
    <row r="1615" spans="2:2">
      <c r="B1615"/>
    </row>
    <row r="1616" spans="2:2">
      <c r="B1616"/>
    </row>
    <row r="1617" spans="2:2">
      <c r="B1617"/>
    </row>
    <row r="1618" spans="2:2">
      <c r="B1618"/>
    </row>
    <row r="1619" spans="2:2">
      <c r="B1619"/>
    </row>
    <row r="1620" spans="2:2">
      <c r="B1620"/>
    </row>
    <row r="1621" spans="2:2">
      <c r="B1621"/>
    </row>
    <row r="1622" spans="2:2">
      <c r="B1622"/>
    </row>
    <row r="1623" spans="2:2">
      <c r="B1623"/>
    </row>
    <row r="1624" spans="2:2">
      <c r="B1624"/>
    </row>
    <row r="1625" spans="2:2">
      <c r="B1625"/>
    </row>
    <row r="1626" spans="2:2">
      <c r="B1626"/>
    </row>
    <row r="1627" spans="2:2">
      <c r="B1627"/>
    </row>
    <row r="1628" spans="2:2">
      <c r="B1628"/>
    </row>
    <row r="1629" spans="2:2">
      <c r="B1629"/>
    </row>
    <row r="1630" spans="2:2">
      <c r="B1630"/>
    </row>
    <row r="1631" spans="2:2">
      <c r="B1631"/>
    </row>
    <row r="1632" spans="2:2">
      <c r="B1632"/>
    </row>
    <row r="1633" spans="2:2">
      <c r="B1633"/>
    </row>
    <row r="1634" spans="2:2">
      <c r="B1634"/>
    </row>
    <row r="1635" spans="2:2">
      <c r="B1635"/>
    </row>
    <row r="1636" spans="2:2">
      <c r="B1636"/>
    </row>
    <row r="1637" spans="2:2">
      <c r="B1637"/>
    </row>
    <row r="1638" spans="2:2">
      <c r="B1638"/>
    </row>
    <row r="1639" spans="2:2">
      <c r="B1639"/>
    </row>
    <row r="1640" spans="2:2">
      <c r="B1640"/>
    </row>
    <row r="1641" spans="2:2">
      <c r="B1641"/>
    </row>
    <row r="1642" spans="2:2">
      <c r="B1642"/>
    </row>
    <row r="1643" spans="2:2">
      <c r="B1643"/>
    </row>
    <row r="1644" spans="2:2">
      <c r="B1644"/>
    </row>
    <row r="1645" spans="2:2">
      <c r="B1645"/>
    </row>
    <row r="1646" spans="2:2">
      <c r="B1646"/>
    </row>
    <row r="1647" spans="2:2">
      <c r="B1647"/>
    </row>
    <row r="1648" spans="2:2">
      <c r="B1648"/>
    </row>
    <row r="1649" spans="2:2">
      <c r="B1649"/>
    </row>
    <row r="1650" spans="2:2">
      <c r="B1650"/>
    </row>
    <row r="1651" spans="2:2">
      <c r="B1651"/>
    </row>
    <row r="1652" spans="2:2">
      <c r="B1652"/>
    </row>
    <row r="1653" spans="2:2">
      <c r="B1653"/>
    </row>
    <row r="1654" spans="2:2">
      <c r="B1654"/>
    </row>
    <row r="1655" spans="2:2">
      <c r="B1655"/>
    </row>
    <row r="1656" spans="2:2">
      <c r="B1656"/>
    </row>
    <row r="1657" spans="2:2">
      <c r="B1657"/>
    </row>
    <row r="1658" spans="2:2">
      <c r="B1658"/>
    </row>
    <row r="1659" spans="2:2">
      <c r="B1659"/>
    </row>
    <row r="1660" spans="2:2">
      <c r="B1660"/>
    </row>
    <row r="1661" spans="2:2">
      <c r="B1661"/>
    </row>
    <row r="1662" spans="2:2">
      <c r="B1662"/>
    </row>
    <row r="1663" spans="2:2">
      <c r="B1663"/>
    </row>
    <row r="1664" spans="2:2">
      <c r="B1664"/>
    </row>
    <row r="1665" spans="2:2">
      <c r="B1665"/>
    </row>
    <row r="1666" spans="2:2">
      <c r="B1666"/>
    </row>
    <row r="1667" spans="2:2">
      <c r="B1667"/>
    </row>
    <row r="1668" spans="2:2">
      <c r="B1668"/>
    </row>
    <row r="1669" spans="2:2">
      <c r="B1669"/>
    </row>
    <row r="1670" spans="2:2">
      <c r="B1670"/>
    </row>
    <row r="1671" spans="2:2">
      <c r="B1671"/>
    </row>
    <row r="1672" spans="2:2">
      <c r="B1672"/>
    </row>
    <row r="1673" spans="2:2">
      <c r="B1673"/>
    </row>
    <row r="1674" spans="2:2">
      <c r="B1674"/>
    </row>
    <row r="1675" spans="2:2">
      <c r="B1675"/>
    </row>
    <row r="1676" spans="2:2">
      <c r="B1676"/>
    </row>
    <row r="1677" spans="2:2">
      <c r="B1677"/>
    </row>
    <row r="1678" spans="2:2">
      <c r="B1678"/>
    </row>
    <row r="1679" spans="2:2">
      <c r="B1679"/>
    </row>
    <row r="1680" spans="2:2">
      <c r="B1680"/>
    </row>
    <row r="1681" spans="2:2">
      <c r="B1681"/>
    </row>
    <row r="1682" spans="2:2">
      <c r="B1682"/>
    </row>
    <row r="1683" spans="2:2">
      <c r="B1683"/>
    </row>
    <row r="1684" spans="2:2">
      <c r="B1684"/>
    </row>
    <row r="1685" spans="2:2">
      <c r="B1685"/>
    </row>
    <row r="1686" spans="2:2">
      <c r="B1686"/>
    </row>
    <row r="1687" spans="2:2">
      <c r="B1687"/>
    </row>
    <row r="1688" spans="2:2">
      <c r="B1688"/>
    </row>
    <row r="1689" spans="2:2">
      <c r="B1689"/>
    </row>
    <row r="1690" spans="2:2">
      <c r="B1690"/>
    </row>
    <row r="1691" spans="2:2">
      <c r="B1691"/>
    </row>
    <row r="1692" spans="2:2">
      <c r="B1692"/>
    </row>
    <row r="1693" spans="2:2">
      <c r="B1693"/>
    </row>
    <row r="1694" spans="2:2">
      <c r="B1694"/>
    </row>
    <row r="1695" spans="2:2">
      <c r="B1695"/>
    </row>
    <row r="1696" spans="2:2">
      <c r="B1696"/>
    </row>
    <row r="1697" spans="2:2">
      <c r="B1697"/>
    </row>
    <row r="1698" spans="2:2">
      <c r="B1698"/>
    </row>
    <row r="1699" spans="2:2">
      <c r="B1699"/>
    </row>
    <row r="1700" spans="2:2">
      <c r="B1700"/>
    </row>
    <row r="1701" spans="2:2">
      <c r="B1701"/>
    </row>
    <row r="1702" spans="2:2">
      <c r="B1702"/>
    </row>
    <row r="1703" spans="2:2">
      <c r="B1703"/>
    </row>
    <row r="1704" spans="2:2">
      <c r="B1704"/>
    </row>
    <row r="1705" spans="2:2">
      <c r="B1705"/>
    </row>
    <row r="1706" spans="2:2">
      <c r="B1706"/>
    </row>
    <row r="1707" spans="2:2">
      <c r="B1707"/>
    </row>
    <row r="1708" spans="2:2">
      <c r="B1708"/>
    </row>
    <row r="1709" spans="2:2">
      <c r="B1709"/>
    </row>
    <row r="1710" spans="2:2">
      <c r="B1710"/>
    </row>
    <row r="1711" spans="2:2">
      <c r="B1711"/>
    </row>
    <row r="1712" spans="2:2">
      <c r="B1712"/>
    </row>
    <row r="1713" spans="2:2">
      <c r="B1713"/>
    </row>
    <row r="1714" spans="2:2">
      <c r="B1714"/>
    </row>
    <row r="1715" spans="2:2">
      <c r="B1715"/>
    </row>
    <row r="1716" spans="2:2">
      <c r="B1716"/>
    </row>
    <row r="1717" spans="2:2">
      <c r="B1717"/>
    </row>
    <row r="1718" spans="2:2">
      <c r="B1718"/>
    </row>
    <row r="1719" spans="2:2">
      <c r="B1719"/>
    </row>
    <row r="1720" spans="2:2">
      <c r="B1720"/>
    </row>
    <row r="1721" spans="2:2">
      <c r="B1721"/>
    </row>
    <row r="1722" spans="2:2">
      <c r="B1722"/>
    </row>
    <row r="1723" spans="2:2">
      <c r="B1723"/>
    </row>
    <row r="1724" spans="2:2">
      <c r="B1724"/>
    </row>
    <row r="1725" spans="2:2">
      <c r="B1725"/>
    </row>
    <row r="1726" spans="2:2">
      <c r="B1726"/>
    </row>
    <row r="1727" spans="2:2">
      <c r="B1727"/>
    </row>
    <row r="1728" spans="2:2">
      <c r="B1728"/>
    </row>
    <row r="1729" spans="2:2">
      <c r="B1729"/>
    </row>
    <row r="1730" spans="2:2">
      <c r="B1730"/>
    </row>
    <row r="1731" spans="2:2">
      <c r="B1731"/>
    </row>
    <row r="1732" spans="2:2">
      <c r="B1732"/>
    </row>
    <row r="1733" spans="2:2">
      <c r="B1733"/>
    </row>
    <row r="1734" spans="2:2">
      <c r="B1734"/>
    </row>
    <row r="1735" spans="2:2">
      <c r="B1735"/>
    </row>
    <row r="1736" spans="2:2">
      <c r="B1736"/>
    </row>
    <row r="1737" spans="2:2">
      <c r="B1737"/>
    </row>
    <row r="1738" spans="2:2">
      <c r="B1738"/>
    </row>
    <row r="1739" spans="2:2">
      <c r="B1739"/>
    </row>
    <row r="1740" spans="2:2">
      <c r="B1740"/>
    </row>
    <row r="1741" spans="2:2">
      <c r="B1741"/>
    </row>
    <row r="1742" spans="2:2">
      <c r="B1742"/>
    </row>
    <row r="1743" spans="2:2">
      <c r="B1743"/>
    </row>
    <row r="1744" spans="2:2">
      <c r="B1744"/>
    </row>
    <row r="1745" spans="2:2">
      <c r="B1745"/>
    </row>
    <row r="1746" spans="2:2">
      <c r="B1746"/>
    </row>
    <row r="1747" spans="2:2">
      <c r="B1747"/>
    </row>
    <row r="1748" spans="2:2">
      <c r="B1748"/>
    </row>
    <row r="1749" spans="2:2">
      <c r="B1749"/>
    </row>
    <row r="1750" spans="2:2">
      <c r="B1750"/>
    </row>
    <row r="1751" spans="2:2">
      <c r="B1751"/>
    </row>
    <row r="1752" spans="2:2">
      <c r="B1752"/>
    </row>
    <row r="1753" spans="2:2">
      <c r="B1753"/>
    </row>
    <row r="1754" spans="2:2">
      <c r="B1754"/>
    </row>
    <row r="1755" spans="2:2">
      <c r="B1755"/>
    </row>
    <row r="1756" spans="2:2">
      <c r="B1756"/>
    </row>
    <row r="1757" spans="2:2">
      <c r="B1757"/>
    </row>
    <row r="1758" spans="2:2">
      <c r="B1758"/>
    </row>
    <row r="1759" spans="2:2">
      <c r="B1759"/>
    </row>
    <row r="1760" spans="2:2">
      <c r="B1760"/>
    </row>
    <row r="1761" spans="2:2">
      <c r="B1761"/>
    </row>
    <row r="1762" spans="2:2">
      <c r="B1762"/>
    </row>
    <row r="1763" spans="2:2">
      <c r="B1763"/>
    </row>
    <row r="1764" spans="2:2">
      <c r="B1764"/>
    </row>
    <row r="1765" spans="2:2">
      <c r="B1765"/>
    </row>
    <row r="1766" spans="2:2">
      <c r="B1766"/>
    </row>
    <row r="1767" spans="2:2">
      <c r="B1767"/>
    </row>
    <row r="1768" spans="2:2">
      <c r="B1768"/>
    </row>
    <row r="1769" spans="2:2">
      <c r="B1769"/>
    </row>
    <row r="1770" spans="2:2">
      <c r="B1770"/>
    </row>
    <row r="1771" spans="2:2">
      <c r="B1771"/>
    </row>
    <row r="1772" spans="2:2">
      <c r="B1772"/>
    </row>
    <row r="1773" spans="2:2">
      <c r="B1773"/>
    </row>
    <row r="1774" spans="2:2">
      <c r="B1774"/>
    </row>
    <row r="1775" spans="2:2">
      <c r="B1775"/>
    </row>
    <row r="1776" spans="2:2">
      <c r="B1776"/>
    </row>
    <row r="1777" spans="2:2">
      <c r="B1777"/>
    </row>
    <row r="1778" spans="2:2">
      <c r="B1778"/>
    </row>
    <row r="1779" spans="2:2">
      <c r="B1779"/>
    </row>
    <row r="1780" spans="2:2">
      <c r="B1780"/>
    </row>
    <row r="1781" spans="2:2">
      <c r="B1781"/>
    </row>
    <row r="1782" spans="2:2">
      <c r="B1782"/>
    </row>
    <row r="1783" spans="2:2">
      <c r="B1783"/>
    </row>
    <row r="1784" spans="2:2">
      <c r="B1784"/>
    </row>
    <row r="1785" spans="2:2">
      <c r="B1785"/>
    </row>
    <row r="1786" spans="2:2">
      <c r="B1786"/>
    </row>
    <row r="1787" spans="2:2">
      <c r="B1787"/>
    </row>
    <row r="1788" spans="2:2">
      <c r="B1788"/>
    </row>
    <row r="1789" spans="2:2">
      <c r="B1789"/>
    </row>
    <row r="1790" spans="2:2">
      <c r="B1790"/>
    </row>
    <row r="1791" spans="2:2">
      <c r="B1791"/>
    </row>
    <row r="1792" spans="2:2">
      <c r="B1792"/>
    </row>
    <row r="1793" spans="2:2">
      <c r="B1793"/>
    </row>
    <row r="1794" spans="2:2">
      <c r="B1794"/>
    </row>
    <row r="1795" spans="2:2">
      <c r="B1795"/>
    </row>
    <row r="1796" spans="2:2">
      <c r="B1796"/>
    </row>
    <row r="1797" spans="2:2">
      <c r="B1797"/>
    </row>
    <row r="1798" spans="2:2">
      <c r="B1798"/>
    </row>
    <row r="1799" spans="2:2">
      <c r="B1799"/>
    </row>
    <row r="1800" spans="2:2">
      <c r="B1800"/>
    </row>
    <row r="1801" spans="2:2">
      <c r="B1801"/>
    </row>
    <row r="1802" spans="2:2">
      <c r="B1802"/>
    </row>
    <row r="1803" spans="2:2">
      <c r="B1803"/>
    </row>
    <row r="1804" spans="2:2">
      <c r="B1804"/>
    </row>
    <row r="1805" spans="2:2">
      <c r="B1805"/>
    </row>
    <row r="1806" spans="2:2">
      <c r="B1806"/>
    </row>
    <row r="1807" spans="2:2">
      <c r="B1807"/>
    </row>
    <row r="1808" spans="2:2">
      <c r="B1808"/>
    </row>
    <row r="1809" spans="2:2">
      <c r="B1809"/>
    </row>
    <row r="1810" spans="2:2">
      <c r="B1810"/>
    </row>
    <row r="1811" spans="2:2">
      <c r="B1811"/>
    </row>
    <row r="1812" spans="2:2">
      <c r="B1812"/>
    </row>
    <row r="1813" spans="2:2">
      <c r="B1813"/>
    </row>
    <row r="1814" spans="2:2">
      <c r="B1814"/>
    </row>
    <row r="1815" spans="2:2">
      <c r="B1815"/>
    </row>
    <row r="1816" spans="2:2">
      <c r="B1816"/>
    </row>
    <row r="1817" spans="2:2">
      <c r="B1817"/>
    </row>
    <row r="1818" spans="2:2">
      <c r="B1818"/>
    </row>
    <row r="1819" spans="2:2">
      <c r="B1819"/>
    </row>
    <row r="1820" spans="2:2">
      <c r="B1820"/>
    </row>
    <row r="1821" spans="2:2">
      <c r="B1821"/>
    </row>
    <row r="1822" spans="2:2">
      <c r="B1822"/>
    </row>
    <row r="1823" spans="2:2">
      <c r="B1823"/>
    </row>
    <row r="1824" spans="2:2">
      <c r="B1824"/>
    </row>
    <row r="1825" spans="2:2">
      <c r="B1825"/>
    </row>
    <row r="1826" spans="2:2">
      <c r="B1826"/>
    </row>
    <row r="1827" spans="2:2">
      <c r="B1827"/>
    </row>
    <row r="1828" spans="2:2">
      <c r="B1828"/>
    </row>
    <row r="1829" spans="2:2">
      <c r="B1829"/>
    </row>
    <row r="1830" spans="2:2">
      <c r="B1830"/>
    </row>
    <row r="1831" spans="2:2">
      <c r="B1831"/>
    </row>
    <row r="1832" spans="2:2">
      <c r="B1832"/>
    </row>
    <row r="1833" spans="2:2">
      <c r="B1833"/>
    </row>
    <row r="1834" spans="2:2">
      <c r="B1834"/>
    </row>
    <row r="1835" spans="2:2">
      <c r="B1835"/>
    </row>
    <row r="1836" spans="2:2">
      <c r="B1836"/>
    </row>
    <row r="1837" spans="2:2">
      <c r="B1837"/>
    </row>
    <row r="1838" spans="2:2">
      <c r="B1838"/>
    </row>
    <row r="1839" spans="2:2">
      <c r="B1839"/>
    </row>
    <row r="1840" spans="2:2">
      <c r="B1840"/>
    </row>
    <row r="1841" spans="2:2">
      <c r="B1841"/>
    </row>
    <row r="1842" spans="2:2">
      <c r="B1842"/>
    </row>
    <row r="1843" spans="2:2">
      <c r="B1843"/>
    </row>
    <row r="1844" spans="2:2">
      <c r="B1844"/>
    </row>
    <row r="1845" spans="2:2">
      <c r="B1845"/>
    </row>
    <row r="1846" spans="2:2">
      <c r="B1846"/>
    </row>
    <row r="1847" spans="2:2">
      <c r="B1847"/>
    </row>
    <row r="1848" spans="2:2">
      <c r="B1848"/>
    </row>
    <row r="1849" spans="2:2">
      <c r="B1849"/>
    </row>
    <row r="1850" spans="2:2">
      <c r="B1850"/>
    </row>
    <row r="1851" spans="2:2">
      <c r="B1851"/>
    </row>
    <row r="1852" spans="2:2">
      <c r="B1852"/>
    </row>
    <row r="1853" spans="2:2">
      <c r="B1853"/>
    </row>
    <row r="1854" spans="2:2">
      <c r="B1854"/>
    </row>
    <row r="1855" spans="2:2">
      <c r="B1855"/>
    </row>
    <row r="1856" spans="2:2">
      <c r="B1856"/>
    </row>
    <row r="1857" spans="2:2">
      <c r="B1857"/>
    </row>
    <row r="1858" spans="2:2">
      <c r="B1858"/>
    </row>
    <row r="1859" spans="2:2">
      <c r="B1859"/>
    </row>
    <row r="1860" spans="2:2">
      <c r="B1860"/>
    </row>
    <row r="1861" spans="2:2">
      <c r="B1861"/>
    </row>
    <row r="1862" spans="2:2">
      <c r="B1862"/>
    </row>
    <row r="1863" spans="2:2">
      <c r="B1863"/>
    </row>
    <row r="1864" spans="2:2">
      <c r="B1864"/>
    </row>
    <row r="1865" spans="2:2">
      <c r="B1865"/>
    </row>
    <row r="1866" spans="2:2">
      <c r="B1866"/>
    </row>
    <row r="1867" spans="2:2">
      <c r="B1867"/>
    </row>
    <row r="1868" spans="2:2">
      <c r="B1868"/>
    </row>
    <row r="1869" spans="2:2">
      <c r="B1869"/>
    </row>
    <row r="1870" spans="2:2">
      <c r="B1870"/>
    </row>
    <row r="1871" spans="2:2">
      <c r="B1871"/>
    </row>
    <row r="1872" spans="2:2">
      <c r="B1872"/>
    </row>
    <row r="1873" spans="2:2">
      <c r="B1873"/>
    </row>
    <row r="1874" spans="2:2">
      <c r="B1874"/>
    </row>
    <row r="1875" spans="2:2">
      <c r="B1875"/>
    </row>
    <row r="1876" spans="2:2">
      <c r="B1876"/>
    </row>
    <row r="1877" spans="2:2">
      <c r="B1877"/>
    </row>
    <row r="1878" spans="2:2">
      <c r="B1878"/>
    </row>
    <row r="1879" spans="2:2">
      <c r="B1879"/>
    </row>
    <row r="1880" spans="2:2">
      <c r="B1880"/>
    </row>
    <row r="1881" spans="2:2">
      <c r="B1881"/>
    </row>
    <row r="1882" spans="2:2">
      <c r="B1882"/>
    </row>
    <row r="1883" spans="2:2">
      <c r="B1883"/>
    </row>
    <row r="1884" spans="2:2">
      <c r="B1884"/>
    </row>
    <row r="1885" spans="2:2">
      <c r="B1885"/>
    </row>
    <row r="1886" spans="2:2">
      <c r="B1886"/>
    </row>
    <row r="1887" spans="2:2">
      <c r="B1887"/>
    </row>
    <row r="1888" spans="2:2">
      <c r="B1888"/>
    </row>
    <row r="1889" spans="2:2">
      <c r="B1889"/>
    </row>
    <row r="1890" spans="2:2">
      <c r="B1890"/>
    </row>
    <row r="1891" spans="2:2">
      <c r="B1891"/>
    </row>
    <row r="1892" spans="2:2">
      <c r="B1892"/>
    </row>
    <row r="1893" spans="2:2">
      <c r="B1893"/>
    </row>
    <row r="1894" spans="2:2">
      <c r="B1894"/>
    </row>
    <row r="1895" spans="2:2">
      <c r="B1895"/>
    </row>
    <row r="1896" spans="2:2">
      <c r="B1896"/>
    </row>
    <row r="1897" spans="2:2">
      <c r="B1897"/>
    </row>
    <row r="1898" spans="2:2">
      <c r="B1898"/>
    </row>
    <row r="1899" spans="2:2">
      <c r="B1899"/>
    </row>
    <row r="1900" spans="2:2">
      <c r="B1900"/>
    </row>
    <row r="1901" spans="2:2">
      <c r="B1901"/>
    </row>
    <row r="1902" spans="2:2">
      <c r="B1902"/>
    </row>
    <row r="1903" spans="2:2">
      <c r="B1903"/>
    </row>
    <row r="1904" spans="2:2">
      <c r="B1904"/>
    </row>
    <row r="1905" spans="2:2">
      <c r="B1905"/>
    </row>
    <row r="1906" spans="2:2">
      <c r="B1906"/>
    </row>
    <row r="1907" spans="2:2">
      <c r="B1907"/>
    </row>
    <row r="1908" spans="2:2">
      <c r="B1908"/>
    </row>
    <row r="1909" spans="2:2">
      <c r="B1909"/>
    </row>
    <row r="1910" spans="2:2">
      <c r="B1910"/>
    </row>
    <row r="1911" spans="2:2">
      <c r="B1911"/>
    </row>
    <row r="1912" spans="2:2">
      <c r="B1912"/>
    </row>
    <row r="1913" spans="2:2">
      <c r="B1913"/>
    </row>
    <row r="1914" spans="2:2">
      <c r="B1914"/>
    </row>
    <row r="1915" spans="2:2">
      <c r="B1915"/>
    </row>
    <row r="1916" spans="2:2">
      <c r="B1916"/>
    </row>
    <row r="1917" spans="2:2">
      <c r="B1917"/>
    </row>
    <row r="1918" spans="2:2">
      <c r="B1918"/>
    </row>
    <row r="1919" spans="2:2">
      <c r="B1919"/>
    </row>
    <row r="1920" spans="2:2">
      <c r="B1920"/>
    </row>
    <row r="1921" spans="2:2">
      <c r="B1921"/>
    </row>
    <row r="1922" spans="2:2">
      <c r="B1922"/>
    </row>
    <row r="1923" spans="2:2">
      <c r="B1923"/>
    </row>
    <row r="1924" spans="2:2">
      <c r="B1924"/>
    </row>
    <row r="1925" spans="2:2">
      <c r="B1925"/>
    </row>
    <row r="1926" spans="2:2">
      <c r="B1926"/>
    </row>
    <row r="1927" spans="2:2">
      <c r="B1927"/>
    </row>
    <row r="1928" spans="2:2">
      <c r="B1928"/>
    </row>
    <row r="1929" spans="2:2">
      <c r="B1929"/>
    </row>
    <row r="1930" spans="2:2">
      <c r="B1930"/>
    </row>
    <row r="1931" spans="2:2">
      <c r="B1931"/>
    </row>
    <row r="1932" spans="2:2">
      <c r="B1932"/>
    </row>
    <row r="1933" spans="2:2">
      <c r="B1933"/>
    </row>
    <row r="1934" spans="2:2">
      <c r="B1934"/>
    </row>
    <row r="1935" spans="2:2">
      <c r="B1935"/>
    </row>
    <row r="1936" spans="2:2">
      <c r="B1936"/>
    </row>
    <row r="1937" spans="2:2">
      <c r="B1937"/>
    </row>
    <row r="1938" spans="2:2">
      <c r="B1938"/>
    </row>
    <row r="1939" spans="2:2">
      <c r="B1939"/>
    </row>
    <row r="1940" spans="2:2">
      <c r="B1940"/>
    </row>
    <row r="1941" spans="2:2">
      <c r="B1941"/>
    </row>
    <row r="1942" spans="2:2">
      <c r="B1942"/>
    </row>
    <row r="1943" spans="2:2">
      <c r="B1943"/>
    </row>
    <row r="1944" spans="2:2">
      <c r="B1944"/>
    </row>
    <row r="1945" spans="2:2">
      <c r="B1945"/>
    </row>
    <row r="1946" spans="2:2">
      <c r="B1946"/>
    </row>
    <row r="1947" spans="2:2">
      <c r="B1947"/>
    </row>
    <row r="1948" spans="2:2">
      <c r="B1948"/>
    </row>
    <row r="1949" spans="2:2">
      <c r="B1949"/>
    </row>
    <row r="1950" spans="2:2">
      <c r="B1950"/>
    </row>
    <row r="1951" spans="2:2">
      <c r="B1951"/>
    </row>
    <row r="1952" spans="2:2">
      <c r="B1952"/>
    </row>
    <row r="1953" spans="2:2">
      <c r="B1953"/>
    </row>
    <row r="1954" spans="2:2">
      <c r="B1954"/>
    </row>
    <row r="1955" spans="2:2">
      <c r="B1955"/>
    </row>
    <row r="1956" spans="2:2">
      <c r="B1956"/>
    </row>
    <row r="1957" spans="2:2">
      <c r="B1957"/>
    </row>
    <row r="1958" spans="2:2">
      <c r="B1958"/>
    </row>
    <row r="1959" spans="2:2">
      <c r="B1959"/>
    </row>
    <row r="1960" spans="2:2">
      <c r="B1960"/>
    </row>
    <row r="1961" spans="2:2">
      <c r="B1961"/>
    </row>
    <row r="1962" spans="2:2">
      <c r="B1962"/>
    </row>
    <row r="1963" spans="2:2">
      <c r="B1963"/>
    </row>
    <row r="1964" spans="2:2">
      <c r="B1964"/>
    </row>
    <row r="1965" spans="2:2">
      <c r="B1965"/>
    </row>
    <row r="1966" spans="2:2">
      <c r="B1966"/>
    </row>
    <row r="1967" spans="2:2">
      <c r="B1967"/>
    </row>
    <row r="1968" spans="2:2">
      <c r="B1968"/>
    </row>
    <row r="1969" spans="2:2">
      <c r="B1969"/>
    </row>
    <row r="1970" spans="2:2">
      <c r="B1970"/>
    </row>
    <row r="1971" spans="2:2">
      <c r="B1971"/>
    </row>
    <row r="1972" spans="2:2">
      <c r="B1972"/>
    </row>
    <row r="1973" spans="2:2">
      <c r="B1973"/>
    </row>
    <row r="1974" spans="2:2">
      <c r="B1974"/>
    </row>
    <row r="1975" spans="2:2">
      <c r="B1975"/>
    </row>
    <row r="1976" spans="2:2">
      <c r="B1976"/>
    </row>
    <row r="1977" spans="2:2">
      <c r="B1977"/>
    </row>
    <row r="1978" spans="2:2">
      <c r="B1978"/>
    </row>
    <row r="1979" spans="2:2">
      <c r="B1979"/>
    </row>
    <row r="1980" spans="2:2">
      <c r="B1980"/>
    </row>
    <row r="1981" spans="2:2">
      <c r="B1981"/>
    </row>
    <row r="1982" spans="2:2">
      <c r="B1982"/>
    </row>
    <row r="1983" spans="2:2">
      <c r="B1983"/>
    </row>
    <row r="1984" spans="2:2">
      <c r="B1984"/>
    </row>
    <row r="1985" spans="2:2">
      <c r="B1985"/>
    </row>
    <row r="1986" spans="2:2">
      <c r="B1986"/>
    </row>
    <row r="1987" spans="2:2">
      <c r="B1987"/>
    </row>
    <row r="1988" spans="2:2">
      <c r="B1988"/>
    </row>
    <row r="1989" spans="2:2">
      <c r="B1989"/>
    </row>
    <row r="1990" spans="2:2">
      <c r="B1990"/>
    </row>
    <row r="1991" spans="2:2">
      <c r="B1991"/>
    </row>
    <row r="1992" spans="2:2">
      <c r="B1992"/>
    </row>
    <row r="1993" spans="2:2">
      <c r="B1993"/>
    </row>
    <row r="1994" spans="2:2">
      <c r="B199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E165"/>
  <sheetViews>
    <sheetView workbookViewId="0">
      <selection activeCell="B13" sqref="B13"/>
    </sheetView>
  </sheetViews>
  <sheetFormatPr defaultRowHeight="14.45"/>
  <cols>
    <col min="1" max="1" width="29" customWidth="1"/>
    <col min="2" max="2" width="23.5703125" customWidth="1"/>
    <col min="3" max="3" width="19.42578125" customWidth="1"/>
    <col min="4" max="4" width="15.5703125" customWidth="1"/>
    <col min="5" max="5" width="28.42578125" customWidth="1"/>
    <col min="6" max="6" width="21.42578125" customWidth="1"/>
    <col min="7" max="7" width="20.85546875" customWidth="1"/>
    <col min="8" max="8" width="16.28515625" customWidth="1"/>
    <col min="9" max="9" width="13.140625" customWidth="1"/>
    <col min="10" max="10" width="14.7109375" bestFit="1" customWidth="1"/>
    <col min="11" max="11" width="16.85546875" customWidth="1"/>
    <col min="12" max="12" width="11.42578125" customWidth="1"/>
  </cols>
  <sheetData>
    <row r="1" spans="1:5">
      <c r="A1" s="5" t="s">
        <v>9</v>
      </c>
      <c r="B1" t="s">
        <v>1719</v>
      </c>
      <c r="C1" t="s">
        <v>1720</v>
      </c>
    </row>
    <row r="2" spans="1:5">
      <c r="A2" s="5" t="s">
        <v>20</v>
      </c>
      <c r="B2" t="s">
        <v>1719</v>
      </c>
    </row>
    <row r="3" spans="1:5">
      <c r="A3" s="5" t="s">
        <v>12</v>
      </c>
      <c r="B3" t="s">
        <v>1719</v>
      </c>
    </row>
    <row r="4" spans="1:5">
      <c r="A4" s="5" t="s">
        <v>3</v>
      </c>
      <c r="B4" t="s">
        <v>1719</v>
      </c>
    </row>
    <row r="6" spans="1:5">
      <c r="A6" s="5" t="s">
        <v>1717</v>
      </c>
      <c r="B6" s="5" t="s">
        <v>8</v>
      </c>
    </row>
    <row r="7" spans="1:5">
      <c r="A7" s="5" t="s">
        <v>18</v>
      </c>
      <c r="B7" t="s">
        <v>61</v>
      </c>
      <c r="C7" t="s">
        <v>35</v>
      </c>
      <c r="D7" t="s">
        <v>29</v>
      </c>
      <c r="E7" t="s">
        <v>1718</v>
      </c>
    </row>
    <row r="8" spans="1:5">
      <c r="A8">
        <v>2016</v>
      </c>
      <c r="B8" s="13">
        <v>0</v>
      </c>
      <c r="C8" s="13">
        <v>108601</v>
      </c>
      <c r="D8" s="13">
        <v>5227040</v>
      </c>
      <c r="E8" s="13">
        <v>5335641</v>
      </c>
    </row>
    <row r="9" spans="1:5">
      <c r="A9">
        <v>2017</v>
      </c>
      <c r="B9" s="13">
        <v>5661940.9199999999</v>
      </c>
      <c r="C9" s="13">
        <v>1927138.72</v>
      </c>
      <c r="D9" s="13">
        <v>0</v>
      </c>
      <c r="E9" s="13">
        <v>7589079.6399999997</v>
      </c>
    </row>
    <row r="10" spans="1:5">
      <c r="A10">
        <v>2018</v>
      </c>
      <c r="B10" s="13">
        <v>2672381.38</v>
      </c>
      <c r="C10" s="13">
        <v>1065465.74</v>
      </c>
      <c r="D10" s="13">
        <v>0</v>
      </c>
      <c r="E10" s="13">
        <v>3737847.12</v>
      </c>
    </row>
    <row r="11" spans="1:5">
      <c r="A11">
        <v>2019</v>
      </c>
      <c r="B11" s="13">
        <v>1370099.6</v>
      </c>
      <c r="C11" s="13">
        <v>1789625.31</v>
      </c>
      <c r="D11" s="13">
        <v>0</v>
      </c>
      <c r="E11" s="13">
        <v>3159724.91</v>
      </c>
    </row>
    <row r="12" spans="1:5">
      <c r="A12">
        <v>2020</v>
      </c>
      <c r="B12" s="13">
        <v>1211745.7</v>
      </c>
      <c r="C12" s="13">
        <v>4566934.17</v>
      </c>
      <c r="D12" s="13">
        <v>0</v>
      </c>
      <c r="E12" s="13">
        <v>5778679.8700000001</v>
      </c>
    </row>
    <row r="13" spans="1:5">
      <c r="A13">
        <v>2021</v>
      </c>
      <c r="B13" s="13">
        <v>215315.16999999998</v>
      </c>
      <c r="C13" s="13">
        <v>691492.67</v>
      </c>
      <c r="D13" s="13">
        <v>0</v>
      </c>
      <c r="E13" s="13">
        <v>906807.84000000008</v>
      </c>
    </row>
    <row r="14" spans="1:5">
      <c r="A14">
        <v>2022</v>
      </c>
      <c r="B14" s="13">
        <v>4319856.8</v>
      </c>
      <c r="C14" s="13">
        <v>2010009.76</v>
      </c>
      <c r="D14" s="13">
        <v>0</v>
      </c>
      <c r="E14" s="13">
        <v>6329866.5599999996</v>
      </c>
    </row>
    <row r="15" spans="1:5">
      <c r="A15">
        <v>2023</v>
      </c>
      <c r="B15" s="13">
        <v>824411.5</v>
      </c>
      <c r="C15" s="13">
        <v>5071327.75</v>
      </c>
      <c r="D15" s="13">
        <v>0</v>
      </c>
      <c r="E15" s="13">
        <v>5895739.25</v>
      </c>
    </row>
    <row r="16" spans="1:5">
      <c r="A16">
        <v>2024</v>
      </c>
      <c r="B16" s="13">
        <v>3074034.06</v>
      </c>
      <c r="C16" s="13">
        <v>3196178.52</v>
      </c>
      <c r="D16" s="13">
        <v>0</v>
      </c>
      <c r="E16" s="13">
        <v>6270212.5800000001</v>
      </c>
    </row>
    <row r="17" spans="1:5">
      <c r="A17">
        <v>2025</v>
      </c>
      <c r="B17" s="13">
        <v>921643.39</v>
      </c>
      <c r="C17" s="13">
        <v>406605</v>
      </c>
      <c r="D17" s="13">
        <v>0</v>
      </c>
      <c r="E17" s="13">
        <v>1328248.3900000001</v>
      </c>
    </row>
    <row r="18" spans="1:5">
      <c r="A18" t="s">
        <v>1718</v>
      </c>
      <c r="B18" s="13">
        <v>20271428.52</v>
      </c>
      <c r="C18" s="13">
        <v>20833378.639999997</v>
      </c>
      <c r="D18" s="13">
        <v>5227040</v>
      </c>
      <c r="E18" s="13">
        <v>46331847.159999996</v>
      </c>
    </row>
    <row r="20" spans="1:5">
      <c r="B20" s="13"/>
      <c r="C20" s="13"/>
      <c r="D20" s="13"/>
      <c r="E20" s="13"/>
    </row>
    <row r="21" spans="1:5">
      <c r="B21" s="13"/>
      <c r="C21" s="13"/>
      <c r="D21" s="13"/>
      <c r="E21" s="13"/>
    </row>
    <row r="22" spans="1:5">
      <c r="B22" s="7"/>
      <c r="C22" s="7"/>
      <c r="D22" s="7"/>
      <c r="E22" s="7"/>
    </row>
    <row r="23" spans="1:5">
      <c r="B23" s="7"/>
      <c r="C23" s="7"/>
      <c r="D23" s="7"/>
      <c r="E23" s="7"/>
    </row>
    <row r="25" spans="1:5">
      <c r="A25" s="5" t="s">
        <v>17</v>
      </c>
      <c r="B25" t="s">
        <v>1719</v>
      </c>
    </row>
    <row r="27" spans="1:5">
      <c r="B27" s="5" t="s">
        <v>8</v>
      </c>
    </row>
    <row r="28" spans="1:5">
      <c r="B28" t="s">
        <v>61</v>
      </c>
      <c r="C28" t="s">
        <v>35</v>
      </c>
      <c r="D28" t="s">
        <v>29</v>
      </c>
      <c r="E28" t="s">
        <v>1718</v>
      </c>
    </row>
    <row r="29" spans="1:5">
      <c r="A29" t="s">
        <v>1717</v>
      </c>
      <c r="B29" s="13">
        <v>20271428.520000003</v>
      </c>
      <c r="C29" s="13">
        <v>20833378.639999997</v>
      </c>
      <c r="D29" s="13">
        <v>5227040</v>
      </c>
      <c r="E29" s="13">
        <v>46331847.159999996</v>
      </c>
    </row>
    <row r="44" spans="2:5">
      <c r="B44" s="13"/>
      <c r="C44" s="13"/>
      <c r="D44" s="13"/>
      <c r="E44" s="13"/>
    </row>
    <row r="45" spans="2:5">
      <c r="B45" s="13"/>
      <c r="C45" s="13"/>
      <c r="D45" s="13"/>
      <c r="E45" s="13"/>
    </row>
    <row r="46" spans="2:5">
      <c r="B46" s="13"/>
      <c r="C46" s="13"/>
      <c r="D46" s="13"/>
      <c r="E46" s="13"/>
    </row>
    <row r="47" spans="2:5">
      <c r="B47" s="13"/>
      <c r="C47" s="13"/>
      <c r="D47" s="13"/>
      <c r="E47" s="13"/>
    </row>
    <row r="48" spans="2:5">
      <c r="B48" s="13"/>
      <c r="C48" s="13"/>
      <c r="D48" s="13"/>
      <c r="E48" s="13"/>
    </row>
    <row r="50" spans="1:5">
      <c r="A50" t="s">
        <v>1721</v>
      </c>
    </row>
    <row r="51" spans="1:5">
      <c r="A51" s="10" t="s">
        <v>9</v>
      </c>
      <c r="B51" s="11" t="s">
        <v>1719</v>
      </c>
      <c r="C51" s="11"/>
      <c r="D51" s="11"/>
      <c r="E51" s="11"/>
    </row>
    <row r="52" spans="1:5">
      <c r="A52" s="10" t="s">
        <v>20</v>
      </c>
      <c r="B52" s="11" t="s">
        <v>1719</v>
      </c>
      <c r="C52" s="11"/>
      <c r="D52" s="11"/>
      <c r="E52" s="11" t="s">
        <v>1720</v>
      </c>
    </row>
    <row r="53" spans="1:5">
      <c r="A53" s="10" t="s">
        <v>12</v>
      </c>
      <c r="B53" s="11" t="s">
        <v>1719</v>
      </c>
      <c r="C53" s="11"/>
      <c r="D53" s="11"/>
      <c r="E53" s="11"/>
    </row>
    <row r="54" spans="1:5">
      <c r="A54" s="11"/>
      <c r="B54" s="11"/>
      <c r="C54" s="11"/>
      <c r="D54" s="11"/>
      <c r="E54" s="11"/>
    </row>
    <row r="55" spans="1:5">
      <c r="A55" s="10" t="s">
        <v>1722</v>
      </c>
      <c r="B55" s="10" t="s">
        <v>8</v>
      </c>
      <c r="C55" s="11"/>
      <c r="D55" s="11"/>
      <c r="E55" s="11"/>
    </row>
    <row r="56" spans="1:5">
      <c r="A56" s="10" t="s">
        <v>18</v>
      </c>
      <c r="B56" s="11" t="s">
        <v>61</v>
      </c>
      <c r="C56" s="11" t="s">
        <v>35</v>
      </c>
      <c r="D56" s="11" t="s">
        <v>29</v>
      </c>
      <c r="E56" s="11" t="s">
        <v>1718</v>
      </c>
    </row>
    <row r="57" spans="1:5">
      <c r="A57" s="11">
        <v>2017</v>
      </c>
      <c r="B57" s="11">
        <v>36</v>
      </c>
      <c r="C57" s="11">
        <v>17</v>
      </c>
      <c r="D57" s="11">
        <v>0</v>
      </c>
      <c r="E57" s="11">
        <v>53</v>
      </c>
    </row>
    <row r="58" spans="1:5">
      <c r="A58" s="11">
        <v>2018</v>
      </c>
      <c r="B58" s="11">
        <v>36</v>
      </c>
      <c r="C58" s="11">
        <v>28</v>
      </c>
      <c r="D58" s="11">
        <v>0</v>
      </c>
      <c r="E58" s="11">
        <v>64</v>
      </c>
    </row>
    <row r="59" spans="1:5">
      <c r="A59" s="11">
        <v>2019</v>
      </c>
      <c r="B59" s="11">
        <v>30</v>
      </c>
      <c r="C59" s="11">
        <v>28</v>
      </c>
      <c r="D59" s="11">
        <v>0</v>
      </c>
      <c r="E59" s="11">
        <v>58</v>
      </c>
    </row>
    <row r="60" spans="1:5">
      <c r="A60" s="11">
        <v>2020</v>
      </c>
      <c r="B60" s="11">
        <v>31</v>
      </c>
      <c r="C60" s="11">
        <v>30</v>
      </c>
      <c r="D60" s="11">
        <v>0</v>
      </c>
      <c r="E60" s="11">
        <v>61</v>
      </c>
    </row>
    <row r="61" spans="1:5">
      <c r="A61" s="11">
        <v>2021</v>
      </c>
      <c r="B61" s="11">
        <v>18</v>
      </c>
      <c r="C61" s="11">
        <v>21</v>
      </c>
      <c r="D61" s="11">
        <v>0</v>
      </c>
      <c r="E61" s="11">
        <v>39</v>
      </c>
    </row>
    <row r="62" spans="1:5">
      <c r="A62" s="11">
        <v>2016</v>
      </c>
      <c r="B62" s="11">
        <v>0</v>
      </c>
      <c r="C62" s="11">
        <v>1</v>
      </c>
      <c r="D62" s="11">
        <v>1</v>
      </c>
      <c r="E62" s="11">
        <v>2</v>
      </c>
    </row>
    <row r="63" spans="1:5">
      <c r="A63" s="11">
        <v>2022</v>
      </c>
      <c r="B63" s="11">
        <v>27</v>
      </c>
      <c r="C63" s="11">
        <v>17</v>
      </c>
      <c r="D63" s="11">
        <v>0</v>
      </c>
      <c r="E63" s="11">
        <v>44</v>
      </c>
    </row>
    <row r="64" spans="1:5">
      <c r="A64" s="11">
        <v>2023</v>
      </c>
      <c r="B64" s="11">
        <v>18</v>
      </c>
      <c r="C64" s="11">
        <v>18</v>
      </c>
      <c r="D64" s="11">
        <v>0</v>
      </c>
      <c r="E64" s="11">
        <v>36</v>
      </c>
    </row>
    <row r="65" spans="1:5">
      <c r="A65" s="11">
        <v>2024</v>
      </c>
      <c r="B65" s="11">
        <v>27</v>
      </c>
      <c r="C65" s="11">
        <v>10</v>
      </c>
      <c r="D65" s="11">
        <v>0</v>
      </c>
      <c r="E65" s="11">
        <v>37</v>
      </c>
    </row>
    <row r="66" spans="1:5">
      <c r="A66" s="11">
        <v>2025</v>
      </c>
      <c r="B66" s="11">
        <v>18</v>
      </c>
      <c r="C66" s="11">
        <v>9</v>
      </c>
      <c r="D66" s="11">
        <v>0</v>
      </c>
      <c r="E66" s="11">
        <v>27</v>
      </c>
    </row>
    <row r="67" spans="1:5">
      <c r="A67" s="11" t="s">
        <v>1718</v>
      </c>
      <c r="B67" s="11">
        <v>241</v>
      </c>
      <c r="C67" s="11">
        <v>179</v>
      </c>
      <c r="D67" s="11">
        <v>1</v>
      </c>
      <c r="E67" s="11">
        <v>421</v>
      </c>
    </row>
    <row r="69" spans="1:5">
      <c r="A69" s="11"/>
      <c r="B69" s="11"/>
      <c r="C69" s="11"/>
      <c r="D69" s="11"/>
      <c r="E69" s="11"/>
    </row>
    <row r="70" spans="1:5">
      <c r="A70" s="11"/>
      <c r="B70" s="11"/>
      <c r="C70" s="11"/>
      <c r="D70" s="11"/>
      <c r="E70" s="11"/>
    </row>
    <row r="71" spans="1:5">
      <c r="A71" s="11"/>
      <c r="B71" s="11"/>
      <c r="C71" s="11"/>
      <c r="D71" s="11"/>
      <c r="E71" s="11"/>
    </row>
    <row r="72" spans="1:5">
      <c r="A72" s="11"/>
      <c r="B72" s="11"/>
      <c r="C72" s="11"/>
      <c r="D72" s="11"/>
      <c r="E72" s="11"/>
    </row>
    <row r="73" spans="1:5">
      <c r="A73" s="11"/>
      <c r="B73" s="11"/>
      <c r="C73" s="11"/>
      <c r="D73" s="11"/>
      <c r="E73" s="11"/>
    </row>
    <row r="74" spans="1:5">
      <c r="A74" s="11"/>
      <c r="B74" s="11"/>
      <c r="C74" s="11"/>
      <c r="D74" s="11"/>
      <c r="E74" s="11"/>
    </row>
    <row r="75" spans="1:5">
      <c r="A75" s="11"/>
      <c r="B75" s="11"/>
      <c r="C75" s="11"/>
      <c r="D75" s="11"/>
      <c r="E75" s="11"/>
    </row>
    <row r="76" spans="1:5">
      <c r="A76" s="11"/>
      <c r="B76" s="11"/>
      <c r="C76" s="11"/>
      <c r="D76" s="11"/>
      <c r="E76" s="11"/>
    </row>
    <row r="77" spans="1:5">
      <c r="A77" s="10" t="s">
        <v>18</v>
      </c>
      <c r="B77" s="11" t="s">
        <v>1716</v>
      </c>
    </row>
    <row r="78" spans="1:5">
      <c r="A78" s="10" t="s">
        <v>12</v>
      </c>
      <c r="B78" s="11" t="s">
        <v>1719</v>
      </c>
      <c r="C78" s="11"/>
      <c r="D78" s="11"/>
    </row>
    <row r="79" spans="1:5">
      <c r="A79" s="10" t="s">
        <v>9</v>
      </c>
      <c r="B79" s="11" t="s">
        <v>1719</v>
      </c>
      <c r="C79" s="11"/>
      <c r="D79" s="11"/>
    </row>
    <row r="80" spans="1:5">
      <c r="A80" s="10" t="s">
        <v>20</v>
      </c>
      <c r="B80" s="11" t="s">
        <v>1719</v>
      </c>
      <c r="C80" s="11"/>
      <c r="D80" s="11"/>
    </row>
    <row r="81" spans="1:4">
      <c r="A81" s="11"/>
      <c r="B81" s="11"/>
      <c r="C81" s="11"/>
      <c r="D81" s="11"/>
    </row>
    <row r="82" spans="1:4">
      <c r="A82" s="10" t="s">
        <v>4</v>
      </c>
      <c r="B82" s="11" t="s">
        <v>1717</v>
      </c>
    </row>
    <row r="83" spans="1:4">
      <c r="A83" s="11" t="s">
        <v>885</v>
      </c>
      <c r="B83" s="11">
        <v>17000</v>
      </c>
    </row>
    <row r="84" spans="1:4">
      <c r="A84" s="11" t="s">
        <v>1043</v>
      </c>
      <c r="B84" s="11">
        <v>26452.21</v>
      </c>
    </row>
    <row r="85" spans="1:4">
      <c r="A85" s="11" t="s">
        <v>1050</v>
      </c>
      <c r="B85" s="11">
        <v>4000</v>
      </c>
    </row>
    <row r="86" spans="1:4">
      <c r="A86" s="11" t="s">
        <v>967</v>
      </c>
      <c r="B86" s="11">
        <v>1570</v>
      </c>
    </row>
    <row r="87" spans="1:4">
      <c r="A87" s="11" t="s">
        <v>879</v>
      </c>
      <c r="B87" s="11">
        <v>2500</v>
      </c>
    </row>
    <row r="88" spans="1:4">
      <c r="A88" s="11" t="s">
        <v>1132</v>
      </c>
      <c r="B88" s="11">
        <v>14500</v>
      </c>
    </row>
    <row r="89" spans="1:4">
      <c r="A89" s="11" t="s">
        <v>704</v>
      </c>
      <c r="B89" s="11">
        <v>3000000</v>
      </c>
    </row>
    <row r="90" spans="1:4">
      <c r="A90" s="11" t="s">
        <v>687</v>
      </c>
      <c r="B90" s="11">
        <v>722555</v>
      </c>
    </row>
    <row r="91" spans="1:4">
      <c r="A91" s="11" t="s">
        <v>741</v>
      </c>
      <c r="B91" s="11">
        <v>1968808</v>
      </c>
    </row>
    <row r="92" spans="1:4">
      <c r="A92" s="11" t="s">
        <v>680</v>
      </c>
      <c r="B92" s="11">
        <v>14000</v>
      </c>
    </row>
    <row r="93" spans="1:4">
      <c r="A93" s="11" t="s">
        <v>31</v>
      </c>
      <c r="B93" s="11">
        <v>16533</v>
      </c>
    </row>
    <row r="94" spans="1:4">
      <c r="A94" s="11" t="s">
        <v>711</v>
      </c>
      <c r="B94" s="11">
        <v>7660</v>
      </c>
    </row>
    <row r="95" spans="1:4">
      <c r="A95" s="11" t="s">
        <v>1015</v>
      </c>
      <c r="B95" s="11">
        <v>298011</v>
      </c>
    </row>
    <row r="96" spans="1:4">
      <c r="A96" s="11" t="s">
        <v>303</v>
      </c>
      <c r="B96" s="11">
        <v>98000</v>
      </c>
    </row>
    <row r="97" spans="1:2">
      <c r="A97" s="11" t="s">
        <v>834</v>
      </c>
      <c r="B97" s="11">
        <v>1100</v>
      </c>
    </row>
    <row r="98" spans="1:2">
      <c r="A98" s="11" t="s">
        <v>520</v>
      </c>
      <c r="B98" s="11">
        <v>8163.3899999999994</v>
      </c>
    </row>
    <row r="99" spans="1:2">
      <c r="A99" s="11" t="s">
        <v>205</v>
      </c>
      <c r="B99" s="11">
        <v>1844720</v>
      </c>
    </row>
    <row r="100" spans="1:2">
      <c r="A100" s="11" t="s">
        <v>321</v>
      </c>
      <c r="B100" s="11">
        <v>567005</v>
      </c>
    </row>
    <row r="101" spans="1:2">
      <c r="A101" s="11" t="s">
        <v>269</v>
      </c>
      <c r="B101" s="11">
        <v>52572</v>
      </c>
    </row>
    <row r="102" spans="1:2">
      <c r="A102" s="11" t="s">
        <v>287</v>
      </c>
      <c r="B102" s="11">
        <v>1400720.38</v>
      </c>
    </row>
    <row r="103" spans="1:2">
      <c r="A103" s="11" t="s">
        <v>326</v>
      </c>
      <c r="B103" s="11">
        <v>103000</v>
      </c>
    </row>
    <row r="104" spans="1:2">
      <c r="A104" s="11" t="s">
        <v>347</v>
      </c>
      <c r="B104" s="11">
        <v>623</v>
      </c>
    </row>
    <row r="105" spans="1:2">
      <c r="A105" s="11" t="s">
        <v>489</v>
      </c>
      <c r="B105" s="11">
        <v>11000</v>
      </c>
    </row>
    <row r="106" spans="1:2">
      <c r="A106" s="11" t="s">
        <v>89</v>
      </c>
      <c r="B106" s="11">
        <v>5000</v>
      </c>
    </row>
    <row r="107" spans="1:2">
      <c r="A107" s="11" t="s">
        <v>107</v>
      </c>
      <c r="B107" s="11">
        <v>2200</v>
      </c>
    </row>
    <row r="108" spans="1:2">
      <c r="A108" s="11" t="s">
        <v>141</v>
      </c>
      <c r="B108" s="11">
        <v>10000</v>
      </c>
    </row>
    <row r="109" spans="1:2">
      <c r="A109" s="11" t="s">
        <v>920</v>
      </c>
      <c r="B109" s="11">
        <v>0</v>
      </c>
    </row>
    <row r="110" spans="1:2">
      <c r="A110" s="11" t="s">
        <v>249</v>
      </c>
      <c r="B110" s="11">
        <v>1000</v>
      </c>
    </row>
    <row r="111" spans="1:2">
      <c r="A111" s="11" t="s">
        <v>381</v>
      </c>
      <c r="B111" s="11">
        <v>564087.01</v>
      </c>
    </row>
    <row r="112" spans="1:2">
      <c r="A112" s="11" t="s">
        <v>394</v>
      </c>
      <c r="B112" s="11">
        <v>33000</v>
      </c>
    </row>
    <row r="113" spans="1:2">
      <c r="A113" s="11" t="s">
        <v>414</v>
      </c>
      <c r="B113" s="11">
        <v>79623.399999999994</v>
      </c>
    </row>
    <row r="114" spans="1:2">
      <c r="A114" s="11" t="s">
        <v>432</v>
      </c>
      <c r="B114" s="11">
        <v>86974</v>
      </c>
    </row>
    <row r="115" spans="1:2">
      <c r="A115" s="11" t="s">
        <v>469</v>
      </c>
      <c r="B115" s="11">
        <v>3000</v>
      </c>
    </row>
    <row r="116" spans="1:2">
      <c r="A116" s="11" t="s">
        <v>543</v>
      </c>
      <c r="B116" s="11">
        <v>38500</v>
      </c>
    </row>
    <row r="117" spans="1:2">
      <c r="A117" s="11" t="s">
        <v>1108</v>
      </c>
      <c r="B117" s="11">
        <v>1003</v>
      </c>
    </row>
    <row r="118" spans="1:2">
      <c r="A118" s="11" t="s">
        <v>549</v>
      </c>
      <c r="B118" s="11">
        <v>188598</v>
      </c>
    </row>
    <row r="119" spans="1:2">
      <c r="A119" s="11" t="s">
        <v>565</v>
      </c>
      <c r="B119" s="11">
        <v>2200</v>
      </c>
    </row>
    <row r="120" spans="1:2">
      <c r="A120" s="11" t="s">
        <v>574</v>
      </c>
      <c r="B120" s="11">
        <v>11000</v>
      </c>
    </row>
    <row r="121" spans="1:2">
      <c r="A121" s="11" t="s">
        <v>598</v>
      </c>
      <c r="B121" s="11">
        <v>2700</v>
      </c>
    </row>
    <row r="122" spans="1:2">
      <c r="A122" s="11" t="s">
        <v>631</v>
      </c>
      <c r="B122" s="11">
        <v>550</v>
      </c>
    </row>
    <row r="123" spans="1:2">
      <c r="A123" s="11" t="s">
        <v>641</v>
      </c>
      <c r="B123" s="11">
        <v>89000</v>
      </c>
    </row>
    <row r="124" spans="1:2">
      <c r="A124" s="11" t="s">
        <v>646</v>
      </c>
      <c r="B124" s="11">
        <v>288773.92</v>
      </c>
    </row>
    <row r="125" spans="1:2">
      <c r="A125" s="11" t="s">
        <v>664</v>
      </c>
      <c r="B125" s="11">
        <v>19998.5</v>
      </c>
    </row>
    <row r="126" spans="1:2">
      <c r="A126" s="11" t="s">
        <v>961</v>
      </c>
      <c r="B126" s="11">
        <v>545305</v>
      </c>
    </row>
    <row r="127" spans="1:2">
      <c r="A127" s="11" t="s">
        <v>1174</v>
      </c>
      <c r="B127" s="11">
        <v>7500</v>
      </c>
    </row>
    <row r="128" spans="1:2">
      <c r="A128" s="11" t="s">
        <v>1184</v>
      </c>
      <c r="B128" s="11">
        <v>5000</v>
      </c>
    </row>
    <row r="129" spans="1:5">
      <c r="A129" s="11" t="s">
        <v>1203</v>
      </c>
      <c r="B129" s="11">
        <v>0</v>
      </c>
    </row>
    <row r="130" spans="1:5">
      <c r="A130" s="11" t="s">
        <v>1220</v>
      </c>
      <c r="B130" s="11">
        <v>6000</v>
      </c>
    </row>
    <row r="131" spans="1:5">
      <c r="A131" s="11" t="s">
        <v>1257</v>
      </c>
      <c r="B131" s="11">
        <v>50000</v>
      </c>
    </row>
    <row r="132" spans="1:5">
      <c r="A132" s="11" t="s">
        <v>1358</v>
      </c>
      <c r="B132" s="11">
        <v>2100</v>
      </c>
    </row>
    <row r="133" spans="1:5">
      <c r="A133" s="11" t="s">
        <v>1417</v>
      </c>
      <c r="B133" s="11">
        <v>2000</v>
      </c>
    </row>
    <row r="134" spans="1:5">
      <c r="A134" s="11" t="s">
        <v>1718</v>
      </c>
      <c r="B134" s="11">
        <v>12225605.810000001</v>
      </c>
    </row>
    <row r="135" spans="1:5">
      <c r="A135" s="11"/>
      <c r="B135" s="11"/>
    </row>
    <row r="136" spans="1:5">
      <c r="A136" s="11"/>
      <c r="B136" s="11"/>
    </row>
    <row r="137" spans="1:5">
      <c r="A137" s="11"/>
      <c r="B137" s="11"/>
    </row>
    <row r="139" spans="1:5">
      <c r="A139" s="5" t="s">
        <v>17</v>
      </c>
      <c r="B139" t="s">
        <v>1719</v>
      </c>
    </row>
    <row r="141" spans="1:5">
      <c r="A141" s="5" t="s">
        <v>1717</v>
      </c>
      <c r="B141" s="5" t="s">
        <v>8</v>
      </c>
    </row>
    <row r="142" spans="1:5">
      <c r="A142" s="5" t="s">
        <v>9</v>
      </c>
      <c r="B142" t="s">
        <v>61</v>
      </c>
      <c r="C142" t="s">
        <v>35</v>
      </c>
      <c r="D142" t="s">
        <v>29</v>
      </c>
      <c r="E142" t="s">
        <v>1718</v>
      </c>
    </row>
    <row r="143" spans="1:5">
      <c r="A143">
        <v>1</v>
      </c>
      <c r="B143" s="13">
        <v>200820</v>
      </c>
      <c r="C143" s="13">
        <v>252831.77000000002</v>
      </c>
      <c r="D143" s="13">
        <v>0</v>
      </c>
      <c r="E143" s="13">
        <v>453651.77</v>
      </c>
    </row>
    <row r="144" spans="1:5">
      <c r="A144">
        <v>2</v>
      </c>
      <c r="B144" s="13">
        <v>5220000</v>
      </c>
      <c r="C144" s="13">
        <v>792054</v>
      </c>
      <c r="D144" s="13">
        <v>0</v>
      </c>
      <c r="E144" s="13">
        <v>6012054</v>
      </c>
    </row>
    <row r="145" spans="1:5">
      <c r="A145">
        <v>3</v>
      </c>
      <c r="B145" s="13">
        <v>1891542.58</v>
      </c>
      <c r="C145" s="13">
        <v>6212395.6400000006</v>
      </c>
      <c r="D145" s="13">
        <v>0</v>
      </c>
      <c r="E145" s="13">
        <v>8103938.2200000007</v>
      </c>
    </row>
    <row r="146" spans="1:5">
      <c r="A146">
        <v>4</v>
      </c>
      <c r="B146" s="13">
        <v>1429257.07</v>
      </c>
      <c r="C146" s="13">
        <v>1199294.73</v>
      </c>
      <c r="D146" s="13">
        <v>0</v>
      </c>
      <c r="E146" s="13">
        <v>2628551.7999999998</v>
      </c>
    </row>
    <row r="147" spans="1:5">
      <c r="A147">
        <v>5</v>
      </c>
      <c r="B147" s="13">
        <v>1099645</v>
      </c>
      <c r="C147" s="13">
        <v>5370609.6200000001</v>
      </c>
      <c r="D147" s="13">
        <v>0</v>
      </c>
      <c r="E147" s="13">
        <v>6470254.6200000001</v>
      </c>
    </row>
    <row r="148" spans="1:5">
      <c r="A148">
        <v>6</v>
      </c>
      <c r="B148" s="13">
        <v>1305809</v>
      </c>
      <c r="C148" s="13">
        <v>1996235.99</v>
      </c>
      <c r="D148" s="13">
        <v>0</v>
      </c>
      <c r="E148" s="13">
        <v>3302044.99</v>
      </c>
    </row>
    <row r="149" spans="1:5">
      <c r="A149">
        <v>7</v>
      </c>
      <c r="B149" s="13">
        <v>5890349.79</v>
      </c>
      <c r="C149" s="13">
        <v>408432.95</v>
      </c>
      <c r="D149" s="13">
        <v>0</v>
      </c>
      <c r="E149" s="13">
        <v>6298782.7400000002</v>
      </c>
    </row>
    <row r="150" spans="1:5">
      <c r="A150">
        <v>8</v>
      </c>
      <c r="B150" s="13">
        <v>2162709.54</v>
      </c>
      <c r="C150" s="13">
        <v>204057.72999999998</v>
      </c>
      <c r="D150" s="13">
        <v>0</v>
      </c>
      <c r="E150" s="13">
        <v>2366767.27</v>
      </c>
    </row>
    <row r="151" spans="1:5">
      <c r="A151">
        <v>9</v>
      </c>
      <c r="B151" s="13">
        <v>333114.94999999995</v>
      </c>
      <c r="C151" s="13">
        <v>2782008.24</v>
      </c>
      <c r="D151" s="13">
        <v>0</v>
      </c>
      <c r="E151" s="13">
        <v>3115123.1900000004</v>
      </c>
    </row>
    <row r="152" spans="1:5">
      <c r="A152">
        <v>10</v>
      </c>
      <c r="B152" s="13">
        <v>680680.59</v>
      </c>
      <c r="C152" s="13">
        <v>1615457.97</v>
      </c>
      <c r="D152" s="13">
        <v>0</v>
      </c>
      <c r="E152" s="13">
        <v>2296138.56</v>
      </c>
    </row>
    <row r="153" spans="1:5">
      <c r="A153" t="s">
        <v>1723</v>
      </c>
      <c r="B153" s="13">
        <v>0</v>
      </c>
      <c r="C153" s="13">
        <v>0</v>
      </c>
      <c r="D153" s="13">
        <v>5227040</v>
      </c>
      <c r="E153" s="13">
        <v>5227040</v>
      </c>
    </row>
    <row r="154" spans="1:5">
      <c r="A154">
        <v>11</v>
      </c>
      <c r="B154" s="13">
        <v>57500</v>
      </c>
      <c r="C154" s="13">
        <v>0</v>
      </c>
      <c r="D154" s="13">
        <v>0</v>
      </c>
      <c r="E154" s="13">
        <v>57500</v>
      </c>
    </row>
    <row r="155" spans="1:5">
      <c r="A155" t="s">
        <v>1718</v>
      </c>
      <c r="B155" s="13">
        <v>20271428.52</v>
      </c>
      <c r="C155" s="13">
        <v>20833378.640000001</v>
      </c>
      <c r="D155" s="13">
        <v>5227040</v>
      </c>
      <c r="E155" s="13">
        <v>46331847.160000004</v>
      </c>
    </row>
    <row r="157" spans="1:5">
      <c r="A157" s="11"/>
      <c r="B157" s="11"/>
    </row>
    <row r="158" spans="1:5">
      <c r="A158" s="11"/>
      <c r="B158" s="11"/>
    </row>
    <row r="159" spans="1:5">
      <c r="A159" s="11"/>
      <c r="B159" s="11"/>
    </row>
    <row r="160" spans="1:5">
      <c r="A160" s="11"/>
      <c r="B160" s="11"/>
    </row>
    <row r="161" spans="1:2">
      <c r="A161" s="11"/>
      <c r="B161" s="11"/>
    </row>
    <row r="162" spans="1:2">
      <c r="A162" s="11"/>
      <c r="B162" s="11"/>
    </row>
    <row r="163" spans="1:2">
      <c r="A163" s="11"/>
      <c r="B163" s="11"/>
    </row>
    <row r="164" spans="1:2">
      <c r="A164" s="11"/>
      <c r="B164" s="11"/>
    </row>
    <row r="165" spans="1:2">
      <c r="A165" s="11"/>
      <c r="B165" s="11"/>
    </row>
  </sheetData>
  <conditionalFormatting pivot="1" sqref="B57:E61">
    <cfRule type="dataBar" priority="9">
      <dataBar>
        <cfvo type="min"/>
        <cfvo type="max"/>
        <color rgb="FFFFB628"/>
      </dataBar>
      <extLst>
        <ext xmlns:x14="http://schemas.microsoft.com/office/spreadsheetml/2009/9/main" uri="{B025F937-C7B1-47D3-B67F-A62EFF666E3E}">
          <x14:id>{6694E443-D421-498D-A2DB-FED7F1BC1CFB}</x14:id>
        </ext>
      </extLst>
    </cfRule>
  </conditionalFormatting>
  <conditionalFormatting pivot="1" sqref="B62:E64">
    <cfRule type="dataBar" priority="4">
      <dataBar>
        <cfvo type="min"/>
        <cfvo type="max"/>
        <color rgb="FFFFB628"/>
      </dataBar>
      <extLst>
        <ext xmlns:x14="http://schemas.microsoft.com/office/spreadsheetml/2009/9/main" uri="{B025F937-C7B1-47D3-B67F-A62EFF666E3E}">
          <x14:id>{CC7DC568-AAF8-48BE-982D-ADD4728101B4}</x14:id>
        </ext>
      </extLst>
    </cfRule>
  </conditionalFormatting>
  <conditionalFormatting pivot="1" sqref="B8:E16">
    <cfRule type="dataBar" priority="3">
      <dataBar>
        <cfvo type="min"/>
        <cfvo type="max"/>
        <color rgb="FFFFB628"/>
      </dataBar>
      <extLst>
        <ext xmlns:x14="http://schemas.microsoft.com/office/spreadsheetml/2009/9/main" uri="{B025F937-C7B1-47D3-B67F-A62EFF666E3E}">
          <x14:id>{7E5B887E-7175-40AA-8248-8ED2DD874DA1}</x14:id>
        </ext>
      </extLst>
    </cfRule>
  </conditionalFormatting>
  <pageMargins left="0.7" right="0.7" top="0.75" bottom="0.75" header="0.3" footer="0.3"/>
  <pageSetup paperSize="9" orientation="portrait" r:id="rId6"/>
  <extLst>
    <ext xmlns:x14="http://schemas.microsoft.com/office/spreadsheetml/2009/9/main" uri="{78C0D931-6437-407d-A8EE-F0AAD7539E65}">
      <x14:conditionalFormattings>
        <x14:conditionalFormatting xmlns:xm="http://schemas.microsoft.com/office/excel/2006/main" pivot="1">
          <x14:cfRule type="dataBar" id="{6694E443-D421-498D-A2DB-FED7F1BC1CFB}">
            <x14:dataBar minLength="0" maxLength="100" gradient="0">
              <x14:cfvo type="autoMin"/>
              <x14:cfvo type="autoMax"/>
              <x14:negativeFillColor rgb="FFFF0000"/>
              <x14:axisColor rgb="FF000000"/>
            </x14:dataBar>
          </x14:cfRule>
          <xm:sqref>B57:E61</xm:sqref>
        </x14:conditionalFormatting>
        <x14:conditionalFormatting xmlns:xm="http://schemas.microsoft.com/office/excel/2006/main" pivot="1">
          <x14:cfRule type="dataBar" id="{CC7DC568-AAF8-48BE-982D-ADD4728101B4}">
            <x14:dataBar minLength="0" maxLength="100" gradient="0">
              <x14:cfvo type="autoMin"/>
              <x14:cfvo type="autoMax"/>
              <x14:negativeFillColor rgb="FFFF0000"/>
              <x14:axisColor rgb="FF000000"/>
            </x14:dataBar>
          </x14:cfRule>
          <xm:sqref>B62:E64</xm:sqref>
        </x14:conditionalFormatting>
        <x14:conditionalFormatting xmlns:xm="http://schemas.microsoft.com/office/excel/2006/main" pivot="1">
          <x14:cfRule type="dataBar" id="{7E5B887E-7175-40AA-8248-8ED2DD874DA1}">
            <x14:dataBar minLength="0" maxLength="100" gradient="0">
              <x14:cfvo type="autoMin"/>
              <x14:cfvo type="autoMax"/>
              <x14:negativeFillColor rgb="FFFF0000"/>
              <x14:axisColor rgb="FF000000"/>
            </x14:dataBar>
          </x14:cfRule>
          <xm:sqref>B8:E16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8B318-F0C3-453C-974A-2A5DF7F69BDD}">
  <dimension ref="C4:C16"/>
  <sheetViews>
    <sheetView workbookViewId="0">
      <selection activeCell="C17" sqref="C17"/>
    </sheetView>
  </sheetViews>
  <sheetFormatPr defaultRowHeight="14.45"/>
  <sheetData>
    <row r="4" spans="3:3">
      <c r="C4">
        <v>106</v>
      </c>
    </row>
    <row r="5" spans="3:3">
      <c r="C5">
        <v>26</v>
      </c>
    </row>
    <row r="6" spans="3:3">
      <c r="C6">
        <v>60</v>
      </c>
    </row>
    <row r="7" spans="3:3">
      <c r="C7">
        <v>133</v>
      </c>
    </row>
    <row r="8" spans="3:3">
      <c r="C8">
        <v>155</v>
      </c>
    </row>
    <row r="9" spans="3:3">
      <c r="C9">
        <v>234</v>
      </c>
    </row>
    <row r="10" spans="3:3">
      <c r="C10">
        <v>311</v>
      </c>
    </row>
    <row r="11" spans="3:3">
      <c r="C11">
        <v>362</v>
      </c>
    </row>
    <row r="12" spans="3:3">
      <c r="C12">
        <v>494</v>
      </c>
    </row>
    <row r="13" spans="3:3">
      <c r="C13">
        <v>672</v>
      </c>
    </row>
    <row r="14" spans="3:3">
      <c r="C14">
        <v>640</v>
      </c>
    </row>
    <row r="15" spans="3:3">
      <c r="C15">
        <v>662</v>
      </c>
    </row>
    <row r="16" spans="3:3">
      <c r="C16">
        <v>424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4F39-2627-46D9-AC57-92401456C9AD}">
  <sheetPr codeName="Sheet5"/>
  <dimension ref="B2:F78"/>
  <sheetViews>
    <sheetView topLeftCell="A145" workbookViewId="0">
      <selection activeCell="C158" sqref="C158"/>
    </sheetView>
  </sheetViews>
  <sheetFormatPr defaultRowHeight="14.45"/>
  <cols>
    <col min="3" max="3" width="14.28515625" customWidth="1"/>
    <col min="4" max="4" width="15.85546875" customWidth="1"/>
    <col min="5" max="5" width="12.5703125" customWidth="1"/>
    <col min="6" max="6" width="16.42578125" customWidth="1"/>
  </cols>
  <sheetData>
    <row r="2" spans="2:6">
      <c r="B2" s="5" t="s">
        <v>9</v>
      </c>
      <c r="C2" t="s">
        <v>1719</v>
      </c>
    </row>
    <row r="3" spans="2:6">
      <c r="B3" s="5" t="s">
        <v>3</v>
      </c>
      <c r="C3" t="s">
        <v>1716</v>
      </c>
      <c r="F3" t="s">
        <v>1720</v>
      </c>
    </row>
    <row r="4" spans="2:6">
      <c r="B4" s="5" t="s">
        <v>20</v>
      </c>
      <c r="C4" t="s">
        <v>1719</v>
      </c>
    </row>
    <row r="5" spans="2:6">
      <c r="B5" s="5" t="s">
        <v>12</v>
      </c>
      <c r="C5" t="s">
        <v>1719</v>
      </c>
    </row>
    <row r="7" spans="2:6">
      <c r="B7" s="5" t="s">
        <v>1722</v>
      </c>
      <c r="C7" s="5" t="s">
        <v>8</v>
      </c>
    </row>
    <row r="8" spans="2:6">
      <c r="B8" s="5" t="s">
        <v>18</v>
      </c>
      <c r="C8" t="s">
        <v>61</v>
      </c>
      <c r="D8" t="s">
        <v>35</v>
      </c>
      <c r="E8" t="s">
        <v>1718</v>
      </c>
    </row>
    <row r="9" spans="2:6">
      <c r="B9">
        <v>2024</v>
      </c>
      <c r="C9" s="13">
        <v>13</v>
      </c>
      <c r="D9" s="13">
        <v>4</v>
      </c>
      <c r="E9" s="13">
        <v>17</v>
      </c>
    </row>
    <row r="10" spans="2:6">
      <c r="B10">
        <v>2025</v>
      </c>
      <c r="C10" s="13">
        <v>9</v>
      </c>
      <c r="D10" s="13">
        <v>6</v>
      </c>
      <c r="E10" s="13">
        <v>15</v>
      </c>
    </row>
    <row r="11" spans="2:6">
      <c r="B11" t="s">
        <v>1718</v>
      </c>
      <c r="C11" s="13">
        <v>22</v>
      </c>
      <c r="D11" s="13">
        <v>10</v>
      </c>
      <c r="E11" s="13">
        <v>32</v>
      </c>
    </row>
    <row r="23" spans="2:6">
      <c r="B23" s="5" t="s">
        <v>9</v>
      </c>
      <c r="C23" t="s">
        <v>1719</v>
      </c>
    </row>
    <row r="24" spans="2:6">
      <c r="B24" s="5" t="s">
        <v>3</v>
      </c>
      <c r="C24" t="s">
        <v>1719</v>
      </c>
      <c r="F24" t="s">
        <v>1720</v>
      </c>
    </row>
    <row r="25" spans="2:6">
      <c r="B25" s="5" t="s">
        <v>20</v>
      </c>
      <c r="C25" t="s">
        <v>43</v>
      </c>
    </row>
    <row r="26" spans="2:6">
      <c r="B26" s="5" t="s">
        <v>12</v>
      </c>
      <c r="C26" t="s">
        <v>1719</v>
      </c>
    </row>
    <row r="28" spans="2:6">
      <c r="B28" s="5" t="s">
        <v>1717</v>
      </c>
      <c r="C28" s="5" t="s">
        <v>8</v>
      </c>
    </row>
    <row r="29" spans="2:6">
      <c r="B29" s="5" t="s">
        <v>18</v>
      </c>
      <c r="C29" t="s">
        <v>61</v>
      </c>
      <c r="D29" t="s">
        <v>35</v>
      </c>
      <c r="E29" t="s">
        <v>1718</v>
      </c>
    </row>
    <row r="30" spans="2:6">
      <c r="B30">
        <v>2017</v>
      </c>
      <c r="C30" s="13">
        <v>4906940.92</v>
      </c>
      <c r="D30" s="13">
        <v>1888779.95</v>
      </c>
      <c r="E30" s="13">
        <v>6795720.8700000001</v>
      </c>
    </row>
    <row r="31" spans="2:6">
      <c r="B31">
        <v>2018</v>
      </c>
      <c r="C31" s="13">
        <v>435892.80000000005</v>
      </c>
      <c r="D31" s="13">
        <v>1045965.74</v>
      </c>
      <c r="E31" s="13">
        <v>1481858.54</v>
      </c>
    </row>
    <row r="32" spans="2:6">
      <c r="B32">
        <v>2019</v>
      </c>
      <c r="C32" s="13">
        <v>1024279.6000000001</v>
      </c>
      <c r="D32" s="13">
        <v>678539.30999999994</v>
      </c>
      <c r="E32" s="13">
        <v>1702818.9100000001</v>
      </c>
    </row>
    <row r="33" spans="2:6">
      <c r="B33">
        <v>2020</v>
      </c>
      <c r="C33" s="13">
        <v>860777.7</v>
      </c>
      <c r="D33" s="13">
        <v>433954.17</v>
      </c>
      <c r="E33" s="13">
        <v>1294731.8699999999</v>
      </c>
    </row>
    <row r="34" spans="2:6">
      <c r="B34">
        <v>2021</v>
      </c>
      <c r="C34" s="13">
        <v>151015.16999999998</v>
      </c>
      <c r="D34" s="13">
        <v>73565.030000000013</v>
      </c>
      <c r="E34" s="13">
        <v>224580.2</v>
      </c>
    </row>
    <row r="35" spans="2:6">
      <c r="B35">
        <v>2022</v>
      </c>
      <c r="C35" s="13">
        <v>279523.40000000002</v>
      </c>
      <c r="D35" s="13">
        <v>714021.38</v>
      </c>
      <c r="E35" s="13">
        <v>993544.78</v>
      </c>
    </row>
    <row r="36" spans="2:6">
      <c r="B36">
        <v>2023</v>
      </c>
      <c r="C36" s="13">
        <v>45098.5</v>
      </c>
      <c r="D36" s="13">
        <v>235753.75</v>
      </c>
      <c r="E36" s="13">
        <v>280852.25</v>
      </c>
    </row>
    <row r="37" spans="2:6">
      <c r="B37">
        <v>2024</v>
      </c>
      <c r="C37" s="13">
        <v>559365.19999999995</v>
      </c>
      <c r="D37" s="13">
        <v>65000</v>
      </c>
      <c r="E37" s="13">
        <v>624365.19999999995</v>
      </c>
    </row>
    <row r="38" spans="2:6">
      <c r="B38">
        <v>2025</v>
      </c>
      <c r="C38" s="13">
        <v>60000</v>
      </c>
      <c r="D38" s="13">
        <v>0</v>
      </c>
      <c r="E38" s="13">
        <v>60000</v>
      </c>
    </row>
    <row r="39" spans="2:6">
      <c r="B39" t="s">
        <v>1718</v>
      </c>
      <c r="C39" s="13">
        <v>8322893.290000001</v>
      </c>
      <c r="D39" s="13">
        <v>5135579.33</v>
      </c>
      <c r="E39" s="13">
        <v>13458472.619999997</v>
      </c>
    </row>
    <row r="45" spans="2:6">
      <c r="B45" s="5" t="s">
        <v>9</v>
      </c>
      <c r="C45" t="s">
        <v>1719</v>
      </c>
    </row>
    <row r="46" spans="2:6">
      <c r="B46" s="5" t="s">
        <v>3</v>
      </c>
      <c r="C46" t="s">
        <v>1719</v>
      </c>
      <c r="F46" t="s">
        <v>1720</v>
      </c>
    </row>
    <row r="47" spans="2:6">
      <c r="B47" s="5" t="s">
        <v>20</v>
      </c>
      <c r="C47" t="s">
        <v>1719</v>
      </c>
    </row>
    <row r="48" spans="2:6">
      <c r="B48" s="5" t="s">
        <v>12</v>
      </c>
      <c r="C48" t="s">
        <v>1719</v>
      </c>
    </row>
    <row r="50" spans="2:6">
      <c r="B50" s="5" t="s">
        <v>1717</v>
      </c>
      <c r="C50" s="5" t="s">
        <v>8</v>
      </c>
    </row>
    <row r="51" spans="2:6">
      <c r="B51" s="5" t="s">
        <v>18</v>
      </c>
      <c r="C51" t="s">
        <v>61</v>
      </c>
      <c r="D51" t="s">
        <v>35</v>
      </c>
      <c r="E51" t="s">
        <v>29</v>
      </c>
      <c r="F51" t="s">
        <v>1718</v>
      </c>
    </row>
    <row r="52" spans="2:6">
      <c r="B52">
        <v>2016</v>
      </c>
      <c r="C52" s="13">
        <v>0</v>
      </c>
      <c r="D52" s="13">
        <v>108601</v>
      </c>
      <c r="E52" s="13">
        <v>5227040</v>
      </c>
      <c r="F52" s="13">
        <v>5335641</v>
      </c>
    </row>
    <row r="53" spans="2:6">
      <c r="B53">
        <v>2017</v>
      </c>
      <c r="C53" s="13">
        <v>5661940.9199999999</v>
      </c>
      <c r="D53" s="13">
        <v>1927138.72</v>
      </c>
      <c r="E53" s="13">
        <v>0</v>
      </c>
      <c r="F53" s="13">
        <v>7589079.6399999997</v>
      </c>
    </row>
    <row r="54" spans="2:6">
      <c r="B54">
        <v>2018</v>
      </c>
      <c r="C54" s="13">
        <v>2672381.38</v>
      </c>
      <c r="D54" s="13">
        <v>1065465.74</v>
      </c>
      <c r="E54" s="13">
        <v>0</v>
      </c>
      <c r="F54" s="13">
        <v>3737847.12</v>
      </c>
    </row>
    <row r="55" spans="2:6">
      <c r="B55">
        <v>2019</v>
      </c>
      <c r="C55" s="13">
        <v>1370099.6</v>
      </c>
      <c r="D55" s="13">
        <v>1789625.31</v>
      </c>
      <c r="E55" s="13">
        <v>0</v>
      </c>
      <c r="F55" s="13">
        <v>3159724.91</v>
      </c>
    </row>
    <row r="56" spans="2:6">
      <c r="B56">
        <v>2020</v>
      </c>
      <c r="C56" s="13">
        <v>1211745.7</v>
      </c>
      <c r="D56" s="13">
        <v>4566934.17</v>
      </c>
      <c r="E56" s="13">
        <v>0</v>
      </c>
      <c r="F56" s="13">
        <v>5778679.8700000001</v>
      </c>
    </row>
    <row r="57" spans="2:6">
      <c r="B57">
        <v>2021</v>
      </c>
      <c r="C57" s="13">
        <v>215315.16999999998</v>
      </c>
      <c r="D57" s="13">
        <v>691492.67</v>
      </c>
      <c r="E57" s="13">
        <v>0</v>
      </c>
      <c r="F57" s="13">
        <v>906807.84000000008</v>
      </c>
    </row>
    <row r="58" spans="2:6">
      <c r="B58">
        <v>2022</v>
      </c>
      <c r="C58" s="13">
        <v>4319856.8</v>
      </c>
      <c r="D58" s="13">
        <v>2010009.76</v>
      </c>
      <c r="E58" s="13">
        <v>0</v>
      </c>
      <c r="F58" s="13">
        <v>6329866.5599999996</v>
      </c>
    </row>
    <row r="59" spans="2:6">
      <c r="B59">
        <v>2023</v>
      </c>
      <c r="C59" s="13">
        <v>824411.5</v>
      </c>
      <c r="D59" s="13">
        <v>5071327.75</v>
      </c>
      <c r="E59" s="13">
        <v>0</v>
      </c>
      <c r="F59" s="13">
        <v>5895739.25</v>
      </c>
    </row>
    <row r="60" spans="2:6">
      <c r="B60">
        <v>2024</v>
      </c>
      <c r="C60" s="13">
        <v>3074034.06</v>
      </c>
      <c r="D60" s="13">
        <v>3196178.52</v>
      </c>
      <c r="E60" s="13">
        <v>0</v>
      </c>
      <c r="F60" s="13">
        <v>6270212.5800000001</v>
      </c>
    </row>
    <row r="61" spans="2:6">
      <c r="B61">
        <v>2025</v>
      </c>
      <c r="C61" s="13">
        <v>921643.39</v>
      </c>
      <c r="D61" s="13">
        <v>406605</v>
      </c>
      <c r="E61" s="13">
        <v>0</v>
      </c>
      <c r="F61" s="13">
        <v>1328248.3900000001</v>
      </c>
    </row>
    <row r="62" spans="2:6">
      <c r="B62" t="s">
        <v>1718</v>
      </c>
      <c r="C62" s="13">
        <v>20271428.52</v>
      </c>
      <c r="D62" s="13">
        <v>20833378.639999997</v>
      </c>
      <c r="E62" s="13">
        <v>5227040</v>
      </c>
      <c r="F62" s="13">
        <v>46331847.159999996</v>
      </c>
    </row>
    <row r="69" spans="2:6">
      <c r="B69" s="5" t="s">
        <v>9</v>
      </c>
      <c r="C69" t="s">
        <v>1719</v>
      </c>
    </row>
    <row r="70" spans="2:6">
      <c r="B70" s="5" t="s">
        <v>3</v>
      </c>
      <c r="C70" t="s">
        <v>1719</v>
      </c>
      <c r="F70" t="s">
        <v>1720</v>
      </c>
    </row>
    <row r="71" spans="2:6">
      <c r="B71" s="5" t="s">
        <v>20</v>
      </c>
      <c r="C71" t="s">
        <v>1719</v>
      </c>
    </row>
    <row r="72" spans="2:6">
      <c r="B72" s="5" t="s">
        <v>12</v>
      </c>
      <c r="C72" t="s">
        <v>1719</v>
      </c>
    </row>
    <row r="74" spans="2:6">
      <c r="B74" s="5" t="s">
        <v>8</v>
      </c>
      <c r="C74" t="s">
        <v>1717</v>
      </c>
    </row>
    <row r="75" spans="2:6">
      <c r="B75" t="s">
        <v>61</v>
      </c>
      <c r="C75" s="13">
        <v>20271428.520000003</v>
      </c>
    </row>
    <row r="76" spans="2:6">
      <c r="B76" t="s">
        <v>35</v>
      </c>
      <c r="C76" s="13">
        <v>20833378.639999997</v>
      </c>
    </row>
    <row r="77" spans="2:6">
      <c r="B77" t="s">
        <v>29</v>
      </c>
      <c r="C77" s="13">
        <v>5227040</v>
      </c>
    </row>
    <row r="78" spans="2:6">
      <c r="B78" t="s">
        <v>1718</v>
      </c>
      <c r="C78" s="13">
        <v>46331847.159999996</v>
      </c>
    </row>
  </sheetData>
  <conditionalFormatting pivot="1">
    <cfRule type="dataBar" priority="6">
      <dataBar>
        <cfvo type="min"/>
        <cfvo type="max"/>
        <color rgb="FFFFB628"/>
      </dataBar>
      <extLst>
        <ext xmlns:x14="http://schemas.microsoft.com/office/spreadsheetml/2009/9/main" uri="{B025F937-C7B1-47D3-B67F-A62EFF666E3E}">
          <x14:id>{1110662E-4C6A-4866-82E5-78B78081CB44}</x14:id>
        </ext>
      </extLst>
    </cfRule>
  </conditionalFormatting>
  <conditionalFormatting pivot="1" sqref="C30:E34">
    <cfRule type="dataBar" priority="5">
      <dataBar>
        <cfvo type="min"/>
        <cfvo type="max"/>
        <color rgb="FFFFB628"/>
      </dataBar>
      <extLst>
        <ext xmlns:x14="http://schemas.microsoft.com/office/spreadsheetml/2009/9/main" uri="{B025F937-C7B1-47D3-B67F-A62EFF666E3E}">
          <x14:id>{1FA7FD77-ED1F-435E-8E84-6AF8FEF58291}</x14:id>
        </ext>
      </extLst>
    </cfRule>
  </conditionalFormatting>
  <conditionalFormatting pivot="1" sqref="C53:F57">
    <cfRule type="dataBar" priority="4">
      <dataBar>
        <cfvo type="min"/>
        <cfvo type="max"/>
        <color rgb="FFFFB628"/>
      </dataBar>
      <extLst>
        <ext xmlns:x14="http://schemas.microsoft.com/office/spreadsheetml/2009/9/main" uri="{B025F937-C7B1-47D3-B67F-A62EFF666E3E}">
          <x14:id>{5372D89B-EEF6-46CA-991C-9309AD839EC8}</x14:id>
        </ext>
      </extLst>
    </cfRule>
  </conditionalFormatting>
  <conditionalFormatting pivot="1" sqref="C58:F61">
    <cfRule type="dataBar" priority="3">
      <dataBar>
        <cfvo type="min"/>
        <cfvo type="max"/>
        <color rgb="FFFFB628"/>
      </dataBar>
      <extLst>
        <ext xmlns:x14="http://schemas.microsoft.com/office/spreadsheetml/2009/9/main" uri="{B025F937-C7B1-47D3-B67F-A62EFF666E3E}">
          <x14:id>{3395FE8B-A07A-43D6-A5A2-EFB50A732B96}</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1110662E-4C6A-4866-82E5-78B78081CB44}">
            <x14:dataBar minLength="0" maxLength="100" gradient="0">
              <x14:cfvo type="autoMin"/>
              <x14:cfvo type="autoMax"/>
              <x14:negativeFillColor rgb="FFFF0000"/>
              <x14:axisColor rgb="FF000000"/>
            </x14:dataBar>
          </x14:cfRule>
        </x14:conditionalFormatting>
        <x14:conditionalFormatting xmlns:xm="http://schemas.microsoft.com/office/excel/2006/main" pivot="1">
          <x14:cfRule type="dataBar" id="{1FA7FD77-ED1F-435E-8E84-6AF8FEF58291}">
            <x14:dataBar minLength="0" maxLength="100" gradient="0">
              <x14:cfvo type="autoMin"/>
              <x14:cfvo type="autoMax"/>
              <x14:negativeFillColor rgb="FFFF0000"/>
              <x14:axisColor rgb="FF000000"/>
            </x14:dataBar>
          </x14:cfRule>
          <xm:sqref>C30:E34</xm:sqref>
        </x14:conditionalFormatting>
        <x14:conditionalFormatting xmlns:xm="http://schemas.microsoft.com/office/excel/2006/main" pivot="1">
          <x14:cfRule type="dataBar" id="{5372D89B-EEF6-46CA-991C-9309AD839EC8}">
            <x14:dataBar minLength="0" maxLength="100" gradient="0">
              <x14:cfvo type="autoMin"/>
              <x14:cfvo type="autoMax"/>
              <x14:negativeFillColor rgb="FFFF0000"/>
              <x14:axisColor rgb="FF000000"/>
            </x14:dataBar>
          </x14:cfRule>
          <xm:sqref>C53:F57</xm:sqref>
        </x14:conditionalFormatting>
        <x14:conditionalFormatting xmlns:xm="http://schemas.microsoft.com/office/excel/2006/main" pivot="1">
          <x14:cfRule type="dataBar" id="{3395FE8B-A07A-43D6-A5A2-EFB50A732B96}">
            <x14:dataBar minLength="0" maxLength="100" gradient="0">
              <x14:cfvo type="autoMin"/>
              <x14:cfvo type="autoMax"/>
              <x14:negativeFillColor rgb="FFFF0000"/>
              <x14:axisColor rgb="FF000000"/>
            </x14:dataBar>
          </x14:cfRule>
          <xm:sqref>C58:F61</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FEDA3-02FD-473B-B136-28A0490632AE}">
  <sheetPr codeName="Sheet6"/>
  <dimension ref="B3:F38"/>
  <sheetViews>
    <sheetView topLeftCell="H20" workbookViewId="0">
      <selection activeCell="H20" sqref="H20"/>
    </sheetView>
  </sheetViews>
  <sheetFormatPr defaultRowHeight="14.45"/>
  <cols>
    <col min="3" max="3" width="17.42578125" customWidth="1"/>
    <col min="4" max="4" width="13" customWidth="1"/>
    <col min="5" max="5" width="12.85546875" customWidth="1"/>
    <col min="6" max="6" width="15" customWidth="1"/>
    <col min="7" max="7" width="14.85546875" bestFit="1" customWidth="1"/>
  </cols>
  <sheetData>
    <row r="3" spans="2:6">
      <c r="B3" s="5" t="s">
        <v>17</v>
      </c>
      <c r="C3" t="s">
        <v>1719</v>
      </c>
    </row>
    <row r="5" spans="2:6">
      <c r="B5" s="5" t="s">
        <v>1717</v>
      </c>
      <c r="C5" s="5" t="s">
        <v>8</v>
      </c>
    </row>
    <row r="6" spans="2:6">
      <c r="B6" s="5" t="s">
        <v>3</v>
      </c>
      <c r="C6" t="s">
        <v>61</v>
      </c>
      <c r="D6" t="s">
        <v>35</v>
      </c>
      <c r="E6" t="s">
        <v>29</v>
      </c>
      <c r="F6" t="s">
        <v>1718</v>
      </c>
    </row>
    <row r="7" spans="2:6">
      <c r="B7" t="s">
        <v>30</v>
      </c>
      <c r="C7" s="13">
        <v>1211066.92</v>
      </c>
      <c r="D7" s="13">
        <v>136565.72</v>
      </c>
      <c r="E7" s="13">
        <v>0</v>
      </c>
      <c r="F7" s="13">
        <v>1347632.64</v>
      </c>
    </row>
    <row r="8" spans="2:6">
      <c r="B8" t="s">
        <v>68</v>
      </c>
      <c r="C8" s="13">
        <v>1158936.8700000001</v>
      </c>
      <c r="D8" s="13">
        <v>362966.79</v>
      </c>
      <c r="E8" s="13">
        <v>0</v>
      </c>
      <c r="F8" s="13">
        <v>1521903.6600000001</v>
      </c>
    </row>
    <row r="9" spans="2:6">
      <c r="B9" t="s">
        <v>841</v>
      </c>
      <c r="C9" s="13">
        <v>258543.43999999997</v>
      </c>
      <c r="D9" s="13">
        <v>136894.16999999998</v>
      </c>
      <c r="E9" s="13">
        <v>0</v>
      </c>
      <c r="F9" s="13">
        <v>395437.61</v>
      </c>
    </row>
    <row r="10" spans="2:6">
      <c r="B10" t="s">
        <v>113</v>
      </c>
      <c r="C10" s="13">
        <v>247823.24000000002</v>
      </c>
      <c r="D10" s="13">
        <v>296192.21999999997</v>
      </c>
      <c r="E10" s="13">
        <v>0</v>
      </c>
      <c r="F10" s="13">
        <v>544015.46</v>
      </c>
    </row>
    <row r="11" spans="2:6">
      <c r="B11" t="s">
        <v>1014</v>
      </c>
      <c r="C11" s="13">
        <v>41415.17</v>
      </c>
      <c r="D11" s="13">
        <v>41632.559999999998</v>
      </c>
      <c r="E11" s="13">
        <v>0</v>
      </c>
      <c r="F11" s="13">
        <v>83047.73</v>
      </c>
    </row>
    <row r="12" spans="2:6">
      <c r="B12" t="s">
        <v>1165</v>
      </c>
      <c r="C12" s="13">
        <v>3196135.39</v>
      </c>
      <c r="D12" s="13">
        <v>828648.39</v>
      </c>
      <c r="E12" s="13">
        <v>0</v>
      </c>
      <c r="F12" s="13">
        <v>4024783.7800000003</v>
      </c>
    </row>
    <row r="13" spans="2:6">
      <c r="B13" t="s">
        <v>65</v>
      </c>
      <c r="C13" s="13">
        <v>4450874</v>
      </c>
      <c r="D13" s="13">
        <v>1790573</v>
      </c>
      <c r="E13" s="13">
        <v>0</v>
      </c>
      <c r="F13" s="13">
        <v>6241447</v>
      </c>
    </row>
    <row r="14" spans="2:6">
      <c r="B14" t="s">
        <v>44</v>
      </c>
      <c r="C14" s="13">
        <v>1513444.51</v>
      </c>
      <c r="D14" s="13">
        <v>702498.95</v>
      </c>
      <c r="E14" s="13">
        <v>0</v>
      </c>
      <c r="F14" s="13">
        <v>2215943.46</v>
      </c>
    </row>
    <row r="15" spans="2:6">
      <c r="B15" t="s">
        <v>79</v>
      </c>
      <c r="C15" s="13">
        <v>776456.36</v>
      </c>
      <c r="D15" s="13">
        <v>731560.09</v>
      </c>
      <c r="E15" s="13">
        <v>0</v>
      </c>
      <c r="F15" s="13">
        <v>1508016.45</v>
      </c>
    </row>
    <row r="16" spans="2:6">
      <c r="B16" t="s">
        <v>895</v>
      </c>
      <c r="C16" s="13">
        <v>602234.26</v>
      </c>
      <c r="D16" s="13">
        <v>301595.76</v>
      </c>
      <c r="E16" s="13">
        <v>0</v>
      </c>
      <c r="F16" s="13">
        <v>903830.02</v>
      </c>
    </row>
    <row r="17" spans="2:6">
      <c r="B17" t="s">
        <v>1069</v>
      </c>
      <c r="C17" s="13">
        <v>109600</v>
      </c>
      <c r="D17" s="13">
        <v>27396.71</v>
      </c>
      <c r="E17" s="13">
        <v>0</v>
      </c>
      <c r="F17" s="13">
        <v>136996.71</v>
      </c>
    </row>
    <row r="18" spans="2:6">
      <c r="B18" t="s">
        <v>773</v>
      </c>
      <c r="C18" s="13">
        <v>100000</v>
      </c>
      <c r="D18" s="13">
        <v>126500</v>
      </c>
      <c r="E18" s="13">
        <v>0</v>
      </c>
      <c r="F18" s="13">
        <v>226500</v>
      </c>
    </row>
    <row r="19" spans="2:6">
      <c r="B19" t="s">
        <v>825</v>
      </c>
      <c r="C19" s="13">
        <v>92500</v>
      </c>
      <c r="D19" s="13">
        <v>70000</v>
      </c>
      <c r="E19" s="13">
        <v>0</v>
      </c>
      <c r="F19" s="13">
        <v>162500</v>
      </c>
    </row>
    <row r="20" spans="2:6">
      <c r="B20" t="s">
        <v>1003</v>
      </c>
      <c r="C20" s="13">
        <v>38800</v>
      </c>
      <c r="D20" s="13">
        <v>60000</v>
      </c>
      <c r="E20" s="13">
        <v>0</v>
      </c>
      <c r="F20" s="13">
        <v>98800</v>
      </c>
    </row>
    <row r="21" spans="2:6">
      <c r="B21" t="s">
        <v>780</v>
      </c>
      <c r="C21" s="13">
        <v>0</v>
      </c>
      <c r="D21" s="13">
        <v>27100</v>
      </c>
      <c r="E21" s="13">
        <v>0</v>
      </c>
      <c r="F21" s="13">
        <v>27100</v>
      </c>
    </row>
    <row r="22" spans="2:6">
      <c r="B22" t="s">
        <v>889</v>
      </c>
      <c r="C22" s="13">
        <v>0</v>
      </c>
      <c r="D22" s="13">
        <v>76000</v>
      </c>
      <c r="E22" s="13">
        <v>0</v>
      </c>
      <c r="F22" s="13">
        <v>76000</v>
      </c>
    </row>
    <row r="23" spans="2:6">
      <c r="B23" t="s">
        <v>1060</v>
      </c>
      <c r="C23" s="13">
        <v>20000</v>
      </c>
      <c r="D23" s="13">
        <v>40000</v>
      </c>
      <c r="E23" s="13">
        <v>0</v>
      </c>
      <c r="F23" s="13">
        <v>60000</v>
      </c>
    </row>
    <row r="24" spans="2:6">
      <c r="B24" t="s">
        <v>784</v>
      </c>
      <c r="C24" s="13">
        <v>25000</v>
      </c>
      <c r="D24" s="13">
        <v>20000</v>
      </c>
      <c r="E24" s="13">
        <v>0</v>
      </c>
      <c r="F24" s="13">
        <v>45000</v>
      </c>
    </row>
    <row r="25" spans="2:6">
      <c r="B25" t="s">
        <v>898</v>
      </c>
      <c r="C25" s="13">
        <v>221468</v>
      </c>
      <c r="D25" s="13">
        <v>85113</v>
      </c>
      <c r="E25" s="13">
        <v>0</v>
      </c>
      <c r="F25" s="13">
        <v>306581</v>
      </c>
    </row>
    <row r="26" spans="2:6">
      <c r="B26" t="s">
        <v>1076</v>
      </c>
      <c r="C26" s="13">
        <v>1500</v>
      </c>
      <c r="D26" s="13">
        <v>53876</v>
      </c>
      <c r="E26" s="13">
        <v>0</v>
      </c>
      <c r="F26" s="13">
        <v>55376</v>
      </c>
    </row>
    <row r="27" spans="2:6">
      <c r="B27" t="s">
        <v>500</v>
      </c>
      <c r="C27" s="13">
        <v>220820</v>
      </c>
      <c r="D27" s="13">
        <v>446956</v>
      </c>
      <c r="E27" s="13">
        <v>0</v>
      </c>
      <c r="F27" s="13">
        <v>667776</v>
      </c>
    </row>
    <row r="28" spans="2:6">
      <c r="B28" t="s">
        <v>986</v>
      </c>
      <c r="C28" s="13">
        <v>37000</v>
      </c>
      <c r="D28" s="13">
        <v>801867</v>
      </c>
      <c r="E28" s="13">
        <v>0</v>
      </c>
      <c r="F28" s="13">
        <v>838867</v>
      </c>
    </row>
    <row r="29" spans="2:6">
      <c r="B29" t="s">
        <v>1073</v>
      </c>
      <c r="C29" s="13">
        <v>4000</v>
      </c>
      <c r="D29" s="13">
        <v>464051.64</v>
      </c>
      <c r="E29" s="13">
        <v>0</v>
      </c>
      <c r="F29" s="13">
        <v>468051.64</v>
      </c>
    </row>
    <row r="30" spans="2:6">
      <c r="B30" t="s">
        <v>27</v>
      </c>
      <c r="C30" s="13">
        <v>0</v>
      </c>
      <c r="D30" s="13">
        <v>0</v>
      </c>
      <c r="E30" s="13">
        <v>5227040</v>
      </c>
      <c r="F30" s="13">
        <v>5227040</v>
      </c>
    </row>
    <row r="31" spans="2:6">
      <c r="B31" t="s">
        <v>1242</v>
      </c>
      <c r="C31" s="13">
        <v>1123721.4100000001</v>
      </c>
      <c r="D31" s="13">
        <v>1181361.3700000001</v>
      </c>
      <c r="E31" s="13">
        <v>0</v>
      </c>
      <c r="F31" s="13">
        <v>2305082.7800000003</v>
      </c>
    </row>
    <row r="32" spans="2:6">
      <c r="B32" t="s">
        <v>1337</v>
      </c>
      <c r="C32" s="13">
        <v>578165</v>
      </c>
      <c r="D32" s="13">
        <v>2192656.75</v>
      </c>
      <c r="E32" s="13">
        <v>0</v>
      </c>
      <c r="F32" s="13">
        <v>2770821.75</v>
      </c>
    </row>
    <row r="33" spans="2:6">
      <c r="B33" t="s">
        <v>1391</v>
      </c>
      <c r="C33" s="13">
        <v>246246.5</v>
      </c>
      <c r="D33" s="13">
        <v>909863</v>
      </c>
      <c r="E33" s="13">
        <v>0</v>
      </c>
      <c r="F33" s="13">
        <v>1156109.5</v>
      </c>
    </row>
    <row r="34" spans="2:6">
      <c r="B34" t="s">
        <v>1449</v>
      </c>
      <c r="C34" s="13">
        <v>2653071.1</v>
      </c>
      <c r="D34" s="13">
        <v>7052816</v>
      </c>
      <c r="E34" s="13">
        <v>0</v>
      </c>
      <c r="F34" s="13">
        <v>9705887.0999999996</v>
      </c>
    </row>
    <row r="35" spans="2:6">
      <c r="B35" t="s">
        <v>1589</v>
      </c>
      <c r="C35" s="13">
        <v>544091.36</v>
      </c>
      <c r="D35" s="13">
        <v>209425</v>
      </c>
      <c r="E35" s="13">
        <v>0</v>
      </c>
      <c r="F35" s="13">
        <v>753516.36</v>
      </c>
    </row>
    <row r="36" spans="2:6">
      <c r="B36" t="s">
        <v>1534</v>
      </c>
      <c r="C36" s="13">
        <v>413718.6</v>
      </c>
      <c r="D36" s="13">
        <v>1462088.52</v>
      </c>
      <c r="E36" s="13">
        <v>0</v>
      </c>
      <c r="F36" s="13">
        <v>1875807.12</v>
      </c>
    </row>
    <row r="37" spans="2:6">
      <c r="B37" t="s">
        <v>1663</v>
      </c>
      <c r="C37" s="13">
        <v>384796.39</v>
      </c>
      <c r="D37" s="13">
        <v>197180</v>
      </c>
      <c r="E37" s="13">
        <v>0</v>
      </c>
      <c r="F37" s="13">
        <v>581976.39</v>
      </c>
    </row>
    <row r="38" spans="2:6">
      <c r="B38" t="s">
        <v>1718</v>
      </c>
      <c r="C38" s="13">
        <v>20271428.520000003</v>
      </c>
      <c r="D38" s="13">
        <v>20833378.639999997</v>
      </c>
      <c r="E38" s="13">
        <v>5227040</v>
      </c>
      <c r="F38" s="13">
        <v>46331847.159999996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2021-07-26T11:02:44Z</dcterms:created>
  <dcterms:modified xsi:type="dcterms:W3CDTF">2026-02-16T10:05:05Z</dcterms:modified>
  <cp:category/>
  <cp:contentStatus/>
</cp:coreProperties>
</file>
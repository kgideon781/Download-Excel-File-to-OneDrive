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66" documentId="13_ncr:1_{4D0E5611-347A-4675-B69B-D50AC6A875FD}" xr6:coauthVersionLast="47" xr6:coauthVersionMax="47" xr10:uidLastSave="{EBED7BC3-7107-463E-A988-07CB0FB64001}"/>
  <bookViews>
    <workbookView xWindow="-110" yWindow="-110" windowWidth="19420" windowHeight="10300" firstSheet="2" activeTab="2" xr2:uid="{00000000-000D-0000-FFFF-FFFF00000000}"/>
  </bookViews>
  <sheets>
    <sheet name="Dashboard" sheetId="16" r:id="rId1"/>
    <sheet name="Sheet2" sheetId="21" state="hidden" r:id="rId2"/>
    <sheet name="Sheet3" sheetId="25" r:id="rId3"/>
    <sheet name="Detail1" sheetId="24" r:id="rId4"/>
    <sheet name="Pivot Analysis" sheetId="4" r:id="rId5"/>
    <sheet name="Fellows" sheetId="1" r:id="rId6"/>
    <sheet name="Terminations" sheetId="19" r:id="rId7"/>
    <sheet name="Promotions" sheetId="22" r:id="rId8"/>
    <sheet name="Sheet1" sheetId="23" state="hidden" r:id="rId9"/>
  </sheets>
  <definedNames>
    <definedName name="_xlnm._FilterDatabase" localSheetId="5" hidden="1">Fellows!$A$1:$CX$288</definedName>
  </definedNames>
  <calcPr calcId="191028"/>
  <pivotCaches>
    <pivotCache cacheId="0" r:id="rId10"/>
    <pivotCache cacheId="1" r:id="rId11"/>
    <pivotCache cacheId="2" r:id="rId12"/>
    <pivotCache cacheId="9" r:id="rId13"/>
    <pivotCache cacheId="14"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232" i="1" l="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<sst xmlns="http://schemas.openxmlformats.org/spreadsheetml/2006/main" count="11626" uniqueCount="4116">
  <si>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</si>
  <si>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</si>
  <si>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</si>
  <si>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</si>
  <si>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</si>
  <si>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</si>
  <si>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</si>
  <si>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</si>
  <si>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</si>
  <si>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</si>
  <si>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</si>
  <si>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</si>
  <si>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</si>
  <si>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</si>
  <si>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</si>
  <si>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</si>
  <si>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</si>
  <si>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</si>
  <si>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</si>
  <si>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</si>
  <si>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</si>
  <si>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</si>
  <si>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</si>
  <si>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</si>
  <si>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</si>
  <si>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</si>
  <si>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</si>
  <si>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</si>
  <si>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</si>
  <si>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</si>
  <si>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</si>
  <si>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</si>
  <si>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</si>
  <si>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</si>
  <si>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</si>
  <si>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</si>
  <si>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</si>
  <si>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</si>
  <si>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</si>
  <si>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</si>
  <si>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</si>
  <si>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</si>
  <si>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</si>
  <si>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</si>
  <si>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</si>
  <si>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</si>
  <si>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</si>
  <si>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</si>
  <si>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</si>
  <si>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</si>
  <si>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</si>
  <si>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</si>
  <si>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</si>
  <si>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</si>
  <si>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</si>
  <si>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</si>
  <si>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</si>
  <si>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</si>
  <si>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</si>
  <si>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</si>
  <si>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</si>
  <si>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</si>
  <si>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</si>
  <si>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</si>
  <si>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</si>
  <si>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</si>
  <si>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</si>
  <si>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</si>
  <si>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</si>
  <si>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</si>
  <si>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</si>
  <si>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</si>
  <si>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</si>
  <si>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</si>
  <si>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</si>
  <si>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</si>
  <si>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</si>
  <si>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</si>
  <si>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</si>
  <si>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</si>
  <si>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</si>
  <si>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</si>
  <si>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</si>
  <si>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</si>
  <si>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</si>
  <si>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</si>
  <si>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</si>
  <si>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</si>
  <si>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</si>
  <si>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</si>
  <si>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</si>
  <si>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</si>
  <si>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</si>
  <si>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</si>
  <si>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</si>
  <si>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</si>
  <si>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</si>
  <si>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</si>
  <si>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</si>
  <si>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</si>
  <si>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</si>
  <si>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</si>
  <si>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</si>
  <si>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</si>
  <si>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</si>
  <si>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</si>
  <si>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</si>
  <si>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</si>
  <si>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</si>
  <si>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</si>
  <si>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</si>
  <si>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</si>
  <si>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</si>
  <si>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</si>
  <si>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</si>
  <si>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</si>
  <si>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</si>
  <si>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</si>
  <si>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</si>
  <si>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</si>
  <si>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</si>
  <si>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</si>
  <si>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</si>
  <si>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</si>
  <si>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</si>
  <si>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</si>
  <si>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</si>
  <si>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</si>
  <si>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</si>
  <si>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</si>
  <si>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</si>
  <si>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</si>
  <si>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</si>
  <si>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</si>
  <si>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</si>
  <si>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</si>
  <si>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</si>
  <si>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</si>
  <si>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</si>
  <si>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</si>
  <si>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</si>
  <si>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</si>
  <si>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</si>
  <si>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</si>
  <si>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</si>
  <si>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</si>
  <si>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</si>
  <si>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</si>
  <si>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</si>
  <si>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</si>
  <si>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</si>
  <si>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</si>
  <si>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</si>
  <si>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</si>
  <si>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</si>
  <si>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</si>
  <si>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</si>
  <si>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</si>
  <si>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</si>
  <si>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</si>
  <si>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</si>
  <si>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</si>
  <si>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</si>
  <si>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</si>
  <si>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</si>
  <si>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</si>
  <si>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</si>
  <si>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</si>
  <si>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</si>
  <si>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</si>
  <si>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</si>
  <si>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</si>
  <si>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</si>
  <si>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</si>
  <si>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</si>
  <si>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</si>
  <si>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</si>
  <si>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</si>
  <si>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</si>
  <si>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</si>
  <si>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</si>
  <si>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</si>
  <si>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</si>
  <si>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</si>
  <si>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</si>
  <si>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</si>
  <si>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</si>
  <si>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</si>
  <si>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</si>
  <si>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</si>
  <si>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</si>
  <si>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</si>
  <si>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</si>
  <si>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</si>
  <si>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</si>
  <si>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</si>
  <si>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</si>
  <si>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</si>
  <si>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</si>
  <si>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</si>
  <si>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</si>
  <si>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</si>
  <si>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</si>
  <si>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</si>
  <si>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</si>
  <si>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</si>
  <si>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</si>
  <si>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</si>
  <si>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</si>
  <si>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</si>
  <si>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</si>
  <si>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</si>
  <si>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</si>
  <si>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</si>
  <si>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</si>
  <si>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</si>
  <si>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</si>
  <si>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</si>
  <si>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</si>
  <si>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</si>
  <si>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</si>
  <si>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</si>
  <si>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</si>
  <si>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</si>
  <si>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</si>
  <si>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</si>
  <si>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</si>
  <si>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</si>
  <si>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</si>
  <si>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</si>
  <si>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</si>
  <si>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</si>
  <si>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</si>
  <si>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</si>
  <si>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</si>
  <si>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</si>
  <si>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</si>
  <si>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</si>
  <si>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</si>
  <si>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</si>
  <si>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</si>
  <si>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</si>
  <si>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</si>
  <si>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</si>
  <si>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</si>
  <si>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</si>
  <si>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</si>
  <si>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</si>
  <si>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</si>
  <si>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</si>
  <si>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</si>
  <si>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</si>
  <si>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</si>
  <si>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</si>
  <si>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</si>
  <si>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</si>
  <si>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</si>
  <si>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</si>
  <si>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</si>
  <si>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</si>
  <si>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</si>
  <si>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</si>
  <si>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</si>
  <si>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</si>
  <si>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</si>
  <si>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</si>
  <si>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</si>
  <si>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</si>
  <si>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</si>
  <si>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</si>
  <si>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</si>
  <si>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</si>
  <si>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</si>
  <si>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</si>
  <si>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</si>
  <si>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</si>
  <si>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</si>
  <si>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</si>
  <si>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</si>
  <si>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</si>
  <si>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</si>
  <si>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</si>
  <si>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</si>
  <si>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</si>
  <si>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</si>
  <si>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</si>
  <si>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</si>
  <si>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</si>
  <si>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</si>
  <si>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</si>
  <si>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</si>
  <si>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</si>
  <si>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</si>
  <si>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</si>
  <si>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</si>
  <si>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</si>
  <si>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</si>
  <si>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</si>
  <si>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</si>
  <si>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</si>
  <si>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</si>
  <si>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</si>
  <si>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</si>
  <si>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</si>
  <si>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</si>
  <si>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</si>
  <si>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</si>
  <si>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</si>
  <si>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</si>
  <si>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</si>
  <si>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</si>
  <si>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</si>
  <si>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</si>
  <si>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</si>
  <si>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</si>
  <si>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</si>
  <si>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</si>
  <si>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</si>
  <si>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</si>
  <si>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</si>
  <si>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</si>
  <si>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</si>
  <si>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</si>
  <si>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</si>
  <si>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</si>
  <si>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</si>
  <si>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</si>
  <si>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</si>
  <si>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</si>
  <si>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</si>
  <si>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</si>
  <si>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</si>
  <si>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</si>
  <si>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</si>
  <si>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</si>
  <si>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</si>
  <si>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</si>
  <si>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</si>
  <si>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</si>
  <si>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</si>
  <si>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</si>
  <si>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</si>
  <si>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</si>
  <si>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</si>
  <si>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</si>
  <si>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</si>
  <si>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</si>
  <si>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</si>
  <si>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</si>
  <si>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</si>
  <si>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</si>
  <si>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</si>
  <si>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</si>
  <si>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</si>
  <si>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</si>
  <si>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</si>
  <si>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</si>
  <si>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</si>
  <si>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</si>
  <si>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</si>
  <si>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</si>
  <si>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</si>
  <si>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</si>
  <si>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</si>
  <si>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</si>
  <si>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</si>
  <si>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</si>
  <si>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</si>
  <si>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</si>
  <si>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</si>
  <si>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</si>
  <si>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</si>
  <si>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</si>
  <si>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</si>
  <si>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</si>
  <si>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</si>
  <si>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</si>
  <si>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</si>
  <si>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</si>
  <si>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</si>
  <si>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</si>
  <si>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</si>
  <si>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</si>
  <si>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</si>
  <si>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</si>
  <si>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</si>
  <si>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</si>
  <si>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</si>
  <si>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</si>
  <si>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</si>
  <si>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</si>
  <si>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</si>
  <si>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</si>
  <si>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</si>
  <si>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</si>
  <si>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</si>
  <si>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</si>
  <si>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</si>
  <si>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</si>
  <si>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</si>
  <si>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</si>
  <si>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</si>
  <si>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</si>
  <si>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</si>
  <si>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</si>
  <si>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</si>
  <si>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</si>
  <si>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</si>
  <si>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</si>
  <si>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</si>
  <si>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</si>
  <si>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</si>
  <si>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</si>
  <si>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</si>
  <si>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</si>
  <si>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</si>
  <si>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</si>
  <si>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</si>
  <si>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</si>
  <si>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</si>
  <si>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</si>
  <si>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</si>
  <si>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</si>
  <si>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</si>
  <si>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</si>
  <si>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</si>
  <si>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</si>
  <si>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</si>
  <si>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</si>
  <si>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</si>
  <si>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</si>
  <si>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</si>
  <si>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</si>
  <si>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</si>
  <si>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</si>
  <si>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</si>
  <si>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</si>
  <si>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</si>
  <si>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</si>
  <si>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</si>
  <si>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</si>
  <si>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</si>
  <si>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</si>
  <si>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</si>
  <si>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</si>
  <si>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</si>
  <si>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</si>
  <si>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</si>
  <si>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</si>
  <si>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</si>
  <si>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</si>
  <si>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</si>
  <si>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</si>
  <si>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</si>
  <si>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</si>
  <si>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</si>
  <si>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</si>
  <si>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</si>
  <si>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</si>
  <si>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</si>
  <si>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</si>
  <si>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</si>
  <si>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</si>
  <si>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</si>
  <si>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</si>
  <si>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</si>
  <si>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</si>
  <si>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</si>
  <si>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</si>
  <si>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</si>
  <si>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</si>
  <si>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</si>
  <si>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</si>
  <si>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</si>
  <si>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</si>
  <si>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</si>
  <si>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</si>
  <si>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</si>
  <si>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</si>
  <si>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</si>
  <si>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</si>
  <si>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</si>
  <si>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</si>
  <si>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</si>
  <si>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</si>
  <si>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</si>
  <si>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</si>
  <si>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</si>
  <si>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</si>
  <si>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</si>
  <si>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</si>
  <si>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</si>
  <si>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</si>
  <si>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</si>
  <si>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</si>
  <si>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</si>
  <si>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</si>
  <si>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</si>
  <si>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</si>
  <si>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</si>
  <si>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</si>
  <si>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</si>
  <si>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</si>
  <si>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</si>
  <si>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</si>
  <si>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</si>
  <si>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</si>
  <si>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</si>
  <si>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</si>
  <si>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</si>
  <si>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</si>
  <si>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</si>
  <si>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</si>
  <si>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</si>
  <si>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</si>
  <si>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</si>
  <si>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</si>
  <si>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</si>
  <si>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</si>
  <si>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</si>
  <si>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</si>
  <si>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</si>
  <si>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</si>
  <si>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</si>
  <si>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</si>
  <si>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</si>
  <si>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</si>
  <si>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</si>
  <si>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</si>
  <si>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</si>
  <si>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</si>
  <si>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</si>
  <si>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</si>
  <si>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</si>
  <si>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</si>
  <si>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</si>
  <si>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</si>
  <si>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</si>
  <si>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</si>
  <si>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</si>
  <si>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</si>
  <si>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</si>
  <si>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</si>
  <si>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</si>
  <si>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</si>
  <si>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</si>
  <si>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</si>
  <si>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</si>
  <si>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</si>
  <si>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</si>
  <si>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</si>
  <si>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</si>
  <si>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</si>
  <si>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</si>
  <si>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</si>
  <si>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</si>
  <si>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</si>
  <si>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</si>
  <si>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</si>
  <si>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</si>
  <si>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</si>
  <si>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</si>
  <si>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</si>
  <si>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</si>
  <si>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</si>
  <si>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</si>
  <si>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</si>
  <si>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</si>
  <si>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</si>
  <si>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</si>
  <si>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</si>
  <si>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</si>
  <si>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</si>
  <si>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</si>
  <si>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</si>
  <si>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</si>
  <si>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</si>
  <si>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</si>
  <si>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</si>
  <si>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</si>
  <si>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</si>
  <si>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</si>
  <si>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</si>
  <si>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</si>
  <si>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</si>
  <si>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</si>
  <si>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</si>
  <si>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</si>
  <si>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</si>
  <si>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</si>
  <si>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</si>
  <si>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</si>
  <si>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</si>
  <si>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</si>
  <si>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</si>
  <si>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</si>
  <si>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</si>
  <si>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</si>
  <si>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</si>
  <si>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</si>
  <si>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</si>
  <si>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</si>
  <si>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</si>
  <si>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</si>
  <si>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</si>
  <si>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</si>
  <si>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</si>
  <si>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</si>
  <si>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</si>
  <si>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</si>
  <si>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</si>
  <si>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</si>
  <si>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</si>
  <si>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</si>
  <si>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</si>
  <si>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</si>
  <si>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</si>
  <si>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</si>
  <si>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</si>
  <si>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</si>
  <si>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</si>
  <si>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</si>
  <si>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</si>
  <si>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</si>
  <si>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</si>
  <si>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</si>
  <si>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</si>
  <si>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</si>
  <si>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</si>
  <si>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</si>
  <si>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</si>
  <si>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</si>
  <si>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</si>
  <si>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</si>
  <si>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</si>
  <si>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</si>
  <si>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</si>
  <si>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</si>
  <si>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</si>
  <si>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</si>
  <si>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</si>
  <si>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</si>
  <si>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</si>
  <si>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</si>
  <si>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</si>
  <si>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</si>
  <si>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</si>
  <si>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</si>
  <si>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</si>
  <si>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</si>
  <si>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</si>
  <si>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</si>
  <si>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</si>
  <si>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</si>
  <si>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</si>
  <si>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</si>
  <si>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</si>
  <si>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</si>
  <si>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</si>
  <si>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</si>
  <si>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</si>
  <si>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</si>
  <si>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</si>
  <si>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</si>
  <si>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</si>
  <si>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</si>
  <si>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</si>
  <si>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</si>
  <si>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</si>
  <si>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</si>
  <si>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</si>
  <si>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</si>
  <si>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</si>
  <si>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</si>
  <si>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</si>
  <si>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</si>
  <si>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</si>
  <si>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</si>
  <si>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</si>
  <si>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</si>
  <si>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</si>
  <si>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</si>
  <si>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</si>
  <si>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</si>
  <si>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</si>
  <si>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</si>
  <si>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</si>
  <si>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</si>
  <si>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</si>
  <si>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</si>
  <si>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</si>
  <si>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</si>
  <si>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</si>
  <si>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</si>
  <si>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</si>
  <si>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</si>
  <si>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</si>
  <si>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</si>
  <si>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</si>
  <si>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</si>
  <si>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</si>
  <si>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</si>
  <si>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</si>
  <si>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</si>
  <si>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</si>
  <si>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</si>
  <si>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</si>
  <si>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</si>
  <si>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</si>
  <si>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</si>
  <si>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</si>
  <si>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</si>
  <si>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</si>
  <si>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</si>
  <si>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</si>
  <si>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</si>
  <si>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</si>
  <si>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</si>
  <si>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</si>
  <si>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</si>
  <si>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</si>
  <si>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</si>
  <si>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</si>
  <si>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</si>
  <si>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</si>
  <si>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</si>
  <si>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</si>
  <si>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</si>
  <si>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</si>
  <si>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</si>
  <si>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</si>
  <si>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</si>
  <si>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</si>
  <si>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</si>
  <si>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</si>
  <si>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</si>
  <si>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</si>
  <si>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</si>
  <si>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</si>
  <si>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</si>
  <si>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</si>
  <si>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</si>
  <si>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</si>
  <si>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</si>
  <si>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</si>
  <si>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</si>
  <si>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</si>
  <si>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</si>
  <si>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</si>
  <si>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</si>
  <si>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</si>
  <si>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</si>
  <si>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</si>
  <si>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</si>
  <si>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</si>
  <si>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</si>
  <si>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</si>
  <si>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</si>
  <si>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</si>
  <si>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</si>
  <si>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</si>
  <si>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</si>
  <si>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</si>
  <si>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</si>
  <si>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</si>
  <si>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</si>
  <si>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</si>
  <si>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</si>
  <si>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</si>
  <si>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</si>
  <si>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</si>
  <si>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</si>
  <si>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</si>
  <si>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</si>
  <si>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</si>
  <si>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</si>
  <si>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</si>
  <si>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</si>
  <si>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</si>
  <si>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</si>
  <si>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</si>
  <si>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</si>
  <si>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</si>
  <si>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</si>
  <si>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</si>
  <si>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</si>
  <si>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</si>
  <si>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</si>
  <si>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</si>
  <si>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</si>
  <si>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</si>
  <si>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</si>
  <si>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</si>
  <si>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</si>
  <si>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</si>
  <si>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</si>
  <si>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</si>
  <si>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</si>
  <si>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</si>
  <si>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</si>
  <si>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</si>
  <si>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</si>
  <si>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</si>
  <si>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</si>
  <si>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</si>
  <si>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</si>
  <si>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</si>
  <si>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</si>
  <si>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</si>
  <si>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</si>
  <si>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</si>
  <si>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</si>
  <si>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</si>
  <si>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</si>
  <si>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</si>
  <si>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</si>
  <si>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</si>
  <si>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</si>
  <si>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</si>
  <si>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</si>
  <si>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</si>
  <si>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</si>
  <si>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</si>
  <si>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</si>
  <si>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</si>
  <si>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</si>
  <si>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</si>
  <si>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</si>
  <si>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</si>
  <si>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</si>
  <si>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</si>
  <si>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</si>
  <si>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</si>
  <si>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</si>
  <si>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</si>
  <si>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</si>
  <si>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</si>
  <si>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</si>
  <si>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</si>
  <si>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</si>
  <si>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</si>
  <si>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</si>
  <si>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</si>
  <si>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</si>
  <si>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</si>
  <si>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</si>
  <si>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</si>
  <si>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</si>
  <si>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</si>
  <si>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</si>
  <si>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</si>
  <si>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</si>
  <si>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</si>
  <si>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</si>
  <si>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</si>
  <si>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</si>
  <si>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</si>
  <si>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</si>
  <si>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</si>
  <si>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</si>
  <si>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</si>
  <si>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</si>
  <si>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</si>
  <si>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</si>
  <si>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</si>
  <si>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</si>
  <si>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</si>
  <si>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</si>
  <si>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</si>
  <si>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</si>
  <si>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</si>
  <si>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</si>
  <si>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</si>
  <si>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</si>
  <si>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</si>
  <si>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</si>
  <si>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</si>
  <si>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</si>
  <si>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</si>
  <si>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</si>
  <si>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</si>
  <si>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</si>
  <si>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</si>
  <si>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</si>
  <si>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</si>
  <si>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</si>
  <si>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</si>
  <si>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</si>
  <si>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</si>
  <si>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</si>
  <si>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</si>
  <si>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</si>
  <si>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</si>
  <si>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</si>
  <si>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</si>
  <si>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</si>
  <si>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</si>
  <si>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</si>
  <si>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</si>
  <si>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</si>
  <si>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</si>
  <si>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</si>
  <si>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</si>
  <si>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</si>
  <si>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</si>
  <si>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</si>
  <si>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</si>
  <si>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</si>
  <si>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</si>
  <si>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</si>
  <si>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</si>
  <si>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</si>
  <si>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</si>
  <si>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</si>
  <si>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</si>
  <si>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</si>
  <si>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</si>
  <si>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</si>
  <si>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</si>
  <si>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</si>
  <si>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</si>
  <si>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</si>
  <si>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</si>
  <si>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</si>
  <si>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</si>
  <si>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</si>
  <si>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</si>
  <si>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</si>
  <si>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</si>
  <si>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</si>
  <si>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</si>
  <si>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</si>
  <si>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</si>
  <si>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</si>
  <si>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</si>
  <si>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</si>
  <si>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</si>
  <si>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</si>
  <si>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</si>
  <si>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</si>
  <si>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</si>
  <si>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</si>
  <si>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</si>
  <si>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</si>
  <si>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</si>
  <si>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</si>
  <si>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</si>
  <si>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</si>
  <si>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</si>
  <si>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</si>
  <si>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</si>
  <si>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</si>
  <si>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</si>
  <si>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</si>
  <si>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</si>
  <si>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</si>
  <si>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</si>
  <si>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</si>
  <si>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</si>
  <si>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</si>
  <si>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</si>
  <si>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</si>
  <si>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</si>
  <si>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</si>
  <si>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</si>
  <si>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</si>
  <si>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</si>
  <si>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</si>
  <si>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</si>
  <si>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</si>
  <si>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</si>
  <si>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</si>
  <si>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</si>
  <si>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</si>
  <si>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</si>
  <si>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</si>
  <si>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</si>
  <si>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</si>
  <si>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</si>
  <si>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</si>
  <si>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</si>
  <si>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</si>
  <si>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</si>
  <si>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</si>
  <si>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</si>
  <si>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</si>
  <si>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</si>
  <si>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</si>
  <si>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</si>
  <si>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</si>
  <si>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</si>
  <si>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</si>
  <si>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</si>
  <si>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</si>
  <si>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</si>
  <si>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</si>
  <si>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</si>
  <si>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</si>
  <si>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</si>
  <si>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</si>
  <si>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</si>
  <si>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</si>
  <si>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</si>
  <si>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</si>
  <si>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</si>
  <si>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</si>
  <si>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</si>
  <si>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</si>
  <si>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</si>
  <si>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</si>
  <si>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</si>
  <si>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</si>
  <si>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</si>
  <si>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</si>
  <si>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</si>
  <si>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</si>
  <si>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</si>
  <si>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</si>
  <si>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</si>
  <si>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</si>
  <si>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</si>
  <si>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</si>
  <si>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</si>
  <si>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</si>
  <si>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</si>
  <si>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</si>
  <si>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</si>
  <si>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</si>
  <si>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</si>
  <si>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</si>
  <si>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</si>
  <si>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</si>
  <si>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</si>
  <si>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</si>
  <si>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</si>
  <si>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</si>
  <si>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</si>
  <si>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</si>
  <si>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</si>
  <si>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</si>
  <si>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</si>
  <si>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</si>
  <si>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</si>
  <si>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</si>
  <si>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</si>
  <si>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</si>
  <si>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</si>
  <si>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</si>
  <si>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</si>
  <si>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</si>
  <si>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</si>
  <si>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</si>
  <si>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</si>
  <si>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</si>
  <si>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</si>
  <si>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</si>
  <si>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</si>
  <si>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</si>
  <si>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</si>
  <si>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</si>
  <si>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</si>
  <si>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</si>
  <si>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</si>
  <si>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</si>
  <si>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</si>
  <si>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</si>
  <si>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</si>
  <si>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</si>
  <si>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</si>
  <si>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</si>
  <si>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</si>
  <si>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</si>
  <si>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</si>
  <si>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</si>
  <si>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</si>
  <si>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</si>
  <si>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</si>
  <si>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</si>
  <si>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</si>
  <si>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</si>
  <si>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</si>
  <si>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</si>
  <si>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</si>
  <si>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</si>
  <si>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</si>
  <si>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</si>
  <si>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</si>
  <si>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</si>
  <si>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</si>
  <si>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</si>
  <si>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</si>
  <si>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</si>
  <si>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</si>
  <si>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</si>
  <si>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</si>
  <si>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</si>
  <si>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</si>
  <si>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</si>
  <si>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</si>
  <si>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</si>
  <si>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</si>
  <si>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</si>
  <si>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</si>
  <si>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</si>
  <si>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</si>
  <si>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</si>
  <si>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</si>
  <si>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</si>
  <si>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</si>
  <si>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</si>
  <si>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</si>
  <si>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</si>
  <si>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</si>
  <si>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</si>
  <si>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</si>
  <si>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</si>
  <si>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</si>
  <si>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</si>
  <si>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</si>
  <si>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</si>
  <si>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</si>
  <si>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</si>
  <si>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</si>
  <si>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</si>
  <si>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</si>
  <si>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</si>
  <si>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</si>
  <si>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</si>
  <si>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</si>
  <si>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</si>
  <si>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</si>
  <si>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</si>
  <si>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</si>
  <si>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</si>
  <si>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</si>
  <si>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</si>
  <si>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</si>
  <si>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</si>
  <si>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</si>
  <si>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</si>
  <si>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</si>
  <si>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</si>
  <si>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</si>
  <si>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</si>
  <si>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</si>
  <si>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</si>
  <si>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</si>
  <si>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</si>
  <si>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</si>
  <si>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</si>
  <si>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</si>
  <si>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</si>
  <si>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</si>
  <si>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</si>
  <si>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</si>
  <si>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</si>
  <si>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</si>
  <si>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</si>
  <si>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</si>
  <si>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</si>
  <si>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</si>
  <si>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</si>
  <si>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</si>
  <si>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</si>
  <si>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</si>
  <si>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</si>
  <si>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</si>
  <si>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</si>
  <si>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</si>
  <si>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</si>
  <si>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</si>
  <si>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</si>
  <si>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</si>
  <si>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</si>
  <si>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</si>
  <si>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</si>
  <si>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</si>
  <si>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</si>
  <si>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</si>
  <si>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</si>
  <si>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</si>
  <si>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</si>
  <si>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</si>
  <si>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</si>
  <si>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</si>
  <si>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</si>
  <si>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</si>
  <si>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</si>
  <si>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</si>
  <si>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</si>
  <si>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</si>
  <si>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</si>
  <si>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</si>
  <si>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</si>
  <si>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</si>
  <si>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</si>
  <si>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</si>
  <si>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</si>
  <si>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</si>
  <si>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</si>
  <si>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</si>
  <si>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</si>
  <si>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</si>
  <si>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</si>
  <si>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</si>
  <si>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</si>
  <si>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</si>
  <si>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</si>
  <si>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</si>
  <si>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</si>
  <si>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</si>
  <si>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</si>
  <si>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</si>
  <si>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</si>
  <si>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</si>
  <si>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</si>
  <si>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</si>
  <si>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</si>
  <si>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</si>
  <si>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</si>
  <si>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</si>
  <si>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</si>
  <si>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</si>
  <si>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</si>
  <si>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</si>
  <si>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</si>
  <si>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</si>
  <si>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</si>
  <si>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</si>
  <si>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</si>
  <si>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</si>
  <si>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</si>
  <si>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</si>
  <si>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</si>
  <si>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</si>
  <si>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</si>
  <si>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</si>
  <si>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</si>
  <si>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</si>
  <si>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</si>
  <si>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</si>
  <si>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</si>
  <si>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</si>
  <si>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</si>
  <si>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</si>
  <si>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</si>
  <si>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</si>
  <si>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</si>
  <si>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</si>
  <si>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</si>
  <si>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</si>
  <si>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</si>
  <si>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</si>
  <si>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</si>
  <si>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</si>
  <si>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</si>
  <si>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</si>
  <si>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</si>
  <si>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</si>
  <si>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</si>
  <si>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</si>
  <si>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</si>
  <si>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</si>
  <si>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</si>
  <si>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</si>
  <si>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</si>
  <si>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</si>
  <si>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</si>
  <si>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</si>
  <si>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</si>
  <si>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</si>
  <si>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</si>
  <si>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</si>
  <si>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</si>
  <si>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</si>
  <si>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</si>
  <si>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</si>
  <si>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</si>
  <si>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</si>
  <si>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</si>
  <si>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</si>
  <si>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</si>
  <si>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</si>
  <si>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</si>
  <si>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</si>
  <si>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</si>
  <si>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</si>
  <si>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</si>
  <si>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</si>
  <si>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</si>
  <si>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</si>
  <si>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</si>
  <si>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</si>
  <si>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</si>
  <si>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</si>
  <si>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</si>
  <si>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</si>
  <si>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</si>
  <si>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</si>
  <si>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</si>
  <si>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</si>
  <si>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</si>
  <si>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</si>
  <si>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</si>
  <si>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</si>
  <si>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</si>
  <si>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</si>
  <si>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</si>
  <si>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</si>
  <si>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</si>
  <si>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</si>
  <si>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</si>
  <si>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</si>
  <si>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</si>
  <si>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</si>
  <si>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</si>
  <si>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</si>
  <si>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</si>
  <si>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</si>
  <si>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</si>
  <si>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</si>
  <si>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</si>
  <si>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</si>
  <si>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</si>
  <si>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</si>
  <si>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</si>
  <si>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</si>
  <si>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</si>
  <si>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</si>
  <si>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</si>
  <si>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</si>
  <si>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</si>
  <si>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</si>
  <si>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</si>
  <si>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</si>
  <si>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</si>
  <si>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</si>
  <si>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</si>
  <si>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</si>
  <si>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</si>
  <si>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</si>
  <si>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</si>
  <si>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</si>
  <si>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</si>
  <si>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</si>
  <si>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</si>
  <si>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</si>
  <si>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</si>
  <si>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</si>
  <si>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</si>
  <si>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</si>
  <si>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</si>
  <si>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</si>
  <si>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</si>
  <si>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</si>
  <si>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</si>
  <si>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</si>
  <si>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</si>
  <si>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</si>
  <si>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</si>
  <si>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</si>
  <si>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</si>
  <si>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</si>
  <si>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</si>
  <si>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</si>
  <si>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</si>
  <si>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</si>
  <si>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</si>
  <si>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</si>
  <si>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</si>
  <si>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</si>
  <si>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</si>
  <si>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</si>
  <si>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</si>
  <si>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</si>
  <si>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</si>
  <si>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</si>
  <si>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</si>
  <si>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</si>
  <si>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</si>
  <si>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</si>
  <si>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</si>
  <si>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</si>
  <si>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</si>
  <si>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</si>
  <si>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</si>
  <si>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</si>
  <si>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</si>
  <si>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</si>
  <si>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</si>
  <si>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</si>
  <si>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</si>
  <si>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</si>
  <si>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</si>
  <si>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</si>
  <si>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</si>
  <si>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</si>
  <si>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</si>
  <si>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</si>
  <si>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</si>
  <si>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</si>
  <si>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</si>
  <si>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</si>
  <si>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</si>
  <si>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</si>
  <si>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</si>
  <si>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</si>
  <si>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</si>
  <si>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</si>
  <si>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</si>
  <si>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</si>
  <si>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</si>
  <si>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</si>
  <si>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</si>
  <si>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</si>
  <si>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</si>
  <si>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</si>
  <si>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</si>
  <si>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</si>
  <si>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</si>
  <si>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</si>
  <si>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</si>
  <si>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</si>
  <si>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</si>
  <si>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</si>
  <si>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</si>
  <si>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</si>
  <si>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</si>
  <si>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</si>
  <si>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</si>
  <si>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</si>
  <si>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</si>
  <si>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</si>
  <si>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</si>
  <si>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</si>
  <si>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</si>
  <si>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</si>
  <si>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</si>
  <si>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</si>
  <si>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</si>
  <si>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</si>
  <si>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</si>
  <si>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</si>
  <si>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</si>
  <si>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</si>
  <si>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</si>
  <si>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</si>
  <si>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</si>
  <si>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</si>
  <si>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</si>
  <si>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</si>
  <si>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</si>
  <si>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</si>
  <si>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</si>
  <si>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</si>
  <si>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</si>
  <si>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</si>
  <si>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</si>
  <si>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</si>
  <si>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</si>
  <si>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</si>
  <si>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</si>
  <si>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</si>
  <si>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</si>
  <si>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</si>
  <si>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</si>
  <si>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</si>
  <si>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</si>
  <si>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</si>
  <si>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</si>
  <si>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</si>
  <si>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</si>
  <si>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</si>
  <si>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</si>
  <si>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</si>
  <si>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</si>
  <si>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</si>
  <si>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</si>
  <si>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</si>
  <si>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</si>
  <si>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</si>
  <si>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</si>
  <si>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</si>
  <si>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</si>
  <si>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</si>
  <si>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</si>
  <si>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</si>
  <si>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</si>
  <si>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</si>
  <si>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</si>
  <si>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</si>
  <si>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</si>
  <si>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</si>
  <si>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</si>
  <si>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</si>
  <si>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</si>
  <si>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</si>
  <si>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</si>
  <si>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</si>
  <si>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</si>
  <si>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</si>
  <si>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</si>
  <si>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</si>
  <si>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</si>
  <si>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</si>
  <si>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</si>
  <si>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</si>
  <si>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</si>
  <si>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</si>
  <si>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</si>
  <si>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</si>
  <si>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</si>
  <si>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</si>
  <si>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</si>
  <si>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</si>
  <si>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</si>
  <si>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</si>
  <si>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</si>
  <si>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</si>
  <si>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</si>
  <si>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</si>
  <si>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</si>
  <si>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</si>
  <si>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</si>
  <si>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</si>
  <si>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</si>
  <si>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</si>
  <si>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</si>
  <si>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</si>
  <si>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</si>
  <si>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</si>
  <si>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</si>
  <si>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</si>
  <si>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</si>
  <si>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</si>
  <si>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</si>
  <si>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</si>
  <si>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</si>
  <si>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</si>
  <si>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</si>
  <si>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</si>
  <si>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</si>
  <si>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</si>
  <si>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</si>
  <si>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</si>
  <si>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</si>
  <si>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</si>
  <si>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</si>
  <si>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</si>
  <si>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</si>
  <si>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</si>
  <si>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</si>
  <si>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</si>
  <si>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</si>
  <si>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</si>
  <si>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</si>
  <si>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</si>
  <si>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</si>
  <si>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</si>
  <si>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</si>
  <si>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</si>
  <si>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</si>
  <si>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</si>
  <si>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</si>
  <si>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</si>
  <si>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</si>
  <si>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</si>
  <si>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</si>
  <si>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</si>
  <si>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</si>
  <si>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</si>
  <si>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</si>
  <si>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</si>
  <si>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</si>
  <si>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</si>
  <si>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</si>
  <si>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</si>
  <si>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</si>
  <si>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</si>
  <si>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</si>
  <si>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</si>
  <si>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</si>
  <si>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</si>
  <si>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</si>
  <si>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</si>
  <si>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</si>
  <si>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</si>
  <si>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</si>
  <si>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</si>
  <si>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</si>
  <si>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</si>
  <si>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</si>
  <si>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</si>
  <si>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</si>
  <si>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</si>
  <si>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</si>
  <si>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</si>
  <si>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</si>
  <si>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</si>
  <si>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</si>
  <si>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</si>
  <si>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</si>
  <si>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</si>
  <si>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</si>
  <si>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</si>
  <si>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</si>
  <si>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</si>
  <si>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</si>
  <si>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</si>
  <si>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</si>
  <si>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</si>
  <si>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</si>
  <si>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</si>
  <si>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</si>
  <si>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</si>
  <si>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</si>
  <si>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</si>
  <si>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</si>
  <si>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</si>
  <si>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</si>
  <si>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</si>
  <si>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</si>
  <si>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</si>
  <si>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</si>
  <si>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</si>
  <si>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</si>
  <si>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</si>
  <si>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</si>
  <si>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</si>
  <si>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</si>
  <si>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</si>
  <si>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</si>
  <si>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</si>
  <si>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</si>
  <si>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</si>
  <si>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</si>
  <si>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</si>
  <si>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</si>
  <si>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</si>
  <si>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</si>
  <si>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</si>
  <si>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</si>
  <si>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</si>
  <si>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</si>
  <si>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</si>
  <si>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</si>
  <si>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</si>
  <si>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</si>
  <si>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</si>
  <si>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</si>
  <si>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</si>
  <si>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</si>
  <si>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</si>
  <si>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</si>
  <si>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</si>
  <si>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</si>
  <si>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</si>
  <si>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</si>
  <si>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</si>
  <si>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</si>
  <si>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</si>
  <si>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</si>
  <si>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</si>
  <si>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</si>
  <si>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</si>
  <si>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</si>
  <si>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</si>
  <si>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</si>
  <si>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</si>
  <si>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</si>
  <si>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</si>
  <si>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</si>
  <si>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</si>
  <si>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</si>
  <si>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</si>
  <si>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</si>
  <si>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</si>
  <si>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</si>
  <si>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</si>
  <si>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</si>
  <si>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</si>
  <si>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</si>
  <si>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</si>
  <si>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</si>
  <si>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</si>
  <si>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</si>
  <si>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</si>
  <si>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</si>
  <si>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</si>
  <si>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</si>
  <si>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</si>
  <si>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</si>
  <si>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</si>
  <si>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</si>
  <si>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</si>
  <si>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</si>
  <si>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</si>
  <si>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</si>
  <si>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</si>
  <si>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</si>
  <si>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</si>
  <si>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</si>
  <si>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</si>
  <si>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</si>
  <si>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</si>
  <si>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</si>
  <si>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</si>
  <si>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</si>
  <si>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</si>
  <si>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</si>
  <si>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</si>
  <si>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</si>
  <si>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</si>
  <si>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</si>
  <si>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</si>
  <si>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</si>
  <si>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</si>
  <si>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</si>
  <si>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</si>
  <si>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</si>
  <si>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</si>
  <si>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</si>
  <si>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</si>
  <si>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</si>
  <si>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</si>
  <si>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</si>
  <si>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</si>
  <si>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</si>
  <si>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</si>
  <si>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</si>
  <si>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</si>
  <si>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</si>
  <si>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</si>
  <si>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</si>
  <si>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</si>
  <si>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</si>
  <si>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</si>
  <si>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</si>
  <si>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</si>
  <si>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</si>
  <si>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</si>
  <si>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</si>
  <si>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</si>
  <si>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</si>
  <si>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</si>
  <si>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</si>
  <si>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</si>
  <si>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</si>
  <si>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</si>
  <si>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</si>
  <si>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</si>
  <si>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</si>
  <si>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</si>
  <si>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</si>
  <si>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</si>
  <si>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</si>
  <si>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</si>
  <si>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</si>
  <si>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</si>
  <si>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</si>
  <si>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</si>
  <si>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</si>
  <si>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</si>
  <si>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</si>
  <si>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</si>
  <si>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</si>
  <si>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</si>
  <si>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</si>
  <si>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</si>
  <si>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</si>
  <si>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</si>
  <si>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</si>
  <si>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</si>
  <si>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</si>
  <si>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</si>
  <si>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</si>
  <si>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</si>
  <si>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</si>
  <si>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</si>
  <si>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</si>
  <si>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</si>
  <si>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</si>
  <si>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</si>
  <si>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</si>
  <si>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</si>
  <si>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</si>
  <si>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</si>
  <si>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</si>
  <si>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</si>
  <si>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</si>
  <si>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</si>
  <si>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</si>
  <si>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</si>
  <si>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</si>
  <si>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</si>
  <si>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</si>
  <si>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</si>
  <si>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</si>
  <si>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</si>
  <si>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</si>
  <si>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</si>
  <si>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</si>
  <si>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</si>
  <si>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</si>
  <si>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</si>
  <si>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</si>
  <si>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</si>
  <si>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</si>
  <si>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</si>
  <si>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</si>
  <si>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</si>
  <si>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</si>
  <si>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</si>
  <si>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</si>
  <si>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</si>
  <si>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</si>
  <si>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</si>
  <si>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</si>
  <si>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</si>
  <si>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</si>
  <si>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</si>
  <si>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</si>
  <si>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</si>
  <si>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</si>
  <si>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</si>
  <si>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</si>
  <si>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</si>
  <si>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</si>
  <si>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</si>
  <si>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</si>
  <si>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</si>
  <si>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</si>
  <si>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</si>
  <si>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</si>
  <si>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</si>
  <si>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</si>
  <si>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</si>
  <si>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</si>
  <si>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</si>
  <si>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</si>
  <si>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</si>
  <si>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</si>
  <si>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</si>
  <si>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</si>
  <si>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</si>
  <si>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</si>
  <si>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</si>
  <si>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</si>
  <si>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</si>
  <si>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</si>
  <si>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</si>
  <si>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</si>
  <si>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</si>
  <si>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</si>
  <si>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</si>
  <si>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</si>
  <si>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</si>
  <si>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</si>
  <si>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</si>
  <si>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</si>
  <si>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</si>
  <si>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</si>
  <si>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</si>
  <si>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</si>
  <si>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</si>
  <si>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</si>
  <si>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</si>
  <si>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</si>
  <si>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</si>
  <si>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</si>
  <si>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</si>
  <si>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</si>
  <si>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</si>
  <si>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</si>
  <si>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</si>
  <si>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</si>
  <si>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</si>
  <si>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</si>
  <si>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</si>
  <si>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</si>
  <si>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</si>
  <si>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</si>
  <si>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</si>
  <si>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</si>
  <si>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</si>
  <si>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</si>
  <si>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</si>
  <si>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</si>
  <si>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</si>
  <si>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</si>
  <si>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</si>
  <si>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</si>
  <si>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</si>
  <si>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</si>
  <si>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</si>
  <si>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</si>
  <si>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</si>
  <si>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</si>
  <si>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</si>
  <si>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</si>
  <si>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</si>
  <si>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</si>
  <si>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</si>
  <si>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</si>
  <si>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</si>
  <si>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</si>
  <si>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</si>
  <si>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</si>
  <si>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</si>
  <si>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</si>
  <si>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</si>
  <si>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</si>
  <si>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</si>
  <si>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</si>
  <si>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</si>
  <si>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</si>
  <si>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</si>
  <si>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</si>
  <si>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</si>
  <si>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</si>
  <si>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</si>
  <si>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</si>
  <si>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</si>
  <si>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</si>
  <si>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</si>
  <si>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</si>
  <si>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</si>
  <si>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</si>
  <si>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</si>
  <si>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</si>
  <si>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</si>
  <si>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</si>
  <si>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</si>
  <si>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</si>
  <si>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</si>
  <si>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</si>
  <si>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</si>
  <si>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</si>
  <si>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</si>
  <si>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</si>
  <si>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</si>
  <si>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</si>
  <si>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</si>
  <si>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</si>
  <si>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</si>
  <si>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</si>
  <si>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</si>
  <si>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</si>
  <si>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</si>
  <si>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</si>
  <si>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</si>
  <si>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</si>
  <si>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</si>
  <si>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</si>
  <si>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</si>
  <si>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</si>
  <si>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</si>
  <si>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</si>
  <si>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</si>
  <si>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</si>
  <si>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</si>
  <si>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</si>
  <si>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</si>
  <si>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</si>
  <si>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</si>
  <si>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</si>
  <si>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</si>
  <si>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</si>
  <si>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</si>
  <si>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</si>
  <si>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</si>
  <si>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</si>
  <si>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</si>
  <si>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</si>
  <si>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</si>
  <si>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</si>
  <si>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</si>
  <si>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</si>
  <si>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</si>
  <si>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</si>
  <si>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</si>
  <si>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</si>
  <si>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</si>
  <si>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</si>
  <si>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</si>
  <si>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</si>
  <si>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</si>
  <si>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</si>
  <si>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</si>
  <si>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</si>
  <si>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</si>
  <si>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</si>
  <si>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</si>
  <si>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</si>
  <si>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</si>
  <si>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</si>
  <si>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</si>
  <si>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</si>
  <si>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</si>
  <si>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</si>
  <si>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</si>
  <si>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</si>
  <si>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</si>
  <si>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</si>
  <si>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</si>
  <si>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</si>
  <si>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</si>
  <si>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</si>
  <si>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</si>
  <si>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</si>
  <si>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</si>
  <si>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</si>
  <si>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</si>
  <si>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</si>
  <si>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</si>
  <si>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</si>
  <si>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</si>
  <si>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</si>
  <si>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</si>
  <si>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</si>
  <si>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</si>
  <si>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</si>
  <si>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</si>
  <si>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</si>
  <si>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</si>
  <si>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</si>
  <si>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</si>
  <si>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</si>
  <si>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</si>
  <si>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</si>
  <si>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</si>
  <si>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</si>
  <si>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</si>
  <si>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</si>
  <si>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</si>
  <si>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</si>
  <si>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</si>
  <si>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</si>
  <si>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</si>
  <si>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</si>
  <si>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</si>
  <si>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</si>
  <si>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</si>
  <si>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</si>
  <si>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</si>
  <si>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</si>
  <si>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</si>
  <si>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</si>
  <si>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</si>
  <si>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</si>
  <si>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</si>
  <si>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</si>
  <si>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</si>
  <si>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</si>
  <si>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</si>
  <si>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</si>
  <si>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</si>
  <si>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</si>
  <si>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</si>
  <si>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</si>
  <si>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</si>
  <si>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</si>
  <si>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</si>
  <si>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</si>
  <si>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</si>
  <si>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</si>
  <si>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</si>
  <si>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</si>
  <si>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</si>
  <si>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</si>
  <si>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</si>
  <si>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</si>
  <si>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</si>
  <si>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</si>
  <si>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</si>
  <si>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</si>
  <si>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</si>
  <si>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</si>
  <si>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</si>
  <si>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</si>
  <si>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</si>
  <si>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</si>
  <si>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</si>
  <si>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</si>
  <si>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</si>
  <si>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</si>
  <si>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</si>
  <si>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</si>
  <si>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</si>
  <si>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</si>
  <si>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</si>
  <si>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</si>
  <si>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</si>
  <si>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</si>
  <si>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</si>
  <si>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</si>
  <si>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</si>
  <si>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</si>
  <si>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</si>
  <si>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</si>
  <si>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</si>
  <si>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</si>
  <si>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</si>
  <si>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</si>
  <si>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</si>
  <si>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</si>
  <si>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</si>
  <si>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</si>
  <si>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</si>
  <si>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</si>
  <si>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</si>
  <si>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</si>
  <si>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</si>
  <si>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</si>
  <si>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</si>
  <si>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</si>
  <si>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</si>
  <si>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</si>
  <si>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</si>
  <si>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</si>
  <si>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</si>
  <si>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</si>
  <si>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</si>
  <si>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</si>
  <si>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</si>
  <si>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</si>
  <si>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</si>
  <si>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</si>
  <si>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</si>
  <si>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</si>
  <si>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</si>
  <si>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</si>
  <si>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</si>
  <si>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</si>
  <si>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</si>
  <si>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</si>
  <si>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</si>
  <si>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</si>
  <si>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</si>
  <si>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</si>
  <si>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</si>
  <si>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</si>
  <si>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</si>
  <si>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</si>
  <si>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</si>
  <si>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</si>
  <si>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</si>
  <si>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</si>
  <si>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</si>
  <si>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</si>
  <si>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</si>
  <si>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</si>
  <si>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</si>
  <si>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</si>
  <si>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</si>
  <si>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</si>
  <si>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</si>
  <si>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</si>
  <si>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</si>
  <si>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</si>
  <si>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</si>
  <si>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</si>
  <si>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</si>
  <si>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</si>
  <si>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</si>
  <si>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</si>
  <si>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</si>
  <si>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</si>
  <si>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</si>
  <si>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</si>
  <si>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</si>
  <si>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</si>
  <si>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</si>
  <si>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</si>
  <si>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</si>
  <si>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</si>
  <si>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</si>
  <si>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</si>
  <si>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</si>
  <si>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</si>
  <si>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</si>
  <si>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</si>
  <si>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</si>
  <si>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</si>
  <si>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</si>
  <si>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</si>
  <si>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</si>
  <si>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</si>
  <si>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</si>
  <si>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</si>
  <si>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</si>
  <si>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</si>
  <si>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</si>
  <si>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</si>
  <si>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</si>
  <si>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</si>
  <si>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</si>
  <si>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</si>
  <si>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</si>
  <si>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</si>
  <si>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</si>
  <si>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</si>
  <si>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</si>
  <si>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</si>
  <si>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</si>
  <si>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</si>
  <si>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</si>
  <si>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</si>
  <si>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</si>
  <si>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</si>
  <si>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</si>
  <si>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</si>
  <si>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</si>
  <si>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</si>
  <si>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</si>
  <si>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</si>
  <si>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</si>
  <si>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</si>
  <si>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</si>
  <si>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</si>
  <si>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</si>
  <si>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</si>
  <si>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</si>
  <si>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</si>
  <si>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</si>
  <si>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</si>
  <si>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</si>
  <si>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</si>
  <si>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</si>
  <si>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</si>
  <si>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</si>
  <si>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</si>
  <si>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</si>
  <si>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</si>
  <si>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</si>
  <si>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</si>
  <si>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</si>
  <si>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</si>
  <si>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</si>
  <si>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</si>
  <si>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</si>
  <si>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</si>
  <si>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</si>
  <si>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</si>
  <si>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</si>
  <si>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</si>
  <si>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</si>
  <si>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</si>
  <si>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</si>
  <si>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</si>
  <si>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</si>
  <si>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</si>
  <si>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</si>
  <si>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</si>
  <si>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</si>
  <si>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</si>
  <si>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</si>
  <si>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</si>
  <si>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</si>
  <si>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</si>
  <si>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</si>
  <si>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</si>
  <si>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</si>
  <si>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</si>
  <si>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</si>
  <si>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</si>
  <si>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</si>
  <si>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</si>
  <si>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</si>
  <si>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</si>
  <si>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</si>
  <si>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</si>
  <si>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</si>
  <si>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</si>
  <si>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</si>
  <si>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</si>
  <si>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</si>
  <si>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</si>
  <si>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</si>
  <si>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</si>
  <si>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</si>
  <si>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</si>
  <si>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</si>
  <si>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</si>
  <si>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</si>
  <si>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</si>
  <si>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</si>
  <si>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</si>
  <si>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</si>
  <si>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</si>
  <si>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</si>
  <si>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</si>
  <si>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</si>
  <si>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</si>
  <si>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</si>
  <si>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</si>
  <si>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</si>
  <si>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</si>
  <si>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</si>
  <si>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</si>
  <si>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</si>
  <si>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</si>
  <si>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</si>
  <si>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</si>
  <si>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</si>
  <si>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</si>
  <si>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</si>
  <si>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</si>
  <si>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</si>
  <si>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</si>
  <si>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</si>
  <si>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</si>
  <si>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</si>
  <si>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</si>
  <si>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</si>
  <si>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</si>
  <si>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</si>
  <si>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</si>
  <si>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</si>
  <si>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</si>
  <si>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</si>
  <si>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</si>
  <si>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</si>
  <si>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</si>
  <si>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</si>
  <si>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</si>
  <si>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</si>
  <si>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</si>
  <si>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</si>
  <si>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</si>
  <si>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</si>
  <si>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</si>
  <si>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</si>
  <si>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</si>
  <si>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</si>
  <si>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</si>
  <si>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</si>
  <si>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</si>
  <si>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</si>
  <si>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</si>
  <si>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</si>
  <si>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</si>
  <si>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</si>
  <si>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</si>
  <si>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</si>
  <si>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</si>
  <si>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</si>
  <si>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</si>
  <si>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</si>
  <si>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</si>
  <si>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</si>
  <si>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</si>
  <si>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</si>
  <si>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</si>
  <si>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</si>
  <si>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</si>
  <si>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</si>
  <si>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</si>
  <si>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</si>
  <si>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</si>
  <si>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</si>
  <si>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</si>
  <si>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</si>
  <si>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</si>
  <si>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</si>
  <si>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</si>
  <si>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</si>
  <si>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</si>
  <si>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</si>
  <si>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</si>
  <si>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</si>
  <si>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</si>
  <si>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</si>
  <si>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</si>
  <si>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</si>
  <si>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</si>
  <si>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</si>
  <si>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</si>
  <si>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</si>
  <si>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</si>
  <si>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</si>
  <si>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</si>
  <si>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</si>
  <si>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</si>
  <si>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</si>
  <si>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</si>
  <si>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</si>
  <si>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</si>
  <si>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</si>
  <si>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</si>
  <si>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</si>
  <si>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</si>
  <si>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</si>
  <si>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</si>
  <si>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</si>
  <si>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</si>
  <si>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</si>
  <si>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</si>
  <si>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</si>
  <si>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</si>
  <si>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</si>
  <si>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</si>
  <si>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</si>
  <si>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</si>
  <si>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</si>
  <si>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</si>
  <si>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</si>
  <si>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</si>
  <si>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</si>
  <si>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</si>
  <si>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</si>
  <si>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</si>
  <si>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</si>
  <si>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</si>
  <si>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</si>
  <si>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</si>
  <si>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</si>
  <si>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</si>
  <si>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</si>
  <si>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</si>
  <si>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</si>
  <si>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</si>
  <si>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</si>
  <si>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</si>
  <si>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</si>
  <si>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</si>
  <si>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</si>
  <si>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</si>
  <si>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</si>
  <si>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</si>
  <si>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</si>
  <si>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</si>
  <si>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</si>
  <si>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</si>
  <si>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</si>
  <si>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</si>
  <si>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</si>
  <si>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</si>
  <si>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</si>
  <si>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</si>
  <si>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</si>
  <si>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</si>
  <si>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</si>
  <si>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</si>
  <si>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</si>
  <si>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</si>
  <si>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</si>
  <si>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</si>
  <si>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</si>
  <si>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</si>
  <si>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</si>
  <si>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</si>
  <si>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</si>
  <si>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</si>
  <si>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</si>
  <si>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</si>
  <si>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</si>
  <si>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</si>
  <si>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</si>
  <si>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</si>
  <si>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</si>
  <si>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</si>
  <si>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</si>
  <si>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</si>
  <si>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</si>
  <si>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</si>
  <si>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</si>
  <si>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</si>
  <si>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</si>
  <si>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</si>
  <si>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</si>
  <si>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</si>
  <si>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</si>
  <si>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</si>
  <si>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</si>
  <si>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</si>
  <si>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</si>
  <si>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</si>
  <si>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</si>
  <si>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</si>
  <si>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</si>
  <si>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</si>
  <si>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</si>
  <si>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</si>
  <si>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</si>
  <si>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</si>
  <si>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</si>
  <si>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</si>
  <si>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</si>
  <si>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</si>
  <si>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</si>
  <si>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</si>
  <si>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</si>
  <si>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</si>
  <si>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</si>
  <si>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</si>
  <si>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</si>
  <si>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</si>
  <si>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</si>
  <si>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</si>
  <si>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</si>
  <si>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</si>
  <si>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</si>
  <si>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</si>
  <si>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</si>
  <si>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</si>
  <si>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</si>
  <si>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</si>
  <si>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</si>
  <si>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</si>
  <si>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</si>
  <si>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</si>
  <si>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</si>
  <si>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</si>
  <si>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</si>
  <si>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</si>
  <si>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</si>
  <si>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</si>
  <si>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</si>
  <si>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</si>
  <si>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</si>
  <si>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</si>
  <si>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</si>
  <si>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</si>
  <si>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</si>
  <si>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</si>
  <si>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</si>
  <si>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</si>
  <si>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</si>
  <si>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</si>
  <si>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</si>
  <si>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</si>
  <si>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</si>
  <si>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</si>
  <si>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</si>
  <si>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</si>
  <si>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</si>
  <si>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</si>
  <si>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</si>
  <si>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</si>
  <si>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</si>
  <si>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</si>
  <si>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</si>
  <si>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</si>
  <si>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</si>
  <si>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</si>
  <si>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</si>
  <si>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</si>
  <si>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</si>
  <si>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</si>
  <si>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</si>
  <si>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</si>
  <si>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</si>
  <si>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</si>
  <si>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</si>
  <si>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</si>
  <si>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</si>
  <si>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</si>
  <si>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</si>
  <si>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</si>
  <si>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</si>
  <si>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</si>
  <si>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</si>
  <si>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</si>
  <si>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</si>
  <si>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</si>
  <si>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</si>
  <si>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</si>
  <si>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</si>
  <si>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</si>
  <si>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</si>
  <si>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</si>
  <si>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</si>
  <si>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</si>
  <si>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</si>
  <si>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</si>
  <si>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</si>
  <si>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</si>
  <si>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</si>
  <si>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</si>
  <si>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</si>
  <si>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</si>
  <si>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</si>
  <si>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</si>
  <si>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</si>
  <si>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</si>
  <si>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</si>
  <si>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</si>
  <si>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</si>
  <si>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</si>
  <si>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</si>
  <si>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</si>
  <si>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</si>
  <si>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</si>
  <si>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</si>
  <si>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</si>
  <si>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</si>
  <si>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</si>
  <si>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</si>
  <si>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</si>
  <si>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</si>
  <si>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</si>
  <si>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</si>
  <si>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</si>
  <si>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</si>
  <si>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</si>
  <si>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</si>
  <si>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</si>
  <si>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</si>
  <si>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</si>
  <si>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</si>
  <si>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</si>
  <si>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</si>
  <si>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</si>
  <si>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</si>
  <si>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</si>
  <si>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</si>
  <si>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</si>
  <si>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</si>
  <si>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</si>
  <si>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</si>
  <si>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</si>
  <si>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</si>
  <si>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</si>
  <si>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</si>
  <si>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</si>
  <si>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</si>
  <si>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</si>
  <si>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</si>
  <si>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</si>
  <si>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</si>
  <si>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</si>
  <si>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</si>
  <si>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</si>
  <si>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</si>
  <si>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</si>
  <si>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</si>
  <si>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</si>
  <si>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</si>
  <si>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</si>
  <si>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</si>
  <si>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</si>
  <si>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</si>
  <si>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</si>
  <si>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</si>
  <si>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</si>
  <si>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</si>
  <si>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</si>
  <si>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</si>
  <si>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</si>
  <si>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</si>
  <si>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</si>
  <si>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</si>
  <si>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</si>
  <si>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</si>
  <si>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</si>
  <si>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</si>
  <si>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</si>
  <si>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</si>
  <si>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</si>
  <si>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</si>
  <si>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</si>
  <si>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</si>
  <si>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</si>
  <si>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</si>
  <si>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</si>
  <si>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</si>
  <si>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</si>
  <si>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</si>
  <si>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</si>
  <si>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</si>
  <si>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</si>
  <si>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</si>
  <si>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</si>
  <si>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</si>
  <si>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</si>
  <si>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</si>
  <si>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</si>
  <si>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</si>
  <si>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</si>
  <si>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</si>
  <si>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</si>
  <si>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</si>
  <si>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</si>
  <si>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</si>
  <si>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</si>
  <si>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</si>
  <si>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</si>
  <si>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</si>
  <si>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</si>
  <si>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</si>
  <si>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</si>
  <si>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</si>
  <si>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</si>
  <si>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</si>
  <si>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</si>
  <si>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</si>
  <si>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</si>
  <si>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</si>
  <si>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</si>
  <si>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</si>
  <si>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</si>
  <si>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</si>
  <si>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</si>
  <si>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</si>
  <si>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</si>
  <si>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</si>
  <si>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</si>
  <si>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</si>
  <si>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</si>
  <si>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</si>
  <si>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</si>
  <si>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</si>
  <si>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</si>
  <si>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</si>
  <si>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</si>
  <si>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</si>
  <si>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</si>
  <si>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</si>
  <si>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</si>
  <si>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</si>
  <si>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</si>
  <si>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</si>
  <si>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</si>
  <si>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</si>
  <si>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</si>
  <si>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</si>
  <si>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</si>
  <si>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</si>
  <si>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</si>
  <si>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</si>
  <si>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</si>
  <si>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</si>
  <si>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</si>
  <si>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</si>
  <si>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</si>
  <si>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</si>
  <si>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</si>
  <si>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</si>
  <si>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</si>
  <si>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</si>
  <si>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</si>
  <si>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</si>
  <si>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</si>
  <si>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</si>
  <si>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</si>
  <si>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</si>
  <si>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</si>
  <si>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</si>
  <si>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</si>
  <si>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</si>
  <si>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</si>
  <si>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</si>
  <si>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</si>
  <si>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</si>
  <si>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</si>
  <si>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</si>
  <si>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</si>
  <si>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</si>
  <si>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</si>
  <si>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</si>
  <si>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</si>
  <si>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</si>
  <si>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</si>
  <si>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</si>
  <si>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</si>
  <si>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</si>
  <si>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</si>
  <si>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</si>
  <si>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</si>
  <si>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</si>
  <si>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</si>
  <si>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</si>
  <si>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</si>
  <si>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</si>
  <si>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</si>
  <si>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</si>
  <si>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</si>
  <si>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</si>
  <si>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</si>
  <si>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</si>
  <si>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</si>
  <si>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</si>
  <si>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</si>
  <si>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</si>
  <si>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</si>
  <si>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</si>
  <si>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</si>
  <si>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</si>
  <si>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</si>
  <si>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</si>
  <si>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</si>
  <si>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</si>
  <si>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</si>
  <si>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</si>
  <si>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</si>
  <si>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</si>
  <si>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</si>
  <si>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</si>
  <si>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</si>
  <si>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</si>
  <si>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</si>
  <si>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</si>
  <si>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</si>
  <si>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</si>
  <si>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</si>
  <si>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</si>
  <si>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</si>
  <si>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</si>
  <si>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</si>
  <si>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</si>
  <si>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</si>
  <si>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</si>
  <si>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</si>
  <si>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</si>
  <si>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</si>
  <si>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</si>
  <si>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</si>
  <si>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</si>
  <si>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</si>
  <si>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</si>
  <si>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</si>
  <si>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</si>
  <si>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</si>
  <si>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</si>
  <si>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</si>
  <si>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</si>
  <si>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</si>
  <si>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</si>
  <si>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</si>
  <si>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</si>
  <si>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</si>
  <si>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</si>
  <si>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</si>
  <si>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</si>
  <si>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</si>
  <si>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</si>
  <si>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</si>
  <si>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</si>
  <si>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</si>
  <si>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</si>
  <si>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</si>
  <si>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</si>
  <si>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</si>
  <si>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</si>
  <si>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</si>
  <si>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</si>
  <si>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</si>
  <si>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</si>
  <si>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</si>
  <si>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</si>
  <si>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</si>
  <si>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</si>
  <si>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</si>
  <si>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</si>
  <si>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</si>
  <si>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</si>
  <si>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</si>
  <si>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</si>
  <si>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</si>
  <si>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</si>
  <si>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</si>
  <si>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</si>
  <si>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</si>
  <si>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</si>
  <si>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</si>
  <si>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</si>
  <si>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</si>
  <si>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</si>
  <si>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</si>
  <si>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</si>
  <si>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</si>
  <si>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</si>
  <si>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</si>
  <si>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</si>
  <si>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</si>
  <si>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</si>
  <si>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</si>
  <si>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</si>
  <si>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</si>
  <si>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</si>
  <si>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</si>
  <si>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</si>
  <si>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</si>
  <si>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</si>
  <si>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</si>
  <si>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</si>
  <si>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</si>
  <si>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</si>
  <si>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</si>
  <si>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</si>
  <si>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</si>
  <si>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</si>
  <si>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</si>
  <si>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</si>
  <si>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</si>
  <si>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</si>
  <si>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</si>
  <si>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</si>
  <si>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</si>
  <si>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</si>
  <si>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</si>
  <si>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</si>
  <si>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</si>
  <si>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</si>
  <si>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</si>
  <si>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</si>
  <si>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</si>
  <si>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</si>
  <si>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</si>
  <si>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</si>
  <si>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</si>
  <si>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</si>
  <si>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</si>
  <si>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</si>
  <si>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</si>
  <si>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</si>
  <si>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</si>
  <si>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</si>
  <si>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</si>
  <si>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</si>
  <si>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</si>
  <si>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</si>
  <si>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</si>
  <si>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</si>
  <si>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</si>
  <si>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</si>
  <si>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</si>
  <si>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</si>
  <si>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</si>
  <si>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</si>
  <si>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</si>
  <si>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</si>
  <si>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</si>
  <si>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</si>
  <si>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</si>
  <si>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</si>
  <si>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</si>
  <si>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</si>
  <si>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</si>
  <si>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</si>
  <si>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</si>
  <si>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</si>
  <si>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</si>
  <si>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</si>
  <si>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</si>
  <si>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</si>
  <si>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</si>
  <si>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</si>
  <si>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</si>
  <si>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</si>
  <si>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</si>
  <si>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</si>
  <si>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</si>
  <si>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</si>
  <si>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</si>
  <si>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</si>
  <si>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</si>
  <si>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</si>
  <si>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</si>
  <si>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</si>
  <si>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</si>
  <si>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</si>
  <si>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</si>
  <si>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</si>
  <si>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</si>
  <si>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</si>
  <si>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</si>
  <si>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</si>
  <si>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</si>
  <si>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</si>
  <si>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</si>
  <si>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</si>
  <si>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</si>
  <si>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</si>
  <si>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</si>
  <si>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</si>
  <si>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</si>
  <si>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</si>
  <si>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</si>
  <si>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</si>
  <si>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</si>
  <si>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</si>
  <si>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</si>
  <si>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</si>
  <si>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</si>
  <si>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</si>
  <si>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</si>
  <si>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</si>
  <si>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</si>
  <si>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</si>
  <si>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</si>
  <si>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</si>
  <si>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</si>
  <si>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</si>
  <si>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</si>
  <si>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</si>
  <si>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</si>
  <si>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</si>
  <si>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</si>
  <si>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</si>
  <si>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</si>
  <si>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</si>
  <si>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</si>
  <si>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</si>
  <si>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</si>
  <si>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</si>
  <si>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</si>
  <si>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</si>
  <si>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</si>
  <si>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</si>
  <si>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</si>
  <si>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</si>
  <si>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</si>
  <si>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</si>
  <si>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</si>
  <si>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</si>
  <si>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</si>
  <si>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</si>
  <si>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</si>
  <si>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</si>
  <si>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</si>
  <si>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</si>
  <si>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</si>
  <si>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</si>
  <si>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</si>
  <si>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</si>
  <si>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</si>
  <si>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</si>
  <si>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</si>
  <si>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</si>
  <si>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</si>
  <si>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</si>
  <si>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</si>
  <si>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</si>
  <si>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</si>
  <si>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</si>
  <si>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</si>
  <si>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</si>
  <si>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</si>
  <si>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</si>
  <si>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</si>
  <si>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</si>
  <si>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</si>
  <si>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</si>
  <si>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</si>
  <si>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</si>
  <si>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</si>
  <si>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</si>
  <si>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</si>
  <si>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</si>
  <si>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</si>
  <si>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</si>
  <si>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</si>
  <si>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</si>
  <si>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</si>
  <si>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</si>
  <si>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</si>
  <si>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</si>
  <si>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</si>
  <si>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</si>
  <si>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</si>
  <si>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</si>
  <si>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</si>
  <si>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</si>
  <si>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</si>
  <si>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</si>
  <si>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</si>
  <si>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</si>
  <si>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</si>
  <si>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</si>
  <si>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</si>
  <si>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</si>
  <si>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</si>
  <si>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</si>
  <si>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</si>
  <si>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</si>
  <si>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</si>
  <si>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</si>
  <si>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</si>
  <si>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</si>
  <si>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</si>
  <si>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</si>
  <si>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</si>
  <si>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</si>
  <si>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</si>
  <si>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</si>
  <si>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</si>
  <si>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</si>
  <si>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</si>
  <si>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</si>
  <si>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</si>
  <si>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</si>
  <si>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</si>
  <si>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</si>
  <si>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</si>
  <si>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</si>
  <si>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</si>
  <si>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</si>
  <si>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</si>
  <si>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</si>
  <si>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</si>
  <si>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</si>
  <si>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</si>
  <si>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</si>
  <si>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</si>
  <si>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</si>
  <si>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</si>
  <si>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</si>
  <si>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</si>
  <si>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</si>
  <si>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</si>
  <si>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</si>
  <si>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</si>
  <si>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</si>
  <si>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</si>
  <si>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</si>
  <si>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</si>
  <si>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</si>
  <si>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</si>
  <si>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</si>
  <si>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</si>
  <si>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</si>
  <si>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</si>
  <si>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</si>
  <si>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</si>
  <si>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</si>
  <si>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</si>
  <si>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</si>
  <si>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</si>
  <si>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</si>
  <si>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</si>
  <si>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</si>
  <si>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</si>
  <si>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</si>
  <si>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</si>
  <si>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</si>
  <si>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</si>
  <si>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</si>
  <si>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</si>
  <si>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</si>
  <si>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</si>
  <si>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</si>
  <si>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</si>
  <si>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</si>
  <si>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</si>
  <si>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</si>
  <si>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</si>
  <si>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</si>
  <si>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</si>
  <si>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</si>
  <si>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</si>
  <si>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</si>
  <si>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</si>
  <si>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</si>
  <si>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</si>
  <si>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</si>
  <si>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</si>
  <si>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</si>
  <si>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</si>
  <si>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</si>
  <si>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</si>
  <si>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</si>
  <si>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</si>
  <si>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</si>
  <si>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</si>
  <si>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</si>
  <si>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</si>
  <si>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</si>
  <si>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</si>
  <si>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</si>
  <si>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</si>
  <si>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</si>
  <si>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</si>
  <si>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</si>
  <si>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</si>
  <si>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</si>
  <si>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</si>
  <si>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</si>
  <si>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</si>
  <si>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</si>
  <si>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</si>
  <si>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</si>
  <si>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</si>
  <si>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</si>
  <si>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</si>
  <si>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</si>
  <si>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</si>
  <si>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</si>
  <si>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</si>
  <si>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</si>
  <si>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</si>
  <si>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</si>
  <si>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</si>
  <si>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</si>
  <si>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</si>
  <si>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</si>
  <si>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</si>
  <si>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</si>
  <si>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</si>
  <si>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</si>
  <si>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</si>
  <si>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</si>
  <si>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</si>
  <si>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</si>
  <si>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</si>
  <si>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</si>
  <si>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</si>
  <si>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</si>
  <si>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</si>
  <si>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</si>
  <si>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</si>
  <si>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</si>
  <si>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</si>
  <si>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</si>
  <si>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</si>
  <si>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</si>
  <si>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</si>
  <si>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</si>
  <si>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</si>
  <si>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</si>
  <si>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</si>
  <si>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</si>
  <si>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</si>
  <si>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</si>
  <si>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</si>
  <si>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</si>
  <si>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</si>
  <si>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</si>
  <si>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</si>
  <si>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</si>
  <si>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</si>
  <si>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</si>
  <si>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</si>
  <si>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</si>
  <si>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</si>
  <si>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</si>
  <si>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</si>
  <si>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</si>
  <si>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</si>
  <si>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</si>
  <si>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</si>
  <si>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</si>
  <si>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</si>
  <si>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</si>
  <si>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</si>
  <si>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</si>
  <si>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</si>
  <si>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</si>
  <si>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</si>
  <si>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</si>
  <si>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</si>
  <si>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</si>
  <si>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</si>
  <si>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</si>
  <si>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</si>
  <si>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</si>
  <si>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</si>
  <si>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</si>
  <si>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</si>
  <si>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</si>
  <si>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</si>
  <si>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</si>
  <si>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</si>
  <si>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</si>
  <si>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</si>
  <si>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</si>
  <si>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</si>
  <si>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</si>
  <si>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</si>
  <si>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</si>
  <si>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</si>
  <si>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</si>
  <si>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</si>
  <si>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</si>
  <si>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</si>
  <si>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</si>
  <si>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</si>
  <si>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</si>
  <si>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</si>
  <si>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</si>
  <si>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</si>
  <si>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</si>
  <si>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</si>
  <si>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</si>
  <si>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</si>
  <si>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</si>
  <si>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</si>
  <si>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</si>
  <si>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</si>
  <si>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</si>
  <si>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</si>
  <si>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</si>
  <si>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</si>
  <si>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</si>
  <si>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</si>
  <si>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</si>
  <si>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</si>
  <si>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</si>
  <si>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</si>
  <si>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</si>
  <si>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</si>
  <si>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</si>
  <si>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</si>
  <si>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</si>
  <si>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</si>
  <si>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</si>
  <si>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</si>
  <si>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</si>
  <si>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</si>
  <si>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</si>
  <si>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</si>
  <si>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</si>
  <si>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</si>
  <si>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</si>
  <si>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</si>
  <si>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</si>
  <si>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</si>
  <si>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</si>
  <si>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</si>
  <si>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</si>
  <si>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</si>
  <si>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</si>
  <si>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</si>
  <si>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</si>
  <si>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</si>
  <si>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</si>
  <si>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</si>
  <si>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</si>
  <si>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</si>
  <si>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</si>
  <si>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</si>
  <si>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</si>
  <si>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</si>
  <si>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</si>
  <si>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</si>
  <si>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</si>
  <si>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</si>
  <si>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</si>
  <si>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</si>
  <si>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</si>
  <si>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</si>
  <si>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</si>
  <si>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</si>
  <si>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</si>
  <si>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</si>
  <si>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</si>
  <si>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</si>
  <si>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</si>
  <si>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</si>
  <si>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</si>
  <si>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</si>
  <si>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</si>
  <si>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</si>
  <si>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</si>
  <si>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</si>
  <si>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</si>
  <si>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</si>
  <si>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</si>
  <si>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</si>
  <si>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</si>
  <si>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</si>
  <si>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</si>
  <si>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</si>
  <si>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</si>
  <si>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</si>
  <si>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</si>
  <si>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</si>
  <si>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</si>
  <si>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</si>
  <si>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</si>
  <si>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</si>
  <si>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</si>
  <si>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</si>
  <si>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</si>
  <si>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</si>
  <si>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</si>
  <si>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</si>
  <si>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</si>
  <si>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</si>
  <si>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</si>
  <si>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</si>
  <si>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</si>
  <si>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</si>
  <si>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</si>
  <si>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</si>
  <si>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</si>
  <si>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</si>
  <si>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</si>
  <si>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</si>
  <si>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</si>
  <si>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</si>
  <si>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</si>
  <si>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</si>
  <si>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</si>
  <si>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</si>
  <si>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</si>
  <si>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</si>
  <si>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</si>
  <si>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</si>
  <si>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</si>
  <si>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</si>
  <si>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</si>
  <si>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</si>
  <si>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</si>
  <si>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</si>
  <si>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</si>
  <si>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</si>
  <si>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</si>
  <si>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</si>
  <si>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</si>
  <si>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</si>
  <si>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</si>
  <si>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</si>
  <si>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</si>
  <si>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</si>
  <si>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</si>
  <si>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</si>
  <si>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</si>
  <si>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</si>
  <si>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</si>
  <si>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</si>
  <si>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</si>
  <si>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</si>
  <si>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</si>
  <si>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</si>
  <si>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</si>
  <si>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</si>
  <si>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</si>
  <si>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</si>
  <si>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</si>
  <si>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</si>
  <si>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</si>
  <si>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</si>
  <si>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</si>
  <si>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</si>
  <si>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</si>
  <si>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</si>
  <si>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</si>
  <si>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</si>
  <si>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</si>
  <si>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</si>
  <si>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</si>
  <si>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</si>
  <si>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</si>
  <si>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</si>
  <si>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</si>
  <si>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</si>
  <si>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</si>
  <si>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</si>
  <si>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</si>
  <si>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</si>
  <si>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</si>
  <si>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</si>
  <si>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</si>
  <si>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</si>
  <si>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</si>
  <si>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</si>
  <si>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</si>
  <si>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</si>
  <si>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</si>
  <si>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</si>
  <si>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</si>
  <si>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</si>
  <si>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</si>
  <si>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</si>
  <si>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</si>
  <si>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</si>
  <si>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</si>
  <si>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</si>
  <si>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</si>
  <si>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</si>
  <si>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</si>
  <si>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</si>
  <si>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</si>
  <si>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</si>
  <si>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</si>
  <si>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</si>
  <si>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</si>
  <si>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</si>
  <si>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</si>
  <si>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</si>
  <si>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</si>
  <si>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</si>
  <si>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</si>
  <si>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</si>
  <si>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</si>
  <si>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</si>
  <si>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</si>
  <si>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</si>
  <si>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</si>
  <si>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</si>
  <si>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</si>
  <si>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</si>
  <si>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</si>
  <si>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</si>
  <si>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</si>
  <si>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</si>
  <si>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</si>
  <si>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</si>
  <si>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</si>
  <si>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</si>
  <si>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</si>
  <si>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</si>
  <si>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</si>
  <si>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</si>
  <si>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</si>
  <si>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</si>
  <si>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</si>
  <si>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</si>
  <si>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</si>
  <si>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</si>
  <si>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</si>
  <si>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</si>
  <si>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</si>
  <si>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</si>
  <si>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</si>
  <si>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</si>
  <si>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</si>
  <si>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</si>
  <si>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</si>
  <si>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</si>
  <si>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</si>
  <si>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</si>
  <si>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</si>
  <si>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</si>
  <si>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</si>
  <si>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</si>
  <si>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</si>
  <si>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</si>
  <si>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</si>
  <si>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</si>
  <si>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</si>
  <si>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</si>
  <si>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</si>
  <si>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</si>
  <si>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</si>
  <si>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</si>
  <si>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</si>
  <si>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</si>
  <si>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</si>
  <si>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</si>
  <si>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</si>
  <si>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</si>
  <si>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</si>
  <si>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</si>
  <si>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</si>
  <si>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</si>
  <si>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</si>
  <si>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</si>
  <si>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</si>
  <si>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</si>
  <si>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</si>
  <si>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</si>
  <si>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</si>
  <si>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</si>
  <si>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</si>
  <si>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</si>
  <si>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</si>
  <si>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</si>
  <si>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</si>
  <si>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</si>
  <si>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</si>
  <si>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</si>
  <si>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</si>
  <si>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</si>
  <si>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</si>
  <si>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</si>
  <si>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</si>
  <si>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</si>
  <si>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</si>
  <si>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</si>
  <si>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</si>
  <si>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</si>
  <si>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</si>
  <si>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</si>
  <si>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</si>
  <si>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</si>
  <si>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</si>
  <si>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</si>
  <si>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</si>
  <si>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</si>
  <si>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</si>
  <si>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</si>
  <si>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</si>
  <si>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</si>
  <si>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</si>
  <si>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</si>
  <si>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</si>
  <si>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</si>
  <si>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</si>
  <si>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</si>
  <si>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</si>
  <si>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</si>
  <si>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</si>
  <si>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</si>
  <si>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</si>
  <si>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</si>
  <si>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</si>
  <si>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</si>
  <si>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</si>
  <si>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</si>
  <si>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</si>
  <si>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</si>
  <si>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</si>
  <si>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</si>
  <si>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</si>
  <si>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</si>
  <si>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</si>
  <si>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</si>
  <si>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</si>
  <si>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</si>
  <si>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</si>
  <si>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</si>
  <si>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</si>
  <si>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</si>
  <si>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</si>
  <si>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</si>
  <si>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</si>
  <si>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</si>
  <si>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</si>
  <si>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</si>
  <si>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</si>
  <si>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</si>
  <si>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</si>
  <si>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</si>
  <si>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</si>
  <si>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</si>
  <si>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</si>
  <si>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</si>
  <si>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</si>
  <si>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</si>
  <si>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</si>
  <si>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</si>
  <si>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</si>
  <si>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</si>
  <si>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</si>
  <si>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</si>
  <si>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</si>
  <si>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</si>
  <si>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</si>
  <si>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</si>
  <si>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</si>
  <si>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</si>
  <si>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</si>
  <si>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</si>
  <si>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</si>
  <si>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</si>
  <si>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</si>
  <si>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</si>
  <si>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</si>
  <si>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</si>
  <si>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</si>
  <si>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</si>
  <si>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</si>
  <si>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</si>
  <si>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</si>
  <si>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</si>
  <si>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</si>
  <si>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</si>
  <si>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</si>
  <si>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</si>
  <si>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</si>
  <si>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</si>
  <si>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</si>
  <si>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</si>
  <si>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</si>
  <si>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</si>
  <si>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</si>
  <si>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</si>
  <si>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</si>
  <si>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</si>
  <si>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</si>
  <si>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</si>
  <si>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</si>
  <si>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</si>
  <si>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</si>
  <si>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</si>
  <si>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</si>
  <si>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</si>
  <si>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</si>
  <si>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</si>
  <si>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</si>
  <si>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</si>
  <si>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</si>
  <si>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</si>
  <si>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</si>
  <si>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</si>
  <si>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</si>
  <si>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</si>
  <si>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</si>
  <si>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</si>
  <si>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</si>
  <si>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</si>
  <si>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</si>
  <si>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</si>
  <si>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</si>
  <si>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</si>
  <si>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</si>
  <si>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</si>
  <si>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</si>
  <si>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</si>
  <si>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</si>
  <si>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</si>
  <si>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</si>
  <si>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</si>
  <si>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</si>
  <si>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</si>
  <si>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</si>
  <si>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</si>
  <si>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</si>
  <si>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</si>
  <si>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</si>
  <si>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</si>
  <si>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</si>
  <si>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</si>
  <si>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</si>
  <si>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</si>
  <si>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</si>
  <si>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</si>
  <si>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</si>
  <si>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</si>
  <si>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</si>
  <si>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</si>
  <si>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</si>
  <si>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</si>
  <si>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</si>
  <si>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</si>
  <si>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</si>
  <si>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</si>
  <si>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</si>
  <si>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</si>
  <si>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</si>
  <si>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</si>
  <si>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</si>
  <si>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</si>
  <si>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</si>
  <si>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</si>
  <si>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</si>
  <si>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</si>
  <si>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</si>
  <si>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</si>
  <si>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</si>
  <si>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</si>
  <si>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</si>
  <si>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</si>
  <si>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</si>
  <si>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</si>
  <si>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</si>
  <si>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</si>
  <si>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</si>
  <si>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</si>
  <si>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</si>
  <si>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</si>
  <si>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</si>
  <si>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</si>
  <si>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</si>
  <si>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</si>
  <si>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</si>
  <si>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</si>
  <si>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</si>
  <si>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</si>
  <si>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</si>
  <si>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</si>
  <si>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</si>
  <si>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</si>
  <si>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</si>
  <si>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</si>
  <si>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</si>
  <si>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</si>
  <si>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</si>
  <si>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</si>
  <si>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</si>
  <si>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</si>
  <si>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</si>
  <si>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</si>
  <si>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</si>
  <si>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</si>
  <si>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</si>
  <si>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</si>
  <si>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</si>
  <si>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</si>
  <si>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</si>
  <si>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</si>
  <si>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</si>
  <si>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</si>
  <si>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</si>
  <si>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</si>
  <si>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</si>
  <si>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</si>
  <si>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</si>
  <si>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</si>
  <si>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</si>
  <si>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</si>
  <si>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</si>
  <si>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</si>
  <si>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</si>
  <si>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</si>
  <si>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</si>
  <si>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</si>
  <si>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</si>
  <si>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</si>
  <si>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</si>
  <si>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</si>
  <si>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</si>
  <si>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</si>
  <si>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</si>
  <si>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</si>
  <si>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</si>
  <si>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</si>
  <si>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</si>
  <si>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</si>
  <si>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</si>
  <si>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</si>
  <si>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</si>
  <si>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</si>
  <si>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</si>
  <si>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</si>
  <si>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</si>
  <si>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</si>
  <si>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</si>
  <si>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</si>
  <si>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</si>
  <si>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</si>
  <si>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</si>
  <si>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</si>
  <si>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</si>
  <si>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</si>
  <si>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</si>
  <si>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</si>
  <si>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</si>
  <si>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</si>
  <si>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</si>
  <si>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</si>
  <si>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</si>
  <si>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</si>
  <si>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</si>
  <si>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</si>
  <si>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</si>
  <si>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</si>
  <si>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</si>
  <si>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</si>
  <si>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</si>
  <si>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</si>
  <si>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</si>
  <si>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</si>
  <si>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</si>
  <si>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</si>
  <si>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</si>
  <si>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</si>
  <si>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</si>
  <si>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</si>
  <si>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</si>
  <si>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</si>
  <si>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</si>
  <si>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</si>
  <si>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</si>
  <si>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</si>
  <si>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</si>
  <si>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</si>
  <si>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</si>
  <si>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</si>
  <si>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</si>
  <si>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</si>
  <si>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</si>
  <si>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</si>
  <si>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</si>
  <si>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</si>
  <si>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</si>
  <si>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</si>
  <si>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</si>
  <si>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</si>
  <si>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</si>
  <si>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</si>
  <si>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</si>
  <si>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</si>
  <si>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</si>
  <si>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</si>
  <si>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</si>
  <si>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</si>
  <si>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</si>
  <si>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</si>
  <si>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</si>
  <si>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</si>
  <si>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</si>
  <si>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</si>
  <si>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</si>
  <si>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</si>
  <si>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</si>
  <si>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</si>
  <si>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</si>
  <si>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</si>
  <si>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</si>
  <si>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</si>
  <si>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</si>
  <si>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</si>
  <si>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</si>
  <si>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</si>
  <si>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</si>
  <si>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</si>
  <si>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</si>
  <si>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</si>
  <si>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</si>
  <si>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</si>
  <si>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</si>
  <si>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</si>
  <si>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</si>
  <si>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</si>
  <si>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</si>
  <si>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</si>
  <si>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</si>
  <si>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</si>
  <si>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</si>
  <si>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</si>
  <si>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</si>
  <si>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</si>
  <si>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</si>
  <si>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</si>
  <si>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</si>
  <si>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</si>
  <si>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</si>
  <si>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</si>
  <si>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</si>
  <si>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</si>
  <si>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</si>
  <si>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</si>
  <si>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</si>
  <si>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</si>
  <si>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</si>
  <si>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</si>
  <si>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</si>
  <si>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</si>
  <si>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</si>
  <si>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</si>
  <si>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</si>
  <si>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</si>
  <si>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</si>
  <si>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</si>
  <si>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</si>
  <si>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</si>
  <si>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</si>
  <si>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</si>
  <si>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</si>
  <si>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</si>
  <si>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</si>
  <si>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</si>
  <si>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</si>
  <si>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</si>
  <si>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</si>
  <si>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</si>
  <si>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</si>
  <si>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</si>
  <si>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</si>
  <si>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</si>
  <si>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</si>
  <si>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</si>
  <si>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</si>
  <si>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</si>
  <si>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</si>
  <si>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</si>
  <si>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</si>
  <si>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</si>
  <si>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</si>
  <si>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</si>
  <si>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</si>
  <si>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</si>
  <si>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</si>
  <si>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</si>
  <si>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</si>
  <si>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</si>
  <si>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</si>
  <si>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</si>
  <si>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</si>
  <si>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</si>
  <si>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</si>
  <si>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</si>
  <si>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</si>
  <si>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</si>
  <si>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</si>
  <si>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</si>
  <si>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</si>
  <si>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</si>
  <si>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</si>
  <si>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</si>
  <si>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</si>
  <si>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</si>
  <si>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</si>
  <si>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</si>
  <si>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</si>
  <si>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</si>
  <si>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</si>
  <si>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</si>
  <si>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</si>
  <si>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</si>
  <si>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</si>
  <si>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</si>
  <si>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</si>
  <si>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</si>
  <si>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</si>
  <si>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</si>
  <si>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</si>
  <si>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</si>
  <si>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</si>
  <si>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</si>
  <si>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</si>
  <si>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</si>
  <si>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</si>
  <si>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</si>
  <si>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</si>
  <si>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</si>
  <si>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</si>
  <si>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</si>
  <si>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</si>
  <si>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</si>
  <si>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</si>
  <si>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</si>
  <si>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</si>
  <si>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</si>
  <si>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</si>
  <si>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</si>
  <si>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</si>
  <si>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</si>
  <si>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</si>
  <si>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</si>
  <si>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</si>
  <si>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</si>
  <si>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</si>
  <si>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</si>
  <si>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</si>
  <si>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</si>
  <si>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</si>
  <si>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</si>
  <si>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</si>
  <si>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</si>
  <si>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</si>
  <si>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</si>
  <si>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</si>
  <si>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</si>
  <si>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</si>
  <si>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</si>
  <si>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</si>
  <si>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</si>
  <si>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</si>
  <si>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</si>
  <si>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</si>
  <si>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</si>
  <si>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</si>
  <si>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</si>
  <si>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</si>
  <si>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</si>
  <si>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</si>
  <si>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</si>
  <si>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</si>
  <si>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</si>
  <si>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</si>
  <si>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</si>
  <si>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</si>
  <si>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</si>
  <si>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</si>
  <si>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</si>
  <si>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</si>
  <si>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</si>
  <si>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</si>
  <si>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</si>
  <si>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</si>
  <si>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</si>
  <si>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</si>
  <si>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</si>
  <si>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</si>
  <si>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</si>
  <si>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</si>
  <si>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</si>
  <si>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</si>
  <si>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</si>
  <si>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</si>
  <si>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</si>
  <si>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</si>
  <si>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</si>
  <si>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</si>
  <si>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</si>
  <si>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</si>
  <si>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</si>
  <si>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</si>
  <si>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</si>
  <si>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</si>
  <si>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</si>
  <si>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</si>
  <si>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</si>
  <si>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</si>
  <si>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</si>
  <si>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</si>
  <si>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</si>
  <si>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</si>
  <si>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</si>
  <si>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</si>
  <si>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</si>
  <si>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</si>
  <si>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</si>
  <si>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</si>
  <si>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</si>
  <si>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</si>
  <si>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</si>
  <si>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</si>
  <si>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</si>
  <si>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</si>
  <si>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</si>
  <si>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</si>
  <si>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</si>
  <si>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</si>
  <si>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</si>
  <si>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</si>
  <si>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</si>
  <si>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</si>
  <si>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</si>
  <si>
    <t>Transition dynamics and treatment outcomes among HIV-positive patients of Ifakara, Tanzania: A comprehensive analysis for optimizing the existing longitudinal cohort data</t>
  </si>
  <si>
    <t>Details for Count of Unique ID - Cohort: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</si>
</sst>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8">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xf numFmtId="0" fontId="0" fillId="0" borderId="0" xfId="0" applyAlignment="1">
      <alignment wrapText="1"/>
    </xf>
  </cellXfs>
  <cellStyles count="4">
    <cellStyle name="Hyperlink" xfId="1" builtinId="8"/>
    <cellStyle name="Normal" xfId="0" builtinId="0"/>
    <cellStyle name="Normal 2" xfId="2" xr:uid="{00000000-0005-0000-0000-000002000000}"/>
    <cellStyle name="Percent" xfId="3" builtinId="5"/>
  </cellStyles>
  <dxfs count="22">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192.46904050926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192.469493865741" createdVersion="8" refreshedVersion="8" minRefreshableVersion="3" recordCount="25" xr:uid="{CD489B80-AC16-4E75-A2F3-7E15C20D325D}">
  <cacheSource type="worksheet">
    <worksheetSource name="Table1"/>
  </cacheSource>
  <cacheFields count="89">
    <cacheField name="S.No." numFmtId="0">
      <sharedItems containsSemiMixedTypes="0" containsString="0" containsNumber="1" containsInteger="1" minValue="225"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0" maxValue="10"/>
    </cacheField>
    <cacheField name="Nationality" numFmtId="0">
      <sharedItems count="8">
        <s v="Nigeria"/>
        <s v="South Africa"/>
        <s v="Kenya"/>
        <s v="Rwanda"/>
        <s v="Malawi"/>
        <s v="Zimbabwe"/>
        <s v="Uganda"/>
        <s v="Tanzania"/>
      </sharedItems>
    </cacheField>
    <cacheField name="Institution of employment at registration" numFmtId="0">
      <sharedItems count="9">
        <s v="Obafemi Awolowo University"/>
        <s v="University of the Witwatersrand"/>
        <s v="University of Nairobi"/>
        <s v="University of Rwanda"/>
        <s v="University of Malawi"/>
        <s v="University of Ibadan"/>
        <s v="Makerere University"/>
        <s v="Moi University"/>
        <s v="Ifakara Health Institute"/>
      </sharedItems>
    </cacheField>
    <cacheField name="Discipline" numFmtId="0">
      <sharedItems/>
    </cacheField>
    <cacheField name="Department" numFmtId="0">
      <sharedItems/>
    </cacheField>
    <cacheField name="Institution of registration" numFmtId="0">
      <sharedItems/>
    </cacheField>
    <cacheField name="Registered at Home" numFmtId="0">
      <sharedItems/>
    </cacheField>
    <cacheField name="PhD Student Number at Host Institution" numFmtId="0">
      <sharedItems containsString="0" containsBlank="1" containsNumber="1" containsInteger="1" minValue="1897532" maxValue="2477108"/>
    </cacheField>
    <cacheField name="Marital Status at enrolment" numFmtId="0">
      <sharedItems/>
    </cacheField>
    <cacheField name="Current Marital Status" numFmtId="0">
      <sharedItems/>
    </cacheField>
    <cacheField name="Marital Status at Completion" numFmtId="0">
      <sharedItems containsBlank="1"/>
    </cacheField>
    <cacheField name="Email" numFmtId="0">
      <sharedItems/>
    </cacheField>
    <cacheField name="Alternative e-mail" numFmtId="0">
      <sharedItems/>
    </cacheField>
    <cacheField name="Phone" numFmtId="0">
      <sharedItems/>
    </cacheField>
    <cacheField name="Masters Degree" numFmtId="0">
      <sharedItems/>
    </cacheField>
    <cacheField name="DOB" numFmtId="14">
      <sharedItems containsSemiMixedTypes="0" containsNonDate="0" containsDate="1" containsString="0" minDate="1975-04-01T00:00:00" maxDate="1993-02-03T00:00:00"/>
    </cacheField>
    <cacheField name="Proposed Research Title" numFmtId="0">
      <sharedItems/>
    </cacheField>
    <cacheField name="Type of study" numFmtId="0">
      <sharedItems/>
    </cacheField>
    <cacheField name="Laboratory work?" numFmtId="0">
      <sharedItems containsNonDate="0" containsString="0" containsBlank="1"/>
    </cacheField>
    <cacheField name="Type of data" numFmtId="0">
      <sharedItems containsNonDate="0" containsString="0" containsBlank="1"/>
    </cacheField>
    <cacheField name="Ranking" numFmtId="0">
      <sharedItems containsNonDate="0" containsString="0" containsBlank="1"/>
    </cacheField>
    <cacheField name="Date of PhD registration" numFmtId="0">
      <sharedItems containsNonDate="0" containsDate="1" containsString="0" containsBlank="1" minDate="2019-07-14T00:00:00" maxDate="2022-03-03T00:00:00"/>
    </cacheField>
    <cacheField name="Year of admission into CARTA" numFmtId="14">
      <sharedItems containsSemiMixedTypes="0" containsNonDate="0" containsDate="1" containsString="0" minDate="2020-03-01T00:00:00" maxDate="2020-03-02T00:00:00"/>
    </cacheField>
    <cacheField name="Terminated" numFmtId="0">
      <sharedItems containsNonDate="0" containsDate="1" containsString="0" containsBlank="1" minDate="2023-06-30T00:00:00" maxDate="2023-07-01T00:00:00"/>
    </cacheField>
    <cacheField name="1st Supervisors" numFmtId="0">
      <sharedItems/>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1" maxValue="3"/>
    </cacheField>
    <cacheField name="Institution for 1st Supervisor" numFmtId="0">
      <sharedItems containsNonDate="0" containsString="0" containsBlank="1"/>
    </cacheField>
    <cacheField name="Institution for 2nd Supervisor" numFmtId="0">
      <sharedItems containsNonDate="0" containsString="0" containsBlank="1"/>
    </cacheField>
    <cacheField name="Institution for 3rd Supervisor" numFmtId="0">
      <sharedItems containsNonDate="0" containsString="0" containsBlank="1"/>
    </cacheField>
    <cacheField name="1st Supervisors workshop Attendance" numFmtId="0">
      <sharedItems containsNonDate="0" containsString="0" containsBlank="1"/>
    </cacheField>
    <cacheField name="2nd Supervisors workshop Attendance" numFmtId="0">
      <sharedItems containsNonDate="0" containsString="0" containsBlank="1"/>
    </cacheField>
    <cacheField name="3rd Supervisors workshop Attendance" numFmtId="0">
      <sharedItems containsNonDate="0" containsString="0" containsBlank="1"/>
    </cacheField>
    <cacheField name="Type of employment" numFmtId="0">
      <sharedItems/>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cacheField>
    <cacheField name="Current Institution (Year of change in ())" numFmtId="0">
      <sharedItems/>
    </cacheField>
    <cacheField name="ORCID" numFmtId="0">
      <sharedItems/>
    </cacheField>
    <cacheField name="Suspensions" numFmtId="0">
      <sharedItems containsNonDate="0" containsString="0" containsBlank="1"/>
    </cacheField>
    <cacheField name="Month/ Year JAS1" numFmtId="14">
      <sharedItems containsSemiMixedTypes="0" containsNonDate="0" containsDate="1" containsString="0" minDate="2020-03-02T00:00:00" maxDate="2020-03-27T00:00:00"/>
    </cacheField>
    <cacheField name="Month/ Year JAS2" numFmtId="0">
      <sharedItems containsDate="1" containsMixedTypes="1" minDate="2020-11-01T00:00:00" maxDate="2020-11-02T00:00:00"/>
    </cacheField>
    <cacheField name="Attended JAS 2 on time" numFmtId="0">
      <sharedItems/>
    </cacheField>
    <cacheField name="Date of protocol submission to PG" numFmtId="0">
      <sharedItems containsNonDate="0" containsDate="1" containsString="0" containsBlank="1" minDate="2020-07-01T00:00:00" maxDate="2022-11-24T00:00:00"/>
    </cacheField>
    <cacheField name="Date of protocol submission to IRB" numFmtId="0">
      <sharedItems containsNonDate="0" containsDate="1" containsString="0" containsBlank="1" minDate="2020-09-01T00:00:00" maxDate="2022-10-06T00:00:00"/>
    </cacheField>
    <cacheField name="Date of Ethics approval" numFmtId="0">
      <sharedItems containsNonDate="0" containsString="0" containsBlank="1"/>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acheField>
    <cacheField name="Month/ Year JAS3" numFmtId="0">
      <sharedItems containsNonDate="0" containsDate="1" containsString="0" containsBlank="1" minDate="2022-11-07T00:00:00" maxDate="2023-05-16T00:00:00"/>
    </cacheField>
    <cacheField name="Attended JAS 3 on time" numFmtId="0">
      <sharedItems containsBlank="1"/>
    </cacheField>
    <cacheField name="Month/ Year JAS4" numFmtId="0">
      <sharedItems containsNonDate="0" containsDate="1" containsString="0" containsBlank="1" minDate="2024-07-03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24-02-26T00:00:00" maxDate="2025-04-01T00:00:00"/>
    </cacheField>
    <cacheField name="Date of defense" numFmtId="0">
      <sharedItems containsNonDate="0" containsDate="1" containsString="0" containsBlank="1" minDate="2023-11-07T00:00:00" maxDate="2024-11-02T00:00:00"/>
    </cacheField>
    <cacheField name="Date of submission of corrections" numFmtId="0">
      <sharedItems containsNonDate="0" containsDate="1" containsString="0" containsBlank="1" minDate="2025-03-31T00:00:00" maxDate="2025-04-01T00:00:00"/>
    </cacheField>
    <cacheField name="Date of completion(Defended/Graduated)" numFmtId="0">
      <sharedItems containsNonDate="0" containsDate="1" containsString="0" containsBlank="1" minDate="2021-12-13T00:00:00" maxDate="2025-11-30T00:00:00"/>
    </cacheField>
    <cacheField name="Current PhD Status ( Completed/Defended/In Progress)" numFmtId="0">
      <sharedItems/>
    </cacheField>
    <cacheField name="Time to completion since enrolling CARTA (Months) " numFmtId="0">
      <sharedItems containsString="0" containsBlank="1" containsNumber="1" containsInteger="1" minValue="22" maxValue="68"/>
    </cacheField>
    <cacheField name="Time to completion since PhD registration (Months) " numFmtId="0">
      <sharedItems containsBlank="1" containsMixedTypes="1" containsNumber="1" containsInteger="1" minValue="14" maxValue="53"/>
    </cacheField>
    <cacheField name="Thesis title" numFmtId="0">
      <sharedItems containsBlank="1"/>
    </cacheField>
    <cacheField name="No of Publications at Enrollment" numFmtId="0">
      <sharedItems containsString="0" containsBlank="1" containsNumber="1" containsInteger="1" minValue="0" maxValue="15"/>
    </cacheField>
    <cacheField name="No of Publications During PhD " numFmtId="0">
      <sharedItems containsString="0" containsBlank="1" containsNumber="1" containsInteger="1" minValue="0" maxValue="11"/>
    </cacheField>
    <cacheField name="No of Publications after PhD" numFmtId="0">
      <sharedItems containsNonDate="0" containsString="0" containsBlank="1"/>
    </cacheField>
    <cacheField name="1st Author PhD  Publications" numFmtId="0">
      <sharedItems containsNonDate="0" containsString="0" containsBlank="1"/>
    </cacheField>
    <cacheField name="Last Author PhD Publications" numFmtId="0">
      <sharedItems containsNonDate="0" containsString="0" containsBlank="1"/>
    </cacheField>
    <cacheField name="1st Author Graduate  Publications" numFmtId="0">
      <sharedItems containsNonDate="0" containsString="0" containsBlank="1"/>
    </cacheField>
    <cacheField name="Last Author  Graduate Publications" numFmtId="0">
      <sharedItems containsNonDate="0" containsString="0" containsBlank="1"/>
    </cacheField>
    <cacheField name="Baby Minder (Event, Year)" numFmtId="0">
      <sharedItems/>
    </cacheField>
    <cacheField name="Taken on leave of absence (Yes/No)" numFmtId="0">
      <sharedItems containsNonDate="0" containsString="0" containsBlank="1"/>
    </cacheField>
    <cacheField name="Reason for taking leave of absence" numFmtId="0">
      <sharedItems containsNonDate="0" containsString="0" containsBlank="1"/>
    </cacheField>
    <cacheField name="Leave start Date" numFmtId="0">
      <sharedItems containsNonDate="0" containsDate="1" containsString="0" containsBlank="1" minDate="2024-05-01T00:00:00" maxDate="2024-10-22T00:00:00"/>
    </cacheField>
    <cacheField name="Leave end Date" numFmtId="0">
      <sharedItems containsNonDate="0" containsDate="1" containsString="0" containsBlank="1" minDate="2024-08-31T00:00:00" maxDate="2025-03-01T00:00:00"/>
    </cacheField>
    <cacheField name="Time taken on leave (months)" numFmtId="0">
      <sharedItems containsString="0" containsBlank="1" containsNumber="1" containsInteger="1" minValue="4" maxValue="4"/>
    </cacheField>
    <cacheField name="Teacher Replacement" numFmtId="0">
      <sharedItems containsNonDate="0" containsString="0" containsBlank="1"/>
    </cacheField>
    <cacheField name="Teacher replacement start Date" numFmtId="0">
      <sharedItems containsNonDate="0" containsString="0" containsBlank="1"/>
    </cacheField>
    <cacheField name="Teacher replacement end Date" numFmtId="0">
      <sharedItems containsNonDate="0" containsString="0" containsBlank="1"/>
    </cacheField>
    <cacheField name="No. of Children at Entry in CARTA" numFmtId="0">
      <sharedItems containsSemiMixedTypes="0" containsString="0" containsNumber="1" containsInteger="1" minValue="0" maxValue="4"/>
    </cacheField>
    <cacheField name="No. of children at graduation" numFmtId="0">
      <sharedItems containsString="0" containsBlank="1" containsNumber="1" containsInteger="1" minValue="4" maxValue="4"/>
    </cacheField>
    <cacheField name="No of Publications for Graduation" numFmtId="0">
      <sharedItems containsNonDate="0" containsString="0" containsBlank="1"/>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248"/>
    <s v="C10/017"/>
    <s v="Monday"/>
    <s v="Daniel"/>
    <s v="Olodu"/>
    <s v="Male"/>
    <n v="10"/>
    <x v="0"/>
    <x v="0"/>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s v="Completed"/>
    <n v="66"/>
    <m/>
    <m/>
    <n v="2"/>
    <n v="1"/>
    <m/>
    <m/>
    <m/>
    <m/>
    <m/>
    <s v="No"/>
    <m/>
    <m/>
    <m/>
    <m/>
    <m/>
    <m/>
    <m/>
    <m/>
    <n v="1"/>
    <m/>
    <m/>
    <s v="SIDA"/>
  </r>
  <r>
    <n v="247"/>
    <s v="C10/013"/>
    <s v="Kganetso"/>
    <s v="-"/>
    <s v="Sekome"/>
    <s v="Male"/>
    <n v="10"/>
    <x v="1"/>
    <x v="1"/>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s v="Completed"/>
    <n v="56"/>
    <e v="#VALUE!"/>
    <s v="Feasibility and acceptability of a Contextualized Physical Activity and Diet Intervention for Hypertension Control in a Rural Adult Population of South Africa"/>
    <n v="1"/>
    <n v="0"/>
    <m/>
    <m/>
    <m/>
    <m/>
    <m/>
    <s v="No"/>
    <m/>
    <m/>
    <m/>
    <m/>
    <m/>
    <m/>
    <m/>
    <m/>
    <n v="0"/>
    <m/>
    <m/>
    <s v="WT - DELTAS"/>
  </r>
  <r>
    <n v="246"/>
    <s v="C10/011"/>
    <s v="James"/>
    <s v="Mburu"/>
    <s v="Kang'ethe"/>
    <s v="Male"/>
    <n v="10"/>
    <x v="2"/>
    <x v="2"/>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s v="Completed"/>
    <n v="57"/>
    <m/>
    <m/>
    <n v="2"/>
    <n v="1"/>
    <m/>
    <m/>
    <m/>
    <m/>
    <m/>
    <s v="No"/>
    <m/>
    <m/>
    <m/>
    <m/>
    <m/>
    <m/>
    <m/>
    <m/>
    <n v="2"/>
    <m/>
    <m/>
    <s v="SIDA"/>
  </r>
  <r>
    <n v="245"/>
    <s v="C10/009"/>
    <s v="Emmanuel"/>
    <m/>
    <s v="Nzabonimana"/>
    <s v="Male"/>
    <n v="10"/>
    <x v="3"/>
    <x v="3"/>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s v="Completed"/>
    <n v="58"/>
    <m/>
    <s v="Oral Health in Nyarugenge District of Rwanda: The Role of Mobile Application in Oral Health Education"/>
    <n v="0"/>
    <n v="3"/>
    <m/>
    <m/>
    <m/>
    <m/>
    <m/>
    <s v="No"/>
    <m/>
    <m/>
    <m/>
    <m/>
    <m/>
    <m/>
    <m/>
    <m/>
    <n v="0"/>
    <m/>
    <m/>
    <s v="SIDA"/>
  </r>
  <r>
    <n v="244"/>
    <s v="C10/005"/>
    <s v="Apatsa"/>
    <m/>
    <s v="Selemani"/>
    <s v="Male"/>
    <n v="10"/>
    <x v="4"/>
    <x v="4"/>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s v="Completed"/>
    <n v="68"/>
    <e v="#VALUE!"/>
    <m/>
    <n v="2"/>
    <m/>
    <m/>
    <m/>
    <m/>
    <m/>
    <m/>
    <s v="No"/>
    <m/>
    <m/>
    <m/>
    <m/>
    <m/>
    <m/>
    <m/>
    <m/>
    <n v="0"/>
    <m/>
    <m/>
    <s v="SIDA"/>
  </r>
  <r>
    <n v="243"/>
    <s v="C10/003"/>
    <s v="Jean de la Croix"/>
    <s v="Allen"/>
    <s v="Ingabire"/>
    <s v="Male"/>
    <n v="10"/>
    <x v="3"/>
    <x v="3"/>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s v="Completed"/>
    <n v="56"/>
    <e v="#VALUE!"/>
    <m/>
    <n v="0"/>
    <n v="2"/>
    <m/>
    <m/>
    <m/>
    <m/>
    <m/>
    <s v="No"/>
    <m/>
    <m/>
    <m/>
    <m/>
    <m/>
    <m/>
    <m/>
    <m/>
    <n v="2"/>
    <m/>
    <m/>
    <s v="SIDA"/>
  </r>
  <r>
    <n v="239"/>
    <s v="C10/021"/>
    <s v="Shakeerah "/>
    <s v="Olaide"/>
    <s v="Gbadebo"/>
    <s v="Female"/>
    <n v="10"/>
    <x v="0"/>
    <x v="5"/>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s v="Completed"/>
    <n v="55"/>
    <e v="#VALUE!"/>
    <s v="Pre-treatment Information Communication and Dental Anxiety among Adult  Dental Care Seekers in Ibadan, Nigeria"/>
    <n v="8"/>
    <n v="3"/>
    <m/>
    <m/>
    <m/>
    <m/>
    <m/>
    <s v="No"/>
    <m/>
    <m/>
    <d v="2024-05-01T00:00:00"/>
    <d v="2024-08-31T00:00:00"/>
    <n v="4"/>
    <m/>
    <m/>
    <m/>
    <n v="4"/>
    <m/>
    <m/>
    <s v="SIDA"/>
  </r>
  <r>
    <n v="238"/>
    <s v="C10/014"/>
    <s v="Marifa"/>
    <m/>
    <s v="Muchemwa"/>
    <s v="Female"/>
    <n v="10"/>
    <x v="5"/>
    <x v="1"/>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s v="Completed"/>
    <n v="44"/>
    <e v="#VALUE!"/>
    <s v="Family change, child maintenance and mental health outcomes of men in South Africa”"/>
    <n v="0"/>
    <m/>
    <m/>
    <m/>
    <m/>
    <m/>
    <m/>
    <s v="JAS 2, 2022"/>
    <m/>
    <m/>
    <m/>
    <m/>
    <m/>
    <m/>
    <m/>
    <m/>
    <n v="1"/>
    <m/>
    <m/>
    <s v="WT - DELTAS"/>
  </r>
  <r>
    <n v="237"/>
    <s v="C10/020"/>
    <s v="Patience"/>
    <m/>
    <s v="Shamu"/>
    <s v="Female"/>
    <n v="10"/>
    <x v="5"/>
    <x v="1"/>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s v="Completed"/>
    <n v="67"/>
    <e v="#VALUE!"/>
    <s v="Perceptions of long-acting HIV pre-exposure prophylaxis and preferences for service delivery among young women in tertiary institutions in South Africa"/>
    <n v="3"/>
    <n v="3"/>
    <m/>
    <m/>
    <m/>
    <m/>
    <m/>
    <s v="No"/>
    <m/>
    <m/>
    <m/>
    <m/>
    <m/>
    <m/>
    <m/>
    <m/>
    <n v="3"/>
    <m/>
    <m/>
    <s v="WT - DELTAS"/>
  </r>
  <r>
    <n v="236"/>
    <s v="C10/012"/>
    <s v="James"/>
    <m/>
    <s v="Muleme"/>
    <s v="Male"/>
    <n v="10"/>
    <x v="6"/>
    <x v="6"/>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s v="Completed"/>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4"/>
    <s v="C10/010"/>
    <s v="Frederick "/>
    <m/>
    <s v="Oporia"/>
    <s v="Male"/>
    <n v="10"/>
    <x v="6"/>
    <x v="6"/>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s v="Completed"/>
    <n v="45"/>
    <n v="37"/>
    <s v="Improving lifejacket wear among occupational boaters on Lake Altert, Uganda: A cluster-randomized controlled trial"/>
    <n v="8"/>
    <n v="7"/>
    <m/>
    <m/>
    <m/>
    <m/>
    <m/>
    <s v="No"/>
    <m/>
    <m/>
    <m/>
    <m/>
    <m/>
    <m/>
    <m/>
    <m/>
    <n v="1"/>
    <m/>
    <m/>
    <s v="SIDA"/>
  </r>
  <r>
    <n v="233"/>
    <s v="C10/018"/>
    <s v="Oluwatosin"/>
    <s v="Eunice"/>
    <s v="Olorunmoteni"/>
    <s v="Female"/>
    <n v="10"/>
    <x v="0"/>
    <x v="0"/>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s v="Completed"/>
    <n v="61"/>
    <n v="53"/>
    <s v=" Sleep characteristics among In-school Adolescents in South-Western Nigeria: Pattern, Determinants and Association with Cardiometabolic risk factors"/>
    <n v="4"/>
    <n v="3"/>
    <m/>
    <m/>
    <m/>
    <m/>
    <m/>
    <s v="No"/>
    <m/>
    <m/>
    <m/>
    <m/>
    <m/>
    <m/>
    <m/>
    <m/>
    <n v="2"/>
    <m/>
    <m/>
    <s v="SIDA"/>
  </r>
  <r>
    <n v="231"/>
    <s v="C10/007"/>
    <s v="Chinenyenwa"/>
    <s v="Maria Dorathy"/>
    <s v="Ohia"/>
    <s v="Female"/>
    <n v="10"/>
    <x v="0"/>
    <x v="5"/>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s v="Completed"/>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0"/>
    <s v="C10/006"/>
    <s v="Beryl"/>
    <s v="Chelangat"/>
    <s v="Maritim"/>
    <s v="Female"/>
    <n v="10"/>
    <x v="2"/>
    <x v="7"/>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s v="Completed"/>
    <n v="43"/>
    <e v="#VALUE!"/>
    <s v="Examining the role of affordability, citizen engagement and social solidarity in determining health insurance coverage in Kenya"/>
    <n v="2"/>
    <n v="1"/>
    <m/>
    <m/>
    <m/>
    <m/>
    <m/>
    <s v="No"/>
    <m/>
    <m/>
    <m/>
    <m/>
    <m/>
    <m/>
    <m/>
    <m/>
    <n v="3"/>
    <m/>
    <m/>
    <s v="SIDA"/>
  </r>
  <r>
    <n v="228"/>
    <s v="C10/015"/>
    <s v="Mary"/>
    <s v="Ogbenyi"/>
    <s v="Ugalahi"/>
    <s v="Female"/>
    <n v="10"/>
    <x v="0"/>
    <x v="5"/>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s v="Completed"/>
    <n v="60"/>
    <e v="#VALUE!"/>
    <m/>
    <n v="4"/>
    <n v="3"/>
    <m/>
    <m/>
    <m/>
    <m/>
    <m/>
    <s v="No"/>
    <m/>
    <m/>
    <d v="2024-10-01T00:00:00"/>
    <d v="2025-01-31T00:00:00"/>
    <n v="4"/>
    <m/>
    <m/>
    <m/>
    <n v="0"/>
    <m/>
    <m/>
    <s v="SIDA"/>
  </r>
  <r>
    <n v="227"/>
    <s v="C10/004"/>
    <s v="Aneth"/>
    <s v="Vedastus"/>
    <s v="Kalinjuma"/>
    <s v="Female"/>
    <n v="10"/>
    <x v="7"/>
    <x v="8"/>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s v="Completed"/>
    <m/>
    <m/>
    <s v="Transition dynamics and treatment outcomes among HIV-positive patients of Ifakara, Tanzania: A comprehensive analysis for optimizing the existing longitudinal cohort data"/>
    <n v="15"/>
    <n v="4"/>
    <m/>
    <m/>
    <m/>
    <m/>
    <m/>
    <s v="No"/>
    <m/>
    <m/>
    <m/>
    <m/>
    <m/>
    <m/>
    <m/>
    <m/>
    <n v="0"/>
    <m/>
    <m/>
    <s v="SIDA"/>
  </r>
  <r>
    <n v="226"/>
    <s v="C10/002"/>
    <s v="Aline"/>
    <m/>
    <s v="Uwase"/>
    <s v="Female"/>
    <n v="10"/>
    <x v="3"/>
    <x v="3"/>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s v="Completed"/>
    <n v="68"/>
    <e v="#VALUE!"/>
    <m/>
    <n v="1"/>
    <n v="2"/>
    <m/>
    <m/>
    <m/>
    <m/>
    <m/>
    <s v="No"/>
    <m/>
    <m/>
    <d v="2024-10-21T00:00:00"/>
    <d v="2025-02-28T00:00:00"/>
    <n v="4"/>
    <m/>
    <m/>
    <m/>
    <n v="0"/>
    <m/>
    <m/>
    <s v="SIDA"/>
  </r>
  <r>
    <n v="225"/>
    <s v="C10/001"/>
    <s v="Alice"/>
    <m/>
    <s v="Muhayimana"/>
    <s v="Female"/>
    <n v="10"/>
    <x v="3"/>
    <x v="3"/>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s v="Completed"/>
    <n v="55"/>
    <e v="#VALUE!"/>
    <s v="DEVELOPMENT OF STRATEGIES FOR HEALTH CARE PROVIDERS TO SUSTAIN RESPECTFUL MATERNITY CARE TO WOMEN IN LABOUR"/>
    <n v="0"/>
    <m/>
    <m/>
    <m/>
    <m/>
    <m/>
    <m/>
    <s v="No"/>
    <m/>
    <m/>
    <m/>
    <m/>
    <m/>
    <m/>
    <m/>
    <m/>
    <n v="3"/>
    <m/>
    <m/>
    <s v="SIDA"/>
  </r>
  <r>
    <n v="249"/>
    <s v="C10/024"/>
    <s v="Temitope"/>
    <s v="Olumuyiwa"/>
    <s v="Ojo"/>
    <s v="Male"/>
    <n v="10"/>
    <x v="0"/>
    <x v="0"/>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s v="In progress"/>
    <m/>
    <m/>
    <m/>
    <n v="12"/>
    <n v="11"/>
    <m/>
    <m/>
    <m/>
    <m/>
    <m/>
    <s v="No"/>
    <m/>
    <m/>
    <m/>
    <m/>
    <m/>
    <m/>
    <m/>
    <m/>
    <n v="2"/>
    <m/>
    <m/>
    <s v="SIDA"/>
  </r>
  <r>
    <n v="242"/>
    <s v="C10/025"/>
    <s v="Yetunde"/>
    <s v="A"/>
    <s v="Onimode"/>
    <s v="Female"/>
    <n v="10"/>
    <x v="0"/>
    <x v="5"/>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s v="In progress"/>
    <m/>
    <m/>
    <m/>
    <n v="6"/>
    <n v="5"/>
    <m/>
    <m/>
    <m/>
    <m/>
    <m/>
    <s v="No"/>
    <m/>
    <m/>
    <m/>
    <m/>
    <m/>
    <m/>
    <m/>
    <m/>
    <n v="0"/>
    <m/>
    <m/>
    <s v="SIDA"/>
  </r>
  <r>
    <n v="241"/>
    <s v="C10/023"/>
    <s v="Takondwa"/>
    <s v="Connis"/>
    <s v="Bakuwa"/>
    <s v="Female"/>
    <n v="10"/>
    <x v="4"/>
    <x v="4"/>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s v="In progress"/>
    <m/>
    <m/>
    <m/>
    <n v="1"/>
    <n v="0"/>
    <m/>
    <m/>
    <m/>
    <m/>
    <m/>
    <s v="No"/>
    <m/>
    <m/>
    <m/>
    <m/>
    <m/>
    <m/>
    <m/>
    <m/>
    <n v="0"/>
    <m/>
    <m/>
    <s v="SIDA"/>
  </r>
  <r>
    <n v="240"/>
    <s v="C10/022"/>
    <s v="Stefanie"/>
    <m/>
    <s v="Vermaak"/>
    <s v="Female"/>
    <n v="10"/>
    <x v="1"/>
    <x v="1"/>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s v="In progress"/>
    <m/>
    <m/>
    <m/>
    <n v="0"/>
    <m/>
    <m/>
    <m/>
    <m/>
    <m/>
    <m/>
    <s v="No"/>
    <m/>
    <m/>
    <m/>
    <m/>
    <m/>
    <m/>
    <m/>
    <m/>
    <n v="0"/>
    <m/>
    <m/>
    <s v="WT - DELTAS"/>
  </r>
  <r>
    <n v="235"/>
    <s v="C10/019"/>
    <s v="Omotade"/>
    <s v="Adebimpe"/>
    <s v="Ijarotimi"/>
    <s v="Female"/>
    <n v="10"/>
    <x v="0"/>
    <x v="0"/>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s v="In progress"/>
    <m/>
    <m/>
    <m/>
    <n v="7"/>
    <n v="8"/>
    <m/>
    <m/>
    <m/>
    <m/>
    <m/>
    <s v="No"/>
    <m/>
    <m/>
    <m/>
    <m/>
    <m/>
    <m/>
    <m/>
    <m/>
    <n v="2"/>
    <m/>
    <m/>
    <s v="SIDA"/>
  </r>
  <r>
    <n v="229"/>
    <s v="C10/016"/>
    <s v="Maureen"/>
    <s v="Daisy"/>
    <s v="Majamanda"/>
    <s v="Female"/>
    <n v="10"/>
    <x v="4"/>
    <x v="4"/>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s v="In progress"/>
    <m/>
    <m/>
    <m/>
    <n v="1"/>
    <n v="6"/>
    <m/>
    <m/>
    <m/>
    <m/>
    <m/>
    <s v="No"/>
    <m/>
    <m/>
    <m/>
    <m/>
    <m/>
    <m/>
    <m/>
    <m/>
    <n v="3"/>
    <m/>
    <m/>
    <s v="SIDA"/>
  </r>
  <r>
    <n v="232"/>
    <s v="C10/008"/>
    <s v="Duncan "/>
    <s v="Wekesa"/>
    <s v="Nyukuri"/>
    <s v="Male"/>
    <n v="10"/>
    <x v="2"/>
    <x v="2"/>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s v="Terminated"/>
    <m/>
    <m/>
    <m/>
    <m/>
    <m/>
    <m/>
    <m/>
    <m/>
    <m/>
    <m/>
    <s v="No"/>
    <m/>
    <m/>
    <m/>
    <m/>
    <m/>
    <m/>
    <m/>
    <m/>
    <n v="1"/>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21">
      <pivotArea outline="0" collapsedLevelsAreSubtotals="1" fieldPosition="0"/>
    </format>
    <format dxfId="20">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C1BC9E-9DF6-4EE4-B018-9602C72034B7}"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89">
    <pivotField dataField="1" showAll="0"/>
    <pivotField showAll="0"/>
    <pivotField showAll="0"/>
    <pivotField showAll="0"/>
    <pivotField showAll="0"/>
    <pivotField showAll="0"/>
    <pivotField showAll="0"/>
    <pivotField axis="axisRow" showAll="0">
      <items count="9">
        <item x="2"/>
        <item x="4"/>
        <item x="0"/>
        <item x="3"/>
        <item x="1"/>
        <item x="7"/>
        <item x="6"/>
        <item x="5"/>
        <item t="default"/>
      </items>
    </pivotField>
    <pivotField showAll="0">
      <items count="10">
        <item x="8"/>
        <item x="6"/>
        <item x="7"/>
        <item x="0"/>
        <item x="5"/>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Items count="1">
    <i/>
  </colItem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7F9134-6DB5-47DA-8ECD-7D27FF372C30}" name="Table1" displayName="Table1" ref="A3:CK28" totalsRowShown="0">
  <autoFilter ref="A3:CK28" xr:uid="{307F9134-6DB5-47DA-8ECD-7D27FF372C30}"/>
  <tableColumns count="89">
    <tableColumn id="1" xr3:uid="{988B889B-F874-4BC8-985D-4CF821C4CF94}" name="S.No."/>
    <tableColumn id="2" xr3:uid="{8103CF61-7DF8-48D8-8087-14A823392BA5}" name="Unique ID"/>
    <tableColumn id="3" xr3:uid="{A08B79D7-AF4B-4F61-9F38-5A86326AA5EE}" name="First Name"/>
    <tableColumn id="4" xr3:uid="{C988975E-1798-465C-871B-3BACE3261E0C}" name="Middle Name"/>
    <tableColumn id="5" xr3:uid="{A2954C13-B984-478F-962E-9C6DB4B2BE68}" name="Surname"/>
    <tableColumn id="6" xr3:uid="{878903DB-A495-46D7-849D-011CE272A002}" name="Gender"/>
    <tableColumn id="7" xr3:uid="{D4842510-F66D-4EB0-9795-5BC7A9210823}" name="Cohort"/>
    <tableColumn id="8" xr3:uid="{0C6D4862-C372-4EE5-AD3E-A0173ED2D460}" name="Nationality"/>
    <tableColumn id="9" xr3:uid="{E78FF644-5BAD-4BE7-8697-5503EA15F417}" name="Institution of employment at registration"/>
    <tableColumn id="10" xr3:uid="{A1D7D70C-3063-4AD1-8BF7-6FE3CB6BCF2E}" name="Discipline"/>
    <tableColumn id="11" xr3:uid="{7C059B47-720C-42F5-907B-167C230AC5C9}" name="Department"/>
    <tableColumn id="12" xr3:uid="{E6460252-3308-43E3-896F-6C32B31E6FA0}" name="Institution of registration"/>
    <tableColumn id="13" xr3:uid="{1C4B4B02-8203-49E3-A67F-F6C8CFEC6CD3}" name="Registered at Home"/>
    <tableColumn id="14" xr3:uid="{D1342FC8-7EFB-4144-8BA0-272D1A3DDE9C}" name="PhD Student Number at Host Institution"/>
    <tableColumn id="15" xr3:uid="{239EDE12-D033-49AF-8003-93E0F13354D7}" name="Marital Status at enrolment"/>
    <tableColumn id="16" xr3:uid="{3A41AA90-57CF-4323-AA16-82C858F36F50}" name="Current Marital Status"/>
    <tableColumn id="17" xr3:uid="{A36850D0-41F2-4C80-9B94-C06988043813}" name="Marital Status at Completion"/>
    <tableColumn id="18" xr3:uid="{DF0D4341-EE14-4351-99AB-8F588006D091}" name="Email"/>
    <tableColumn id="19" xr3:uid="{E13ED2E8-84FE-4A6B-BFDE-62F83CCE1FA4}" name="Alternative e-mail"/>
    <tableColumn id="20" xr3:uid="{7C909077-D93F-4B80-82AF-D0F37F4C9498}" name="Phone"/>
    <tableColumn id="21" xr3:uid="{0F43368B-4E7B-43A3-BE7E-591E9AE12019}" name="Masters Degree"/>
    <tableColumn id="22" xr3:uid="{354719FE-B854-4406-9D76-EC986CC2BF04}" name="DOB" dataDxfId="7"/>
    <tableColumn id="23" xr3:uid="{B2FE1715-06D8-49E3-A6A4-F9C564AE3ABC}" name="Proposed Research Title"/>
    <tableColumn id="24" xr3:uid="{7574C12C-993B-4142-A0E3-43CCA9338C3D}" name="Type of study"/>
    <tableColumn id="25" xr3:uid="{4F6530B4-77BA-4CF2-AD9F-3CFE147A2A07}" name="Laboratory work?"/>
    <tableColumn id="26" xr3:uid="{DAA1CCF0-D601-4139-9047-B71E66717E9B}" name="Type of data"/>
    <tableColumn id="27" xr3:uid="{75A2D22C-1D6D-4892-A9C5-2014CC55345B}" name="Ranking"/>
    <tableColumn id="28" xr3:uid="{2BC374F4-A9C7-4128-BE60-1945E3F19AA6}" name="Date of PhD registration" dataDxfId="6"/>
    <tableColumn id="29" xr3:uid="{BF6CD858-8B1D-4B37-84AF-A086C35E7826}" name="Year of admission into CARTA" dataDxfId="5"/>
    <tableColumn id="30" xr3:uid="{E88E3AFD-2214-4A43-AFA0-32AEB4DBDBB3}" name="Terminated"/>
    <tableColumn id="31" xr3:uid="{0701DDAC-2799-4316-AF4A-409C09C9DB92}" name="1st Supervisors"/>
    <tableColumn id="32" xr3:uid="{80E88928-BF41-4510-8E64-903FE575769F}" name="2nd Supervisor"/>
    <tableColumn id="33" xr3:uid="{C229BB50-C0B6-4E95-9AEA-95D73F706D3A}" name="3rd Supervisor"/>
    <tableColumn id="34" xr3:uid="{0E45696A-C0F6-4CD3-A88E-EAD9D2D2E5BA}" name="Number of supervisors"/>
    <tableColumn id="35" xr3:uid="{33CE2F29-BEEE-4A06-BD6E-7752617FCBAD}" name="Institution for 1st Supervisor"/>
    <tableColumn id="36" xr3:uid="{5162FF82-0F1E-4B1D-B5DF-DF48834CB3B8}" name="Institution for 2nd Supervisor"/>
    <tableColumn id="37" xr3:uid="{2054927F-6CFB-4847-A291-98436B1D0915}" name="Institution for 3rd Supervisor"/>
    <tableColumn id="38" xr3:uid="{1D66661D-8965-4204-821D-7ED8B3A43983}" name="1st Supervisors workshop Attendance"/>
    <tableColumn id="39" xr3:uid="{CAE788C2-CCEA-42D6-BA36-20A2C21DE993}" name="2nd Supervisors workshop Attendance"/>
    <tableColumn id="40" xr3:uid="{24A25FF5-6DB5-44C8-92C9-23EB90A5177D}" name="3rd Supervisors workshop Attendance"/>
    <tableColumn id="41" xr3:uid="{15FECB69-C9A4-47E5-A41A-566116A46136}" name="Type of employment"/>
    <tableColumn id="42" xr3:uid="{DB5CE1B2-25BF-4736-9875-37599FFF2E69}" name="Position at Enrollment"/>
    <tableColumn id="43" xr3:uid="{4FBEB8AF-8567-4B8D-A280-A113836D843E}" name="Current Position "/>
    <tableColumn id="44" xr3:uid="{05CE61B8-9176-413F-99E8-02546A100892}" name="Promotion event"/>
    <tableColumn id="45" xr3:uid="{B010F012-FA68-48AC-B5D2-9FBBEB277574}" name="Other responsibilities"/>
    <tableColumn id="46" xr3:uid="{E4C61108-2710-4C46-A2B1-E85DD7571E00}" name="Current Institution (Year of change in ())"/>
    <tableColumn id="47" xr3:uid="{08B3684C-A6E5-4D8D-BEF1-6203082EE3D3}" name="ORCID"/>
    <tableColumn id="48" xr3:uid="{C2DB2FF5-6AD8-42EA-848E-FBA04C95B4D5}" name="Suspensions"/>
    <tableColumn id="49" xr3:uid="{08EFC933-9F7C-46CF-B885-0D92AD188230}" name="Month/ Year JAS1" dataDxfId="4"/>
    <tableColumn id="50" xr3:uid="{16AC3783-59D6-494E-874C-DD97C514963A}" name="Month/ Year JAS2"/>
    <tableColumn id="51" xr3:uid="{F6EF1352-22A1-4706-876D-79AA3DABF319}" name="Attended JAS 2 on time"/>
    <tableColumn id="52" xr3:uid="{47B8DBE1-6448-4040-B3F9-52BDDBBA56AC}" name="Date of protocol submission to PG" dataDxfId="3"/>
    <tableColumn id="53" xr3:uid="{9C6E8192-DE03-427F-9047-882CF8610EF5}" name="Date of protocol submission to IRB" dataDxfId="2"/>
    <tableColumn id="54" xr3:uid="{5D7FB1FC-A1EF-4461-A780-BF9D3496ACF9}" name="Date of Ethics approval"/>
    <tableColumn id="55" xr3:uid="{B5ECE005-219B-49B7-AE03-181AE15DF319}" name="Review body"/>
    <tableColumn id="56" xr3:uid="{68B8F114-E7BE-40FA-B0E4-D4D6C983602A}" name="Ethiical reference number"/>
    <tableColumn id="57" xr3:uid="{F610010C-E185-4478-A2AC-4D78E30722D8}" name="Approcved research topic"/>
    <tableColumn id="58" xr3:uid="{48B8BC5E-D9F5-4193-90A8-FE9D1D250306}" name="Month/ Year JAS3" dataDxfId="1"/>
    <tableColumn id="59" xr3:uid="{08956E99-B794-41FE-9A1C-5880DC03DFB9}" name="Attended JAS 3 on time"/>
    <tableColumn id="60" xr3:uid="{A5FB8C24-93B8-4158-8CF5-920416883D2A}" name="Month/ Year JAS4" dataDxfId="0"/>
    <tableColumn id="61" xr3:uid="{84020DB8-B1F9-4563-96FC-63CAFEB0FD34}" name="Attended JAS 4 on time"/>
    <tableColumn id="62" xr3:uid="{BC3B5C37-CA29-4598-A640-7FB353A84BCF}" name="Date of submission of dissertation for examination"/>
    <tableColumn id="63" xr3:uid="{E6B2110E-1808-494E-9E59-448D4B90FAA0}" name="Date of defense"/>
    <tableColumn id="64" xr3:uid="{42934F58-A5F6-4C30-9443-A57476F57FDF}" name="Date of submission of corrections"/>
    <tableColumn id="65" xr3:uid="{2E9FAC8A-9F02-47F7-8790-C09BA1FC9DB0}" name="Date of completion(Defended/Graduated)"/>
    <tableColumn id="66" xr3:uid="{01485E79-6CC5-4BED-AE8E-2A7C19AE79EF}" name="Current PhD Status ( Completed/Defended/In Progress)"/>
    <tableColumn id="67" xr3:uid="{9D3FB02C-3EDB-4844-8B29-048C5ABFF946}" name="Time to completion since enrolling CARTA (Months) "/>
    <tableColumn id="68" xr3:uid="{97C42445-037A-4C18-A673-4BFC40AAD4AF}" name="Time to completion since PhD registration (Months) "/>
    <tableColumn id="69" xr3:uid="{5BA8E421-54C4-475A-B5E7-5D4535B69D29}" name="Thesis title"/>
    <tableColumn id="70" xr3:uid="{4D1D9D8F-67C5-432A-8028-0585159770FB}" name="No of Publications at Enrollment"/>
    <tableColumn id="71" xr3:uid="{C2585B73-D50D-4B9C-8330-092F64CBD34F}" name="No of Publications During PhD "/>
    <tableColumn id="72" xr3:uid="{57A9BEEB-A619-415E-9B3A-EBA5D4926586}" name="No of Publications after PhD"/>
    <tableColumn id="73" xr3:uid="{07783AAB-3775-4F47-A6E8-8304B521F0F4}" name="1st Author PhD  Publications"/>
    <tableColumn id="74" xr3:uid="{2E0E8A9B-ED67-4D8F-A872-B0F0BC8923F2}" name="Last Author PhD Publications"/>
    <tableColumn id="75" xr3:uid="{3741FA8E-48EC-458B-8E62-5DCBF6A7030F}" name="1st Author Graduate  Publications"/>
    <tableColumn id="76" xr3:uid="{EECB9E3C-DC9C-45D5-B857-F072CA6EBB85}" name="Last Author  Graduate Publications"/>
    <tableColumn id="77" xr3:uid="{DF4AF482-06FC-41F6-A673-C16A3471FE28}" name="Baby Minder (Event, Year)"/>
    <tableColumn id="78" xr3:uid="{391FA9F5-AFE4-48C9-93F4-154413605012}" name="Taken on leave of absence (Yes/No)"/>
    <tableColumn id="79" xr3:uid="{439D7CEC-C6D3-4F5A-8072-16D9555AC14F}" name="Reason for taking leave of absence"/>
    <tableColumn id="80" xr3:uid="{9191AE5C-20DC-4F93-BB54-CD32717AA72A}" name="Leave start Date"/>
    <tableColumn id="81" xr3:uid="{0619F9EF-9204-454F-A6DE-77B444430EC8}" name="Leave end Date"/>
    <tableColumn id="82" xr3:uid="{75FD2CF8-15FC-42D6-8B75-E9BDD53F7C48}" name="Time taken on leave (months)"/>
    <tableColumn id="83" xr3:uid="{C8155F7E-5B74-4DDB-AB42-873C125211DF}" name="Teacher Replacement"/>
    <tableColumn id="84" xr3:uid="{5DD0E71B-3588-4EE2-9D7E-1CC28F9CB358}" name="Teacher replacement start Date"/>
    <tableColumn id="85" xr3:uid="{8E6361B4-CBB3-4C8D-9650-FB3AACBA6625}" name="Teacher replacement end Date"/>
    <tableColumn id="86" xr3:uid="{50230686-DD82-4EDD-B9F3-18FC42326B31}" name="No. of Children at Entry in CARTA"/>
    <tableColumn id="87" xr3:uid="{6329466F-5E11-4103-A36D-F884403BB697}" name="No. of children at graduation"/>
    <tableColumn id="88" xr3:uid="{6A8461CD-ACD5-499E-B820-082C519B6421}" name="No of Publications for Graduation"/>
    <tableColumn id="89" xr3:uid="{4F5A30BF-6434-498E-A8EB-647093CC46EE}" name="Fellow Fund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9" tableBorderDxfId="18">
  <autoFilter ref="A1:J22" xr:uid="{00000000-0009-0000-0100-000004000000}"/>
  <tableColumns count="10">
    <tableColumn id="1" xr3:uid="{00000000-0010-0000-0000-000001000000}" name="No." dataDxfId="17"/>
    <tableColumn id="2" xr3:uid="{00000000-0010-0000-0000-000002000000}" name="Name" dataDxfId="16"/>
    <tableColumn id="3" xr3:uid="{00000000-0010-0000-0000-000003000000}" name="Institution" dataDxfId="15"/>
    <tableColumn id="4" xr3:uid="{00000000-0010-0000-0000-000004000000}" name="Gender" dataDxfId="14"/>
    <tableColumn id="5" xr3:uid="{00000000-0010-0000-0000-000005000000}" name="Cohort" dataDxfId="13"/>
    <tableColumn id="6" xr3:uid="{00000000-0010-0000-0000-000006000000}" name="Suspension" dataDxfId="12"/>
    <tableColumn id="7" xr3:uid="{00000000-0010-0000-0000-000007000000}" name="Date of Termination" dataDxfId="11"/>
    <tableColumn id="8" xr3:uid="{00000000-0010-0000-0000-000008000000}" name="Year " dataDxfId="10"/>
    <tableColumn id="9" xr3:uid="{00000000-0010-0000-0000-000009000000}" name="Reason for Termination" dataDxfId="9"/>
    <tableColumn id="10" xr3:uid="{00000000-0010-0000-0000-00000A000000}" name="Detailed reason for termination" dataDxfId="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openxmlformats.org/officeDocument/2006/relationships/printerSettings" Target="../printerSettings/printerSettings1.bin"/><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6">
        <v>20</v>
      </c>
      <c r="C5" s="486"/>
      <c r="D5" s="486">
        <v>3</v>
      </c>
      <c r="E5" s="486">
        <v>23</v>
      </c>
    </row>
    <row r="6" spans="1:5" x14ac:dyDescent="0.35">
      <c r="A6" s="41">
        <v>2</v>
      </c>
      <c r="B6" s="486">
        <v>15</v>
      </c>
      <c r="C6" s="486">
        <v>1</v>
      </c>
      <c r="D6" s="486">
        <v>4</v>
      </c>
      <c r="E6" s="486">
        <v>20</v>
      </c>
    </row>
    <row r="7" spans="1:5" x14ac:dyDescent="0.35">
      <c r="A7" s="41">
        <v>3</v>
      </c>
      <c r="B7" s="486">
        <v>18</v>
      </c>
      <c r="C7" s="486">
        <v>3</v>
      </c>
      <c r="D7" s="486">
        <v>2</v>
      </c>
      <c r="E7" s="486">
        <v>23</v>
      </c>
    </row>
    <row r="8" spans="1:5" x14ac:dyDescent="0.35">
      <c r="A8" s="41">
        <v>4</v>
      </c>
      <c r="B8" s="486">
        <v>25</v>
      </c>
      <c r="C8" s="486">
        <v>1</v>
      </c>
      <c r="D8" s="486">
        <v>1</v>
      </c>
      <c r="E8" s="486">
        <v>27</v>
      </c>
    </row>
    <row r="9" spans="1:5" x14ac:dyDescent="0.35">
      <c r="A9" s="41">
        <v>5</v>
      </c>
      <c r="B9" s="486">
        <v>18</v>
      </c>
      <c r="C9" s="486">
        <v>2</v>
      </c>
      <c r="D9" s="486">
        <v>5</v>
      </c>
      <c r="E9" s="486">
        <v>25</v>
      </c>
    </row>
    <row r="10" spans="1:5" x14ac:dyDescent="0.35">
      <c r="A10" s="41">
        <v>6</v>
      </c>
      <c r="B10" s="486">
        <v>24</v>
      </c>
      <c r="C10" s="486"/>
      <c r="D10" s="486">
        <v>1</v>
      </c>
      <c r="E10" s="486">
        <v>25</v>
      </c>
    </row>
    <row r="11" spans="1:5" x14ac:dyDescent="0.35">
      <c r="A11" s="41">
        <v>7</v>
      </c>
      <c r="B11" s="486">
        <v>24</v>
      </c>
      <c r="C11" s="486"/>
      <c r="D11" s="486">
        <v>3</v>
      </c>
      <c r="E11" s="486">
        <v>27</v>
      </c>
    </row>
    <row r="12" spans="1:5" x14ac:dyDescent="0.35">
      <c r="A12" s="41">
        <v>8</v>
      </c>
      <c r="B12" s="486">
        <v>17</v>
      </c>
      <c r="C12" s="486">
        <v>6</v>
      </c>
      <c r="D12" s="486">
        <v>3</v>
      </c>
      <c r="E12" s="486">
        <v>26</v>
      </c>
    </row>
    <row r="13" spans="1:5" x14ac:dyDescent="0.35">
      <c r="A13" s="41">
        <v>9</v>
      </c>
      <c r="B13" s="486">
        <v>16</v>
      </c>
      <c r="C13" s="486">
        <v>6</v>
      </c>
      <c r="D13" s="486">
        <v>2</v>
      </c>
      <c r="E13" s="486">
        <v>24</v>
      </c>
    </row>
    <row r="14" spans="1:5" x14ac:dyDescent="0.35">
      <c r="A14" s="41">
        <v>10</v>
      </c>
      <c r="B14" s="486">
        <v>19</v>
      </c>
      <c r="C14" s="486">
        <v>5</v>
      </c>
      <c r="D14" s="486">
        <v>1</v>
      </c>
      <c r="E14" s="486">
        <v>25</v>
      </c>
    </row>
    <row r="15" spans="1:5" x14ac:dyDescent="0.35">
      <c r="A15" s="41" t="s">
        <v>19</v>
      </c>
      <c r="B15" s="486">
        <v>196</v>
      </c>
      <c r="C15" s="486">
        <v>24</v>
      </c>
      <c r="D15" s="486">
        <v>25</v>
      </c>
      <c r="E15" s="486">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6">
        <v>110</v>
      </c>
      <c r="C22" s="486">
        <v>14</v>
      </c>
      <c r="D22" s="486">
        <v>12</v>
      </c>
      <c r="E22" s="486">
        <v>136</v>
      </c>
    </row>
    <row r="23" spans="1:5" x14ac:dyDescent="0.35">
      <c r="A23" s="41" t="s">
        <v>25</v>
      </c>
      <c r="B23" s="486">
        <v>86</v>
      </c>
      <c r="C23" s="486">
        <v>10</v>
      </c>
      <c r="D23" s="486">
        <v>13</v>
      </c>
      <c r="E23" s="486">
        <v>109</v>
      </c>
    </row>
    <row r="24" spans="1:5" x14ac:dyDescent="0.35">
      <c r="A24" s="41" t="s">
        <v>19</v>
      </c>
      <c r="B24" s="486">
        <v>196</v>
      </c>
      <c r="C24" s="486">
        <v>24</v>
      </c>
      <c r="D24" s="486">
        <v>25</v>
      </c>
      <c r="E24" s="486">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3848-3B49-4634-BA5F-08AB0EF436CA}">
  <dimension ref="A3:B12"/>
  <sheetViews>
    <sheetView tabSelected="1" workbookViewId="0">
      <selection activeCell="A4" sqref="A4:A11"/>
    </sheetView>
  </sheetViews>
  <sheetFormatPr defaultRowHeight="14.5" x14ac:dyDescent="0.35"/>
  <cols>
    <col min="1" max="1" width="12.36328125" bestFit="1" customWidth="1"/>
    <col min="2" max="2" width="13" bestFit="1" customWidth="1"/>
  </cols>
  <sheetData>
    <row r="3" spans="1:2" x14ac:dyDescent="0.35">
      <c r="A3" s="54" t="s">
        <v>23</v>
      </c>
      <c r="B3" t="s">
        <v>21</v>
      </c>
    </row>
    <row r="4" spans="1:2" x14ac:dyDescent="0.35">
      <c r="A4" s="41" t="s">
        <v>52</v>
      </c>
      <c r="B4" s="486">
        <v>3</v>
      </c>
    </row>
    <row r="5" spans="1:2" x14ac:dyDescent="0.35">
      <c r="A5" s="41" t="s">
        <v>53</v>
      </c>
      <c r="B5" s="486">
        <v>3</v>
      </c>
    </row>
    <row r="6" spans="1:2" x14ac:dyDescent="0.35">
      <c r="A6" s="41" t="s">
        <v>54</v>
      </c>
      <c r="B6" s="486">
        <v>8</v>
      </c>
    </row>
    <row r="7" spans="1:2" x14ac:dyDescent="0.35">
      <c r="A7" s="41" t="s">
        <v>55</v>
      </c>
      <c r="B7" s="486">
        <v>4</v>
      </c>
    </row>
    <row r="8" spans="1:2" x14ac:dyDescent="0.35">
      <c r="A8" s="41" t="s">
        <v>58</v>
      </c>
      <c r="B8" s="486">
        <v>2</v>
      </c>
    </row>
    <row r="9" spans="1:2" x14ac:dyDescent="0.35">
      <c r="A9" s="41" t="s">
        <v>59</v>
      </c>
      <c r="B9" s="486">
        <v>1</v>
      </c>
    </row>
    <row r="10" spans="1:2" x14ac:dyDescent="0.35">
      <c r="A10" s="41" t="s">
        <v>60</v>
      </c>
      <c r="B10" s="486">
        <v>2</v>
      </c>
    </row>
    <row r="11" spans="1:2" x14ac:dyDescent="0.35">
      <c r="A11" s="41" t="s">
        <v>61</v>
      </c>
      <c r="B11" s="486">
        <v>2</v>
      </c>
    </row>
    <row r="12" spans="1:2" x14ac:dyDescent="0.35">
      <c r="A12" s="41" t="s">
        <v>19</v>
      </c>
      <c r="B12" s="486">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A5BBF-0D67-4AE1-A474-097DD567EC52}">
  <dimension ref="A1:CK28"/>
  <sheetViews>
    <sheetView topLeftCell="A4" workbookViewId="0">
      <selection activeCell="H7" sqref="A4:CK28"/>
    </sheetView>
  </sheetViews>
  <sheetFormatPr defaultRowHeight="14.5" x14ac:dyDescent="0.35"/>
  <cols>
    <col min="1" max="1" width="8.81640625" bestFit="1" customWidth="1"/>
    <col min="2" max="2" width="11.36328125" bestFit="1" customWidth="1"/>
    <col min="3" max="3" width="13.81640625" bestFit="1" customWidth="1"/>
    <col min="4" max="4" width="14.26953125" bestFit="1" customWidth="1"/>
    <col min="5" max="5" width="12.54296875" bestFit="1" customWidth="1"/>
    <col min="6" max="6" width="9.26953125" bestFit="1" customWidth="1"/>
    <col min="7" max="7" width="8.90625" bestFit="1" customWidth="1"/>
    <col min="8" max="8" width="12.26953125" bestFit="1" customWidth="1"/>
    <col min="9" max="9" width="38.08984375" bestFit="1" customWidth="1"/>
    <col min="10" max="10" width="37.26953125" bestFit="1" customWidth="1"/>
    <col min="11" max="11" width="69.90625" bestFit="1" customWidth="1"/>
    <col min="12" max="12" width="27.7265625" bestFit="1" customWidth="1"/>
    <col min="13" max="13" width="19.7265625" bestFit="1" customWidth="1"/>
    <col min="14" max="14" width="37.26953125" bestFit="1" customWidth="1"/>
    <col min="15" max="15" width="26.6328125" bestFit="1" customWidth="1"/>
    <col min="16" max="16" width="22" bestFit="1" customWidth="1"/>
    <col min="17" max="17" width="27.6328125" bestFit="1" customWidth="1"/>
    <col min="18" max="18" width="26.6328125" bestFit="1" customWidth="1"/>
    <col min="19" max="19" width="47.36328125" bestFit="1" customWidth="1"/>
    <col min="20" max="20" width="32.08984375" bestFit="1" customWidth="1"/>
    <col min="21" max="21" width="69.7265625" bestFit="1" customWidth="1"/>
    <col min="22" max="22" width="10.453125" bestFit="1" customWidth="1"/>
    <col min="23" max="23" width="203.36328125" bestFit="1" customWidth="1"/>
    <col min="24" max="24" width="18.08984375" bestFit="1" customWidth="1"/>
    <col min="25" max="25" width="18" bestFit="1" customWidth="1"/>
    <col min="26" max="26" width="13.54296875" bestFit="1" customWidth="1"/>
    <col min="27" max="27" width="9.7265625" bestFit="1" customWidth="1"/>
    <col min="28" max="28" width="23.6328125" bestFit="1" customWidth="1"/>
    <col min="29" max="29" width="28.08984375" bestFit="1" customWidth="1"/>
    <col min="30" max="30" width="12.81640625" bestFit="1" customWidth="1"/>
    <col min="31" max="31" width="27.08984375" bestFit="1" customWidth="1"/>
    <col min="32" max="32" width="28.7265625" bestFit="1" customWidth="1"/>
    <col min="33" max="33" width="27.81640625" bestFit="1" customWidth="1"/>
    <col min="34" max="34" width="22.26953125" bestFit="1" customWidth="1"/>
    <col min="35" max="35" width="27.453125" bestFit="1" customWidth="1"/>
    <col min="36" max="36" width="28.08984375" bestFit="1" customWidth="1"/>
    <col min="37" max="37" width="27.7265625" bestFit="1" customWidth="1"/>
    <col min="38" max="38" width="35.1796875" bestFit="1" customWidth="1"/>
    <col min="39" max="39" width="35.90625" bestFit="1" customWidth="1"/>
    <col min="40" max="40" width="35.453125" bestFit="1" customWidth="1"/>
    <col min="41" max="41" width="20.54296875" bestFit="1" customWidth="1"/>
    <col min="42" max="42" width="27.1796875" bestFit="1" customWidth="1"/>
    <col min="43" max="43" width="20.54296875" bestFit="1" customWidth="1"/>
    <col min="44" max="44" width="17.36328125" bestFit="1" customWidth="1"/>
    <col min="45" max="45" width="61.6328125" bestFit="1" customWidth="1"/>
    <col min="46" max="46" width="37.08984375" bestFit="1" customWidth="1"/>
    <col min="47" max="47" width="18.90625" bestFit="1" customWidth="1"/>
    <col min="48" max="48" width="13.36328125" bestFit="1" customWidth="1"/>
    <col min="49" max="49" width="18.08984375" bestFit="1" customWidth="1"/>
    <col min="50" max="50" width="20.54296875" bestFit="1" customWidth="1"/>
    <col min="51" max="51" width="22.7265625" bestFit="1" customWidth="1"/>
    <col min="52" max="52" width="32.1796875" bestFit="1" customWidth="1"/>
    <col min="53" max="53" width="32.54296875" bestFit="1" customWidth="1"/>
    <col min="54" max="54" width="22.6328125" bestFit="1" customWidth="1"/>
    <col min="55" max="55" width="13.6328125" bestFit="1" customWidth="1"/>
    <col min="56" max="56" width="24.90625" bestFit="1" customWidth="1"/>
    <col min="57" max="57" width="203.36328125" bestFit="1" customWidth="1"/>
    <col min="58" max="58" width="18.08984375" bestFit="1" customWidth="1"/>
    <col min="59" max="59" width="22.7265625" bestFit="1" customWidth="1"/>
    <col min="60" max="60" width="18.08984375" bestFit="1" customWidth="1"/>
    <col min="61" max="61" width="22.7265625" bestFit="1" customWidth="1"/>
    <col min="62" max="62" width="46.26953125" bestFit="1" customWidth="1"/>
    <col min="63" max="63" width="16.453125" bestFit="1" customWidth="1"/>
    <col min="64" max="64" width="31.54296875" bestFit="1" customWidth="1"/>
    <col min="65" max="65" width="39" bestFit="1" customWidth="1"/>
    <col min="66" max="66" width="50.453125" bestFit="1" customWidth="1"/>
    <col min="67" max="67" width="47.1796875" bestFit="1" customWidth="1"/>
    <col min="68" max="68" width="47.54296875" bestFit="1" customWidth="1"/>
    <col min="69" max="69" width="214.6328125" bestFit="1" customWidth="1"/>
    <col min="70" max="70" width="30.54296875" bestFit="1" customWidth="1"/>
    <col min="71" max="71" width="29" bestFit="1" customWidth="1"/>
    <col min="72" max="72" width="27" bestFit="1" customWidth="1"/>
    <col min="73" max="73" width="27.26953125" bestFit="1" customWidth="1"/>
    <col min="74" max="74" width="27.7265625" bestFit="1" customWidth="1"/>
    <col min="75" max="75" width="31.90625" bestFit="1" customWidth="1"/>
    <col min="76" max="76" width="32.7265625" bestFit="1" customWidth="1"/>
    <col min="77" max="77" width="25.1796875" bestFit="1" customWidth="1"/>
    <col min="78" max="78" width="33.26953125" bestFit="1" customWidth="1"/>
    <col min="79" max="79" width="32.453125" bestFit="1" customWidth="1"/>
    <col min="80" max="80" width="16.81640625" bestFit="1" customWidth="1"/>
    <col min="81" max="81" width="16" bestFit="1" customWidth="1"/>
    <col min="82" max="82" width="28.453125" bestFit="1" customWidth="1"/>
    <col min="83" max="83" width="21.26953125" bestFit="1" customWidth="1"/>
    <col min="84" max="84" width="30" bestFit="1" customWidth="1"/>
    <col min="85" max="85" width="29.1796875" bestFit="1" customWidth="1"/>
    <col min="86" max="86" width="31.08984375" bestFit="1" customWidth="1"/>
    <col min="87" max="87" width="27.54296875" bestFit="1" customWidth="1"/>
    <col min="88" max="88" width="31.6328125" bestFit="1" customWidth="1"/>
    <col min="89" max="89" width="14.81640625" bestFit="1" customWidth="1"/>
  </cols>
  <sheetData>
    <row r="1" spans="1:89" x14ac:dyDescent="0.35">
      <c r="A1" s="60" t="s">
        <v>4115</v>
      </c>
    </row>
    <row r="3" spans="1:89" x14ac:dyDescent="0.35">
      <c r="A3" t="s">
        <v>62</v>
      </c>
      <c r="B3" t="s">
        <v>63</v>
      </c>
      <c r="C3" t="s">
        <v>64</v>
      </c>
      <c r="D3" t="s">
        <v>65</v>
      </c>
      <c r="E3" t="s">
        <v>66</v>
      </c>
      <c r="F3" t="s">
        <v>29</v>
      </c>
      <c r="G3" t="s">
        <v>15</v>
      </c>
      <c r="H3" t="s">
        <v>50</v>
      </c>
      <c r="I3" t="s">
        <v>34</v>
      </c>
      <c r="J3" t="s">
        <v>67</v>
      </c>
      <c r="K3" t="s">
        <v>68</v>
      </c>
      <c r="L3" t="s">
        <v>32</v>
      </c>
      <c r="M3" t="s">
        <v>69</v>
      </c>
      <c r="N3" t="s">
        <v>70</v>
      </c>
      <c r="O3" t="s">
        <v>71</v>
      </c>
      <c r="P3" t="s">
        <v>72</v>
      </c>
      <c r="Q3" t="s">
        <v>73</v>
      </c>
      <c r="R3" t="s">
        <v>74</v>
      </c>
      <c r="S3" t="s">
        <v>75</v>
      </c>
      <c r="T3" t="s">
        <v>76</v>
      </c>
      <c r="U3" t="s">
        <v>77</v>
      </c>
      <c r="V3" t="s">
        <v>78</v>
      </c>
      <c r="W3" t="s">
        <v>79</v>
      </c>
      <c r="X3" t="s">
        <v>80</v>
      </c>
      <c r="Y3" t="s">
        <v>81</v>
      </c>
      <c r="Z3" t="s">
        <v>82</v>
      </c>
      <c r="AA3" t="s">
        <v>83</v>
      </c>
      <c r="AB3" t="s">
        <v>84</v>
      </c>
      <c r="AC3" t="s">
        <v>85</v>
      </c>
      <c r="AD3" t="s">
        <v>18</v>
      </c>
      <c r="AE3" t="s">
        <v>86</v>
      </c>
      <c r="AF3" t="s">
        <v>87</v>
      </c>
      <c r="AG3" t="s">
        <v>88</v>
      </c>
      <c r="AH3" t="s">
        <v>89</v>
      </c>
      <c r="AI3" t="s">
        <v>90</v>
      </c>
      <c r="AJ3" t="s">
        <v>91</v>
      </c>
      <c r="AK3" t="s">
        <v>92</v>
      </c>
      <c r="AL3" t="s">
        <v>93</v>
      </c>
      <c r="AM3" t="s">
        <v>94</v>
      </c>
      <c r="AN3" t="s">
        <v>95</v>
      </c>
      <c r="AO3" t="s">
        <v>96</v>
      </c>
      <c r="AP3" t="s">
        <v>97</v>
      </c>
      <c r="AQ3" t="s">
        <v>98</v>
      </c>
      <c r="AR3" t="s">
        <v>99</v>
      </c>
      <c r="AS3" t="s">
        <v>100</v>
      </c>
      <c r="AT3" t="s">
        <v>101</v>
      </c>
      <c r="AU3" t="s">
        <v>102</v>
      </c>
      <c r="AV3" t="s">
        <v>103</v>
      </c>
      <c r="AW3" t="s">
        <v>104</v>
      </c>
      <c r="AX3" t="s">
        <v>105</v>
      </c>
      <c r="AY3" t="s">
        <v>106</v>
      </c>
      <c r="AZ3" t="s">
        <v>107</v>
      </c>
      <c r="BA3" t="s">
        <v>108</v>
      </c>
      <c r="BB3" t="s">
        <v>109</v>
      </c>
      <c r="BC3" t="s">
        <v>110</v>
      </c>
      <c r="BD3" t="s">
        <v>111</v>
      </c>
      <c r="BE3" t="s">
        <v>112</v>
      </c>
      <c r="BF3" t="s">
        <v>113</v>
      </c>
      <c r="BG3" t="s">
        <v>114</v>
      </c>
      <c r="BH3" t="s">
        <v>115</v>
      </c>
      <c r="BI3" t="s">
        <v>116</v>
      </c>
      <c r="BJ3" t="s">
        <v>117</v>
      </c>
      <c r="BK3" t="s">
        <v>118</v>
      </c>
      <c r="BL3" t="s">
        <v>119</v>
      </c>
      <c r="BM3" t="s">
        <v>120</v>
      </c>
      <c r="BN3" t="s">
        <v>14</v>
      </c>
      <c r="BO3" t="s">
        <v>121</v>
      </c>
      <c r="BP3" t="s">
        <v>122</v>
      </c>
      <c r="BQ3" t="s">
        <v>123</v>
      </c>
      <c r="BR3" t="s">
        <v>124</v>
      </c>
      <c r="BS3" t="s">
        <v>125</v>
      </c>
      <c r="BT3" t="s">
        <v>126</v>
      </c>
      <c r="BU3" t="s">
        <v>127</v>
      </c>
      <c r="BV3" t="s">
        <v>128</v>
      </c>
      <c r="BW3" t="s">
        <v>129</v>
      </c>
      <c r="BX3" t="s">
        <v>130</v>
      </c>
      <c r="BY3" t="s">
        <v>131</v>
      </c>
      <c r="BZ3" t="s">
        <v>132</v>
      </c>
      <c r="CA3" t="s">
        <v>133</v>
      </c>
      <c r="CB3" t="s">
        <v>134</v>
      </c>
      <c r="CC3" t="s">
        <v>135</v>
      </c>
      <c r="CD3" t="s">
        <v>136</v>
      </c>
      <c r="CE3" t="s">
        <v>137</v>
      </c>
      <c r="CF3" t="s">
        <v>138</v>
      </c>
      <c r="CG3" t="s">
        <v>139</v>
      </c>
      <c r="CH3" t="s">
        <v>140</v>
      </c>
      <c r="CI3" t="s">
        <v>141</v>
      </c>
      <c r="CJ3" t="s">
        <v>142</v>
      </c>
      <c r="CK3" t="s">
        <v>143</v>
      </c>
    </row>
    <row r="4" spans="1:89" x14ac:dyDescent="0.35">
      <c r="A4">
        <v>248</v>
      </c>
      <c r="B4" t="s">
        <v>3543</v>
      </c>
      <c r="C4" t="s">
        <v>3544</v>
      </c>
      <c r="D4" t="s">
        <v>3545</v>
      </c>
      <c r="E4" t="s">
        <v>3546</v>
      </c>
      <c r="F4" t="s">
        <v>25</v>
      </c>
      <c r="G4">
        <v>10</v>
      </c>
      <c r="H4" t="s">
        <v>54</v>
      </c>
      <c r="I4" t="s">
        <v>39</v>
      </c>
      <c r="J4" t="s">
        <v>406</v>
      </c>
      <c r="K4" t="s">
        <v>290</v>
      </c>
      <c r="L4" t="s">
        <v>31</v>
      </c>
      <c r="M4" t="s">
        <v>163</v>
      </c>
      <c r="O4" t="s">
        <v>151</v>
      </c>
      <c r="P4" t="s">
        <v>151</v>
      </c>
      <c r="R4" t="s">
        <v>3547</v>
      </c>
      <c r="S4" t="s">
        <v>3548</v>
      </c>
      <c r="T4" t="s">
        <v>3549</v>
      </c>
      <c r="U4" t="s">
        <v>3550</v>
      </c>
      <c r="V4" s="279">
        <v>31740</v>
      </c>
      <c r="W4" t="s">
        <v>3551</v>
      </c>
      <c r="X4" t="s">
        <v>2498</v>
      </c>
      <c r="AB4" s="279">
        <v>44267</v>
      </c>
      <c r="AC4" s="279">
        <v>43891</v>
      </c>
      <c r="AE4" t="s">
        <v>3552</v>
      </c>
      <c r="AH4">
        <v>1</v>
      </c>
      <c r="AO4" t="s">
        <v>164</v>
      </c>
      <c r="AP4" t="s">
        <v>445</v>
      </c>
      <c r="AQ4" t="s">
        <v>445</v>
      </c>
      <c r="AT4" t="s">
        <v>285</v>
      </c>
      <c r="AU4" t="s">
        <v>3553</v>
      </c>
      <c r="AW4" s="279">
        <v>43908</v>
      </c>
      <c r="AX4" t="s">
        <v>3239</v>
      </c>
      <c r="AY4" t="s">
        <v>150</v>
      </c>
      <c r="AZ4" s="279">
        <v>44874</v>
      </c>
      <c r="BA4" s="279">
        <v>44811</v>
      </c>
      <c r="BE4" t="s">
        <v>3551</v>
      </c>
      <c r="BF4" s="279">
        <v>45061</v>
      </c>
      <c r="BG4" t="s">
        <v>163</v>
      </c>
      <c r="BH4" s="279">
        <v>45476</v>
      </c>
      <c r="BI4" t="s">
        <v>150</v>
      </c>
      <c r="BM4" s="279">
        <v>45889</v>
      </c>
      <c r="BN4" t="s">
        <v>16</v>
      </c>
      <c r="BO4">
        <v>66</v>
      </c>
      <c r="BR4">
        <v>2</v>
      </c>
      <c r="BS4">
        <v>1</v>
      </c>
      <c r="BY4" t="s">
        <v>163</v>
      </c>
      <c r="CH4">
        <v>1</v>
      </c>
      <c r="CK4" t="s">
        <v>809</v>
      </c>
    </row>
    <row r="5" spans="1:89" x14ac:dyDescent="0.35">
      <c r="A5">
        <v>247</v>
      </c>
      <c r="B5" t="s">
        <v>3530</v>
      </c>
      <c r="C5" t="s">
        <v>3531</v>
      </c>
      <c r="D5" t="s">
        <v>20</v>
      </c>
      <c r="E5" t="s">
        <v>3532</v>
      </c>
      <c r="F5" t="s">
        <v>25</v>
      </c>
      <c r="G5">
        <v>10</v>
      </c>
      <c r="H5" t="s">
        <v>58</v>
      </c>
      <c r="I5" t="s">
        <v>45</v>
      </c>
      <c r="J5" t="s">
        <v>3451</v>
      </c>
      <c r="K5" t="s">
        <v>3533</v>
      </c>
      <c r="L5" t="s">
        <v>45</v>
      </c>
      <c r="M5" t="s">
        <v>150</v>
      </c>
      <c r="N5">
        <v>1897532</v>
      </c>
      <c r="O5" t="s">
        <v>322</v>
      </c>
      <c r="P5" t="s">
        <v>322</v>
      </c>
      <c r="R5" t="s">
        <v>3534</v>
      </c>
      <c r="S5" t="s">
        <v>3535</v>
      </c>
      <c r="T5" t="s">
        <v>3536</v>
      </c>
      <c r="U5" t="s">
        <v>3537</v>
      </c>
      <c r="V5" s="279">
        <v>33727</v>
      </c>
      <c r="W5" t="s">
        <v>3538</v>
      </c>
      <c r="X5" t="s">
        <v>179</v>
      </c>
      <c r="AB5" s="279">
        <v>43660</v>
      </c>
      <c r="AC5" s="279">
        <v>43891</v>
      </c>
      <c r="AE5" t="s">
        <v>3539</v>
      </c>
      <c r="AF5" t="s">
        <v>3540</v>
      </c>
      <c r="AH5">
        <v>2</v>
      </c>
      <c r="AO5" t="s">
        <v>164</v>
      </c>
      <c r="AP5" t="s">
        <v>203</v>
      </c>
      <c r="AQ5" t="s">
        <v>250</v>
      </c>
      <c r="AR5" t="s">
        <v>150</v>
      </c>
      <c r="AT5" t="s">
        <v>372</v>
      </c>
      <c r="AU5" t="s">
        <v>3541</v>
      </c>
      <c r="AW5" s="279">
        <v>43904</v>
      </c>
      <c r="AX5" t="s">
        <v>3239</v>
      </c>
      <c r="AY5" t="s">
        <v>150</v>
      </c>
      <c r="AZ5" s="279">
        <v>44013</v>
      </c>
      <c r="BA5" s="279">
        <v>44249</v>
      </c>
      <c r="BE5" t="s">
        <v>3538</v>
      </c>
      <c r="BF5" s="279">
        <v>44872</v>
      </c>
      <c r="BG5" t="s">
        <v>150</v>
      </c>
      <c r="BH5" s="279">
        <v>45476</v>
      </c>
      <c r="BI5" t="s">
        <v>150</v>
      </c>
      <c r="BM5" s="279">
        <v>45596</v>
      </c>
      <c r="BN5" t="s">
        <v>16</v>
      </c>
      <c r="BO5">
        <v>56</v>
      </c>
      <c r="BP5" t="e">
        <v>#VALUE!</v>
      </c>
      <c r="BQ5" t="s">
        <v>3542</v>
      </c>
      <c r="BR5">
        <v>1</v>
      </c>
      <c r="BS5">
        <v>0</v>
      </c>
      <c r="BY5" t="s">
        <v>163</v>
      </c>
      <c r="CH5">
        <v>0</v>
      </c>
      <c r="CK5" t="s">
        <v>3401</v>
      </c>
    </row>
    <row r="6" spans="1:89" x14ac:dyDescent="0.35">
      <c r="A6">
        <v>246</v>
      </c>
      <c r="B6" t="s">
        <v>3516</v>
      </c>
      <c r="C6" t="s">
        <v>3376</v>
      </c>
      <c r="D6" t="s">
        <v>3517</v>
      </c>
      <c r="E6" t="s">
        <v>3518</v>
      </c>
      <c r="F6" t="s">
        <v>25</v>
      </c>
      <c r="G6">
        <v>10</v>
      </c>
      <c r="H6" t="s">
        <v>52</v>
      </c>
      <c r="I6" t="s">
        <v>42</v>
      </c>
      <c r="J6" t="s">
        <v>2953</v>
      </c>
      <c r="K6" t="s">
        <v>3519</v>
      </c>
      <c r="L6" t="s">
        <v>42</v>
      </c>
      <c r="M6" t="s">
        <v>150</v>
      </c>
      <c r="O6" t="s">
        <v>151</v>
      </c>
      <c r="P6" t="s">
        <v>151</v>
      </c>
      <c r="R6" t="s">
        <v>3520</v>
      </c>
      <c r="S6" t="s">
        <v>3521</v>
      </c>
      <c r="T6" t="s">
        <v>3522</v>
      </c>
      <c r="U6" t="s">
        <v>3523</v>
      </c>
      <c r="V6" s="279">
        <v>31757</v>
      </c>
      <c r="W6" t="s">
        <v>3524</v>
      </c>
      <c r="X6" t="s">
        <v>2379</v>
      </c>
      <c r="AB6" s="279">
        <v>44245</v>
      </c>
      <c r="AC6" s="279">
        <v>43891</v>
      </c>
      <c r="AE6" t="s">
        <v>3525</v>
      </c>
      <c r="AF6" t="s">
        <v>3526</v>
      </c>
      <c r="AG6" t="s">
        <v>3527</v>
      </c>
      <c r="AH6">
        <v>3</v>
      </c>
      <c r="AO6" t="s">
        <v>164</v>
      </c>
      <c r="AP6" t="s">
        <v>3528</v>
      </c>
      <c r="AT6" t="s">
        <v>420</v>
      </c>
      <c r="AU6" t="s">
        <v>3529</v>
      </c>
      <c r="AW6" s="279">
        <v>43902</v>
      </c>
      <c r="AX6" t="s">
        <v>3239</v>
      </c>
      <c r="AY6" t="s">
        <v>150</v>
      </c>
      <c r="AZ6" s="279">
        <v>44214</v>
      </c>
      <c r="BA6" s="279">
        <v>44613</v>
      </c>
      <c r="BE6" t="s">
        <v>3524</v>
      </c>
      <c r="BF6" s="279">
        <v>44872</v>
      </c>
      <c r="BG6" t="s">
        <v>150</v>
      </c>
      <c r="BH6" s="279">
        <v>45476</v>
      </c>
      <c r="BI6" t="s">
        <v>150</v>
      </c>
      <c r="BJ6" s="279">
        <v>45348</v>
      </c>
      <c r="BM6" s="279">
        <v>45610</v>
      </c>
      <c r="BN6" t="s">
        <v>16</v>
      </c>
      <c r="BO6">
        <v>57</v>
      </c>
      <c r="BR6">
        <v>2</v>
      </c>
      <c r="BS6">
        <v>1</v>
      </c>
      <c r="BY6" t="s">
        <v>163</v>
      </c>
      <c r="CH6">
        <v>2</v>
      </c>
      <c r="CK6" t="s">
        <v>809</v>
      </c>
    </row>
    <row r="7" spans="1:89" x14ac:dyDescent="0.35">
      <c r="A7">
        <v>245</v>
      </c>
      <c r="B7" t="s">
        <v>3503</v>
      </c>
      <c r="C7" t="s">
        <v>825</v>
      </c>
      <c r="E7" t="s">
        <v>3504</v>
      </c>
      <c r="F7" t="s">
        <v>25</v>
      </c>
      <c r="G7">
        <v>10</v>
      </c>
      <c r="H7" t="s">
        <v>55</v>
      </c>
      <c r="I7" t="s">
        <v>43</v>
      </c>
      <c r="J7" t="s">
        <v>2319</v>
      </c>
      <c r="K7" t="s">
        <v>3505</v>
      </c>
      <c r="L7" t="s">
        <v>45</v>
      </c>
      <c r="M7" t="s">
        <v>163</v>
      </c>
      <c r="O7" t="s">
        <v>322</v>
      </c>
      <c r="P7" t="s">
        <v>322</v>
      </c>
      <c r="R7" t="s">
        <v>3506</v>
      </c>
      <c r="S7" t="s">
        <v>3507</v>
      </c>
      <c r="T7" t="s">
        <v>3508</v>
      </c>
      <c r="U7" t="s">
        <v>3509</v>
      </c>
      <c r="V7" s="279">
        <v>33695</v>
      </c>
      <c r="W7" t="s">
        <v>3510</v>
      </c>
      <c r="X7" t="s">
        <v>179</v>
      </c>
      <c r="AB7" s="279">
        <v>43983</v>
      </c>
      <c r="AC7" s="279">
        <v>43891</v>
      </c>
      <c r="AE7" t="s">
        <v>3511</v>
      </c>
      <c r="AF7" t="s">
        <v>3512</v>
      </c>
      <c r="AG7" t="s">
        <v>3513</v>
      </c>
      <c r="AH7">
        <v>3</v>
      </c>
      <c r="AO7" t="s">
        <v>164</v>
      </c>
      <c r="AP7" t="s">
        <v>181</v>
      </c>
      <c r="AQ7" t="s">
        <v>181</v>
      </c>
      <c r="AR7" t="s">
        <v>163</v>
      </c>
      <c r="AT7" t="s">
        <v>219</v>
      </c>
      <c r="AU7" t="s">
        <v>3514</v>
      </c>
      <c r="AW7" s="279">
        <v>43900</v>
      </c>
      <c r="AX7" t="s">
        <v>3239</v>
      </c>
      <c r="AY7" t="s">
        <v>150</v>
      </c>
      <c r="AZ7" s="279">
        <v>44579</v>
      </c>
      <c r="BA7" s="279">
        <v>44617</v>
      </c>
      <c r="BE7" t="s">
        <v>3510</v>
      </c>
      <c r="BF7" s="279">
        <v>44872</v>
      </c>
      <c r="BG7" t="s">
        <v>150</v>
      </c>
      <c r="BH7" s="279">
        <v>45476</v>
      </c>
      <c r="BI7" t="s">
        <v>150</v>
      </c>
      <c r="BM7" s="279">
        <v>45648</v>
      </c>
      <c r="BN7" t="s">
        <v>16</v>
      </c>
      <c r="BO7">
        <v>58</v>
      </c>
      <c r="BQ7" t="s">
        <v>3515</v>
      </c>
      <c r="BR7">
        <v>0</v>
      </c>
      <c r="BS7">
        <v>3</v>
      </c>
      <c r="BY7" t="s">
        <v>163</v>
      </c>
      <c r="CH7">
        <v>0</v>
      </c>
      <c r="CK7" t="s">
        <v>809</v>
      </c>
    </row>
    <row r="8" spans="1:89" x14ac:dyDescent="0.35">
      <c r="A8">
        <v>244</v>
      </c>
      <c r="B8" t="s">
        <v>3490</v>
      </c>
      <c r="C8" t="s">
        <v>3491</v>
      </c>
      <c r="E8" t="s">
        <v>3492</v>
      </c>
      <c r="F8" t="s">
        <v>25</v>
      </c>
      <c r="G8">
        <v>10</v>
      </c>
      <c r="H8" t="s">
        <v>53</v>
      </c>
      <c r="I8" t="s">
        <v>46</v>
      </c>
      <c r="J8" t="s">
        <v>3493</v>
      </c>
      <c r="K8" t="s">
        <v>517</v>
      </c>
      <c r="L8" t="s">
        <v>45</v>
      </c>
      <c r="M8" t="s">
        <v>163</v>
      </c>
      <c r="O8" t="s">
        <v>322</v>
      </c>
      <c r="P8" t="s">
        <v>151</v>
      </c>
      <c r="R8" t="s">
        <v>3494</v>
      </c>
      <c r="S8" t="s">
        <v>3495</v>
      </c>
      <c r="T8" t="s">
        <v>3496</v>
      </c>
      <c r="U8" t="s">
        <v>3497</v>
      </c>
      <c r="V8" s="279">
        <v>32014</v>
      </c>
      <c r="W8" t="s">
        <v>3498</v>
      </c>
      <c r="X8" t="s">
        <v>179</v>
      </c>
      <c r="AB8" s="279">
        <v>44424</v>
      </c>
      <c r="AC8" s="279">
        <v>43891</v>
      </c>
      <c r="AE8" t="s">
        <v>3499</v>
      </c>
      <c r="AF8" t="s">
        <v>3500</v>
      </c>
      <c r="AH8">
        <v>2</v>
      </c>
      <c r="AO8" t="s">
        <v>959</v>
      </c>
      <c r="AP8" t="s">
        <v>3501</v>
      </c>
      <c r="AT8" t="s">
        <v>298</v>
      </c>
      <c r="AU8" t="s">
        <v>3502</v>
      </c>
      <c r="AW8" s="279">
        <v>43896</v>
      </c>
      <c r="AX8" t="s">
        <v>3239</v>
      </c>
      <c r="AY8" t="s">
        <v>150</v>
      </c>
      <c r="AZ8" s="279">
        <v>44708</v>
      </c>
      <c r="BA8" s="279">
        <v>44811</v>
      </c>
      <c r="BE8" t="s">
        <v>3498</v>
      </c>
      <c r="BF8" s="279">
        <v>45061</v>
      </c>
      <c r="BG8" t="s">
        <v>163</v>
      </c>
      <c r="BH8" s="279">
        <v>45476</v>
      </c>
      <c r="BI8" t="s">
        <v>150</v>
      </c>
      <c r="BJ8" s="279">
        <v>45747</v>
      </c>
      <c r="BM8" s="279">
        <v>45950</v>
      </c>
      <c r="BN8" t="s">
        <v>16</v>
      </c>
      <c r="BO8">
        <v>68</v>
      </c>
      <c r="BP8" t="e">
        <v>#VALUE!</v>
      </c>
      <c r="BR8">
        <v>2</v>
      </c>
      <c r="BY8" t="s">
        <v>163</v>
      </c>
      <c r="CH8">
        <v>0</v>
      </c>
      <c r="CK8" t="s">
        <v>809</v>
      </c>
    </row>
    <row r="9" spans="1:89" x14ac:dyDescent="0.35">
      <c r="A9">
        <v>243</v>
      </c>
      <c r="B9" t="s">
        <v>3475</v>
      </c>
      <c r="C9" t="s">
        <v>3476</v>
      </c>
      <c r="D9" t="s">
        <v>3477</v>
      </c>
      <c r="E9" t="s">
        <v>3478</v>
      </c>
      <c r="F9" t="s">
        <v>25</v>
      </c>
      <c r="G9">
        <v>10</v>
      </c>
      <c r="H9" t="s">
        <v>55</v>
      </c>
      <c r="I9" t="s">
        <v>43</v>
      </c>
      <c r="J9" t="s">
        <v>3479</v>
      </c>
      <c r="K9" t="s">
        <v>2788</v>
      </c>
      <c r="L9" t="s">
        <v>43</v>
      </c>
      <c r="M9" t="s">
        <v>150</v>
      </c>
      <c r="O9" t="s">
        <v>151</v>
      </c>
      <c r="P9" t="s">
        <v>151</v>
      </c>
      <c r="R9" t="s">
        <v>3480</v>
      </c>
      <c r="S9" t="s">
        <v>3481</v>
      </c>
      <c r="T9" t="s">
        <v>3482</v>
      </c>
      <c r="U9" t="s">
        <v>3483</v>
      </c>
      <c r="V9" s="279">
        <v>29588</v>
      </c>
      <c r="W9" t="s">
        <v>3484</v>
      </c>
      <c r="X9" t="s">
        <v>156</v>
      </c>
      <c r="AB9" s="279">
        <v>43840</v>
      </c>
      <c r="AC9" s="279">
        <v>43891</v>
      </c>
      <c r="AE9" t="s">
        <v>3485</v>
      </c>
      <c r="AF9" t="s">
        <v>3486</v>
      </c>
      <c r="AH9">
        <v>2</v>
      </c>
      <c r="AO9" t="s">
        <v>182</v>
      </c>
      <c r="AP9" t="s">
        <v>3487</v>
      </c>
      <c r="AQ9" t="s">
        <v>250</v>
      </c>
      <c r="AR9" t="s">
        <v>150</v>
      </c>
      <c r="AS9" t="s">
        <v>3488</v>
      </c>
      <c r="AT9" t="s">
        <v>219</v>
      </c>
      <c r="AU9" t="s">
        <v>3489</v>
      </c>
      <c r="AW9" s="279">
        <v>43894</v>
      </c>
      <c r="AX9" t="s">
        <v>3239</v>
      </c>
      <c r="AY9" t="s">
        <v>150</v>
      </c>
      <c r="AZ9" s="279">
        <v>44593</v>
      </c>
      <c r="BA9" s="279">
        <v>44602</v>
      </c>
      <c r="BE9" t="s">
        <v>3484</v>
      </c>
      <c r="BF9" s="279">
        <v>44872</v>
      </c>
      <c r="BG9" t="s">
        <v>150</v>
      </c>
      <c r="BH9" s="279">
        <v>45476</v>
      </c>
      <c r="BI9" t="s">
        <v>150</v>
      </c>
      <c r="BM9" s="279">
        <v>45590</v>
      </c>
      <c r="BN9" t="s">
        <v>16</v>
      </c>
      <c r="BO9">
        <v>56</v>
      </c>
      <c r="BP9" t="e">
        <v>#VALUE!</v>
      </c>
      <c r="BR9">
        <v>0</v>
      </c>
      <c r="BS9">
        <v>2</v>
      </c>
      <c r="BY9" t="s">
        <v>163</v>
      </c>
      <c r="CH9">
        <v>2</v>
      </c>
      <c r="CK9" t="s">
        <v>809</v>
      </c>
    </row>
    <row r="10" spans="1:89" x14ac:dyDescent="0.35">
      <c r="A10">
        <v>239</v>
      </c>
      <c r="B10" t="s">
        <v>3417</v>
      </c>
      <c r="C10" t="s">
        <v>3418</v>
      </c>
      <c r="D10" t="s">
        <v>3419</v>
      </c>
      <c r="E10" t="s">
        <v>3420</v>
      </c>
      <c r="F10" t="s">
        <v>24</v>
      </c>
      <c r="G10">
        <v>10</v>
      </c>
      <c r="H10" t="s">
        <v>54</v>
      </c>
      <c r="I10" t="s">
        <v>31</v>
      </c>
      <c r="J10" t="s">
        <v>2319</v>
      </c>
      <c r="K10" t="s">
        <v>3421</v>
      </c>
      <c r="L10" t="s">
        <v>31</v>
      </c>
      <c r="M10" t="s">
        <v>150</v>
      </c>
      <c r="O10" t="s">
        <v>3422</v>
      </c>
      <c r="P10" t="s">
        <v>3423</v>
      </c>
      <c r="R10" t="s">
        <v>3424</v>
      </c>
      <c r="S10" t="s">
        <v>3425</v>
      </c>
      <c r="T10" t="s">
        <v>3426</v>
      </c>
      <c r="U10" t="s">
        <v>3427</v>
      </c>
      <c r="V10" s="279">
        <v>27485</v>
      </c>
      <c r="W10" t="s">
        <v>3428</v>
      </c>
      <c r="X10" t="s">
        <v>156</v>
      </c>
      <c r="AB10" s="279">
        <v>44182</v>
      </c>
      <c r="AC10" s="279">
        <v>43891</v>
      </c>
      <c r="AE10" t="s">
        <v>3429</v>
      </c>
      <c r="AF10" t="s">
        <v>3430</v>
      </c>
      <c r="AH10">
        <v>2</v>
      </c>
      <c r="AO10" t="s">
        <v>182</v>
      </c>
      <c r="AP10" t="s">
        <v>250</v>
      </c>
      <c r="AQ10" t="s">
        <v>250</v>
      </c>
      <c r="AT10" t="s">
        <v>328</v>
      </c>
      <c r="AU10" t="s">
        <v>3431</v>
      </c>
      <c r="AW10" s="279">
        <v>43912</v>
      </c>
      <c r="AX10" t="s">
        <v>3239</v>
      </c>
      <c r="AY10" t="s">
        <v>150</v>
      </c>
      <c r="AZ10" s="279">
        <v>44335</v>
      </c>
      <c r="BA10" s="279">
        <v>44370</v>
      </c>
      <c r="BE10" t="s">
        <v>3428</v>
      </c>
      <c r="BF10" s="279">
        <v>44872</v>
      </c>
      <c r="BG10" t="s">
        <v>150</v>
      </c>
      <c r="BH10" s="279">
        <v>45476</v>
      </c>
      <c r="BI10" t="s">
        <v>150</v>
      </c>
      <c r="BK10" s="279">
        <v>45565</v>
      </c>
      <c r="BM10" s="279">
        <v>45568</v>
      </c>
      <c r="BN10" t="s">
        <v>16</v>
      </c>
      <c r="BO10">
        <v>55</v>
      </c>
      <c r="BP10" t="e">
        <v>#VALUE!</v>
      </c>
      <c r="BQ10" t="s">
        <v>3432</v>
      </c>
      <c r="BR10">
        <v>8</v>
      </c>
      <c r="BS10">
        <v>3</v>
      </c>
      <c r="BY10" t="s">
        <v>163</v>
      </c>
      <c r="CB10" s="279">
        <v>45413</v>
      </c>
      <c r="CC10" s="279">
        <v>45535</v>
      </c>
      <c r="CD10">
        <v>4</v>
      </c>
      <c r="CH10">
        <v>4</v>
      </c>
      <c r="CK10" t="s">
        <v>809</v>
      </c>
    </row>
    <row r="11" spans="1:89" x14ac:dyDescent="0.35">
      <c r="A11">
        <v>238</v>
      </c>
      <c r="B11" t="s">
        <v>3402</v>
      </c>
      <c r="C11" t="s">
        <v>3403</v>
      </c>
      <c r="E11" t="s">
        <v>3404</v>
      </c>
      <c r="F11" t="s">
        <v>24</v>
      </c>
      <c r="G11">
        <v>10</v>
      </c>
      <c r="H11" t="s">
        <v>61</v>
      </c>
      <c r="I11" t="s">
        <v>45</v>
      </c>
      <c r="J11" t="s">
        <v>362</v>
      </c>
      <c r="K11" t="s">
        <v>363</v>
      </c>
      <c r="L11" t="s">
        <v>45</v>
      </c>
      <c r="M11" t="s">
        <v>150</v>
      </c>
      <c r="O11" t="s">
        <v>151</v>
      </c>
      <c r="P11" t="s">
        <v>151</v>
      </c>
      <c r="R11" t="s">
        <v>3406</v>
      </c>
      <c r="S11" t="s">
        <v>3407</v>
      </c>
      <c r="T11" t="s">
        <v>3408</v>
      </c>
      <c r="U11" t="s">
        <v>3409</v>
      </c>
      <c r="V11" s="279">
        <v>31616</v>
      </c>
      <c r="W11" t="s">
        <v>3410</v>
      </c>
      <c r="X11" t="s">
        <v>179</v>
      </c>
      <c r="AB11" s="279">
        <v>43865</v>
      </c>
      <c r="AC11" s="279">
        <v>43891</v>
      </c>
      <c r="AE11" t="s">
        <v>3411</v>
      </c>
      <c r="AH11">
        <v>1</v>
      </c>
      <c r="AO11" t="s">
        <v>164</v>
      </c>
      <c r="AP11" t="s">
        <v>579</v>
      </c>
      <c r="AQ11" t="s">
        <v>3413</v>
      </c>
      <c r="AR11" t="s">
        <v>150</v>
      </c>
      <c r="AT11" t="s">
        <v>372</v>
      </c>
      <c r="AU11" t="s">
        <v>3414</v>
      </c>
      <c r="AW11" s="279">
        <v>43905</v>
      </c>
      <c r="AX11" t="s">
        <v>3239</v>
      </c>
      <c r="AY11" t="s">
        <v>150</v>
      </c>
      <c r="BE11" t="s">
        <v>3410</v>
      </c>
      <c r="BF11" s="279">
        <v>45061</v>
      </c>
      <c r="BG11" t="s">
        <v>163</v>
      </c>
      <c r="BH11" s="279">
        <v>45476</v>
      </c>
      <c r="BI11" t="s">
        <v>150</v>
      </c>
      <c r="BM11" s="279">
        <v>45215</v>
      </c>
      <c r="BN11" t="s">
        <v>16</v>
      </c>
      <c r="BO11">
        <v>44</v>
      </c>
      <c r="BP11" t="e">
        <v>#VALUE!</v>
      </c>
      <c r="BQ11" t="s">
        <v>3415</v>
      </c>
      <c r="BR11">
        <v>0</v>
      </c>
      <c r="BY11" t="s">
        <v>3416</v>
      </c>
      <c r="CH11">
        <v>1</v>
      </c>
      <c r="CK11" t="s">
        <v>3401</v>
      </c>
    </row>
    <row r="12" spans="1:89" x14ac:dyDescent="0.35">
      <c r="A12">
        <v>237</v>
      </c>
      <c r="B12" t="s">
        <v>3389</v>
      </c>
      <c r="C12" t="s">
        <v>3390</v>
      </c>
      <c r="E12" t="s">
        <v>3391</v>
      </c>
      <c r="F12" t="s">
        <v>24</v>
      </c>
      <c r="G12">
        <v>10</v>
      </c>
      <c r="H12" t="s">
        <v>61</v>
      </c>
      <c r="I12" t="s">
        <v>45</v>
      </c>
      <c r="J12" t="s">
        <v>602</v>
      </c>
      <c r="K12" t="s">
        <v>3392</v>
      </c>
      <c r="L12" t="s">
        <v>45</v>
      </c>
      <c r="M12" t="s">
        <v>150</v>
      </c>
      <c r="O12" t="s">
        <v>151</v>
      </c>
      <c r="P12" t="s">
        <v>151</v>
      </c>
      <c r="R12" t="s">
        <v>3393</v>
      </c>
      <c r="S12" t="s">
        <v>3394</v>
      </c>
      <c r="T12" t="s">
        <v>3395</v>
      </c>
      <c r="U12" t="s">
        <v>3396</v>
      </c>
      <c r="V12" s="279">
        <v>30016</v>
      </c>
      <c r="W12" t="s">
        <v>3397</v>
      </c>
      <c r="X12" t="s">
        <v>179</v>
      </c>
      <c r="AB12" s="279">
        <v>44265</v>
      </c>
      <c r="AC12" s="279">
        <v>43891</v>
      </c>
      <c r="AE12" t="s">
        <v>3398</v>
      </c>
      <c r="AF12" t="s">
        <v>2100</v>
      </c>
      <c r="AH12">
        <v>2</v>
      </c>
      <c r="AO12" t="s">
        <v>164</v>
      </c>
      <c r="AP12" t="s">
        <v>182</v>
      </c>
      <c r="AQ12" t="s">
        <v>182</v>
      </c>
      <c r="AT12" t="s">
        <v>372</v>
      </c>
      <c r="AU12" t="s">
        <v>3399</v>
      </c>
      <c r="AW12" s="279">
        <v>43911</v>
      </c>
      <c r="AX12" t="s">
        <v>3239</v>
      </c>
      <c r="AY12" t="s">
        <v>150</v>
      </c>
      <c r="AZ12" s="279">
        <v>44407</v>
      </c>
      <c r="BA12" s="279">
        <v>44508</v>
      </c>
      <c r="BE12" t="s">
        <v>3397</v>
      </c>
      <c r="BF12" s="279">
        <v>44872</v>
      </c>
      <c r="BG12" t="s">
        <v>150</v>
      </c>
      <c r="BH12" s="279">
        <v>45476</v>
      </c>
      <c r="BI12" t="s">
        <v>150</v>
      </c>
      <c r="BJ12" s="279">
        <v>45747</v>
      </c>
      <c r="BM12" s="279">
        <v>45937</v>
      </c>
      <c r="BN12" t="s">
        <v>16</v>
      </c>
      <c r="BO12">
        <v>67</v>
      </c>
      <c r="BP12" t="e">
        <v>#VALUE!</v>
      </c>
      <c r="BQ12" t="s">
        <v>3400</v>
      </c>
      <c r="BR12">
        <v>3</v>
      </c>
      <c r="BS12">
        <v>3</v>
      </c>
      <c r="BY12" t="s">
        <v>163</v>
      </c>
      <c r="CH12">
        <v>3</v>
      </c>
      <c r="CK12" t="s">
        <v>3401</v>
      </c>
    </row>
    <row r="13" spans="1:89" x14ac:dyDescent="0.35">
      <c r="A13">
        <v>236</v>
      </c>
      <c r="B13" t="s">
        <v>3375</v>
      </c>
      <c r="C13" t="s">
        <v>3376</v>
      </c>
      <c r="E13" t="s">
        <v>3377</v>
      </c>
      <c r="F13" t="s">
        <v>25</v>
      </c>
      <c r="G13">
        <v>10</v>
      </c>
      <c r="H13" t="s">
        <v>60</v>
      </c>
      <c r="I13" t="s">
        <v>35</v>
      </c>
      <c r="J13" t="s">
        <v>2692</v>
      </c>
      <c r="K13" t="s">
        <v>3378</v>
      </c>
      <c r="L13" t="s">
        <v>35</v>
      </c>
      <c r="M13" t="s">
        <v>150</v>
      </c>
      <c r="O13" t="s">
        <v>151</v>
      </c>
      <c r="P13" t="s">
        <v>151</v>
      </c>
      <c r="R13" t="s">
        <v>3379</v>
      </c>
      <c r="S13" t="s">
        <v>3380</v>
      </c>
      <c r="T13" t="s">
        <v>3381</v>
      </c>
      <c r="U13" t="s">
        <v>3382</v>
      </c>
      <c r="V13" s="279">
        <v>34002</v>
      </c>
      <c r="W13" s="487" t="s">
        <v>3383</v>
      </c>
      <c r="X13" t="s">
        <v>2498</v>
      </c>
      <c r="AB13" s="279">
        <v>44580</v>
      </c>
      <c r="AC13" s="279">
        <v>43891</v>
      </c>
      <c r="AE13" t="s">
        <v>3384</v>
      </c>
      <c r="AF13" t="s">
        <v>3385</v>
      </c>
      <c r="AG13" t="s">
        <v>3386</v>
      </c>
      <c r="AH13">
        <v>3</v>
      </c>
      <c r="AO13" t="s">
        <v>164</v>
      </c>
      <c r="AP13" t="s">
        <v>1835</v>
      </c>
      <c r="AT13" t="s">
        <v>580</v>
      </c>
      <c r="AU13" t="s">
        <v>3387</v>
      </c>
      <c r="AW13" s="279">
        <v>43903</v>
      </c>
      <c r="AX13" t="s">
        <v>3239</v>
      </c>
      <c r="AY13" t="s">
        <v>150</v>
      </c>
      <c r="AZ13" s="279">
        <v>44566</v>
      </c>
      <c r="BA13" s="279">
        <v>44582</v>
      </c>
      <c r="BE13" s="487" t="s">
        <v>3383</v>
      </c>
      <c r="BF13" s="279">
        <v>44872</v>
      </c>
      <c r="BG13" t="s">
        <v>150</v>
      </c>
      <c r="BH13" s="279">
        <v>45476</v>
      </c>
      <c r="BI13" t="s">
        <v>150</v>
      </c>
      <c r="BK13" s="279">
        <v>45253</v>
      </c>
      <c r="BM13" s="279">
        <v>45254</v>
      </c>
      <c r="BN13" t="s">
        <v>16</v>
      </c>
      <c r="BO13">
        <v>45</v>
      </c>
      <c r="BP13" t="e">
        <v>#VALUE!</v>
      </c>
      <c r="BQ13" t="s">
        <v>3388</v>
      </c>
      <c r="BR13">
        <v>4</v>
      </c>
      <c r="BS13">
        <v>4</v>
      </c>
      <c r="BY13" t="s">
        <v>163</v>
      </c>
      <c r="CH13">
        <v>3</v>
      </c>
      <c r="CK13" t="s">
        <v>809</v>
      </c>
    </row>
    <row r="14" spans="1:89" x14ac:dyDescent="0.35">
      <c r="A14">
        <v>234</v>
      </c>
      <c r="B14" t="s">
        <v>3349</v>
      </c>
      <c r="C14" t="s">
        <v>3350</v>
      </c>
      <c r="E14" t="s">
        <v>3351</v>
      </c>
      <c r="F14" t="s">
        <v>25</v>
      </c>
      <c r="G14">
        <v>10</v>
      </c>
      <c r="H14" t="s">
        <v>60</v>
      </c>
      <c r="I14" t="s">
        <v>35</v>
      </c>
      <c r="J14" t="s">
        <v>602</v>
      </c>
      <c r="K14" t="s">
        <v>2982</v>
      </c>
      <c r="L14" t="s">
        <v>35</v>
      </c>
      <c r="M14" t="s">
        <v>150</v>
      </c>
      <c r="O14" t="s">
        <v>151</v>
      </c>
      <c r="P14" t="s">
        <v>151</v>
      </c>
      <c r="R14" t="s">
        <v>3352</v>
      </c>
      <c r="S14" t="s">
        <v>3353</v>
      </c>
      <c r="T14" t="s">
        <v>3354</v>
      </c>
      <c r="U14" t="s">
        <v>817</v>
      </c>
      <c r="V14" s="279">
        <v>31343</v>
      </c>
      <c r="W14" t="s">
        <v>3355</v>
      </c>
      <c r="X14" t="s">
        <v>179</v>
      </c>
      <c r="AB14" s="279">
        <v>44074</v>
      </c>
      <c r="AC14" s="279">
        <v>43891</v>
      </c>
      <c r="AE14" t="s">
        <v>3356</v>
      </c>
      <c r="AF14" t="s">
        <v>3357</v>
      </c>
      <c r="AG14" t="s">
        <v>3358</v>
      </c>
      <c r="AH14">
        <v>3</v>
      </c>
      <c r="AO14" t="s">
        <v>182</v>
      </c>
      <c r="AP14" t="s">
        <v>1835</v>
      </c>
      <c r="AR14" t="s">
        <v>150</v>
      </c>
      <c r="AT14" t="s">
        <v>580</v>
      </c>
      <c r="AU14" t="s">
        <v>3359</v>
      </c>
      <c r="AW14" s="279">
        <v>43901</v>
      </c>
      <c r="AX14" s="279">
        <v>44136</v>
      </c>
      <c r="AY14" t="s">
        <v>150</v>
      </c>
      <c r="AZ14" s="279">
        <v>44271</v>
      </c>
      <c r="BA14" s="279">
        <v>44593</v>
      </c>
      <c r="BE14" t="s">
        <v>3355</v>
      </c>
      <c r="BF14" s="279">
        <v>44872</v>
      </c>
      <c r="BG14" t="s">
        <v>150</v>
      </c>
      <c r="BH14" s="279">
        <v>45476</v>
      </c>
      <c r="BI14" t="s">
        <v>150</v>
      </c>
      <c r="BK14" s="279">
        <v>45237</v>
      </c>
      <c r="BM14" s="279">
        <v>45245</v>
      </c>
      <c r="BN14" t="s">
        <v>16</v>
      </c>
      <c r="BO14">
        <v>45</v>
      </c>
      <c r="BP14">
        <v>37</v>
      </c>
      <c r="BQ14" t="s">
        <v>3360</v>
      </c>
      <c r="BR14">
        <v>8</v>
      </c>
      <c r="BS14">
        <v>7</v>
      </c>
      <c r="BY14" t="s">
        <v>163</v>
      </c>
      <c r="CH14">
        <v>1</v>
      </c>
      <c r="CK14" t="s">
        <v>809</v>
      </c>
    </row>
    <row r="15" spans="1:89" x14ac:dyDescent="0.35">
      <c r="A15">
        <v>233</v>
      </c>
      <c r="B15" t="s">
        <v>3335</v>
      </c>
      <c r="C15" t="s">
        <v>3336</v>
      </c>
      <c r="D15" t="s">
        <v>3337</v>
      </c>
      <c r="E15" t="s">
        <v>3338</v>
      </c>
      <c r="F15" t="s">
        <v>24</v>
      </c>
      <c r="G15">
        <v>10</v>
      </c>
      <c r="H15" t="s">
        <v>54</v>
      </c>
      <c r="I15" t="s">
        <v>39</v>
      </c>
      <c r="J15" t="s">
        <v>2801</v>
      </c>
      <c r="K15" t="s">
        <v>3339</v>
      </c>
      <c r="L15" t="s">
        <v>45</v>
      </c>
      <c r="M15" t="s">
        <v>163</v>
      </c>
      <c r="O15" t="s">
        <v>151</v>
      </c>
      <c r="P15" t="s">
        <v>151</v>
      </c>
      <c r="R15" t="s">
        <v>3340</v>
      </c>
      <c r="S15" t="s">
        <v>3341</v>
      </c>
      <c r="T15" t="s">
        <v>3342</v>
      </c>
      <c r="U15" t="s">
        <v>789</v>
      </c>
      <c r="V15" s="279">
        <v>29652</v>
      </c>
      <c r="W15" t="s">
        <v>3343</v>
      </c>
      <c r="X15" t="s">
        <v>2379</v>
      </c>
      <c r="AB15" s="279">
        <v>44305</v>
      </c>
      <c r="AC15" s="279">
        <v>43891</v>
      </c>
      <c r="AE15" t="s">
        <v>3344</v>
      </c>
      <c r="AF15" t="s">
        <v>3345</v>
      </c>
      <c r="AG15" t="s">
        <v>3346</v>
      </c>
      <c r="AH15">
        <v>3</v>
      </c>
      <c r="AO15" t="s">
        <v>164</v>
      </c>
      <c r="AP15" t="s">
        <v>1440</v>
      </c>
      <c r="AQ15" t="s">
        <v>1969</v>
      </c>
      <c r="AR15" t="s">
        <v>150</v>
      </c>
      <c r="AT15" t="s">
        <v>285</v>
      </c>
      <c r="AU15" t="s">
        <v>3347</v>
      </c>
      <c r="AW15" s="279">
        <v>43909</v>
      </c>
      <c r="AX15" s="279">
        <v>44136</v>
      </c>
      <c r="AY15" t="s">
        <v>150</v>
      </c>
      <c r="AZ15" s="279">
        <v>44391</v>
      </c>
      <c r="BA15" s="279">
        <v>44355</v>
      </c>
      <c r="BE15" t="s">
        <v>3343</v>
      </c>
      <c r="BF15" s="279">
        <v>45061</v>
      </c>
      <c r="BG15" t="s">
        <v>163</v>
      </c>
      <c r="BH15" s="279">
        <v>45476</v>
      </c>
      <c r="BI15" t="s">
        <v>150</v>
      </c>
      <c r="BL15" s="279">
        <v>45747</v>
      </c>
      <c r="BM15" s="279">
        <v>45747</v>
      </c>
      <c r="BN15" t="s">
        <v>16</v>
      </c>
      <c r="BO15">
        <v>61</v>
      </c>
      <c r="BP15">
        <v>53</v>
      </c>
      <c r="BQ15" t="s">
        <v>3348</v>
      </c>
      <c r="BR15">
        <v>4</v>
      </c>
      <c r="BS15">
        <v>3</v>
      </c>
      <c r="BY15" t="s">
        <v>163</v>
      </c>
      <c r="CH15">
        <v>2</v>
      </c>
      <c r="CK15" t="s">
        <v>809</v>
      </c>
    </row>
    <row r="16" spans="1:89" x14ac:dyDescent="0.35">
      <c r="A16">
        <v>231</v>
      </c>
      <c r="B16" t="s">
        <v>3307</v>
      </c>
      <c r="C16" t="s">
        <v>3308</v>
      </c>
      <c r="D16" t="s">
        <v>3309</v>
      </c>
      <c r="E16" t="s">
        <v>3310</v>
      </c>
      <c r="F16" t="s">
        <v>24</v>
      </c>
      <c r="G16">
        <v>10</v>
      </c>
      <c r="H16" t="s">
        <v>54</v>
      </c>
      <c r="I16" t="s">
        <v>31</v>
      </c>
      <c r="J16" t="s">
        <v>3311</v>
      </c>
      <c r="K16" t="s">
        <v>1744</v>
      </c>
      <c r="L16" t="s">
        <v>31</v>
      </c>
      <c r="M16" t="s">
        <v>163</v>
      </c>
      <c r="O16" t="s">
        <v>151</v>
      </c>
      <c r="P16" t="s">
        <v>151</v>
      </c>
      <c r="Q16" t="s">
        <v>151</v>
      </c>
      <c r="R16" t="s">
        <v>3312</v>
      </c>
      <c r="S16" t="s">
        <v>3313</v>
      </c>
      <c r="T16" t="s">
        <v>3314</v>
      </c>
      <c r="U16" t="s">
        <v>3315</v>
      </c>
      <c r="V16" s="279">
        <v>29362</v>
      </c>
      <c r="W16" t="s">
        <v>3316</v>
      </c>
      <c r="X16" t="s">
        <v>2498</v>
      </c>
      <c r="AC16" s="279">
        <v>43891</v>
      </c>
      <c r="AE16" t="s">
        <v>3317</v>
      </c>
      <c r="AF16" t="s">
        <v>3318</v>
      </c>
      <c r="AG16" t="s">
        <v>3319</v>
      </c>
      <c r="AH16">
        <v>3</v>
      </c>
      <c r="AO16" t="s">
        <v>164</v>
      </c>
      <c r="AP16" t="s">
        <v>445</v>
      </c>
      <c r="AQ16" t="s">
        <v>1440</v>
      </c>
      <c r="AR16" t="s">
        <v>150</v>
      </c>
      <c r="AT16" t="s">
        <v>328</v>
      </c>
      <c r="AU16" t="s">
        <v>3320</v>
      </c>
      <c r="AW16" s="279">
        <v>43898</v>
      </c>
      <c r="AX16" s="279">
        <v>44136</v>
      </c>
      <c r="AY16" t="s">
        <v>150</v>
      </c>
      <c r="BE16" t="s">
        <v>3316</v>
      </c>
      <c r="BF16" s="279">
        <v>44872</v>
      </c>
      <c r="BG16" t="s">
        <v>150</v>
      </c>
      <c r="BH16" s="279">
        <v>45476</v>
      </c>
      <c r="BI16" t="s">
        <v>150</v>
      </c>
      <c r="BM16" s="279">
        <v>44543</v>
      </c>
      <c r="BN16" t="s">
        <v>16</v>
      </c>
      <c r="BO16">
        <v>22</v>
      </c>
      <c r="BP16">
        <v>14</v>
      </c>
      <c r="BQ16" t="s">
        <v>3321</v>
      </c>
      <c r="BR16">
        <v>3</v>
      </c>
      <c r="BS16">
        <v>2</v>
      </c>
      <c r="BY16" t="s">
        <v>3322</v>
      </c>
      <c r="CH16">
        <v>4</v>
      </c>
      <c r="CI16">
        <v>4</v>
      </c>
      <c r="CK16" t="s">
        <v>809</v>
      </c>
    </row>
    <row r="17" spans="1:89" x14ac:dyDescent="0.35">
      <c r="A17">
        <v>230</v>
      </c>
      <c r="B17" t="s">
        <v>3290</v>
      </c>
      <c r="C17" t="s">
        <v>3291</v>
      </c>
      <c r="D17" t="s">
        <v>3292</v>
      </c>
      <c r="E17" t="s">
        <v>3293</v>
      </c>
      <c r="F17" t="s">
        <v>24</v>
      </c>
      <c r="G17">
        <v>10</v>
      </c>
      <c r="H17" t="s">
        <v>52</v>
      </c>
      <c r="I17" t="s">
        <v>37</v>
      </c>
      <c r="J17" t="s">
        <v>3294</v>
      </c>
      <c r="K17" t="s">
        <v>3295</v>
      </c>
      <c r="L17" t="s">
        <v>45</v>
      </c>
      <c r="M17" t="s">
        <v>163</v>
      </c>
      <c r="O17" t="s">
        <v>1303</v>
      </c>
      <c r="P17" t="s">
        <v>1303</v>
      </c>
      <c r="R17" t="s">
        <v>3296</v>
      </c>
      <c r="S17" t="s">
        <v>3297</v>
      </c>
      <c r="T17" t="s">
        <v>3298</v>
      </c>
      <c r="U17" t="s">
        <v>3299</v>
      </c>
      <c r="V17" s="279">
        <v>31132</v>
      </c>
      <c r="W17" t="s">
        <v>3300</v>
      </c>
      <c r="X17" t="s">
        <v>179</v>
      </c>
      <c r="AB17" s="279">
        <v>44013</v>
      </c>
      <c r="AC17" s="279">
        <v>43891</v>
      </c>
      <c r="AE17" t="s">
        <v>3301</v>
      </c>
      <c r="AF17" t="s">
        <v>3302</v>
      </c>
      <c r="AG17" t="s">
        <v>3302</v>
      </c>
      <c r="AH17">
        <v>3</v>
      </c>
      <c r="AO17" t="s">
        <v>164</v>
      </c>
      <c r="AP17" t="s">
        <v>875</v>
      </c>
      <c r="AQ17" t="s">
        <v>3303</v>
      </c>
      <c r="AR17" t="s">
        <v>150</v>
      </c>
      <c r="AT17" t="s">
        <v>3304</v>
      </c>
      <c r="AU17" t="s">
        <v>3305</v>
      </c>
      <c r="AW17" s="279">
        <v>43897</v>
      </c>
      <c r="AX17" t="s">
        <v>3239</v>
      </c>
      <c r="AY17" t="s">
        <v>150</v>
      </c>
      <c r="AZ17" s="279">
        <v>44161</v>
      </c>
      <c r="BA17" s="279">
        <v>44214</v>
      </c>
      <c r="BE17" t="s">
        <v>3300</v>
      </c>
      <c r="BF17" s="279">
        <v>44872</v>
      </c>
      <c r="BG17" t="s">
        <v>150</v>
      </c>
      <c r="BH17" s="279">
        <v>45476</v>
      </c>
      <c r="BI17" t="s">
        <v>150</v>
      </c>
      <c r="BM17" s="279">
        <v>45188</v>
      </c>
      <c r="BN17" t="s">
        <v>16</v>
      </c>
      <c r="BO17">
        <v>43</v>
      </c>
      <c r="BP17" t="e">
        <v>#VALUE!</v>
      </c>
      <c r="BQ17" t="s">
        <v>3306</v>
      </c>
      <c r="BR17">
        <v>2</v>
      </c>
      <c r="BS17">
        <v>1</v>
      </c>
      <c r="BY17" t="s">
        <v>163</v>
      </c>
      <c r="CH17">
        <v>3</v>
      </c>
      <c r="CK17" t="s">
        <v>809</v>
      </c>
    </row>
    <row r="18" spans="1:89" x14ac:dyDescent="0.35">
      <c r="A18">
        <v>228</v>
      </c>
      <c r="B18" t="s">
        <v>3266</v>
      </c>
      <c r="C18" t="s">
        <v>629</v>
      </c>
      <c r="D18" t="s">
        <v>3267</v>
      </c>
      <c r="E18" t="s">
        <v>3268</v>
      </c>
      <c r="F18" t="s">
        <v>24</v>
      </c>
      <c r="G18">
        <v>10</v>
      </c>
      <c r="H18" t="s">
        <v>54</v>
      </c>
      <c r="I18" t="s">
        <v>31</v>
      </c>
      <c r="J18" t="s">
        <v>3269</v>
      </c>
      <c r="K18" t="s">
        <v>3270</v>
      </c>
      <c r="L18" t="s">
        <v>31</v>
      </c>
      <c r="M18" t="s">
        <v>150</v>
      </c>
      <c r="O18" t="s">
        <v>322</v>
      </c>
      <c r="P18" t="s">
        <v>322</v>
      </c>
      <c r="R18" t="s">
        <v>3271</v>
      </c>
      <c r="S18" t="s">
        <v>3272</v>
      </c>
      <c r="T18" t="s">
        <v>3273</v>
      </c>
      <c r="U18" t="s">
        <v>3274</v>
      </c>
      <c r="V18" s="279">
        <v>27816</v>
      </c>
      <c r="W18" t="s">
        <v>3275</v>
      </c>
      <c r="X18" t="s">
        <v>179</v>
      </c>
      <c r="AB18" s="279">
        <v>43955</v>
      </c>
      <c r="AC18" s="279">
        <v>43891</v>
      </c>
      <c r="AE18" t="s">
        <v>3276</v>
      </c>
      <c r="AH18">
        <v>1</v>
      </c>
      <c r="AO18" t="s">
        <v>164</v>
      </c>
      <c r="AP18" t="s">
        <v>1440</v>
      </c>
      <c r="AQ18" t="s">
        <v>250</v>
      </c>
      <c r="AR18" t="s">
        <v>150</v>
      </c>
      <c r="AT18" t="s">
        <v>328</v>
      </c>
      <c r="AU18" t="s">
        <v>3277</v>
      </c>
      <c r="AW18" s="279">
        <v>43906</v>
      </c>
      <c r="AX18" s="279">
        <v>44136</v>
      </c>
      <c r="AY18" t="s">
        <v>150</v>
      </c>
      <c r="BA18" s="279">
        <v>44600</v>
      </c>
      <c r="BE18" t="s">
        <v>3275</v>
      </c>
      <c r="BF18" s="279">
        <v>45061</v>
      </c>
      <c r="BG18" t="s">
        <v>163</v>
      </c>
      <c r="BH18" s="279">
        <v>45476</v>
      </c>
      <c r="BI18" t="s">
        <v>150</v>
      </c>
      <c r="BM18" s="279">
        <v>45717</v>
      </c>
      <c r="BN18" t="s">
        <v>16</v>
      </c>
      <c r="BO18">
        <v>60</v>
      </c>
      <c r="BP18" t="e">
        <v>#VALUE!</v>
      </c>
      <c r="BR18">
        <v>4</v>
      </c>
      <c r="BS18">
        <v>3</v>
      </c>
      <c r="BY18" t="s">
        <v>163</v>
      </c>
      <c r="CB18" s="279">
        <v>45566</v>
      </c>
      <c r="CC18" s="279">
        <v>45688</v>
      </c>
      <c r="CD18">
        <v>4</v>
      </c>
      <c r="CH18">
        <v>0</v>
      </c>
      <c r="CK18" t="s">
        <v>809</v>
      </c>
    </row>
    <row r="19" spans="1:89" x14ac:dyDescent="0.35">
      <c r="A19">
        <v>227</v>
      </c>
      <c r="B19" t="s">
        <v>3253</v>
      </c>
      <c r="C19" t="s">
        <v>3254</v>
      </c>
      <c r="D19" t="s">
        <v>3255</v>
      </c>
      <c r="E19" t="s">
        <v>3256</v>
      </c>
      <c r="F19" t="s">
        <v>24</v>
      </c>
      <c r="G19">
        <v>10</v>
      </c>
      <c r="H19" t="s">
        <v>59</v>
      </c>
      <c r="I19" t="s">
        <v>40</v>
      </c>
      <c r="J19" t="s">
        <v>559</v>
      </c>
      <c r="K19" t="s">
        <v>3257</v>
      </c>
      <c r="L19" t="s">
        <v>45</v>
      </c>
      <c r="M19" t="s">
        <v>163</v>
      </c>
      <c r="O19" t="s">
        <v>322</v>
      </c>
      <c r="P19" t="s">
        <v>322</v>
      </c>
      <c r="R19" t="s">
        <v>3258</v>
      </c>
      <c r="S19" t="s">
        <v>3259</v>
      </c>
      <c r="T19" t="s">
        <v>3260</v>
      </c>
      <c r="U19" t="s">
        <v>3261</v>
      </c>
      <c r="V19" s="279">
        <v>30155</v>
      </c>
      <c r="W19" t="s">
        <v>3262</v>
      </c>
      <c r="X19" t="s">
        <v>156</v>
      </c>
      <c r="AB19" s="279">
        <v>44089</v>
      </c>
      <c r="AC19" s="279">
        <v>43891</v>
      </c>
      <c r="AE19" t="s">
        <v>3263</v>
      </c>
      <c r="AF19" t="s">
        <v>3264</v>
      </c>
      <c r="AH19">
        <v>2</v>
      </c>
      <c r="AO19" t="s">
        <v>959</v>
      </c>
      <c r="AP19" t="s">
        <v>593</v>
      </c>
      <c r="AT19" t="s">
        <v>1266</v>
      </c>
      <c r="AU19" t="s">
        <v>3265</v>
      </c>
      <c r="AW19" s="279">
        <v>43895</v>
      </c>
      <c r="AX19" t="s">
        <v>3239</v>
      </c>
      <c r="AY19" t="s">
        <v>150</v>
      </c>
      <c r="AZ19" s="279">
        <v>44309</v>
      </c>
      <c r="BA19" s="279">
        <v>44474</v>
      </c>
      <c r="BE19" t="s">
        <v>3262</v>
      </c>
      <c r="BF19" s="279">
        <v>44872</v>
      </c>
      <c r="BG19" t="s">
        <v>150</v>
      </c>
      <c r="BH19" s="279">
        <v>45476</v>
      </c>
      <c r="BI19" t="s">
        <v>150</v>
      </c>
      <c r="BK19" s="279">
        <v>45597</v>
      </c>
      <c r="BM19" s="279">
        <v>45990</v>
      </c>
      <c r="BN19" t="s">
        <v>16</v>
      </c>
      <c r="BQ19" t="s">
        <v>4114</v>
      </c>
      <c r="BR19">
        <v>15</v>
      </c>
      <c r="BS19">
        <v>4</v>
      </c>
      <c r="BY19" t="s">
        <v>163</v>
      </c>
      <c r="CH19">
        <v>0</v>
      </c>
      <c r="CK19" t="s">
        <v>809</v>
      </c>
    </row>
    <row r="20" spans="1:89" x14ac:dyDescent="0.35">
      <c r="A20">
        <v>226</v>
      </c>
      <c r="B20" t="s">
        <v>3241</v>
      </c>
      <c r="C20" t="s">
        <v>3242</v>
      </c>
      <c r="E20" t="s">
        <v>3243</v>
      </c>
      <c r="F20" t="s">
        <v>24</v>
      </c>
      <c r="G20">
        <v>10</v>
      </c>
      <c r="H20" t="s">
        <v>55</v>
      </c>
      <c r="I20" t="s">
        <v>43</v>
      </c>
      <c r="J20" t="s">
        <v>602</v>
      </c>
      <c r="K20" t="s">
        <v>3244</v>
      </c>
      <c r="L20" t="s">
        <v>45</v>
      </c>
      <c r="M20" t="s">
        <v>163</v>
      </c>
      <c r="N20">
        <v>2477108</v>
      </c>
      <c r="O20" t="s">
        <v>151</v>
      </c>
      <c r="P20" t="s">
        <v>151</v>
      </c>
      <c r="R20" t="s">
        <v>3245</v>
      </c>
      <c r="S20" t="s">
        <v>3246</v>
      </c>
      <c r="T20" t="s">
        <v>3247</v>
      </c>
      <c r="U20" t="s">
        <v>3248</v>
      </c>
      <c r="V20" s="279">
        <v>31357</v>
      </c>
      <c r="W20" t="s">
        <v>3249</v>
      </c>
      <c r="X20" t="s">
        <v>179</v>
      </c>
      <c r="AB20" s="279">
        <v>43815</v>
      </c>
      <c r="AC20" s="279">
        <v>43891</v>
      </c>
      <c r="AE20" t="s">
        <v>3250</v>
      </c>
      <c r="AH20">
        <v>1</v>
      </c>
      <c r="AO20" t="s">
        <v>164</v>
      </c>
      <c r="AP20" t="s">
        <v>181</v>
      </c>
      <c r="AQ20" t="s">
        <v>181</v>
      </c>
      <c r="AR20" t="s">
        <v>163</v>
      </c>
      <c r="AS20" t="s">
        <v>3251</v>
      </c>
      <c r="AT20" t="s">
        <v>219</v>
      </c>
      <c r="AU20" t="s">
        <v>3252</v>
      </c>
      <c r="AW20" s="279">
        <v>43893</v>
      </c>
      <c r="AX20" t="s">
        <v>3239</v>
      </c>
      <c r="AY20" t="s">
        <v>150</v>
      </c>
      <c r="AZ20" s="279">
        <v>44111</v>
      </c>
      <c r="BA20" s="279">
        <v>44075</v>
      </c>
      <c r="BE20" t="s">
        <v>3249</v>
      </c>
      <c r="BF20" s="279">
        <v>44872</v>
      </c>
      <c r="BG20" t="s">
        <v>150</v>
      </c>
      <c r="BH20" s="279">
        <v>45476</v>
      </c>
      <c r="BI20" t="s">
        <v>150</v>
      </c>
      <c r="BJ20" s="279">
        <v>45747</v>
      </c>
      <c r="BM20" s="279">
        <v>45936</v>
      </c>
      <c r="BN20" t="s">
        <v>16</v>
      </c>
      <c r="BO20">
        <v>68</v>
      </c>
      <c r="BP20" t="e">
        <v>#VALUE!</v>
      </c>
      <c r="BR20">
        <v>1</v>
      </c>
      <c r="BS20">
        <v>2</v>
      </c>
      <c r="BY20" t="s">
        <v>163</v>
      </c>
      <c r="CB20" s="279">
        <v>45586</v>
      </c>
      <c r="CC20" s="279">
        <v>45716</v>
      </c>
      <c r="CD20">
        <v>4</v>
      </c>
      <c r="CH20">
        <v>0</v>
      </c>
      <c r="CK20" t="s">
        <v>809</v>
      </c>
    </row>
    <row r="21" spans="1:89" x14ac:dyDescent="0.35">
      <c r="A21">
        <v>225</v>
      </c>
      <c r="B21" t="s">
        <v>3228</v>
      </c>
      <c r="C21" t="s">
        <v>3229</v>
      </c>
      <c r="E21" t="s">
        <v>3230</v>
      </c>
      <c r="F21" t="s">
        <v>24</v>
      </c>
      <c r="G21">
        <v>10</v>
      </c>
      <c r="H21" t="s">
        <v>55</v>
      </c>
      <c r="I21" t="s">
        <v>43</v>
      </c>
      <c r="J21" t="s">
        <v>1421</v>
      </c>
      <c r="K21" t="s">
        <v>3231</v>
      </c>
      <c r="L21" t="s">
        <v>45</v>
      </c>
      <c r="M21" t="s">
        <v>163</v>
      </c>
      <c r="O21" t="s">
        <v>151</v>
      </c>
      <c r="P21" t="s">
        <v>151</v>
      </c>
      <c r="R21" t="s">
        <v>3232</v>
      </c>
      <c r="S21" t="s">
        <v>3233</v>
      </c>
      <c r="T21" t="s">
        <v>3234</v>
      </c>
      <c r="U21" t="s">
        <v>3235</v>
      </c>
      <c r="V21" s="279">
        <v>29346</v>
      </c>
      <c r="W21" t="s">
        <v>3236</v>
      </c>
      <c r="X21" t="s">
        <v>179</v>
      </c>
      <c r="AB21" s="279">
        <v>43861</v>
      </c>
      <c r="AC21" s="279">
        <v>43891</v>
      </c>
      <c r="AE21" t="s">
        <v>3237</v>
      </c>
      <c r="AH21">
        <v>1</v>
      </c>
      <c r="AO21" t="s">
        <v>164</v>
      </c>
      <c r="AP21" t="s">
        <v>181</v>
      </c>
      <c r="AQ21" t="s">
        <v>181</v>
      </c>
      <c r="AR21" t="s">
        <v>163</v>
      </c>
      <c r="AT21" t="s">
        <v>219</v>
      </c>
      <c r="AU21" t="s">
        <v>3238</v>
      </c>
      <c r="AW21" s="279">
        <v>43892</v>
      </c>
      <c r="AX21" t="s">
        <v>3239</v>
      </c>
      <c r="AY21" t="s">
        <v>150</v>
      </c>
      <c r="AZ21" s="279">
        <v>44452</v>
      </c>
      <c r="BA21" s="279">
        <v>44531</v>
      </c>
      <c r="BE21" t="s">
        <v>3236</v>
      </c>
      <c r="BF21" s="279">
        <v>44872</v>
      </c>
      <c r="BG21" t="s">
        <v>150</v>
      </c>
      <c r="BH21" s="279">
        <v>45476</v>
      </c>
      <c r="BI21" t="s">
        <v>150</v>
      </c>
      <c r="BM21" s="279">
        <v>45538</v>
      </c>
      <c r="BN21" t="s">
        <v>16</v>
      </c>
      <c r="BO21">
        <v>55</v>
      </c>
      <c r="BP21" t="e">
        <v>#VALUE!</v>
      </c>
      <c r="BQ21" t="s">
        <v>3240</v>
      </c>
      <c r="BR21">
        <v>0</v>
      </c>
      <c r="BY21" t="s">
        <v>163</v>
      </c>
      <c r="CH21">
        <v>3</v>
      </c>
      <c r="CK21" t="s">
        <v>809</v>
      </c>
    </row>
    <row r="22" spans="1:89" x14ac:dyDescent="0.35">
      <c r="A22">
        <v>249</v>
      </c>
      <c r="B22" t="s">
        <v>3554</v>
      </c>
      <c r="C22" t="s">
        <v>3555</v>
      </c>
      <c r="D22" t="s">
        <v>3556</v>
      </c>
      <c r="E22" t="s">
        <v>933</v>
      </c>
      <c r="F22" t="s">
        <v>25</v>
      </c>
      <c r="G22">
        <v>10</v>
      </c>
      <c r="H22" t="s">
        <v>54</v>
      </c>
      <c r="I22" t="s">
        <v>39</v>
      </c>
      <c r="J22" t="s">
        <v>3557</v>
      </c>
      <c r="K22" t="s">
        <v>290</v>
      </c>
      <c r="L22" t="s">
        <v>45</v>
      </c>
      <c r="M22" t="s">
        <v>163</v>
      </c>
      <c r="O22" t="s">
        <v>151</v>
      </c>
      <c r="P22" t="s">
        <v>151</v>
      </c>
      <c r="R22" t="s">
        <v>3558</v>
      </c>
      <c r="S22" t="s">
        <v>3559</v>
      </c>
      <c r="T22" t="s">
        <v>3560</v>
      </c>
      <c r="U22" t="s">
        <v>789</v>
      </c>
      <c r="V22" s="279">
        <v>30185</v>
      </c>
      <c r="W22" t="s">
        <v>3561</v>
      </c>
      <c r="X22" t="s">
        <v>179</v>
      </c>
      <c r="AB22" s="279">
        <v>44622</v>
      </c>
      <c r="AC22" s="279">
        <v>43891</v>
      </c>
      <c r="AE22" t="s">
        <v>3562</v>
      </c>
      <c r="AF22" t="s">
        <v>3563</v>
      </c>
      <c r="AH22">
        <v>2</v>
      </c>
      <c r="AO22" t="s">
        <v>164</v>
      </c>
      <c r="AP22" t="s">
        <v>1440</v>
      </c>
      <c r="AQ22" t="s">
        <v>250</v>
      </c>
      <c r="AR22" t="s">
        <v>150</v>
      </c>
      <c r="AT22" t="s">
        <v>285</v>
      </c>
      <c r="AU22" t="s">
        <v>3564</v>
      </c>
      <c r="AW22" s="279">
        <v>43915</v>
      </c>
      <c r="AX22" t="s">
        <v>3239</v>
      </c>
      <c r="AY22" t="s">
        <v>150</v>
      </c>
      <c r="AZ22" s="279">
        <v>44797</v>
      </c>
      <c r="BA22" s="279">
        <v>44839</v>
      </c>
      <c r="BE22" t="s">
        <v>3561</v>
      </c>
      <c r="BF22" s="279">
        <v>44872</v>
      </c>
      <c r="BG22" t="s">
        <v>150</v>
      </c>
      <c r="BH22" s="279">
        <v>45476</v>
      </c>
      <c r="BI22" t="s">
        <v>150</v>
      </c>
      <c r="BN22" t="s">
        <v>17</v>
      </c>
      <c r="BR22">
        <v>12</v>
      </c>
      <c r="BS22">
        <v>11</v>
      </c>
      <c r="BY22" t="s">
        <v>163</v>
      </c>
      <c r="CH22">
        <v>2</v>
      </c>
      <c r="CK22" t="s">
        <v>809</v>
      </c>
    </row>
    <row r="23" spans="1:89" x14ac:dyDescent="0.35">
      <c r="A23">
        <v>242</v>
      </c>
      <c r="B23" t="s">
        <v>3460</v>
      </c>
      <c r="C23" t="s">
        <v>3461</v>
      </c>
      <c r="D23" t="s">
        <v>3462</v>
      </c>
      <c r="E23" t="s">
        <v>3463</v>
      </c>
      <c r="F23" t="s">
        <v>24</v>
      </c>
      <c r="G23">
        <v>10</v>
      </c>
      <c r="H23" t="s">
        <v>54</v>
      </c>
      <c r="I23" t="s">
        <v>31</v>
      </c>
      <c r="J23" t="s">
        <v>3464</v>
      </c>
      <c r="K23" t="s">
        <v>3465</v>
      </c>
      <c r="L23" t="s">
        <v>42</v>
      </c>
      <c r="M23" t="s">
        <v>163</v>
      </c>
      <c r="O23" t="s">
        <v>322</v>
      </c>
      <c r="P23" t="s">
        <v>3466</v>
      </c>
      <c r="R23" t="s">
        <v>3467</v>
      </c>
      <c r="S23" t="s">
        <v>3468</v>
      </c>
      <c r="T23" t="s">
        <v>3469</v>
      </c>
      <c r="U23" t="s">
        <v>3470</v>
      </c>
      <c r="V23" s="279">
        <v>28305</v>
      </c>
      <c r="W23" t="s">
        <v>3471</v>
      </c>
      <c r="X23" t="s">
        <v>2498</v>
      </c>
      <c r="AB23" s="279">
        <v>44432</v>
      </c>
      <c r="AC23" s="279">
        <v>43891</v>
      </c>
      <c r="AE23" t="s">
        <v>3472</v>
      </c>
      <c r="AF23" t="s">
        <v>3473</v>
      </c>
      <c r="AH23">
        <v>2</v>
      </c>
      <c r="AO23" t="s">
        <v>164</v>
      </c>
      <c r="AP23" t="s">
        <v>1440</v>
      </c>
      <c r="AQ23" t="s">
        <v>250</v>
      </c>
      <c r="AR23" t="s">
        <v>150</v>
      </c>
      <c r="AT23" t="s">
        <v>328</v>
      </c>
      <c r="AU23" t="s">
        <v>3474</v>
      </c>
      <c r="AW23" s="279">
        <v>43916</v>
      </c>
      <c r="AX23" t="s">
        <v>3239</v>
      </c>
      <c r="AY23" t="s">
        <v>150</v>
      </c>
      <c r="BE23" t="s">
        <v>3471</v>
      </c>
      <c r="BF23" s="279">
        <v>44872</v>
      </c>
      <c r="BG23" t="s">
        <v>150</v>
      </c>
      <c r="BH23" s="279">
        <v>45476</v>
      </c>
      <c r="BI23" t="s">
        <v>150</v>
      </c>
      <c r="BN23" t="s">
        <v>17</v>
      </c>
      <c r="BR23">
        <v>6</v>
      </c>
      <c r="BS23">
        <v>5</v>
      </c>
      <c r="BY23" t="s">
        <v>163</v>
      </c>
      <c r="CH23">
        <v>0</v>
      </c>
      <c r="CK23" t="s">
        <v>809</v>
      </c>
    </row>
    <row r="24" spans="1:89" x14ac:dyDescent="0.35">
      <c r="A24">
        <v>241</v>
      </c>
      <c r="B24" t="s">
        <v>3447</v>
      </c>
      <c r="C24" t="s">
        <v>3448</v>
      </c>
      <c r="D24" t="s">
        <v>3449</v>
      </c>
      <c r="E24" t="s">
        <v>3450</v>
      </c>
      <c r="F24" t="s">
        <v>24</v>
      </c>
      <c r="G24">
        <v>10</v>
      </c>
      <c r="H24" t="s">
        <v>53</v>
      </c>
      <c r="I24" t="s">
        <v>46</v>
      </c>
      <c r="J24" t="s">
        <v>3451</v>
      </c>
      <c r="K24" t="s">
        <v>2272</v>
      </c>
      <c r="L24" t="s">
        <v>45</v>
      </c>
      <c r="M24" t="s">
        <v>150</v>
      </c>
      <c r="O24" t="s">
        <v>322</v>
      </c>
      <c r="P24" t="s">
        <v>322</v>
      </c>
      <c r="R24" t="s">
        <v>3452</v>
      </c>
      <c r="S24" t="s">
        <v>3453</v>
      </c>
      <c r="T24" t="s">
        <v>3454</v>
      </c>
      <c r="U24" t="s">
        <v>3455</v>
      </c>
      <c r="V24" s="279">
        <v>33810</v>
      </c>
      <c r="W24" t="s">
        <v>3456</v>
      </c>
      <c r="X24" t="s">
        <v>179</v>
      </c>
      <c r="AB24" s="279">
        <v>44479</v>
      </c>
      <c r="AC24" s="279">
        <v>43891</v>
      </c>
      <c r="AE24" t="s">
        <v>3457</v>
      </c>
      <c r="AF24" t="s">
        <v>3458</v>
      </c>
      <c r="AH24">
        <v>2</v>
      </c>
      <c r="AO24" t="s">
        <v>164</v>
      </c>
      <c r="AP24" t="s">
        <v>203</v>
      </c>
      <c r="AQ24" t="s">
        <v>203</v>
      </c>
      <c r="AT24" t="s">
        <v>298</v>
      </c>
      <c r="AU24" t="s">
        <v>3459</v>
      </c>
      <c r="AW24" s="279">
        <v>43914</v>
      </c>
      <c r="AX24" t="s">
        <v>3239</v>
      </c>
      <c r="AY24" t="s">
        <v>150</v>
      </c>
      <c r="BE24" t="s">
        <v>3456</v>
      </c>
      <c r="BF24" s="279">
        <v>45061</v>
      </c>
      <c r="BG24" t="s">
        <v>163</v>
      </c>
      <c r="BH24" s="279">
        <v>45476</v>
      </c>
      <c r="BI24" t="s">
        <v>150</v>
      </c>
      <c r="BN24" t="s">
        <v>17</v>
      </c>
      <c r="BR24">
        <v>1</v>
      </c>
      <c r="BS24">
        <v>0</v>
      </c>
      <c r="BY24" t="s">
        <v>163</v>
      </c>
      <c r="CH24">
        <v>0</v>
      </c>
      <c r="CK24" t="s">
        <v>809</v>
      </c>
    </row>
    <row r="25" spans="1:89" x14ac:dyDescent="0.35">
      <c r="A25">
        <v>240</v>
      </c>
      <c r="B25" t="s">
        <v>3433</v>
      </c>
      <c r="C25" t="s">
        <v>3434</v>
      </c>
      <c r="E25" t="s">
        <v>3435</v>
      </c>
      <c r="F25" t="s">
        <v>24</v>
      </c>
      <c r="G25">
        <v>10</v>
      </c>
      <c r="H25" t="s">
        <v>58</v>
      </c>
      <c r="I25" t="s">
        <v>45</v>
      </c>
      <c r="J25" t="s">
        <v>3436</v>
      </c>
      <c r="K25" t="s">
        <v>3437</v>
      </c>
      <c r="L25" t="s">
        <v>45</v>
      </c>
      <c r="M25" t="s">
        <v>150</v>
      </c>
      <c r="O25" t="s">
        <v>151</v>
      </c>
      <c r="P25" t="s">
        <v>151</v>
      </c>
      <c r="R25" t="s">
        <v>3438</v>
      </c>
      <c r="S25" t="s">
        <v>3439</v>
      </c>
      <c r="T25" t="s">
        <v>3440</v>
      </c>
      <c r="U25" t="s">
        <v>3441</v>
      </c>
      <c r="V25" s="279">
        <v>32413</v>
      </c>
      <c r="W25" t="s">
        <v>3442</v>
      </c>
      <c r="X25" t="s">
        <v>179</v>
      </c>
      <c r="AB25" s="279">
        <v>43678</v>
      </c>
      <c r="AC25" s="279">
        <v>43891</v>
      </c>
      <c r="AE25" t="s">
        <v>3443</v>
      </c>
      <c r="AF25" t="s">
        <v>3444</v>
      </c>
      <c r="AH25">
        <v>2</v>
      </c>
      <c r="AO25" t="s">
        <v>164</v>
      </c>
      <c r="AP25" t="s">
        <v>3445</v>
      </c>
      <c r="AQ25" t="s">
        <v>3445</v>
      </c>
      <c r="AT25" t="s">
        <v>372</v>
      </c>
      <c r="AU25" t="s">
        <v>3446</v>
      </c>
      <c r="AW25" s="279">
        <v>43913</v>
      </c>
      <c r="AX25" t="s">
        <v>3239</v>
      </c>
      <c r="AY25" t="s">
        <v>150</v>
      </c>
      <c r="AZ25" s="279">
        <v>44462</v>
      </c>
      <c r="BA25" s="279">
        <v>44505</v>
      </c>
      <c r="BE25" t="s">
        <v>3442</v>
      </c>
      <c r="BF25" s="279">
        <v>45061</v>
      </c>
      <c r="BG25" t="s">
        <v>163</v>
      </c>
      <c r="BH25" s="279">
        <v>45476</v>
      </c>
      <c r="BI25" t="s">
        <v>150</v>
      </c>
      <c r="BN25" t="s">
        <v>17</v>
      </c>
      <c r="BR25">
        <v>0</v>
      </c>
      <c r="BY25" t="s">
        <v>163</v>
      </c>
      <c r="CH25">
        <v>0</v>
      </c>
      <c r="CK25" t="s">
        <v>3401</v>
      </c>
    </row>
    <row r="26" spans="1:89" x14ac:dyDescent="0.35">
      <c r="A26">
        <v>235</v>
      </c>
      <c r="B26" t="s">
        <v>3361</v>
      </c>
      <c r="C26" t="s">
        <v>3362</v>
      </c>
      <c r="D26" t="s">
        <v>3363</v>
      </c>
      <c r="E26" t="s">
        <v>3364</v>
      </c>
      <c r="F26" t="s">
        <v>24</v>
      </c>
      <c r="G26">
        <v>10</v>
      </c>
      <c r="H26" t="s">
        <v>54</v>
      </c>
      <c r="I26" t="s">
        <v>39</v>
      </c>
      <c r="J26" t="s">
        <v>3365</v>
      </c>
      <c r="K26" t="s">
        <v>3366</v>
      </c>
      <c r="L26" t="s">
        <v>31</v>
      </c>
      <c r="M26" t="s">
        <v>163</v>
      </c>
      <c r="O26" t="s">
        <v>151</v>
      </c>
      <c r="P26" t="s">
        <v>151</v>
      </c>
      <c r="R26" t="s">
        <v>3367</v>
      </c>
      <c r="S26" t="s">
        <v>3368</v>
      </c>
      <c r="T26" t="s">
        <v>3369</v>
      </c>
      <c r="U26" t="s">
        <v>817</v>
      </c>
      <c r="V26" s="279">
        <v>27714</v>
      </c>
      <c r="W26" t="s">
        <v>3370</v>
      </c>
      <c r="X26" t="s">
        <v>156</v>
      </c>
      <c r="AB26" s="279">
        <v>44217</v>
      </c>
      <c r="AC26" s="279">
        <v>43891</v>
      </c>
      <c r="AE26" t="s">
        <v>3371</v>
      </c>
      <c r="AF26" t="s">
        <v>3372</v>
      </c>
      <c r="AH26">
        <v>2</v>
      </c>
      <c r="AO26" t="s">
        <v>182</v>
      </c>
      <c r="AP26" t="s">
        <v>250</v>
      </c>
      <c r="AQ26" t="s">
        <v>3373</v>
      </c>
      <c r="AR26" t="s">
        <v>150</v>
      </c>
      <c r="AT26" t="s">
        <v>285</v>
      </c>
      <c r="AU26" t="s">
        <v>3374</v>
      </c>
      <c r="AW26" s="279">
        <v>43910</v>
      </c>
      <c r="AX26" t="s">
        <v>3239</v>
      </c>
      <c r="AY26" t="s">
        <v>150</v>
      </c>
      <c r="AZ26" s="279">
        <v>44888</v>
      </c>
      <c r="BA26" s="279">
        <v>44780</v>
      </c>
      <c r="BE26" t="s">
        <v>3370</v>
      </c>
      <c r="BF26" s="279">
        <v>45061</v>
      </c>
      <c r="BG26" t="s">
        <v>163</v>
      </c>
      <c r="BH26" s="279">
        <v>45476</v>
      </c>
      <c r="BI26" t="s">
        <v>150</v>
      </c>
      <c r="BN26" t="s">
        <v>17</v>
      </c>
      <c r="BR26">
        <v>7</v>
      </c>
      <c r="BS26">
        <v>8</v>
      </c>
      <c r="BY26" t="s">
        <v>163</v>
      </c>
      <c r="CH26">
        <v>2</v>
      </c>
      <c r="CK26" t="s">
        <v>809</v>
      </c>
    </row>
    <row r="27" spans="1:89" x14ac:dyDescent="0.35">
      <c r="A27">
        <v>229</v>
      </c>
      <c r="B27" t="s">
        <v>3278</v>
      </c>
      <c r="C27" t="s">
        <v>3279</v>
      </c>
      <c r="D27" t="s">
        <v>3280</v>
      </c>
      <c r="E27" t="s">
        <v>3281</v>
      </c>
      <c r="F27" t="s">
        <v>24</v>
      </c>
      <c r="G27">
        <v>10</v>
      </c>
      <c r="H27" t="s">
        <v>53</v>
      </c>
      <c r="I27" t="s">
        <v>46</v>
      </c>
      <c r="J27" t="s">
        <v>1421</v>
      </c>
      <c r="K27" t="s">
        <v>3282</v>
      </c>
      <c r="L27" t="s">
        <v>45</v>
      </c>
      <c r="M27" t="s">
        <v>163</v>
      </c>
      <c r="O27" t="s">
        <v>151</v>
      </c>
      <c r="P27" t="s">
        <v>151</v>
      </c>
      <c r="R27" t="s">
        <v>3283</v>
      </c>
      <c r="S27" t="s">
        <v>3284</v>
      </c>
      <c r="T27" t="s">
        <v>3285</v>
      </c>
      <c r="U27" t="s">
        <v>3286</v>
      </c>
      <c r="V27" s="279">
        <v>29049</v>
      </c>
      <c r="W27" t="s">
        <v>3287</v>
      </c>
      <c r="X27" t="s">
        <v>156</v>
      </c>
      <c r="AB27" s="279">
        <v>44398</v>
      </c>
      <c r="AC27" s="279">
        <v>43891</v>
      </c>
      <c r="AE27" t="s">
        <v>2945</v>
      </c>
      <c r="AF27" t="s">
        <v>3288</v>
      </c>
      <c r="AH27">
        <v>2</v>
      </c>
      <c r="AO27" t="s">
        <v>164</v>
      </c>
      <c r="AP27" t="s">
        <v>250</v>
      </c>
      <c r="AQ27" t="s">
        <v>250</v>
      </c>
      <c r="AR27" t="s">
        <v>150</v>
      </c>
      <c r="AT27" t="s">
        <v>298</v>
      </c>
      <c r="AU27" t="s">
        <v>3289</v>
      </c>
      <c r="AW27" s="279">
        <v>43907</v>
      </c>
      <c r="AX27" t="s">
        <v>3239</v>
      </c>
      <c r="AY27" t="s">
        <v>150</v>
      </c>
      <c r="AZ27" s="279">
        <v>44596</v>
      </c>
      <c r="BA27" s="279">
        <v>44656</v>
      </c>
      <c r="BE27" t="s">
        <v>3287</v>
      </c>
      <c r="BF27" s="279">
        <v>44872</v>
      </c>
      <c r="BG27" t="s">
        <v>150</v>
      </c>
      <c r="BH27" s="279">
        <v>45476</v>
      </c>
      <c r="BI27" t="s">
        <v>150</v>
      </c>
      <c r="BN27" t="s">
        <v>17</v>
      </c>
      <c r="BR27">
        <v>1</v>
      </c>
      <c r="BS27">
        <v>6</v>
      </c>
      <c r="BY27" t="s">
        <v>163</v>
      </c>
      <c r="CH27">
        <v>3</v>
      </c>
      <c r="CK27" t="s">
        <v>809</v>
      </c>
    </row>
    <row r="28" spans="1:89" x14ac:dyDescent="0.35">
      <c r="A28">
        <v>232</v>
      </c>
      <c r="B28" t="s">
        <v>3323</v>
      </c>
      <c r="C28" t="s">
        <v>3324</v>
      </c>
      <c r="D28" t="s">
        <v>3325</v>
      </c>
      <c r="E28" t="s">
        <v>3326</v>
      </c>
      <c r="F28" t="s">
        <v>25</v>
      </c>
      <c r="G28">
        <v>10</v>
      </c>
      <c r="H28" t="s">
        <v>52</v>
      </c>
      <c r="I28" t="s">
        <v>42</v>
      </c>
      <c r="J28" t="s">
        <v>3327</v>
      </c>
      <c r="K28" t="s">
        <v>2290</v>
      </c>
      <c r="L28" t="s">
        <v>42</v>
      </c>
      <c r="M28" t="s">
        <v>150</v>
      </c>
      <c r="O28" t="s">
        <v>322</v>
      </c>
      <c r="P28" t="s">
        <v>322</v>
      </c>
      <c r="R28" t="s">
        <v>3328</v>
      </c>
      <c r="S28" t="s">
        <v>3329</v>
      </c>
      <c r="T28" t="s">
        <v>3330</v>
      </c>
      <c r="U28" t="s">
        <v>3331</v>
      </c>
      <c r="V28" s="279">
        <v>30207</v>
      </c>
      <c r="W28" t="s">
        <v>3332</v>
      </c>
      <c r="X28" t="s">
        <v>2379</v>
      </c>
      <c r="AC28" s="279">
        <v>43891</v>
      </c>
      <c r="AD28" s="279">
        <v>45107</v>
      </c>
      <c r="AE28" t="s">
        <v>3333</v>
      </c>
      <c r="AH28">
        <v>1</v>
      </c>
      <c r="AO28" t="s">
        <v>164</v>
      </c>
      <c r="AT28" t="s">
        <v>420</v>
      </c>
      <c r="AU28" t="s">
        <v>3334</v>
      </c>
      <c r="AW28" s="279">
        <v>43899</v>
      </c>
      <c r="AX28" s="279">
        <v>44136</v>
      </c>
      <c r="AY28" t="s">
        <v>150</v>
      </c>
      <c r="BE28" t="s">
        <v>3332</v>
      </c>
      <c r="BN28" t="s">
        <v>18</v>
      </c>
      <c r="BY28" t="s">
        <v>163</v>
      </c>
      <c r="CH28">
        <v>1</v>
      </c>
      <c r="CK28" t="s">
        <v>809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B62" zoomScale="72" zoomScaleNormal="72" workbookViewId="0">
      <selection activeCell="L77" sqref="L77"/>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109</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195</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29</v>
      </c>
      <c r="J11">
        <v>4</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195</v>
      </c>
      <c r="J20">
        <v>66</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18</v>
      </c>
      <c r="C39">
        <v>6</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195</v>
      </c>
      <c r="C42">
        <v>66</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18</v>
      </c>
      <c r="J77">
        <v>6</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195</v>
      </c>
      <c r="J80">
        <v>66</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6">
        <v>110</v>
      </c>
      <c r="C92" s="486">
        <v>14</v>
      </c>
      <c r="D92" s="486">
        <v>12</v>
      </c>
      <c r="E92" s="486">
        <v>136</v>
      </c>
    </row>
    <row r="93" spans="1:5" ht="14.5" x14ac:dyDescent="0.35">
      <c r="A93" s="41" t="s">
        <v>25</v>
      </c>
      <c r="B93" s="486">
        <v>86</v>
      </c>
      <c r="C93" s="486">
        <v>10</v>
      </c>
      <c r="D93" s="486">
        <v>13</v>
      </c>
      <c r="E93" s="486">
        <v>109</v>
      </c>
    </row>
    <row r="94" spans="1:5" ht="14.5" x14ac:dyDescent="0.35">
      <c r="A94" s="41" t="s">
        <v>19</v>
      </c>
      <c r="B94" s="486">
        <v>196</v>
      </c>
      <c r="C94" s="486">
        <v>24</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zoomScaleNormal="100" workbookViewId="0">
      <pane ySplit="1" topLeftCell="A146" activePane="bottomLeft" state="frozen"/>
      <selection pane="bottomLeft" activeCell="E149" sqref="E149"/>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8.81640625" bestFit="1" customWidth="1"/>
    <col min="2"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Sheet2</vt:lpstr>
      <vt:lpstr>Sheet3</vt:lpstr>
      <vt:lpstr>Detail1</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2026-06-19T08:17:26Z</dcterms:modified>
  <cp:category/>
  <cp:contentStatus/>
</cp:coreProperties>
</file>
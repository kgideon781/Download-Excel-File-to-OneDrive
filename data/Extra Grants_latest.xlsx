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513" documentId="13_ncr:1_{D015934C-5C8D-463B-9777-448ADC1EE7B3}" xr6:coauthVersionLast="47" xr6:coauthVersionMax="47" xr10:uidLastSave="{CE896340-0B1E-4C54-97FE-CE02BA919214}"/>
  <bookViews>
    <workbookView xWindow="-110" yWindow="-110" windowWidth="19420" windowHeight="10300" firstSheet="1" activeTab="1" xr2:uid="{00000000-000D-0000-FFFF-FFFF00000000}"/>
  </bookViews>
  <sheets>
    <sheet name="Dashboard" sheetId="12" r:id="rId1"/>
    <sheet name="Extra Grants" sheetId="1" r:id="rId2"/>
    <sheet name="Per fellow" sheetId="16" r:id="rId3"/>
    <sheet name="Analysis" sheetId="7" r:id="rId4"/>
    <sheet name="Year" sheetId="15" r:id="rId5"/>
    <sheet name="Period" sheetId="14" r:id="rId6"/>
  </sheets>
  <definedNames>
    <definedName name="_xlnm._FilterDatabase" localSheetId="1" hidden="1">'Extra Grants'!$A$1:$T$501</definedName>
  </definedNames>
  <calcPr calcId="191028"/>
  <pivotCaches>
    <pivotCache cacheId="21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01" i="1" l="1"/>
  <c r="H500" i="1" l="1"/>
  <c r="H499" i="1"/>
  <c r="H498" i="1"/>
  <c r="H497" i="1"/>
  <c r="H496" i="1"/>
  <c r="H495" i="1"/>
  <c r="H494" i="1"/>
  <c r="H493" i="1"/>
  <c r="H492" i="1"/>
  <c r="H49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alcChain>
</file>

<file path=xl/sharedStrings.xml><?xml version="1.0" encoding="utf-8"?>
<sst xmlns="http://schemas.openxmlformats.org/spreadsheetml/2006/main" count="7001" uniqueCount="1765">
  <si>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</si>
  <si>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</si>
  <si>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</si>
  <si>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</si>
  <si>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</si>
  <si>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</si>
  <si>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</si>
  <si>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</si>
  <si>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</si>
  <si>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</si>
  <si>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</si>
  <si>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</si>
  <si>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</si>
  <si>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</si>
  <si>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</si>
  <si>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</si>
  <si>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</si>
  <si>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</si>
  <si>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</si>
  <si>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</si>
  <si>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</si>
  <si>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</si>
  <si>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</si>
  <si>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</si>
  <si>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</si>
  <si>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</si>
  <si>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</si>
  <si>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</si>
  <si>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</si>
  <si>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</si>
  <si>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</si>
  <si>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</si>
  <si>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</si>
  <si>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</si>
  <si>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</si>
  <si>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</si>
  <si>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</si>
  <si>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</si>
  <si>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</si>
  <si>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</si>
  <si>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</si>
  <si>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</si>
  <si>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</si>
  <si>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</si>
  <si>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</si>
  <si>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</si>
  <si>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</si>
  <si>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</si>
  <si>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</si>
  <si>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</si>
  <si>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</si>
  <si>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</si>
  <si>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</si>
  <si>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</si>
  <si>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</si>
  <si>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</si>
  <si>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</si>
  <si>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</si>
  <si>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</si>
  <si>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</si>
  <si>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</si>
  <si>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</si>
  <si>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</si>
  <si>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</si>
  <si>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</si>
  <si>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</si>
  <si>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</si>
  <si>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</si>
  <si>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</si>
  <si>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</si>
  <si>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</si>
  <si>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</si>
  <si>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</si>
  <si>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</si>
  <si>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</si>
  <si>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</si>
  <si>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</si>
  <si>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</si>
  <si>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</si>
  <si>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</si>
  <si>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</si>
  <si>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</si>
  <si>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</si>
  <si>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</si>
  <si>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</si>
  <si>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</si>
  <si>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</si>
  <si>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</si>
  <si>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</si>
  <si>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</si>
  <si>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</si>
  <si>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</si>
  <si>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</si>
  <si>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</si>
  <si>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</si>
  <si>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</si>
  <si>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</si>
  <si>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</si>
  <si>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</si>
  <si>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</si>
  <si>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</si>
  <si>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</si>
  <si>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</si>
  <si>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</si>
  <si>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</si>
  <si>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</si>
  <si>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</si>
  <si>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</si>
  <si>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</si>
  <si>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</si>
  <si>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</si>
  <si>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</si>
  <si>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</si>
  <si>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</si>
  <si>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</si>
  <si>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</si>
  <si>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</si>
  <si>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</si>
  <si>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</si>
  <si>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</si>
  <si>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</si>
  <si>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</si>
  <si>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</si>
  <si>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</si>
  <si>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</si>
  <si>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</si>
  <si>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</si>
  <si>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</si>
  <si>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</si>
  <si>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</si>
  <si>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</si>
  <si>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</si>
  <si>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</si>
  <si>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</si>
  <si>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</si>
  <si>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</si>
  <si>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</si>
  <si>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</si>
  <si>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</si>
  <si>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</si>
  <si>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</si>
  <si>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</si>
  <si>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</si>
  <si>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</si>
  <si>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</si>
  <si>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</si>
  <si>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</si>
  <si>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</si>
  <si>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</si>
  <si>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</si>
  <si>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</si>
  <si>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</si>
  <si>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</si>
  <si>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</si>
  <si>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</si>
  <si>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</si>
  <si>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</si>
  <si>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</si>
  <si>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</si>
  <si>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</si>
  <si>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</si>
  <si>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</si>
  <si>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</si>
  <si>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</si>
  <si>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</si>
  <si>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</si>
  <si>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</si>
  <si>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</si>
  <si>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</si>
  <si>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</si>
  <si>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</si>
  <si>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</si>
  <si>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</si>
  <si>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</si>
  <si>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</si>
  <si>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</si>
  <si>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</si>
  <si>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</si>
  <si>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</si>
  <si>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</si>
  <si>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</si>
  <si>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</si>
  <si>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</si>
  <si>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</si>
  <si>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</si>
  <si>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</si>
  <si>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</si>
  <si>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</si>
  <si>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</si>
  <si>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</si>
  <si>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</si>
  <si>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</si>
  <si>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</si>
  <si>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</si>
  <si>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</si>
  <si>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</si>
  <si>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</si>
  <si>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</si>
  <si>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</si>
  <si>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</si>
  <si>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</si>
  <si>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</si>
  <si>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</si>
  <si>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</si>
  <si>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</si>
  <si>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</si>
  <si>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</si>
  <si>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</si>
  <si>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</si>
  <si>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</si>
  <si>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</si>
  <si>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</si>
  <si>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</si>
  <si>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</si>
  <si>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</si>
  <si>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</si>
  <si>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</si>
  <si>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</si>
  <si>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</si>
  <si>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</si>
  <si>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</si>
  <si>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</si>
  <si>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</si>
  <si>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</si>
  <si>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</si>
  <si>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</si>
  <si>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</si>
  <si>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</si>
  <si>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</si>
  <si>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</si>
  <si>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</si>
  <si>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</si>
  <si>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</si>
  <si>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</si>
  <si>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</si>
  <si>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</si>
  <si>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</si>
  <si>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</si>
  <si>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</si>
  <si>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</si>
  <si>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</si>
  <si>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</si>
  <si>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</si>
  <si>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</si>
  <si>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</si>
  <si>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</si>
  <si>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</si>
  <si>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</si>
  <si>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</si>
  <si>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</si>
  <si>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</si>
  <si>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</si>
  <si>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</si>
  <si>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</si>
  <si>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</si>
  <si>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</si>
  <si>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</si>
  <si>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</si>
  <si>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</si>
  <si>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</si>
  <si>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</si>
  <si>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</si>
  <si>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</si>
  <si>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</si>
  <si>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</si>
  <si>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</si>
  <si>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</si>
  <si>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</si>
  <si>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</si>
  <si>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</si>
  <si>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</si>
  <si>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</si>
  <si>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</si>
  <si>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</si>
  <si>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</si>
  <si>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</si>
  <si>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</si>
  <si>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</si>
  <si>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</si>
  <si>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</si>
  <si>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</si>
  <si>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</si>
  <si>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</si>
  <si>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</si>
  <si>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</si>
  <si>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</si>
  <si>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</si>
  <si>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</si>
  <si>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</si>
  <si>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</si>
  <si>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</si>
  <si>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</si>
  <si>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</si>
  <si>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</si>
  <si>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</si>
  <si>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</si>
  <si>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</si>
  <si>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</si>
  <si>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</si>
  <si>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</si>
  <si>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</si>
  <si>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</si>
  <si>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</si>
  <si>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</si>
  <si>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</si>
  <si>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</si>
  <si>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</si>
  <si>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</si>
  <si>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</si>
  <si>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</si>
  <si>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</si>
  <si>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</si>
  <si>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</si>
  <si>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</si>
  <si>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</si>
  <si>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</si>
  <si>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</si>
  <si>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</si>
  <si>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</si>
  <si>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</si>
  <si>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</si>
  <si>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</si>
  <si>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</si>
  <si>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</si>
  <si>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</si>
  <si>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</si>
  <si>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</si>
  <si>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</si>
  <si>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</si>
  <si>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</si>
  <si>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</si>
  <si>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</si>
  <si>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</si>
  <si>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</si>
  <si>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</si>
  <si>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</si>
  <si>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</si>
  <si>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</si>
  <si>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</si>
  <si>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</si>
  <si>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</si>
  <si>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</si>
  <si>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</si>
  <si>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</si>
  <si>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</si>
  <si>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</si>
  <si>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</si>
  <si>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</si>
  <si>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</si>
  <si>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</si>
  <si>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</si>
  <si>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</si>
  <si>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</si>
  <si>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</si>
  <si>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</si>
  <si>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</si>
  <si>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</si>
  <si>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</si>
  <si>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</si>
  <si>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</si>
  <si>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</si>
  <si>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</si>
  <si>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</si>
  <si>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</si>
  <si>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</si>
  <si>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</si>
  <si>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</si>
  <si>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</si>
  <si>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</si>
  <si>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</si>
  <si>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</si>
  <si>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</si>
  <si>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</si>
  <si>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</si>
  <si>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</si>
  <si>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</si>
  <si>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</si>
  <si>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</si>
  <si>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</si>
  <si>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</si>
  <si>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</si>
  <si>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</si>
  <si>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</si>
  <si>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</si>
  <si>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</si>
  <si>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</si>
  <si>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</si>
  <si>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</si>
  <si>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</si>
  <si>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</si>
  <si>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</si>
  <si>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</si>
  <si>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</si>
  <si>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</si>
  <si>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</si>
  <si>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</si>
  <si>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</si>
  <si>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</si>
  <si>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</si>
  <si>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</si>
  <si>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</si>
  <si>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</si>
  <si>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</si>
  <si>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</si>
  <si>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</si>
  <si>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</si>
  <si>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</si>
  <si>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</si>
  <si>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</si>
  <si>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</si>
  <si>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</si>
  <si>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</si>
  <si>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</si>
  <si>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</si>
  <si>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</si>
  <si>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</si>
  <si>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</si>
  <si>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</si>
  <si>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</si>
  <si>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</si>
  <si>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</si>
  <si>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</si>
  <si>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</si>
  <si>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</si>
  <si>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</si>
  <si>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</si>
  <si>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</si>
  <si>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</si>
  <si>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</si>
  <si>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</si>
  <si>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</si>
  <si>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</si>
  <si>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</si>
  <si>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</si>
  <si>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</si>
  <si>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</si>
  <si>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</si>
  <si>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</si>
  <si>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</si>
  <si>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</si>
  <si>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</si>
  <si>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</si>
  <si>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</si>
  <si>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</si>
  <si>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</si>
  <si>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</si>
  <si>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</si>
  <si>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</si>
  <si>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</si>
  <si>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</si>
  <si>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</si>
  <si>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</si>
  <si>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</si>
  <si>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</si>
  <si>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</si>
  <si>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</si>
  <si>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</si>
  <si>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</si>
  <si>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</si>
  <si>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</si>
  <si>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</si>
  <si>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</si>
  <si>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</si>
  <si>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</si>
  <si>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</si>
  <si>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</si>
  <si>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</si>
  <si>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</si>
  <si>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</si>
  <si>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</si>
  <si>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</si>
  <si>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</si>
  <si>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</si>
  <si>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</si>
  <si>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</si>
  <si>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</si>
  <si>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</si>
  <si>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</si>
  <si>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</si>
  <si>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</si>
  <si>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</si>
  <si>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</si>
  <si>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</si>
  <si>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</si>
  <si>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</si>
  <si>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</si>
  <si>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</si>
  <si>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</si>
  <si>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</si>
  <si>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</si>
  <si>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</si>
  <si>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</si>
  <si>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</si>
  <si>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</si>
  <si>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</si>
  <si>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</si>
  <si>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</si>
  <si>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</si>
  <si>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</si>
  <si>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</si>
  <si>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</si>
  <si>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</si>
  <si>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</si>
  <si>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</si>
  <si>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</si>
  <si>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</si>
  <si>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</si>
  <si>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</si>
  <si>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</si>
  <si>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</si>
  <si>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</si>
  <si>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</si>
  <si>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</si>
  <si>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</si>
  <si>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</si>
  <si>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</si>
  <si>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</si>
  <si>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</si>
  <si>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</si>
  <si>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</si>
  <si>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</si>
  <si>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</si>
  <si>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</si>
  <si>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</si>
  <si>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</si>
  <si>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</si>
  <si>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</si>
  <si>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</si>
  <si>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</si>
  <si>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</si>
  <si>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</si>
  <si>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</si>
  <si>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</si>
  <si>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</si>
  <si>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</si>
  <si>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</si>
  <si>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</si>
  <si>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</si>
  <si>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</si>
  <si>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</si>
  <si>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</si>
  <si>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</si>
  <si>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</si>
  <si>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</si>
  <si>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</si>
  <si>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</si>
  <si>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</si>
  <si>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</si>
  <si>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</si>
  <si>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</si>
  <si>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</si>
  <si>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</si>
  <si>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</si>
  <si>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</si>
  <si>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</si>
  <si>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</si>
  <si>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</si>
  <si>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</si>
  <si>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</si>
  <si>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</si>
  <si>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</si>
  <si>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</si>
  <si>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</si>
  <si>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</si>
  <si>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</si>
  <si>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</si>
  <si>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</si>
  <si>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</si>
  <si>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</si>
  <si>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</si>
  <si>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</si>
  <si>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</si>
  <si>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</si>
  <si>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</si>
  <si>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</si>
  <si>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</si>
  <si>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</si>
  <si>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</si>
  <si>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</si>
  <si>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</si>
  <si>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</si>
  <si>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</si>
  <si>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</si>
  <si>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</si>
  <si>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</si>
  <si>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</si>
  <si>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</si>
  <si>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</si>
  <si>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</si>
  <si>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</si>
  <si>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</si>
  <si>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</si>
  <si>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</si>
  <si>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</si>
  <si>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</si>
  <si>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</si>
  <si>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</si>
  <si>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</si>
  <si>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</si>
  <si>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</si>
  <si>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</si>
  <si>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</si>
  <si>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</si>
  <si>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</si>
  <si>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</si>
  <si>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</si>
  <si>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</si>
  <si>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</si>
  <si>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</si>
  <si>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</si>
  <si>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</si>
  <si>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</si>
  <si>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</si>
  <si>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</si>
  <si>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</si>
  <si>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</si>
  <si>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</si>
  <si>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</si>
  <si>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</si>
  <si>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</si>
  <si>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</si>
  <si>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</si>
  <si>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</si>
  <si>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</si>
  <si>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</si>
  <si>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</si>
  <si>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</si>
  <si>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</si>
  <si>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</si>
  <si>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</si>
  <si>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</si>
  <si>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</si>
  <si>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</si>
  <si>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</si>
  <si>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</si>
  <si>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</si>
  <si>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</si>
  <si>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</si>
  <si>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</si>
  <si>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</si>
  <si>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</si>
  <si>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</si>
  <si>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</si>
  <si>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</si>
  <si>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</si>
  <si>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</si>
  <si>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</si>
  <si>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</si>
  <si>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</si>
  <si>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</si>
  <si>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</si>
  <si>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</si>
  <si>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</si>
  <si>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</si>
  <si>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</si>
  <si>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</si>
  <si>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</si>
  <si>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</si>
  <si>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</si>
  <si>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</si>
  <si>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</si>
  <si>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</si>
  <si>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</si>
  <si>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</si>
  <si>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</si>
  <si>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</si>
  <si>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</si>
  <si>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</si>
  <si>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</si>
  <si>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</si>
  <si>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</si>
  <si>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</si>
  <si>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</si>
  <si>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</si>
  <si>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</si>
  <si>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</si>
  <si>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</si>
  <si>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</si>
  <si>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</si>
  <si>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</si>
  <si>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</si>
  <si>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</si>
  <si>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</si>
  <si>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</si>
  <si>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</si>
  <si>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</si>
  <si>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</si>
  <si>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</si>
  <si>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</si>
  <si>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</si>
  <si>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</si>
  <si>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</si>
  <si>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</si>
  <si>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</si>
  <si>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</si>
  <si>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</si>
  <si>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</si>
  <si>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</si>
  <si>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</si>
  <si>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</si>
  <si>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</si>
  <si>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</si>
  <si>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</si>
  <si>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</si>
  <si>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</si>
  <si>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</si>
  <si>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</si>
  <si>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</si>
  <si>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</si>
  <si>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</si>
  <si>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</si>
  <si>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</si>
  <si>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</si>
  <si>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</si>
  <si>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</si>
  <si>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</si>
  <si>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</si>
  <si>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</si>
  <si>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</si>
  <si>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</si>
  <si>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</si>
  <si>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</si>
  <si>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</si>
  <si>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</si>
  <si>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</si>
  <si>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</si>
  <si>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</si>
  <si>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</si>
  <si>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</si>
  <si>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</si>
  <si>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</si>
  <si>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</si>
  <si>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</si>
  <si>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</si>
  <si>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</si>
  <si>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</si>
  <si>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</si>
  <si>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</si>
  <si>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</si>
  <si>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</si>
  <si>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</si>
  <si>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</si>
  <si>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</si>
  <si>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</si>
  <si>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</si>
  <si>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</si>
  <si>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</si>
  <si>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</si>
  <si>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</si>
  <si>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</si>
  <si>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</si>
  <si>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</si>
  <si>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</si>
  <si>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</si>
  <si>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</si>
  <si>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</si>
  <si>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</si>
  <si>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</si>
  <si>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</si>
  <si>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</si>
  <si>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</si>
  <si>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</si>
  <si>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</si>
  <si>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</si>
  <si>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</si>
  <si>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</si>
  <si>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</si>
  <si>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</si>
  <si>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</si>
  <si>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</si>
  <si>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</si>
  <si>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</si>
  <si>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</si>
  <si>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</si>
  <si>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</si>
  <si>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</si>
  <si>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</si>
  <si>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</si>
  <si>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</si>
  <si>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</si>
  <si>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</si>
  <si>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</si>
  <si>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</si>
  <si>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</si>
  <si>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</si>
  <si>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</si>
  <si>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</si>
  <si>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</si>
  <si>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</si>
  <si>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</si>
  <si>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</si>
  <si>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</si>
  <si>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</si>
  <si>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</si>
  <si>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</si>
  <si>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</si>
  <si>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</si>
  <si>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</si>
  <si>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</si>
  <si>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</si>
  <si>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</si>
  <si>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</si>
  <si>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</si>
  <si>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</si>
  <si>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</si>
  <si>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</si>
  <si>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</si>
  <si>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</si>
  <si>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</si>
  <si>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</si>
  <si>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</si>
  <si>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</si>
  <si>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</si>
  <si>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</si>
  <si>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</si>
  <si>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</si>
  <si>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</si>
  <si>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</si>
  <si>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</si>
  <si>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</si>
  <si>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</si>
  <si>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</si>
  <si>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</si>
  <si>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</si>
  <si>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</si>
  <si>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</si>
  <si>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</si>
  <si>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</si>
  <si>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</si>
  <si>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</si>
  <si>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</si>
  <si>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</si>
  <si>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</si>
  <si>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</si>
  <si>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</si>
  <si>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</si>
  <si>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</si>
  <si>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</si>
  <si>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</si>
  <si>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</si>
  <si>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</si>
  <si>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</si>
  <si>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</si>
  <si>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</si>
  <si>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</si>
  <si>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</si>
  <si>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</si>
  <si>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</si>
  <si>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</si>
  <si>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</si>
  <si>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</si>
  <si>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</si>
  <si>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</si>
  <si>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</si>
  <si>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</si>
  <si>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</si>
  <si>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</si>
  <si>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</si>
  <si>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</si>
  <si>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</si>
  <si>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</si>
  <si>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</si>
  <si>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</si>
  <si>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</si>
  <si>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</si>
  <si>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</si>
  <si>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</si>
  <si>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</si>
  <si>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</si>
  <si>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</si>
  <si>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</si>
  <si>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</si>
  <si>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</si>
  <si>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</si>
  <si>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</si>
  <si>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</si>
  <si>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</si>
  <si>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</si>
  <si>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</si>
  <si>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</si>
  <si>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</si>
  <si>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</si>
  <si>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</si>
  <si>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</si>
  <si>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</si>
  <si>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</si>
  <si>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</si>
  <si>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</si>
  <si>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</si>
  <si>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</si>
  <si>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</si>
  <si>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</si>
  <si>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</si>
  <si>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</si>
  <si>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</si>
  <si>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</si>
  <si>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</si>
  <si>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</si>
  <si>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</si>
  <si>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</si>
  <si>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</si>
  <si>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</si>
  <si>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</si>
  <si>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</si>
  <si>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</si>
  <si>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</si>
  <si>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</si>
  <si>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</si>
  <si>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</si>
  <si>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</si>
  <si>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</si>
  <si>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</si>
  <si>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</si>
  <si>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</si>
  <si>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</si>
  <si>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</si>
  <si>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</si>
  <si>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</si>
  <si>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</si>
  <si>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</si>
  <si>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</si>
  <si>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</si>
  <si>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</si>
  <si>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</si>
  <si>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</si>
  <si>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</si>
  <si>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</si>
  <si>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</si>
  <si>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</si>
  <si>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</si>
  <si>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</si>
  <si>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</si>
  <si>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</si>
  <si>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</si>
  <si>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</si>
  <si>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</si>
  <si>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</si>
  <si>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</si>
  <si>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</si>
  <si>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</si>
  <si>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</si>
  <si>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</si>
  <si>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</si>
  <si>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</si>
  <si>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</si>
  <si>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</si>
  <si>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</si>
  <si>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</si>
  <si>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</si>
  <si>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</si>
  <si>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</si>
  <si>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</si>
  <si>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</si>
  <si>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</si>
  <si>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</si>
  <si>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</si>
  <si>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</si>
  <si>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</si>
  <si>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</si>
  <si>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</si>
  <si>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</si>
  <si>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</si>
  <si>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</si>
  <si>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</si>
  <si>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</si>
  <si>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</si>
  <si>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</si>
  <si>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</si>
  <si>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</si>
  <si>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</si>
  <si>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</si>
  <si>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</si>
  <si>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</si>
  <si>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</si>
  <si>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</si>
  <si>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</si>
  <si>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</si>
  <si>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</si>
  <si>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</si>
  <si>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</si>
  <si>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</si>
  <si>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</si>
  <si>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</si>
  <si>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</si>
  <si>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</si>
  <si>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</si>
  <si>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</si>
  <si>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</si>
  <si>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</si>
  <si>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</si>
  <si>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</si>
  <si>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</si>
  <si>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</si>
  <si>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</si>
  <si>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</si>
  <si>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</si>
  <si>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</si>
  <si>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</si>
  <si>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</si>
  <si>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</si>
  <si>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</si>
  <si>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</si>
  <si>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</si>
  <si>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</si>
  <si>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</si>
  <si>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</si>
  <si>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</si>
  <si>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</si>
  <si>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</si>
  <si>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</si>
  <si>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</si>
  <si>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</si>
  <si>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</si>
  <si>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</si>
  <si>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</si>
  <si>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</si>
  <si>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</si>
  <si>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</si>
  <si>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</si>
  <si>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</si>
  <si>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</si>
  <si>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</si>
  <si>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</si>
  <si>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</si>
  <si>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</si>
  <si>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</si>
  <si>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</si>
  <si>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</si>
  <si>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</si>
  <si>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</si>
  <si>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</si>
  <si>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</si>
  <si>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</si>
  <si>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</si>
  <si>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</si>
  <si>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</si>
  <si>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</si>
  <si>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</si>
  <si>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</si>
  <si>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</si>
  <si>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</si>
  <si>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</si>
  <si>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</si>
  <si>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</si>
  <si>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</si>
  <si>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</si>
  <si>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</si>
  <si>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</si>
  <si>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</si>
  <si>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</si>
  <si>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</si>
  <si>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</si>
  <si>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</si>
  <si>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</si>
  <si>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</si>
  <si>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</si>
  <si>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</si>
  <si>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</si>
  <si>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</si>
  <si>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</si>
  <si>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</si>
  <si>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</si>
  <si>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</si>
  <si>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</si>
  <si>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</si>
  <si>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</si>
  <si>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</si>
  <si>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</si>
  <si>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</si>
  <si>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</si>
  <si>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</si>
  <si>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</si>
  <si>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</si>
  <si>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</si>
  <si>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</si>
  <si>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</si>
  <si>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</si>
  <si>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</si>
  <si>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</si>
  <si>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</si>
  <si>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</si>
  <si>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</si>
  <si>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</si>
  <si>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</si>
  <si>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</si>
  <si>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</si>
  <si>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</si>
  <si>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</si>
  <si>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</si>
  <si>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</si>
  <si>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</si>
  <si>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</si>
  <si>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</si>
  <si>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</si>
  <si>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</si>
  <si>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</si>
  <si>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</si>
  <si>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</si>
  <si>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</si>
  <si>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</si>
  <si>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</si>
  <si>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</si>
  <si>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</si>
  <si>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</si>
  <si>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</si>
  <si>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</si>
  <si>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</si>
  <si>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</si>
  <si>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</si>
  <si>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</si>
  <si>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</si>
  <si>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</si>
  <si>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</si>
  <si>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</si>
  <si>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</si>
  <si>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</si>
  <si>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</si>
  <si>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</si>
  <si>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</si>
  <si>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</si>
  <si>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</si>
  <si>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</si>
  <si>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</si>
  <si>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</si>
  <si>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</si>
  <si>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</si>
  <si>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</si>
  <si>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</si>
  <si>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</si>
  <si>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</si>
  <si>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</si>
  <si>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</si>
  <si>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</si>
  <si>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</si>
  <si>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</si>
  <si>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</si>
  <si>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</si>
  <si>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</si>
  <si>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</si>
  <si>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</si>
  <si>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</si>
  <si>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</si>
  <si>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</si>
  <si>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</si>
  <si>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</si>
  <si>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</si>
  <si>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</si>
  <si>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</si>
  <si>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</si>
  <si>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</si>
  <si>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</si>
  <si>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</si>
  <si>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</si>
  <si>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</si>
  <si>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</si>
  <si>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</si>
  <si>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</si>
  <si>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</si>
  <si>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</si>
  <si>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</si>
  <si>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</si>
  <si>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</si>
  <si>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</si>
  <si>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</si>
  <si>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</si>
  <si>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</si>
  <si>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</si>
  <si>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</si>
  <si>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</si>
  <si>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</si>
  <si>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</si>
  <si>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</si>
  <si>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</si>
  <si>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</si>
  <si>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</si>
  <si>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</si>
  <si>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</si>
  <si>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</si>
  <si>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</si>
  <si>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</si>
  <si>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</si>
  <si>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</si>
  <si>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</si>
  <si>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</si>
  <si>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</si>
  <si>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</si>
  <si>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</si>
  <si>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</si>
  <si>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</si>
  <si>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</si>
  <si>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</si>
  <si>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</si>
  <si>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</si>
  <si>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</si>
  <si>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</si>
  <si>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</si>
  <si>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</si>
  <si>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</si>
  <si>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</si>
  <si>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</si>
  <si>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</si>
  <si>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</si>
  <si>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</si>
  <si>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</si>
  <si>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</si>
  <si>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</si>
  <si>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</si>
  <si>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</si>
  <si>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</si>
  <si>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</si>
  <si>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</si>
  <si>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</si>
  <si>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</si>
  <si>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</si>
  <si>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</si>
  <si>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</si>
  <si>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</si>
  <si>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</si>
  <si>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</si>
  <si>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</si>
  <si>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</si>
  <si>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</si>
  <si>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</si>
  <si>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</si>
  <si>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</si>
  <si>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</si>
  <si>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</si>
  <si>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</si>
  <si>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</si>
  <si>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</si>
  <si>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</si>
  <si>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</si>
  <si>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</si>
  <si>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</si>
  <si>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</si>
  <si>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</si>
  <si>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</si>
  <si>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</si>
  <si>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</si>
  <si>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</si>
  <si>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</si>
  <si>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</si>
  <si>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</si>
  <si>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</si>
  <si>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</si>
  <si>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</si>
  <si>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</si>
  <si>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</si>
  <si>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</si>
  <si>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</si>
  <si>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</si>
  <si>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</si>
  <si>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</si>
  <si>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</si>
  <si>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</si>
  <si>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</si>
  <si>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</si>
  <si>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</si>
  <si>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</si>
  <si>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</si>
  <si>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</si>
  <si>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</si>
  <si>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</si>
  <si>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</si>
  <si>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</si>
  <si>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</si>
  <si>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</si>
  <si>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</si>
  <si>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</si>
  <si>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</si>
  <si>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</si>
  <si>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</si>
  <si>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</si>
  <si>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</si>
  <si>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</si>
  <si>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</si>
  <si>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</si>
  <si>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</si>
  <si>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</si>
  <si>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</si>
  <si>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</si>
  <si>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</si>
  <si>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</si>
  <si>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</si>
  <si>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</si>
  <si>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</si>
  <si>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</si>
  <si>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</si>
  <si>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</si>
  <si>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</si>
  <si>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</si>
  <si>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</si>
  <si>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</si>
  <si>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</si>
  <si>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</si>
  <si>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</si>
  <si>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</si>
  <si>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</si>
  <si>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</si>
  <si>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</si>
  <si>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</si>
  <si>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</si>
  <si>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</si>
  <si>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</si>
  <si>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</si>
  <si>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</si>
  <si>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</si>
  <si>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</si>
  <si>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</si>
  <si>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</si>
  <si>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</si>
  <si>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</si>
  <si>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</si>
  <si>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</si>
  <si>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</si>
  <si>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</si>
  <si>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</si>
  <si>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</si>
  <si>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</si>
  <si>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</si>
  <si>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</si>
  <si>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</si>
  <si>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</si>
  <si>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</si>
  <si>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</si>
  <si>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</si>
  <si>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</si>
  <si>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</si>
  <si>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</si>
  <si>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</si>
  <si>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</si>
  <si>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</si>
  <si>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</si>
  <si>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</si>
  <si>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</si>
  <si>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</si>
  <si>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</si>
  <si>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</si>
  <si>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</si>
  <si>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</si>
  <si>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</si>
  <si>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</si>
  <si>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</si>
  <si>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</si>
  <si>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</si>
  <si>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</si>
  <si>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</si>
  <si>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</si>
  <si>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</si>
  <si>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</si>
  <si>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</si>
  <si>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</si>
  <si>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</si>
  <si>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</si>
  <si>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</si>
  <si>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</si>
  <si>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</si>
  <si>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</si>
  <si>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</si>
  <si>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</si>
  <si>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</si>
  <si>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</si>
  <si>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</si>
  <si>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</si>
  <si>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</si>
  <si>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</si>
  <si>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</si>
  <si>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</si>
  <si>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</si>
  <si>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</si>
  <si>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</si>
  <si>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</si>
  <si>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</si>
  <si>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</si>
  <si>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</si>
  <si>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</si>
  <si>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</si>
  <si>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</si>
  <si>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</si>
  <si>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</si>
  <si>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</si>
  <si>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</si>
  <si>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</si>
  <si>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</si>
  <si>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</si>
  <si>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</si>
  <si>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</si>
  <si>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</si>
  <si>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</si>
  <si>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</si>
  <si>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</si>
  <si>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</si>
  <si>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</si>
  <si>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</si>
  <si>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</si>
  <si>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</si>
  <si>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</si>
  <si>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</si>
  <si>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</si>
  <si>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</si>
  <si>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</si>
  <si>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</si>
  <si>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</si>
  <si>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</si>
  <si>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</si>
  <si>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</si>
  <si>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</si>
  <si>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</si>
  <si>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</si>
  <si>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</si>
  <si>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</si>
  <si>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</si>
  <si>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</si>
  <si>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</si>
  <si>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</si>
  <si>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</si>
  <si>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</si>
  <si>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</si>
  <si>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</si>
  <si>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</si>
  <si>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</si>
  <si>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</si>
  <si>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</si>
  <si>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</si>
  <si>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</si>
  <si>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</si>
  <si>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</si>
  <si>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</si>
  <si>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</si>
  <si>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</si>
  <si>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</si>
  <si>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</si>
  <si>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</si>
  <si>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</si>
  <si>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</si>
  <si>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</si>
  <si>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</si>
  <si>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</si>
  <si>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</si>
  <si>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</si>
  <si>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</si>
  <si>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</si>
  <si>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</si>
  <si>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</si>
  <si>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</si>
  <si>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</si>
  <si>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</si>
  <si>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</si>
  <si>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</si>
  <si>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</si>
  <si>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</si>
  <si>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</si>
  <si>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</si>
  <si>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</si>
  <si>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</si>
  <si>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</si>
  <si>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</si>
  <si>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</si>
  <si>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</si>
  <si>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</si>
  <si>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</si>
  <si>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</si>
  <si>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</si>
  <si>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</si>
  <si>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</si>
  <si>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</si>
  <si>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</si>
  <si>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</si>
  <si>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</si>
  <si>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</si>
  <si>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</si>
  <si>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</si>
  <si>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</si>
  <si>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</si>
  <si>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</si>
  <si>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</si>
  <si>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</si>
  <si>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</si>
  <si>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</si>
  <si>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</si>
  <si>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</si>
  <si>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</si>
  <si>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</si>
  <si>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</si>
  <si>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</si>
  <si>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</si>
  <si>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</si>
  <si>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</si>
  <si>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</si>
  <si>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</si>
  <si>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</si>
  <si>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</si>
  <si>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</si>
  <si>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</si>
  <si>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</si>
  <si>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</si>
  <si>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</si>
  <si>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</si>
  <si>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</si>
  <si>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</si>
  <si>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</si>
  <si>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</si>
  <si>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</si>
  <si>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</si>
  <si>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</si>
  <si>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</si>
  <si>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</si>
  <si>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</si>
  <si>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</si>
  <si>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</si>
  <si>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</si>
  <si>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</si>
  <si>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</si>
  <si>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</si>
  <si>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</si>
  <si>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</si>
  <si>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</si>
  <si>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</si>
  <si>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</si>
  <si>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</si>
  <si>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</si>
  <si>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</si>
  <si>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</si>
  <si>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</si>
  <si>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</si>
  <si>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</si>
  <si>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</si>
  <si>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</si>
  <si>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</si>
  <si>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</si>
  <si>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</si>
  <si>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</si>
  <si>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</si>
  <si>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</si>
  <si>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</si>
  <si>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</si>
  <si>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</si>
  <si>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</si>
  <si>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</si>
  <si>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</si>
  <si>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</si>
  <si>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</si>
  <si>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</si>
  <si>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</si>
  <si>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</si>
  <si>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</si>
  <si>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</si>
  <si>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</si>
  <si>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</si>
  <si>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</si>
  <si>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</si>
  <si>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</si>
  <si>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</si>
  <si>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</si>
  <si>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</si>
  <si>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</si>
  <si>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</si>
  <si>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</si>
  <si>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</si>
  <si>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</si>
  <si>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</si>
  <si>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</si>
  <si>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</si>
  <si>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</si>
  <si>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</si>
  <si>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</si>
  <si>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</si>
  <si>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</si>
  <si>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</si>
  <si>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</si>
  <si>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</si>
  <si>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</si>
  <si>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</si>
  <si>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</si>
  <si>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</si>
  <si>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</si>
  <si>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</si>
  <si>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</si>
  <si>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</si>
  <si>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</si>
  <si>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</si>
  <si>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</si>
  <si>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</si>
  <si>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</si>
  <si>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</si>
  <si>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</si>
  <si>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</si>
  <si>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</si>
  <si>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</si>
  <si>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</si>
  <si>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</si>
  <si>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</si>
  <si>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</si>
  <si>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</si>
  <si>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</si>
  <si>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</si>
  <si>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</si>
  <si>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</si>
  <si>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</si>
  <si>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</si>
  <si>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</si>
  <si>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</si>
  <si>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</si>
  <si>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</si>
  <si>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</si>
  <si>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</si>
  <si>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</si>
  <si>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</si>
  <si>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</si>
  <si>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</si>
  <si>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</si>
  <si>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</si>
  <si>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</si>
  <si>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</si>
  <si>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</si>
  <si>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</si>
  <si>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</si>
  <si>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</si>
  <si>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</si>
  <si>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</si>
  <si>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</si>
  <si>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</si>
  <si>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</si>
  <si>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</si>
  <si>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</si>
  <si>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</si>
  <si>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</si>
  <si>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</si>
  <si>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</si>
  <si>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</si>
  <si>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</si>
  <si>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</si>
  <si>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</si>
  <si>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</si>
  <si>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</si>
  <si>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</si>
  <si>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</si>
  <si>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</si>
  <si>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</si>
  <si>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</si>
  <si>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</si>
  <si>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</si>
  <si>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</si>
  <si>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</si>
  <si>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</si>
  <si>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</si>
  <si>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</si>
  <si>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Knowledge Interchange &amp; Collaboration</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</si>
  <si>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</si>
  <si>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</si>
  <si>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</si>
  <si>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</si>
  <si>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</si>
  <si>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</si>
  <si>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</si>
  <si>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</si>
  <si>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</si>
  <si>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</si>
  <si>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</si>
  <si>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</si>
  <si>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</si>
  <si>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</si>
  <si>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</si>
  <si>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</si>
  <si>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</si>
  <si>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</si>
  <si>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</si>
  <si>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</si>
  <si>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</si>
  <si>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</si>
  <si>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</si>
  <si>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</si>
  <si>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</si>
  <si>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</si>
  <si>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</si>
  <si>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</si>
  <si>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</si>
  <si>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</si>
  <si>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</si>
  <si>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</si>
  <si>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</si>
  <si>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</si>
  <si>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</si>
  <si>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</si>
  <si>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</si>
  <si>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</si>
  <si>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</si>
  <si>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</si>
  <si>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</si>
  <si>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</si>
  <si>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</si>
  <si>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</si>
  <si>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</si>
  <si>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</si>
  <si>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</si>
  <si>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</si>
  <si>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</si>
  <si>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</si>
  <si>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</si>
  <si>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</si>
  <si>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</si>
  <si>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</si>
  <si>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</si>
  <si>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</si>
  <si>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 UK Department of Health and Social Care, through Tropical Health and Education Trust now Global Health Partnerships</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</si>
  <si>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</si>
  <si>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</si>
  <si>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</si>
  <si>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</si>
  <si>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</si>
  <si>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</si>
  <si>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</si>
  <si>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</si>
  <si>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</si>
  <si>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Period 1_2026</t>
  </si>
  <si>
    <t>German Alliance for Global Health Research (GLOHRA) 120,000 Euro 2025-2026</t>
  </si>
  <si>
    <t xml:space="preserve">The award focuses on the use of innovative blockchain technologies to improve the traceability and thus quality of herbal medicines along the entire value chain. Because of the innovation, multi-disciplinarity </t>
  </si>
  <si>
    <t>TETFUND Institution based Research grant</t>
  </si>
  <si>
    <t>TETFUND, Nigeria</t>
  </si>
  <si>
    <t>Laboratory Training on Testing of Antimicrobial Resistance in Bacteria from animals, Food and the Environment</t>
  </si>
  <si>
    <t>FAO</t>
  </si>
  <si>
    <t>This consutancy  aimed at providing A five-day regional training workshop on antimicrobial resistance (AMR) laboratory testing at the University of Nairobi.  and development of harmonized AMR TRAINING SOP FOR BROILERS. Participants came from Ethiopia, Tanzania Zambia and Zimbabwe. I was selected based on my expertise in veterinary microbiology, antimicrobial resistance (AMR) surveillance, and laboratory diagnostics, as well as my experience in laboratory capacity strengthening and training. My involvement in regional One Health AMR initiatives, laboratory quality assurance, and mentorship programmes provided the technical and practical experience needed to support the delivery of the regional AMR laboratory testing workshop for participants from Ethiopia, Tanzania, Zambia, and Zimbabwe.</t>
  </si>
  <si>
    <t>ARSH Seed Grant</t>
  </si>
  <si>
    <t>Afrique Research Southern Hub</t>
  </si>
  <si>
    <t>Waweru</t>
  </si>
  <si>
    <t xml:space="preserve">Samuel </t>
  </si>
  <si>
    <t>PSK</t>
  </si>
  <si>
    <t>Glenmark International</t>
  </si>
  <si>
    <t>Travel grant to annual PSK scientific conference.</t>
  </si>
  <si>
    <t>Family planning self-injection</t>
  </si>
  <si>
    <t>Rwanda Society of Obstetrician and Gynecologists</t>
  </si>
  <si>
    <t>I contributed in writing this grant</t>
  </si>
  <si>
    <t>C11/007</t>
  </si>
  <si>
    <t>Wuraola</t>
  </si>
  <si>
    <t>Olanike</t>
  </si>
  <si>
    <t>Breast Cancer Prevention and Early Detection/Subvention Project</t>
  </si>
  <si>
    <t>Canadian Institutes of Health Research-Institute of Cancer Research</t>
  </si>
  <si>
    <t>The ACTION Study: Addressing global inequalities in breast cancer genetic testing, counselling, and Management in Nigeria</t>
  </si>
  <si>
    <t>Training provided on grant writing was useful.</t>
  </si>
  <si>
    <t>C12/002</t>
  </si>
  <si>
    <t>Tsatsi-Mosala</t>
  </si>
  <si>
    <t>Itumeleng</t>
  </si>
  <si>
    <t>National Research Foundation (NRF) - FirstRand Empowerment Foundation (FREF): Black Academics Advancement Programme (BAAP)</t>
  </si>
  <si>
    <t>National Research Foundation (NRF) - FirstRand Empowerment Foundation (FREF)</t>
  </si>
  <si>
    <t>Informing the Design of an AI-Assisted Learning Tool for Culturally Responsive Clinical Reasoning in South African Occupational Therapy Education</t>
  </si>
  <si>
    <t>The BAAP application was submitted before I joined the CARTA programme; therefore, CARTA did not contribute to securing this grant. However, since joining CARTA, the training and mentorship provided through JAS 1 and the ESE:O programme have strengthened my capacity to maximise the opportunities afforded by the grant, particularly in advancing my research and academic development.</t>
  </si>
  <si>
    <t>University Staff Doctorate Programme</t>
  </si>
  <si>
    <t>Department of Higher Education</t>
  </si>
  <si>
    <t>The USDP application was submitted before I joined the CARTA programme; therefore, CARTA did not contribute to securing this grant. However, since joining CARTA, the training received through JAS 1 and the ESE:O programme has strengthened my research capacity, enabling me to make effective use of the opportunities provided by the fellowship.</t>
  </si>
  <si>
    <t>C12/013</t>
  </si>
  <si>
    <t>Mugure</t>
  </si>
  <si>
    <t>Nancy</t>
  </si>
  <si>
    <t>TranSforming InSTitutions to Advance women leadeRS in Science, Technology Engineering and Mathematics (SISTARS) PROJECT</t>
  </si>
  <si>
    <t>The International Development Research Centre IDRC</t>
  </si>
  <si>
    <t xml:space="preserve"> DELTAS Africa Career Advancement Fellowship </t>
  </si>
  <si>
    <t>Science for Africa  (SFA) Foundation</t>
  </si>
  <si>
    <t>At the human–livestock interface: A One Health investigation of zoonotic tuberculosis among pastoral communities and their cattle in Kajiado County-Kenya</t>
  </si>
  <si>
    <t>(All)</t>
  </si>
  <si>
    <t>Sum of Total amount in $</t>
  </si>
  <si>
    <t>Grand Total</t>
  </si>
  <si>
    <t>Disclaimer: up to 2016 the avaialable data is not disaggregated by institution, sex or type of grant</t>
  </si>
  <si>
    <t>Number of grants</t>
  </si>
  <si>
    <t>Count of Total amount in $</t>
  </si>
  <si>
    <t>(Multiple Items)</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</si>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</sst>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1">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sz val="9"/>
      <color theme="1"/>
      <name val="Helvetica"/>
      <charset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8" fillId="0" borderId="0"/>
  </cellStyleXfs>
  <cellXfs count="62">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0" fontId="0" fillId="0" borderId="7" xfId="0" applyBorder="1"/>
    <xf numFmtId="0" fontId="10" fillId="0" borderId="0" xfId="0" applyFont="1"/>
    <xf numFmtId="0" fontId="6" fillId="2" borderId="3" xfId="0" applyFont="1" applyFill="1" applyBorder="1"/>
    <xf numFmtId="14" fontId="6" fillId="0" borderId="1" xfId="0" applyNumberFormat="1" applyFont="1" applyBorder="1"/>
    <xf numFmtId="14" fontId="6" fillId="0" borderId="3" xfId="0" applyNumberFormat="1" applyFont="1" applyBorder="1"/>
  </cellXfs>
  <cellStyles count="3">
    <cellStyle name="Comma" xfId="1" builtinId="3"/>
    <cellStyle name="Normal" xfId="0" builtinId="0"/>
    <cellStyle name="Normal 3" xfId="2" xr:uid="{FAC1AA51-54F3-4413-88F9-D91D865C730C}"/>
  </cellStyles>
  <dxfs count="67">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6" formatCode="_-* #,##0_-;\-* #,##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Analysis!$A$8:$A$19</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Analysis!$B$8:$B$19</c:f>
              <c:numCache>
                <c:formatCode>_-* #,##0_-;\-* #,##0_-;_-* "-"??_-;_-@_-</c:formatCode>
                <c:ptCount val="11"/>
                <c:pt idx="0">
                  <c:v>0</c:v>
                </c:pt>
                <c:pt idx="1">
                  <c:v>5661940.9199999999</c:v>
                </c:pt>
                <c:pt idx="2">
                  <c:v>2672381.38</c:v>
                </c:pt>
                <c:pt idx="3">
                  <c:v>1370099.6</c:v>
                </c:pt>
                <c:pt idx="4">
                  <c:v>1211745.7</c:v>
                </c:pt>
                <c:pt idx="5">
                  <c:v>215315.16999999998</c:v>
                </c:pt>
                <c:pt idx="6">
                  <c:v>4319856.8</c:v>
                </c:pt>
                <c:pt idx="7">
                  <c:v>824411.5</c:v>
                </c:pt>
                <c:pt idx="8">
                  <c:v>2804451.46</c:v>
                </c:pt>
                <c:pt idx="9">
                  <c:v>921643.39</c:v>
                </c:pt>
                <c:pt idx="10">
                  <c:v>298628.84999999998</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Analysis!$A$8:$A$19</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Analysis!$C$8:$C$19</c:f>
              <c:numCache>
                <c:formatCode>_-* #,##0_-;\-* #,##0_-;_-* "-"??_-;_-@_-</c:formatCode>
                <c:ptCount val="11"/>
                <c:pt idx="0">
                  <c:v>108601</c:v>
                </c:pt>
                <c:pt idx="1">
                  <c:v>1927138.72</c:v>
                </c:pt>
                <c:pt idx="2">
                  <c:v>1065465.74</c:v>
                </c:pt>
                <c:pt idx="3">
                  <c:v>1789625.31</c:v>
                </c:pt>
                <c:pt idx="4">
                  <c:v>4566934.17</c:v>
                </c:pt>
                <c:pt idx="5">
                  <c:v>691492.67</c:v>
                </c:pt>
                <c:pt idx="6">
                  <c:v>2010009.76</c:v>
                </c:pt>
                <c:pt idx="7">
                  <c:v>5071327.75</c:v>
                </c:pt>
                <c:pt idx="8">
                  <c:v>3196178.52</c:v>
                </c:pt>
                <c:pt idx="9">
                  <c:v>406605</c:v>
                </c:pt>
                <c:pt idx="10">
                  <c:v>149000</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Analysis!$A$8:$A$19</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Analysis!$D$8:$D$19</c:f>
              <c:numCache>
                <c:formatCode>_-* #,##0_-;\-* #,##0_-;_-* "-"??_-;_-@_-</c:formatCode>
                <c:ptCount val="11"/>
                <c:pt idx="0">
                  <c:v>5227040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12</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Analysis!$A$143:$A$156</c:f>
              <c:strCache>
                <c:ptCount val="13"/>
                <c:pt idx="0">
                  <c:v>1</c:v>
                </c:pt>
                <c:pt idx="1">
                  <c:v>2</c:v>
                </c:pt>
                <c:pt idx="2">
                  <c:v>3</c:v>
                </c:pt>
                <c:pt idx="3">
                  <c:v>4</c:v>
                </c:pt>
                <c:pt idx="4">
                  <c:v>5</c:v>
                </c:pt>
                <c:pt idx="5">
                  <c:v>6</c:v>
                </c:pt>
                <c:pt idx="6">
                  <c:v>7</c:v>
                </c:pt>
                <c:pt idx="7">
                  <c:v>8</c:v>
                </c:pt>
                <c:pt idx="8">
                  <c:v>9</c:v>
                </c:pt>
                <c:pt idx="9">
                  <c:v>10</c:v>
                </c:pt>
                <c:pt idx="10">
                  <c:v>#VALUE!</c:v>
                </c:pt>
                <c:pt idx="11">
                  <c:v>11</c:v>
                </c:pt>
                <c:pt idx="12">
                  <c:v>12</c:v>
                </c:pt>
              </c:strCache>
            </c:strRef>
          </c:cat>
          <c:val>
            <c:numRef>
              <c:f>Analysis!$B$143:$B$156</c:f>
              <c:numCache>
                <c:formatCode>_-* #,##0_-;\-* #,##0_-;_-* "-"??_-;_-@_-</c:formatCode>
                <c:ptCount val="13"/>
                <c:pt idx="0">
                  <c:v>200820</c:v>
                </c:pt>
                <c:pt idx="1">
                  <c:v>5220000</c:v>
                </c:pt>
                <c:pt idx="2">
                  <c:v>1891542.58</c:v>
                </c:pt>
                <c:pt idx="3">
                  <c:v>1429257.07</c:v>
                </c:pt>
                <c:pt idx="4">
                  <c:v>1099645</c:v>
                </c:pt>
                <c:pt idx="5">
                  <c:v>1305809</c:v>
                </c:pt>
                <c:pt idx="6">
                  <c:v>5893149.79</c:v>
                </c:pt>
                <c:pt idx="7">
                  <c:v>2278968.54</c:v>
                </c:pt>
                <c:pt idx="8">
                  <c:v>333114.94999999995</c:v>
                </c:pt>
                <c:pt idx="9">
                  <c:v>416097.99</c:v>
                </c:pt>
                <c:pt idx="10">
                  <c:v>0</c:v>
                </c:pt>
                <c:pt idx="11">
                  <c:v>157500</c:v>
                </c:pt>
                <c:pt idx="12">
                  <c:v>74569.850000000006</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Analysis!$A$143:$A$156</c:f>
              <c:strCache>
                <c:ptCount val="13"/>
                <c:pt idx="0">
                  <c:v>1</c:v>
                </c:pt>
                <c:pt idx="1">
                  <c:v>2</c:v>
                </c:pt>
                <c:pt idx="2">
                  <c:v>3</c:v>
                </c:pt>
                <c:pt idx="3">
                  <c:v>4</c:v>
                </c:pt>
                <c:pt idx="4">
                  <c:v>5</c:v>
                </c:pt>
                <c:pt idx="5">
                  <c:v>6</c:v>
                </c:pt>
                <c:pt idx="6">
                  <c:v>7</c:v>
                </c:pt>
                <c:pt idx="7">
                  <c:v>8</c:v>
                </c:pt>
                <c:pt idx="8">
                  <c:v>9</c:v>
                </c:pt>
                <c:pt idx="9">
                  <c:v>10</c:v>
                </c:pt>
                <c:pt idx="10">
                  <c:v>#VALUE!</c:v>
                </c:pt>
                <c:pt idx="11">
                  <c:v>11</c:v>
                </c:pt>
                <c:pt idx="12">
                  <c:v>12</c:v>
                </c:pt>
              </c:strCache>
            </c:strRef>
          </c:cat>
          <c:val>
            <c:numRef>
              <c:f>Analysis!$C$143:$C$156</c:f>
              <c:numCache>
                <c:formatCode>_-* #,##0_-;\-* #,##0_-;_-* "-"??_-;_-@_-</c:formatCode>
                <c:ptCount val="13"/>
                <c:pt idx="0">
                  <c:v>252831.77000000002</c:v>
                </c:pt>
                <c:pt idx="1">
                  <c:v>792054</c:v>
                </c:pt>
                <c:pt idx="2">
                  <c:v>6212395.6400000006</c:v>
                </c:pt>
                <c:pt idx="3">
                  <c:v>1199294.73</c:v>
                </c:pt>
                <c:pt idx="4">
                  <c:v>5370609.6200000001</c:v>
                </c:pt>
                <c:pt idx="5">
                  <c:v>2136235.9900000002</c:v>
                </c:pt>
                <c:pt idx="6">
                  <c:v>408432.95</c:v>
                </c:pt>
                <c:pt idx="7">
                  <c:v>205557.72999999998</c:v>
                </c:pt>
                <c:pt idx="8">
                  <c:v>2789508.24</c:v>
                </c:pt>
                <c:pt idx="9">
                  <c:v>1615457.97</c:v>
                </c:pt>
                <c:pt idx="10">
                  <c:v>0</c:v>
                </c:pt>
                <c:pt idx="11">
                  <c:v>0</c:v>
                </c:pt>
                <c:pt idx="12">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Analysis!$A$143:$A$156</c:f>
              <c:strCache>
                <c:ptCount val="13"/>
                <c:pt idx="0">
                  <c:v>1</c:v>
                </c:pt>
                <c:pt idx="1">
                  <c:v>2</c:v>
                </c:pt>
                <c:pt idx="2">
                  <c:v>3</c:v>
                </c:pt>
                <c:pt idx="3">
                  <c:v>4</c:v>
                </c:pt>
                <c:pt idx="4">
                  <c:v>5</c:v>
                </c:pt>
                <c:pt idx="5">
                  <c:v>6</c:v>
                </c:pt>
                <c:pt idx="6">
                  <c:v>7</c:v>
                </c:pt>
                <c:pt idx="7">
                  <c:v>8</c:v>
                </c:pt>
                <c:pt idx="8">
                  <c:v>9</c:v>
                </c:pt>
                <c:pt idx="9">
                  <c:v>10</c:v>
                </c:pt>
                <c:pt idx="10">
                  <c:v>#VALUE!</c:v>
                </c:pt>
                <c:pt idx="11">
                  <c:v>11</c:v>
                </c:pt>
                <c:pt idx="12">
                  <c:v>12</c:v>
                </c:pt>
              </c:strCache>
            </c:strRef>
          </c:cat>
          <c:val>
            <c:numRef>
              <c:f>Analysis!$D$143:$D$156</c:f>
              <c:numCache>
                <c:formatCode>_-* #,##0_-;\-* #,##0_-;_-* "-"??_-;_-@_-</c:formatCode>
                <c:ptCount val="13"/>
                <c:pt idx="0">
                  <c:v>0</c:v>
                </c:pt>
                <c:pt idx="1">
                  <c:v>0</c:v>
                </c:pt>
                <c:pt idx="2">
                  <c:v>0</c:v>
                </c:pt>
                <c:pt idx="3">
                  <c:v>0</c:v>
                </c:pt>
                <c:pt idx="4">
                  <c:v>0</c:v>
                </c:pt>
                <c:pt idx="5">
                  <c:v>0</c:v>
                </c:pt>
                <c:pt idx="6">
                  <c:v>0</c:v>
                </c:pt>
                <c:pt idx="7">
                  <c:v>0</c:v>
                </c:pt>
                <c:pt idx="8">
                  <c:v>0</c:v>
                </c:pt>
                <c:pt idx="9">
                  <c:v>0</c:v>
                </c:pt>
                <c:pt idx="10">
                  <c:v>5227040</c:v>
                </c:pt>
                <c:pt idx="11">
                  <c:v>0</c:v>
                </c:pt>
                <c:pt idx="12">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20300474.770000003</c:v>
                </c:pt>
                <c:pt idx="1">
                  <c:v>20982378.639999997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4.431450578704" createdVersion="6" refreshedVersion="8" minRefreshableVersion="3" recordCount="500" xr:uid="{00000000-000A-0000-FFFF-FFFF00000000}">
  <cacheSource type="worksheet">
    <worksheetSource name="Table1"/>
  </cacheSource>
  <cacheFields count="25">
    <cacheField name="No." numFmtId="0">
      <sharedItems containsSemiMixedTypes="0" containsString="0" containsNumber="1" containsInteger="1" minValue="1" maxValue="501"/>
    </cacheField>
    <cacheField name="Reporting Period" numFmtId="0">
      <sharedItems containsBlank="1" count="34">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s v="Period 1_2026"/>
        <m u="1"/>
        <s v="Q1_2022" u="1"/>
      </sharedItems>
    </cacheField>
    <cacheField name="Unique ID" numFmtId="0">
      <sharedItems containsMixedTypes="1" containsNumber="1" containsInteger="1" minValue="2016" maxValue="2016" count="142">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 v="C11/007"/>
        <s v="C12/002"/>
        <s v="C12/013"/>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4">
        <e v="#VALUE!"/>
        <n v="4"/>
        <n v="7"/>
        <n v="6"/>
        <n v="5"/>
        <n v="1"/>
        <n v="3"/>
        <n v="8"/>
        <n v="9"/>
        <n v="2"/>
        <n v="10"/>
        <n v="11"/>
        <n v="12"/>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9">
        <m/>
        <s v="Conference grant"/>
        <s v="Scholarship"/>
        <s v="Research grant"/>
        <s v="Travel grant"/>
        <s v="Other"/>
        <s v="CPE grant"/>
        <s v="Scholarship grant"/>
        <s v="Consultancy"/>
        <s v="Research Award "/>
        <s v="Institutional Grant"/>
        <s v="Seed Grant"/>
        <s v="Global Health Partnerships Extension Grant "/>
        <s v="Infrastructure grant"/>
        <n v="2" u="1"/>
        <n v="12" u="1"/>
        <n v="1" u="1"/>
        <n v="6" u="1"/>
        <n v="24" u="1"/>
      </sharedItems>
    </cacheField>
    <cacheField name="Year" numFmtId="0">
      <sharedItems containsSemiMixedTypes="0" containsString="0" containsNumber="1" containsInteger="1" minValue="2016" maxValue="2026" count="11">
        <n v="2016"/>
        <n v="2017"/>
        <n v="2018"/>
        <n v="2019"/>
        <n v="2020"/>
        <n v="2021"/>
        <n v="2022"/>
        <n v="2023"/>
        <n v="2024"/>
        <n v="2025"/>
        <n v="2026"/>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7-14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5">
      <sharedItems containsNonDate="0" containsString="0"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m/>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Knowledge Interchange &amp; Collaboration"/>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3"/>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4"/>
    <x v="9"/>
    <m/>
    <x v="1"/>
    <d v="2025-09-05T00:00:00"/>
    <m/>
    <m/>
    <m/>
    <m/>
    <m/>
  </r>
  <r>
    <n v="481"/>
    <x v="30"/>
    <x v="93"/>
    <s v="Adeyinka"/>
    <s v="Olufolake"/>
    <s v="Adefolarin"/>
    <x v="2"/>
    <x v="6"/>
    <s v="University of Ibadan"/>
    <m/>
    <x v="3"/>
    <s v="TETFUND"/>
    <n v="27754"/>
    <s v="Federal Government of Nigeria"/>
    <n v="2"/>
    <x v="3"/>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m/>
    <s v="Henry"/>
    <x v="1"/>
    <x v="1"/>
    <s v="Makerere University"/>
    <m/>
    <x v="3"/>
    <s v="Research grant for evaluating CDC-supported HIV programming at sub-national level in Uganda"/>
    <n v="54000"/>
    <s v="Centers for Disease Control"/>
    <n v="12"/>
    <x v="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7"/>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3"/>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2"/>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3"/>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3"/>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r>
    <n v="491"/>
    <x v="31"/>
    <x v="29"/>
    <s v="Anywar "/>
    <s v="Upoki"/>
    <s v="Godwin"/>
    <x v="1"/>
    <x v="3"/>
    <s v="Makerere University"/>
    <m/>
    <x v="3"/>
    <s v="Research Grant"/>
    <n v="140000"/>
    <s v="German Alliance for Global Health Research (GLOHRA) 120,000 Euro 2025-2026"/>
    <n v="12"/>
    <x v="3"/>
    <x v="10"/>
    <m/>
    <x v="2"/>
    <d v="2026-01-05T00:00:00"/>
    <s v="Co-investigator"/>
    <m/>
    <m/>
    <s v="The award focuses on the use of innovative blockchain technologies to improve the traceability and thus quality of herbal medicines along the entire value chain. Because of the innovation, multi-disciplinarity "/>
    <m/>
  </r>
  <r>
    <n v="492"/>
    <x v="31"/>
    <x v="24"/>
    <s v="Lawal"/>
    <s v="Barakat"/>
    <s v="Folake"/>
    <x v="2"/>
    <x v="2"/>
    <s v="University of Ibadan"/>
    <m/>
    <x v="3"/>
    <s v="TETFUND Institution based Research grant"/>
    <n v="2800"/>
    <s v="TETFUND, Nigeria"/>
    <n v="12"/>
    <x v="3"/>
    <x v="10"/>
    <m/>
    <x v="2"/>
    <d v="2026-02-01T00:00:00"/>
    <s v="Principal Investigator"/>
    <m/>
    <m/>
    <s v=" "/>
    <m/>
  </r>
  <r>
    <n v="493"/>
    <x v="31"/>
    <x v="62"/>
    <s v="Mbindyo"/>
    <s v="Minoo"/>
    <s v="Christine"/>
    <x v="2"/>
    <x v="7"/>
    <s v="University of Nairobi"/>
    <m/>
    <x v="10"/>
    <s v="Laboratory Training on Testing of Antimicrobial Resistance in Bacteria from animals, Food and the Environment"/>
    <n v="18750"/>
    <s v="FAO"/>
    <n v="4"/>
    <x v="8"/>
    <x v="10"/>
    <m/>
    <x v="2"/>
    <d v="2026-03-23T00:00:00"/>
    <s v=" "/>
    <m/>
    <m/>
    <s v="This consutancy  aimed at providing A five-day regional training workshop on antimicrobial resistance (AMR) laboratory testing at the University of Nairobi.  and development of harmonized AMR TRAINING SOP FOR BROILERS. Participants came from Ethiopia, Tanzania Zambia and Zimbabwe. I was selected based on my expertise in veterinary microbiology, antimicrobial resistance (AMR) surveillance, and laboratory diagnostics, as well as my experience in laboratory capacity strengthening and training. My involvement in regional One Health AMR initiatives, laboratory quality assurance, and mentorship programmes provided the technical and practical experience needed to support the delivery of the regional AMR laboratory testing workshop for participants from Ethiopia, Tanzania, Zambia, and Zimbabwe."/>
    <m/>
  </r>
  <r>
    <n v="494"/>
    <x v="31"/>
    <x v="99"/>
    <s v="Moya"/>
    <s v="Yamie"/>
    <s v="Ernest"/>
    <x v="1"/>
    <x v="8"/>
    <s v="University of Malawi"/>
    <m/>
    <x v="3"/>
    <s v="ARSH Seed Grant"/>
    <n v="7500"/>
    <s v="Afrique Research Southern Hub"/>
    <n v="8"/>
    <x v="3"/>
    <x v="10"/>
    <m/>
    <x v="2"/>
    <d v="2026-03-01T00:00:00"/>
    <s v="Principal Investigator"/>
    <m/>
    <m/>
    <s v=" "/>
    <m/>
  </r>
  <r>
    <n v="495"/>
    <x v="31"/>
    <x v="131"/>
    <s v="Mwaniki"/>
    <s v="Waweru"/>
    <s v="Samuel "/>
    <x v="1"/>
    <x v="7"/>
    <s v="University of Nairobi"/>
    <m/>
    <x v="1"/>
    <s v="PSK"/>
    <n v="1500"/>
    <s v="Glenmark International"/>
    <n v="0"/>
    <x v="1"/>
    <x v="10"/>
    <m/>
    <x v="2"/>
    <d v="2026-06-23T00:00:00"/>
    <s v=" "/>
    <m/>
    <m/>
    <s v="Travel grant to annual PSK scientific conference."/>
    <m/>
  </r>
  <r>
    <n v="496"/>
    <x v="31"/>
    <x v="102"/>
    <s v="Muhayimana"/>
    <m/>
    <s v="Alice"/>
    <x v="2"/>
    <x v="10"/>
    <s v="University of Rwanda"/>
    <m/>
    <x v="3"/>
    <s v="Family planning self-injection"/>
    <n v="5000"/>
    <s v="Rwanda Society of Obstetrician and Gynecologists"/>
    <m/>
    <x v="3"/>
    <x v="10"/>
    <m/>
    <x v="2"/>
    <d v="2026-06-23T00:00:00"/>
    <s v="Co-investigator"/>
    <m/>
    <m/>
    <s v="I contributed in writing this grant"/>
    <m/>
  </r>
  <r>
    <n v="497"/>
    <x v="31"/>
    <x v="139"/>
    <s v="Wuraola"/>
    <s v="Olanike"/>
    <s v="Funmilola"/>
    <x v="2"/>
    <x v="11"/>
    <s v="Obafemi Awolowo University"/>
    <s v=" "/>
    <x v="3"/>
    <s v="Breast Cancer Prevention and Early Detection/Subvention Project"/>
    <n v="100000"/>
    <s v="Canadian Institutes of Health Research-Institute of Cancer Research"/>
    <n v="24"/>
    <x v="3"/>
    <x v="10"/>
    <s v="The ACTION Study: Addressing global inequalities in breast cancer genetic testing, counselling, and Management in Nigeria"/>
    <x v="1"/>
    <d v="2026-01-29T00:00:00"/>
    <m/>
    <m/>
    <m/>
    <s v="Training provided on grant writing was useful."/>
    <m/>
  </r>
  <r>
    <n v="498"/>
    <x v="31"/>
    <x v="140"/>
    <s v="Tsatsi-Mosala"/>
    <s v=" "/>
    <s v="Itumeleng"/>
    <x v="2"/>
    <x v="12"/>
    <s v="University of the WItwatersrand"/>
    <s v="University of the WItwatersrand"/>
    <x v="3"/>
    <s v="National Research Foundation (NRF) - FirstRand Empowerment Foundation (FREF): Black Academics Advancement Programme (BAAP)"/>
    <n v="43000"/>
    <s v="National Research Foundation (NRF) - FirstRand Empowerment Foundation (FREF)"/>
    <n v="36"/>
    <x v="3"/>
    <x v="10"/>
    <s v="Informing the Design of an AI-Assisted Learning Tool for Culturally Responsive Clinical Reasoning in South African Occupational Therapy Education"/>
    <x v="1"/>
    <d v="2026-04-30T00:00:00"/>
    <s v="Principal Investigator"/>
    <m/>
    <m/>
    <s v="The BAAP application was submitted before I joined the CARTA programme; therefore, CARTA did not contribute to securing this grant. However, since joining CARTA, the training and mentorship provided through JAS 1 and the ESE:O programme have strengthened my capacity to maximise the opportunities afforded by the grant, particularly in advancing my research and academic development."/>
    <m/>
  </r>
  <r>
    <n v="499"/>
    <x v="31"/>
    <x v="140"/>
    <s v="Tsatsi-Mosala"/>
    <s v=" "/>
    <s v="Itumeleng"/>
    <x v="2"/>
    <x v="12"/>
    <s v="University of the WItwatersrand"/>
    <s v="University of the WItwatersrand"/>
    <x v="3"/>
    <s v="University Staff Doctorate Programme"/>
    <n v="30416"/>
    <s v="Department of Higher Education"/>
    <n v="36"/>
    <x v="3"/>
    <x v="10"/>
    <s v="Informing the Design of an AI-Assisted Learning Tool for Culturally Responsive Clinical Reasoning in South African Occupational Therapy Education"/>
    <x v="1"/>
    <d v="2026-05-01T00:00:00"/>
    <s v="Principal Investigator"/>
    <m/>
    <m/>
    <s v="The USDP application was submitted before I joined the CARTA programme; therefore, CARTA did not contribute to securing this grant. However, since joining CARTA, the training received through JAS 1 and the ESE:O programme has strengthened my research capacity, enabling me to make effective use of the opportunities provided by the fellowship."/>
    <m/>
  </r>
  <r>
    <n v="500"/>
    <x v="31"/>
    <x v="141"/>
    <s v="Waweru"/>
    <s v="Mugure"/>
    <s v="Nancy"/>
    <x v="2"/>
    <x v="12"/>
    <s v="University of Nairobi"/>
    <s v="University of Nairobi"/>
    <x v="20"/>
    <s v="TranSforming InSTitutions to Advance women leadeRS in Science, Technology Engineering and Mathematics (SISTARS) PROJECT"/>
    <n v="1153.8499999999999"/>
    <s v="The International Development Research Centre IDRC"/>
    <n v="12"/>
    <x v="2"/>
    <x v="10"/>
    <s v=" "/>
    <x v="1"/>
    <d v="2026-01-01T00:00:00"/>
    <s v=" "/>
    <m/>
    <m/>
    <s v=" "/>
    <m/>
  </r>
  <r>
    <n v="501"/>
    <x v="31"/>
    <x v="64"/>
    <s v="Peter"/>
    <s v="Shepelo"/>
    <s v="Getrude"/>
    <x v="2"/>
    <x v="7"/>
    <s v="University of Nairobi"/>
    <m/>
    <x v="20"/>
    <s v=" DELTAS Africa Career Advancement Fellowship "/>
    <n v="97509"/>
    <s v="Science for Africa  (SFA) Foundation"/>
    <n v="12"/>
    <x v="2"/>
    <x v="10"/>
    <s v="At the human–livestock interface: A One Health investigation of zoonotic tuberculosis among pastoral communities and their cattle in Kajiado County-Kenya"/>
    <x v="2"/>
    <d v="2026-07-13T00:00:00"/>
    <s v="Principal Investigator"/>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21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E149" firstHeaderRow="1" firstDataRow="2" firstDataCol="1" rowPageCount="3" colPageCount="1"/>
  <pivotFields count="25">
    <pivotField compact="0" outline="0" showAll="0"/>
    <pivotField compact="0" outline="0" showAll="0"/>
    <pivotField axis="axisRow" compact="0" outline="0" showAll="0" sortType="descending">
      <items count="143">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x="139"/>
        <item x="140"/>
        <item x="14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20">
        <item x="1"/>
        <item x="8"/>
        <item x="6"/>
        <item x="5"/>
        <item x="3"/>
        <item x="2"/>
        <item x="7"/>
        <item x="4"/>
        <item x="0"/>
        <item x="9"/>
        <item x="10"/>
        <item x="11"/>
        <item m="1" x="14"/>
        <item m="1" x="15"/>
        <item m="1" x="16"/>
        <item m="1" x="17"/>
        <item m="1" x="18"/>
        <item x="12"/>
        <item x="13"/>
        <item t="default"/>
      </items>
    </pivotField>
    <pivotField axis="axisPage" compact="0" outline="0" multipleItemSelectionAllowed="1" showAll="0">
      <items count="12">
        <item x="0"/>
        <item x="1"/>
        <item x="2"/>
        <item x="3"/>
        <item x="4"/>
        <item x="5"/>
        <item x="6"/>
        <item x="7"/>
        <item x="8"/>
        <item x="9"/>
        <item x="10"/>
        <item t="default"/>
      </items>
    </pivotField>
    <pivotField compact="0" outline="0" showAll="0"/>
    <pivotField axis="axisPage" compact="0" outline="0" multipleItemSelectionAllowed="1" showAll="0">
      <items count="10">
        <item m="1" x="7"/>
        <item m="1" x="4"/>
        <item m="1" x="3"/>
        <item x="2"/>
        <item x="1"/>
        <item m="1" x="8"/>
        <item m="1" x="5"/>
        <item m="1" x="6"/>
        <item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43">
    <i>
      <x v="22"/>
    </i>
    <i>
      <x/>
    </i>
    <i>
      <x v="15"/>
    </i>
    <i>
      <x v="97"/>
    </i>
    <i>
      <x v="53"/>
    </i>
    <i>
      <x v="123"/>
    </i>
    <i>
      <x v="68"/>
    </i>
    <i>
      <x v="104"/>
    </i>
    <i>
      <x v="7"/>
    </i>
    <i>
      <x v="26"/>
    </i>
    <i>
      <x v="49"/>
    </i>
    <i>
      <x v="60"/>
    </i>
    <i>
      <x v="70"/>
    </i>
    <i>
      <x v="91"/>
    </i>
    <i>
      <x v="17"/>
    </i>
    <i>
      <x v="92"/>
    </i>
    <i>
      <x v="39"/>
    </i>
    <i>
      <x v="56"/>
    </i>
    <i>
      <x v="128"/>
    </i>
    <i>
      <x v="40"/>
    </i>
    <i>
      <x v="44"/>
    </i>
    <i>
      <x v="12"/>
    </i>
    <i>
      <x v="38"/>
    </i>
    <i>
      <x v="21"/>
    </i>
    <i>
      <x v="82"/>
    </i>
    <i>
      <x v="33"/>
    </i>
    <i>
      <x v="2"/>
    </i>
    <i>
      <x v="16"/>
    </i>
    <i>
      <x v="86"/>
    </i>
    <i>
      <x v="135"/>
    </i>
    <i>
      <x v="121"/>
    </i>
    <i>
      <x v="34"/>
    </i>
    <i>
      <x v="63"/>
    </i>
    <i>
      <x v="107"/>
    </i>
    <i>
      <x v="94"/>
    </i>
    <i>
      <x v="19"/>
    </i>
    <i>
      <x v="67"/>
    </i>
    <i>
      <x v="72"/>
    </i>
    <i>
      <x v="6"/>
    </i>
    <i>
      <x v="55"/>
    </i>
    <i>
      <x v="139"/>
    </i>
    <i>
      <x v="52"/>
    </i>
    <i>
      <x v="93"/>
    </i>
    <i>
      <x v="50"/>
    </i>
    <i>
      <x v="134"/>
    </i>
    <i>
      <x v="20"/>
    </i>
    <i>
      <x v="140"/>
    </i>
    <i>
      <x v="35"/>
    </i>
    <i>
      <x v="114"/>
    </i>
    <i>
      <x v="79"/>
    </i>
    <i>
      <x v="113"/>
    </i>
    <i>
      <x v="32"/>
    </i>
    <i>
      <x v="111"/>
    </i>
    <i>
      <x v="84"/>
    </i>
    <i>
      <x v="9"/>
    </i>
    <i>
      <x v="99"/>
    </i>
    <i>
      <x v="125"/>
    </i>
    <i>
      <x v="131"/>
    </i>
    <i>
      <x v="5"/>
    </i>
    <i>
      <x v="137"/>
    </i>
    <i>
      <x v="69"/>
    </i>
    <i>
      <x v="29"/>
    </i>
    <i>
      <x v="102"/>
    </i>
    <i>
      <x v="73"/>
    </i>
    <i>
      <x v="30"/>
    </i>
    <i>
      <x v="127"/>
    </i>
    <i>
      <x v="78"/>
    </i>
    <i>
      <x v="71"/>
    </i>
    <i>
      <x v="112"/>
    </i>
    <i>
      <x v="105"/>
    </i>
    <i>
      <x v="10"/>
    </i>
    <i>
      <x v="77"/>
    </i>
    <i>
      <x v="98"/>
    </i>
    <i>
      <x v="41"/>
    </i>
    <i>
      <x v="108"/>
    </i>
    <i>
      <x v="90"/>
    </i>
    <i>
      <x v="47"/>
    </i>
    <i>
      <x v="118"/>
    </i>
    <i>
      <x v="117"/>
    </i>
    <i>
      <x v="24"/>
    </i>
    <i>
      <x v="37"/>
    </i>
    <i>
      <x v="101"/>
    </i>
    <i>
      <x v="80"/>
    </i>
    <i>
      <x v="83"/>
    </i>
    <i>
      <x v="27"/>
    </i>
    <i>
      <x v="76"/>
    </i>
    <i>
      <x v="87"/>
    </i>
    <i>
      <x v="85"/>
    </i>
    <i>
      <x v="31"/>
    </i>
    <i>
      <x v="13"/>
    </i>
    <i>
      <x v="28"/>
    </i>
    <i>
      <x v="109"/>
    </i>
    <i>
      <x v="116"/>
    </i>
    <i>
      <x v="89"/>
    </i>
    <i>
      <x v="42"/>
    </i>
    <i>
      <x v="18"/>
    </i>
    <i>
      <x v="126"/>
    </i>
    <i>
      <x v="119"/>
    </i>
    <i>
      <x v="88"/>
    </i>
    <i>
      <x v="48"/>
    </i>
    <i>
      <x v="4"/>
    </i>
    <i>
      <x v="138"/>
    </i>
    <i>
      <x v="36"/>
    </i>
    <i>
      <x v="136"/>
    </i>
    <i>
      <x v="62"/>
    </i>
    <i>
      <x v="122"/>
    </i>
    <i>
      <x v="43"/>
    </i>
    <i>
      <x v="66"/>
    </i>
    <i>
      <x v="61"/>
    </i>
    <i>
      <x v="120"/>
    </i>
    <i>
      <x v="115"/>
    </i>
    <i>
      <x v="103"/>
    </i>
    <i>
      <x v="46"/>
    </i>
    <i>
      <x v="23"/>
    </i>
    <i>
      <x v="106"/>
    </i>
    <i>
      <x v="132"/>
    </i>
    <i>
      <x v="14"/>
    </i>
    <i>
      <x v="81"/>
    </i>
    <i>
      <x v="1"/>
    </i>
    <i>
      <x v="8"/>
    </i>
    <i>
      <x v="129"/>
    </i>
    <i>
      <x v="75"/>
    </i>
    <i>
      <x v="64"/>
    </i>
    <i>
      <x v="51"/>
    </i>
    <i>
      <x v="141"/>
    </i>
    <i>
      <x v="58"/>
    </i>
    <i>
      <x v="45"/>
    </i>
    <i>
      <x v="3"/>
    </i>
    <i>
      <x v="74"/>
    </i>
    <i>
      <x v="65"/>
    </i>
    <i>
      <x v="59"/>
    </i>
    <i>
      <x v="25"/>
    </i>
    <i>
      <x v="133"/>
    </i>
    <i>
      <x v="100"/>
    </i>
    <i>
      <x v="96"/>
    </i>
    <i>
      <x v="95"/>
    </i>
    <i>
      <x v="11"/>
    </i>
    <i>
      <x v="130"/>
    </i>
    <i>
      <x v="54"/>
    </i>
    <i>
      <x v="124"/>
    </i>
    <i>
      <x v="57"/>
    </i>
    <i>
      <x v="110"/>
    </i>
    <i t="grand">
      <x/>
    </i>
  </rowItems>
  <colFields count="1">
    <field x="6"/>
  </colFields>
  <colItems count="4">
    <i>
      <x/>
    </i>
    <i>
      <x v="1"/>
    </i>
    <i>
      <x v="2"/>
    </i>
    <i t="grand">
      <x/>
    </i>
  </colItems>
  <pageFields count="3">
    <pageField fld="15" hier="-1"/>
    <pageField fld="16" hier="-1"/>
    <pageField fld="18" hier="-1"/>
  </pageFields>
  <dataFields count="1">
    <dataField name="Sum of Total amount in $" fld="12" baseField="3" baseItem="0" numFmtId="166"/>
  </dataFields>
  <formats count="2">
    <format dxfId="65">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1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3">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x="139"/>
        <item x="140"/>
        <item x="141"/>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2">
        <item h="1" x="1"/>
        <item h="1" x="2"/>
        <item h="1" x="3"/>
        <item h="1" x="4"/>
        <item h="1" x="5"/>
        <item h="1" x="0"/>
        <item x="6"/>
        <item x="7"/>
        <item h="1" x="8"/>
        <item h="1" x="9"/>
        <item h="1" x="10"/>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56">
      <pivotArea type="all" dataOnly="0" outline="0" fieldPosition="0"/>
    </format>
    <format dxfId="57">
      <pivotArea outline="0" collapsedLevelsAreSubtotals="1" fieldPosition="0"/>
    </format>
    <format dxfId="58">
      <pivotArea type="origin" dataOnly="0" labelOnly="1" outline="0" fieldPosition="0"/>
    </format>
    <format dxfId="59">
      <pivotArea field="6" type="button" dataOnly="0" labelOnly="1" outline="0"/>
    </format>
    <format dxfId="60">
      <pivotArea type="topRight" dataOnly="0" labelOnly="1" outline="0" fieldPosition="0"/>
    </format>
    <format dxfId="61">
      <pivotArea field="16" type="button" dataOnly="0" labelOnly="1" outline="0" axis="axisPage" fieldPosition="0"/>
    </format>
    <format dxfId="62">
      <pivotArea dataOnly="0" labelOnly="1" outline="0" fieldPosition="0">
        <references count="1">
          <reference field="16" count="0"/>
        </references>
      </pivotArea>
    </format>
    <format dxfId="63">
      <pivotArea dataOnly="0" labelOnly="1" grandRow="1" outline="0" fieldPosition="0"/>
    </format>
    <format dxfId="6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21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9" firstHeaderRow="1" firstDataRow="2" firstDataCol="1" rowPageCount="4" colPageCount="1"/>
  <pivotFields count="25">
    <pivotField compact="0" outline="0" showAll="0"/>
    <pivotField axis="axisPage" compact="0" outline="0" multipleItemSelectionAllowed="1"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2">
        <item x="0"/>
        <item x="1"/>
        <item x="2"/>
        <item x="3"/>
        <item x="4"/>
        <item x="5"/>
        <item x="6"/>
        <item x="7"/>
        <item x="8"/>
        <item x="9"/>
        <item x="10"/>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2">
    <i>
      <x/>
    </i>
    <i>
      <x v="1"/>
    </i>
    <i>
      <x v="2"/>
    </i>
    <i>
      <x v="3"/>
    </i>
    <i>
      <x v="4"/>
    </i>
    <i>
      <x v="5"/>
    </i>
    <i>
      <x v="6"/>
    </i>
    <i>
      <x v="7"/>
    </i>
    <i>
      <x v="8"/>
    </i>
    <i>
      <x v="9"/>
    </i>
    <i>
      <x v="10"/>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54">
      <pivotArea outline="0" collapsedLevelsAreSubtotals="1" fieldPosition="0"/>
    </format>
    <format dxfId="55">
      <pivotArea outline="0" collapsedLevelsAreSubtotals="1" fieldPosition="0"/>
    </format>
  </formats>
  <conditionalFormats count="2">
    <conditionalFormat priority="4">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 priority="1">
      <pivotAreas count="1">
        <pivotArea type="data" outline="0" collapsedLevelsAreSubtotals="1" fieldPosition="0">
          <references count="2">
            <reference field="4294967294" count="1" selected="0">
              <x v="0"/>
            </reference>
            <reference field="16" count="2" selected="0">
              <x v="9"/>
              <x v="10"/>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1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8"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2">
        <item x="1"/>
        <item x="2"/>
        <item x="3"/>
        <item x="4"/>
        <item x="5"/>
        <item x="0"/>
        <item x="6"/>
        <item x="7"/>
        <item x="8"/>
        <item x="9"/>
        <item x="10"/>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2">
    <i>
      <x/>
    </i>
    <i>
      <x v="1"/>
    </i>
    <i>
      <x v="2"/>
    </i>
    <i>
      <x v="3"/>
    </i>
    <i>
      <x v="4"/>
    </i>
    <i>
      <x v="5"/>
    </i>
    <i>
      <x v="6"/>
    </i>
    <i>
      <x v="7"/>
    </i>
    <i>
      <x v="8"/>
    </i>
    <i>
      <x v="9"/>
    </i>
    <i>
      <x v="10"/>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44">
      <pivotArea type="all" dataOnly="0" outline="0" fieldPosition="0"/>
    </format>
    <format dxfId="45">
      <pivotArea outline="0" collapsedLevelsAreSubtotals="1" fieldPosition="0"/>
    </format>
    <format dxfId="46">
      <pivotArea type="origin" dataOnly="0" labelOnly="1" outline="0" fieldPosition="0"/>
    </format>
    <format dxfId="47">
      <pivotArea field="6" type="button" dataOnly="0" labelOnly="1" outline="0" axis="axisCol" fieldPosition="0"/>
    </format>
    <format dxfId="48">
      <pivotArea type="topRight" dataOnly="0" labelOnly="1" outline="0" fieldPosition="0"/>
    </format>
    <format dxfId="49">
      <pivotArea field="16" type="button" dataOnly="0" labelOnly="1" outline="0" axis="axisRow" fieldPosition="0"/>
    </format>
    <format dxfId="50">
      <pivotArea dataOnly="0" labelOnly="1" outline="0" fieldPosition="0">
        <references count="1">
          <reference field="16" count="0"/>
        </references>
      </pivotArea>
    </format>
    <format dxfId="51">
      <pivotArea dataOnly="0" labelOnly="1" grandRow="1" outline="0" fieldPosition="0"/>
    </format>
    <format dxfId="52">
      <pivotArea dataOnly="0" labelOnly="1" outline="0" fieldPosition="0">
        <references count="1">
          <reference field="6" count="0"/>
        </references>
      </pivotArea>
    </format>
    <format dxfId="53">
      <pivotArea dataOnly="0" labelOnly="1" grandCol="1" outline="0" fieldPosition="0"/>
    </format>
  </formats>
  <conditionalFormats count="2">
    <conditionalFormat priority="5">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 priority="10">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21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21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6"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5">
        <item x="5"/>
        <item x="9"/>
        <item x="6"/>
        <item x="1"/>
        <item x="4"/>
        <item x="3"/>
        <item x="2"/>
        <item x="7"/>
        <item x="8"/>
        <item x="10"/>
        <item m="1" x="13"/>
        <item x="0"/>
        <item x="11"/>
        <item x="1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4">
    <i>
      <x/>
    </i>
    <i>
      <x v="1"/>
    </i>
    <i>
      <x v="2"/>
    </i>
    <i>
      <x v="3"/>
    </i>
    <i>
      <x v="4"/>
    </i>
    <i>
      <x v="5"/>
    </i>
    <i>
      <x v="6"/>
    </i>
    <i>
      <x v="7"/>
    </i>
    <i>
      <x v="8"/>
    </i>
    <i>
      <x v="9"/>
    </i>
    <i>
      <x v="11"/>
    </i>
    <i>
      <x v="12"/>
    </i>
    <i>
      <x v="13"/>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42">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21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5">
        <item h="1" x="1"/>
        <item h="1" x="4"/>
        <item h="1" x="12"/>
        <item h="1" x="6"/>
        <item h="1" x="18"/>
        <item h="1" x="23"/>
        <item h="1" x="3"/>
        <item h="1" x="2"/>
        <item h="1" x="5"/>
        <item h="1" x="14"/>
        <item h="1" x="20"/>
        <item h="1" x="8"/>
        <item h="1" x="11"/>
        <item h="1" x="17"/>
        <item m="1" x="33"/>
        <item h="1" x="9"/>
        <item h="1" x="13"/>
        <item h="1" x="19"/>
        <item h="1" x="10"/>
        <item h="1" x="15"/>
        <item h="1" x="22"/>
        <item h="1" x="7"/>
        <item h="1" x="16"/>
        <item h="1" x="21"/>
        <item h="1" x="0"/>
        <item h="1" x="24"/>
        <item h="1" m="1" x="32"/>
        <item h="1" x="25"/>
        <item h="1" x="26"/>
        <item h="1" x="27"/>
        <item x="29"/>
        <item x="28"/>
        <item h="1" x="30"/>
        <item h="1"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2">
        <item x="0"/>
        <item x="1"/>
        <item x="2"/>
        <item x="3"/>
        <item x="4"/>
        <item x="5"/>
        <item x="6"/>
        <item x="7"/>
        <item x="8"/>
        <item x="9"/>
        <item x="10"/>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40">
      <pivotArea outline="0" collapsedLevelsAreSubtotals="1" fieldPosition="0"/>
    </format>
    <format dxfId="41">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21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8">
      <pivotArea outline="0" collapsedLevelsAreSubtotals="1" fieldPosition="0"/>
    </format>
    <format dxfId="39">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21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3" firstHeaderRow="1" firstDataRow="2" firstDataCol="1" rowPageCount="4" colPageCount="1"/>
  <pivotFields count="25">
    <pivotField compact="0" outline="0" showAll="0"/>
    <pivotField axis="axisPage" compact="0" outline="0" multipleItemSelectionAllowed="1"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2">
        <item x="0"/>
        <item x="1"/>
        <item x="2"/>
        <item x="3"/>
        <item x="4"/>
        <item x="5"/>
        <item x="6"/>
        <item x="7"/>
        <item x="8"/>
        <item x="9"/>
        <item x="10"/>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2">
    <i>
      <x/>
    </i>
    <i>
      <x v="1"/>
    </i>
    <i>
      <x v="2"/>
    </i>
    <i>
      <x v="3"/>
    </i>
    <i>
      <x v="4"/>
    </i>
    <i>
      <x v="5"/>
    </i>
    <i>
      <x v="6"/>
    </i>
    <i>
      <x v="7"/>
    </i>
    <i>
      <x v="8"/>
    </i>
    <i>
      <x v="9"/>
    </i>
    <i>
      <x v="10"/>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6">
      <pivotArea outline="0" collapsedLevelsAreSubtotals="1" fieldPosition="0"/>
    </format>
    <format dxfId="37">
      <pivotArea outline="0" collapsedLevelsAreSubtotals="1" fieldPosition="0"/>
    </format>
  </formats>
  <conditionalFormats count="2">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21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40" firstHeaderRow="1" firstDataRow="2" firstDataCol="1" rowPageCount="4" colPageCount="1"/>
  <pivotFields count="25">
    <pivotField compact="0" outline="0" showAll="0"/>
    <pivotField axis="axisPage" compact="0" outline="0" multipleItemSelectionAllowed="1"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2">
        <item x="0"/>
        <item x="1"/>
        <item x="2"/>
        <item x="3"/>
        <item x="4"/>
        <item x="5"/>
        <item x="6"/>
        <item x="7"/>
        <item x="8"/>
        <item x="9"/>
        <item x="10"/>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v="1"/>
    </i>
    <i>
      <x v="2"/>
    </i>
    <i>
      <x v="3"/>
    </i>
    <i>
      <x v="4"/>
    </i>
    <i>
      <x v="5"/>
    </i>
    <i>
      <x v="6"/>
    </i>
    <i>
      <x v="7"/>
    </i>
    <i>
      <x v="8"/>
    </i>
    <i>
      <x v="9"/>
    </i>
    <i>
      <x v="10"/>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34">
      <pivotArea outline="0" collapsedLevelsAreSubtotals="1" fieldPosition="0"/>
    </format>
    <format dxfId="35">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21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9" firstHeaderRow="1" firstDataRow="2" firstDataCol="1" rowPageCount="1" colPageCount="1"/>
  <pivotFields count="25">
    <pivotField compact="0" outline="0" showAll="0"/>
    <pivotField axis="axisRow" compact="0" outline="0"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3">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x v="33"/>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501" totalsRowShown="0" headerRowDxfId="28" headerRowBorderDxfId="26" tableBorderDxfId="27" totalsRowBorderDxfId="25">
  <autoFilter ref="A1:Y501" xr:uid="{00000000-0009-0000-0100-000001000000}">
    <filterColumn colId="18">
      <filters>
        <filter val="PhD"/>
      </filters>
    </filterColumn>
  </autoFilter>
  <tableColumns count="25">
    <tableColumn id="1" xr3:uid="{00000000-0010-0000-0000-000001000000}" name="No." dataDxfId="24"/>
    <tableColumn id="2" xr3:uid="{00000000-0010-0000-0000-000002000000}" name="Reporting Period" dataDxfId="23"/>
    <tableColumn id="3" xr3:uid="{00000000-0010-0000-0000-000003000000}" name="Unique ID" dataDxfId="22"/>
    <tableColumn id="4" xr3:uid="{00000000-0010-0000-0000-000004000000}" name="Surname" dataDxfId="21"/>
    <tableColumn id="5" xr3:uid="{00000000-0010-0000-0000-000005000000}" name="Middle name" dataDxfId="20"/>
    <tableColumn id="6" xr3:uid="{00000000-0010-0000-0000-000006000000}" name="First Name" dataDxfId="19"/>
    <tableColumn id="7" xr3:uid="{00000000-0010-0000-0000-000007000000}" name="Sex" dataDxfId="18"/>
    <tableColumn id="8" xr3:uid="{00000000-0010-0000-0000-000008000000}" name="Cohort Number" dataDxfId="17">
      <calculatedColumnFormula>VALUE(MID(LEFT(Table1[[#This Row],[Unique ID]], FIND("/", Table1[[#This Row],[Unique ID]]) - 1), 2, LEN(Table1[[#This Row],[Unique ID]])))</calculatedColumnFormula>
    </tableColumn>
    <tableColumn id="9" xr3:uid="{00000000-0010-0000-0000-000009000000}" name="Institution of employment at registration " dataDxfId="16"/>
    <tableColumn id="10" xr3:uid="{00000000-0010-0000-0000-00000A000000}" name="Institution of PhD Registration " dataDxfId="15"/>
    <tableColumn id="11" xr3:uid="{00000000-0010-0000-0000-00000B000000}" name="Type of Achievement Award " dataDxfId="14"/>
    <tableColumn id="12" xr3:uid="{00000000-0010-0000-0000-00000C000000}" name="Name of Grant Awarded" dataDxfId="13"/>
    <tableColumn id="13" xr3:uid="{00000000-0010-0000-0000-00000D000000}" name="Total amount in $" dataDxfId="12"/>
    <tableColumn id="14" xr3:uid="{00000000-0010-0000-0000-00000E000000}" name="Name of Funder" dataDxfId="11"/>
    <tableColumn id="15" xr3:uid="{00000000-0010-0000-0000-00000F000000}" name="Duration of Funding (in months)" dataDxfId="10"/>
    <tableColumn id="16" xr3:uid="{00000000-0010-0000-0000-000010000000}" name="Type of Grant" dataDxfId="9"/>
    <tableColumn id="17" xr3:uid="{00000000-0010-0000-0000-000011000000}" name="Year" dataDxfId="8"/>
    <tableColumn id="18" xr3:uid="{00000000-0010-0000-0000-000012000000}" name="Research title" dataDxfId="7"/>
    <tableColumn id="19" xr3:uid="{00000000-0010-0000-0000-000013000000}" name="Grant type" dataDxfId="6"/>
    <tableColumn id="20" xr3:uid="{00000000-0010-0000-0000-000014000000}" name="Award date" dataDxfId="5"/>
    <tableColumn id="22" xr3:uid="{00000000-0010-0000-0000-000016000000}" name="Role in research grants" dataDxfId="4"/>
    <tableColumn id="23" xr3:uid="{00000000-0010-0000-0000-000017000000}" name="CARTA fellows collaborating" dataDxfId="3"/>
    <tableColumn id="21" xr3:uid="{00000000-0010-0000-0000-000015000000}" name="Quotes if any" dataDxfId="2"/>
    <tableColumn id="24" xr3:uid="{8F739350-F194-4949-8FB8-3B5117495301}" name="Please, give a brief description of the award and tell us why you were selected for the award?" dataDxfId="1"/>
    <tableColumn id="25" xr3:uid="{DEC15114-D51E-40AE-ABE3-49AF6027BB3A}"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31" zoomScale="83" zoomScaleNormal="83" workbookViewId="0">
      <selection activeCell="H2" sqref="H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501"/>
  <sheetViews>
    <sheetView tabSelected="1" topLeftCell="K333" zoomScale="83" zoomScaleNormal="83" workbookViewId="0">
      <selection activeCell="M288" sqref="M288:M339"/>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5"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9" t="s">
        <v>26</v>
      </c>
    </row>
    <row r="2" spans="1:25" s="54" customFormat="1" hidden="1">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hidden="1">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hidden="1">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hidden="1">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hidden="1">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hidden="1">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hidden="1">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hidden="1">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hidden="1">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hidden="1">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hidden="1">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hidden="1">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hidden="1">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hidden="1">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hidden="1">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hidden="1">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hidden="1">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hidden="1">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hidden="1">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hidden="1">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hidden="1">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hidden="1">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hidden="1">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hidden="1">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hidden="1">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hidden="1">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hidden="1">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hidden="1">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hidden="1">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hidden="1">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hidden="1">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hidden="1">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hidden="1">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hidden="1">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hidden="1">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hidden="1">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hidden="1">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hidden="1">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hidden="1">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hidden="1">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hidden="1">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hidden="1">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hidden="1">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hidden="1">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hidden="1">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hidden="1">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hidden="1">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hidden="1">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hidden="1">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hidden="1">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hidden="1">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hidden="1">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hidden="1">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hidden="1">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hidden="1">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hidden="1">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hidden="1">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hidden="1">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hidden="1">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hidden="1">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hidden="1">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hidden="1">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hidden="1">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hidden="1">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hidden="1">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hidden="1">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hidden="1">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hidden="1">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hidden="1">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hidden="1">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hidden="1">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hidden="1">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hidden="1">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hidden="1">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hidden="1">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hidden="1">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hidden="1">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hidden="1">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hidden="1">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hidden="1">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hidden="1">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hidden="1">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hidden="1">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hidden="1">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hidden="1">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hidden="1">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45" customHeight="1">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45" hidden="1" customHeight="1">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hidden="1">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hidden="1">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hidden="1">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hidden="1">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hidden="1">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hidden="1">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hidden="1">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hidden="1">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hidden="1">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hidden="1">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hidden="1">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hidden="1">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hidden="1">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hidden="1">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hidden="1">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hidden="1">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hidden="1">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hidden="1">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hidden="1">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hidden="1">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hidden="1">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hidden="1">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hidden="1">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hidden="1">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hidden="1">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hidden="1">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hidden="1">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hidden="1">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hidden="1">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hidden="1">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hidden="1">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hidden="1">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hidden="1">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hidden="1">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hidden="1">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hidden="1">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hidden="1">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hidden="1">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hidden="1">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hidden="1">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hidden="1">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hidden="1">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hidden="1">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hidden="1">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hidden="1">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hidden="1">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hidden="1">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hidden="1">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hidden="1">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hidden="1">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hidden="1">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hidden="1">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hidden="1">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hidden="1">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hidden="1">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hidden="1">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hidden="1">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c r="S435" s="3" t="s">
        <v>507</v>
      </c>
      <c r="T435" s="33"/>
      <c r="U435" s="4"/>
      <c r="V435" s="4"/>
      <c r="W435" s="3"/>
      <c r="X435" s="4"/>
      <c r="Y435" s="4"/>
    </row>
    <row r="436" spans="1:25" hidden="1">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hidden="1">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hidden="1">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hidden="1">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hidden="1">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hidden="1">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hidden="1">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hidden="1">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hidden="1">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hidden="1">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hidden="1">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hidden="1">
      <c r="A451" s="3">
        <v>451</v>
      </c>
      <c r="B451" s="17" t="s">
        <v>1534</v>
      </c>
      <c r="C451" s="3" t="s">
        <v>711</v>
      </c>
      <c r="D451" s="3" t="s">
        <v>712</v>
      </c>
      <c r="E451" s="3" t="s">
        <v>713</v>
      </c>
      <c r="F451" s="3" t="s">
        <v>714</v>
      </c>
      <c r="G451" s="3" t="s">
        <v>61</v>
      </c>
      <c r="H451" s="3">
        <f>VALUE(MID(LEFT(Table1[[#This Row],[Unique ID]], FIND("/", Table1[[#This Row],[Unique ID]]) - 1), 2, LEN(Table1[[#This Row],[Unique ID]])))</f>
        <v>4</v>
      </c>
      <c r="I451" s="3" t="s">
        <v>86</v>
      </c>
      <c r="J451" s="3"/>
      <c r="K451" s="3" t="s">
        <v>56</v>
      </c>
      <c r="L451" s="3" t="s">
        <v>1458</v>
      </c>
      <c r="M451" s="3">
        <v>20000</v>
      </c>
      <c r="N451" s="3" t="s">
        <v>283</v>
      </c>
      <c r="O451" s="3">
        <v>24</v>
      </c>
      <c r="P451" s="3" t="s">
        <v>56</v>
      </c>
      <c r="Q451" s="3">
        <v>2024</v>
      </c>
      <c r="R451" s="3"/>
      <c r="S451" s="17" t="s">
        <v>507</v>
      </c>
      <c r="T451" s="14">
        <v>45444</v>
      </c>
      <c r="U451" s="3" t="s">
        <v>1116</v>
      </c>
      <c r="V451" s="4"/>
      <c r="W451" s="3"/>
      <c r="X451" s="3"/>
      <c r="Y451" s="4"/>
    </row>
    <row r="452" spans="1:25" hidden="1">
      <c r="A452" s="3">
        <v>452</v>
      </c>
      <c r="B452" s="17" t="s">
        <v>1534</v>
      </c>
      <c r="C452" s="3" t="s">
        <v>560</v>
      </c>
      <c r="D452" s="3" t="s">
        <v>561</v>
      </c>
      <c r="E452" s="3" t="s">
        <v>562</v>
      </c>
      <c r="F452" s="3" t="s">
        <v>563</v>
      </c>
      <c r="G452" s="3" t="s">
        <v>61</v>
      </c>
      <c r="H452" s="3">
        <f>VALUE(MID(LEFT(Table1[[#This Row],[Unique ID]], FIND("/", Table1[[#This Row],[Unique ID]]) - 1), 2, LEN(Table1[[#This Row],[Unique ID]])))</f>
        <v>8</v>
      </c>
      <c r="I452" s="3" t="s">
        <v>37</v>
      </c>
      <c r="J452" s="3"/>
      <c r="K452" s="3" t="s">
        <v>56</v>
      </c>
      <c r="L452" s="3" t="s">
        <v>1556</v>
      </c>
      <c r="M452" s="3">
        <v>36612</v>
      </c>
      <c r="N452" s="3" t="s">
        <v>1557</v>
      </c>
      <c r="O452" s="3">
        <v>12</v>
      </c>
      <c r="P452" s="3" t="s">
        <v>56</v>
      </c>
      <c r="Q452" s="3">
        <v>2024</v>
      </c>
      <c r="R452" s="3"/>
      <c r="S452" s="17" t="s">
        <v>507</v>
      </c>
      <c r="T452" s="14">
        <v>45597</v>
      </c>
      <c r="U452" s="3" t="s">
        <v>1116</v>
      </c>
      <c r="V452" s="4"/>
      <c r="W452" s="3"/>
      <c r="X452" s="3" t="s">
        <v>1558</v>
      </c>
      <c r="Y452" s="4"/>
    </row>
    <row r="453" spans="1:25" hidden="1">
      <c r="A453" s="3">
        <v>453</v>
      </c>
      <c r="B453" s="17" t="s">
        <v>1534</v>
      </c>
      <c r="C453" s="3" t="s">
        <v>1482</v>
      </c>
      <c r="D453" s="3" t="s">
        <v>1483</v>
      </c>
      <c r="E453" s="3" t="s">
        <v>1484</v>
      </c>
      <c r="F453" s="3" t="s">
        <v>1485</v>
      </c>
      <c r="G453" s="3" t="s">
        <v>61</v>
      </c>
      <c r="H453" s="3">
        <f>VALUE(MID(LEFT(Table1[[#This Row],[Unique ID]], FIND("/", Table1[[#This Row],[Unique ID]]) - 1), 2, LEN(Table1[[#This Row],[Unique ID]])))</f>
        <v>4</v>
      </c>
      <c r="I453" s="3" t="s">
        <v>229</v>
      </c>
      <c r="J453" s="3"/>
      <c r="K453" s="3" t="s">
        <v>56</v>
      </c>
      <c r="L453" s="3"/>
      <c r="M453" s="3"/>
      <c r="N453" s="3"/>
      <c r="O453" s="3"/>
      <c r="P453" s="3" t="s">
        <v>56</v>
      </c>
      <c r="Q453" s="3">
        <v>2024</v>
      </c>
      <c r="R453" s="3"/>
      <c r="S453" s="17" t="s">
        <v>507</v>
      </c>
      <c r="T453" s="3"/>
      <c r="U453" s="3" t="s">
        <v>1116</v>
      </c>
      <c r="V453" s="4"/>
      <c r="W453" s="3"/>
      <c r="X453" s="3"/>
      <c r="Y453" s="4"/>
    </row>
    <row r="454" spans="1:25" hidden="1">
      <c r="A454" s="3">
        <v>454</v>
      </c>
      <c r="B454" s="17" t="s">
        <v>1534</v>
      </c>
      <c r="C454" s="3" t="s">
        <v>1108</v>
      </c>
      <c r="D454" s="3" t="s">
        <v>1109</v>
      </c>
      <c r="E454" s="3" t="s">
        <v>1110</v>
      </c>
      <c r="F454" s="3" t="s">
        <v>1111</v>
      </c>
      <c r="G454" s="3" t="s">
        <v>35</v>
      </c>
      <c r="H454" s="3">
        <f>VALUE(MID(LEFT(Table1[[#This Row],[Unique ID]], FIND("/", Table1[[#This Row],[Unique ID]]) - 1), 2, LEN(Table1[[#This Row],[Unique ID]])))</f>
        <v>8</v>
      </c>
      <c r="I454" s="3" t="s">
        <v>86</v>
      </c>
      <c r="J454" s="3"/>
      <c r="K454" s="3" t="s">
        <v>56</v>
      </c>
      <c r="L454" s="3" t="s">
        <v>1559</v>
      </c>
      <c r="M454" s="3">
        <v>3000</v>
      </c>
      <c r="N454" s="3" t="s">
        <v>1560</v>
      </c>
      <c r="O454" s="3">
        <v>12</v>
      </c>
      <c r="P454" s="3" t="s">
        <v>56</v>
      </c>
      <c r="Q454" s="3">
        <v>2024</v>
      </c>
      <c r="R454" s="3"/>
      <c r="S454" s="17" t="s">
        <v>507</v>
      </c>
      <c r="T454" s="14">
        <v>45627</v>
      </c>
      <c r="U454" s="3" t="s">
        <v>1105</v>
      </c>
      <c r="V454" s="4"/>
      <c r="W454" s="3"/>
      <c r="X454" s="3" t="s">
        <v>1561</v>
      </c>
      <c r="Y454" s="4"/>
    </row>
    <row r="455" spans="1:25" hidden="1">
      <c r="A455" s="3">
        <v>455</v>
      </c>
      <c r="B455" s="17" t="s">
        <v>1534</v>
      </c>
      <c r="C455" s="3" t="s">
        <v>151</v>
      </c>
      <c r="D455" s="3" t="s">
        <v>1562</v>
      </c>
      <c r="E455" s="3" t="s">
        <v>1563</v>
      </c>
      <c r="F455" s="3" t="s">
        <v>1564</v>
      </c>
      <c r="G455" s="3" t="s">
        <v>61</v>
      </c>
      <c r="H455" s="3">
        <f>VALUE(MID(LEFT(Table1[[#This Row],[Unique ID]], FIND("/", Table1[[#This Row],[Unique ID]]) - 1), 2, LEN(Table1[[#This Row],[Unique ID]])))</f>
        <v>7</v>
      </c>
      <c r="I455" s="3" t="s">
        <v>36</v>
      </c>
      <c r="J455" s="3"/>
      <c r="K455" s="3" t="s">
        <v>42</v>
      </c>
      <c r="L455" s="3" t="s">
        <v>1565</v>
      </c>
      <c r="M455" s="3"/>
      <c r="N455" s="3" t="s">
        <v>1566</v>
      </c>
      <c r="O455" s="3"/>
      <c r="P455" s="3" t="s">
        <v>42</v>
      </c>
      <c r="Q455" s="3">
        <v>2024</v>
      </c>
      <c r="R455" s="3"/>
      <c r="S455" s="17" t="s">
        <v>507</v>
      </c>
      <c r="T455" s="14">
        <v>45629</v>
      </c>
      <c r="U455" s="3"/>
      <c r="V455" s="4"/>
      <c r="W455" s="3"/>
      <c r="X455" s="3" t="s">
        <v>1567</v>
      </c>
      <c r="Y455" s="4"/>
    </row>
    <row r="456" spans="1:25" hidden="1">
      <c r="A456" s="3">
        <v>456</v>
      </c>
      <c r="B456" s="17" t="s">
        <v>1534</v>
      </c>
      <c r="C456" s="3" t="s">
        <v>287</v>
      </c>
      <c r="D456" s="3" t="s">
        <v>1321</v>
      </c>
      <c r="E456" s="3" t="s">
        <v>1322</v>
      </c>
      <c r="F456" s="3" t="s">
        <v>289</v>
      </c>
      <c r="G456" s="3" t="s">
        <v>35</v>
      </c>
      <c r="H456" s="3">
        <f>VALUE(MID(LEFT(Table1[[#This Row],[Unique ID]], FIND("/", Table1[[#This Row],[Unique ID]]) - 1), 2, LEN(Table1[[#This Row],[Unique ID]])))</f>
        <v>6</v>
      </c>
      <c r="I456" s="3" t="s">
        <v>76</v>
      </c>
      <c r="J456" s="3"/>
      <c r="K456" s="3" t="s">
        <v>1568</v>
      </c>
      <c r="L456" s="3" t="s">
        <v>1569</v>
      </c>
      <c r="M456" s="3"/>
      <c r="N456" s="3" t="s">
        <v>1570</v>
      </c>
      <c r="O456" s="3">
        <v>12</v>
      </c>
      <c r="P456" s="3" t="s">
        <v>1568</v>
      </c>
      <c r="Q456" s="3">
        <v>2024</v>
      </c>
      <c r="R456" s="3"/>
      <c r="S456" s="17" t="s">
        <v>507</v>
      </c>
      <c r="T456" s="14">
        <v>45652</v>
      </c>
      <c r="U456" s="3"/>
      <c r="V456" s="4"/>
      <c r="W456" s="3"/>
      <c r="X456" s="3" t="s">
        <v>1571</v>
      </c>
      <c r="Y456" s="4"/>
    </row>
    <row r="457" spans="1:25" hidden="1">
      <c r="A457" s="3">
        <v>457</v>
      </c>
      <c r="B457" s="17" t="s">
        <v>1534</v>
      </c>
      <c r="C457" s="28" t="s">
        <v>565</v>
      </c>
      <c r="D457" s="3" t="s">
        <v>566</v>
      </c>
      <c r="E457" s="3" t="s">
        <v>202</v>
      </c>
      <c r="F457" s="3" t="s">
        <v>567</v>
      </c>
      <c r="G457" s="3" t="s">
        <v>61</v>
      </c>
      <c r="H457" s="3">
        <f>VALUE(MID(LEFT(Table1[[#This Row],[Unique ID]], FIND("/", Table1[[#This Row],[Unique ID]]) - 1), 2, LEN(Table1[[#This Row],[Unique ID]])))</f>
        <v>8</v>
      </c>
      <c r="I457" s="3" t="s">
        <v>86</v>
      </c>
      <c r="J457" s="3"/>
      <c r="K457" s="3" t="s">
        <v>1572</v>
      </c>
      <c r="L457" s="3" t="s">
        <v>1573</v>
      </c>
      <c r="M457" s="3">
        <v>19008</v>
      </c>
      <c r="N457" s="3" t="s">
        <v>1574</v>
      </c>
      <c r="O457" s="3">
        <v>6</v>
      </c>
      <c r="P457" s="3" t="s">
        <v>1572</v>
      </c>
      <c r="Q457" s="3">
        <v>2024</v>
      </c>
      <c r="R457" s="3"/>
      <c r="S457" s="17" t="s">
        <v>507</v>
      </c>
      <c r="T457" s="14">
        <v>45505</v>
      </c>
      <c r="U457" s="3"/>
      <c r="V457" s="4"/>
      <c r="W457" s="3"/>
      <c r="X457" s="3" t="s">
        <v>1575</v>
      </c>
      <c r="Y457" s="4"/>
    </row>
    <row r="458" spans="1:25" hidden="1">
      <c r="A458" s="3">
        <v>458</v>
      </c>
      <c r="B458" s="17" t="s">
        <v>1534</v>
      </c>
      <c r="C458" s="47" t="s">
        <v>1576</v>
      </c>
      <c r="D458" s="3" t="s">
        <v>1577</v>
      </c>
      <c r="E458" s="3" t="s">
        <v>1578</v>
      </c>
      <c r="F458" s="3" t="s">
        <v>1579</v>
      </c>
      <c r="G458" s="3" t="s">
        <v>61</v>
      </c>
      <c r="H458" s="3">
        <f>VALUE(MID(LEFT(Table1[[#This Row],[Unique ID]], FIND("/", Table1[[#This Row],[Unique ID]]) - 1), 2, LEN(Table1[[#This Row],[Unique ID]])))</f>
        <v>9</v>
      </c>
      <c r="I458" s="3" t="s">
        <v>86</v>
      </c>
      <c r="J458" s="3"/>
      <c r="K458" s="3" t="s">
        <v>42</v>
      </c>
      <c r="L458" s="3" t="s">
        <v>1580</v>
      </c>
      <c r="M458" s="3">
        <v>0</v>
      </c>
      <c r="N458" s="3" t="s">
        <v>1580</v>
      </c>
      <c r="O458" s="3">
        <v>10</v>
      </c>
      <c r="P458" s="3" t="s">
        <v>42</v>
      </c>
      <c r="Q458" s="3">
        <v>2024</v>
      </c>
      <c r="R458" s="3"/>
      <c r="S458" s="17" t="s">
        <v>507</v>
      </c>
      <c r="T458" s="3"/>
      <c r="U458" s="3"/>
      <c r="V458" s="4"/>
      <c r="W458" s="3"/>
      <c r="X458" s="3" t="s">
        <v>1580</v>
      </c>
      <c r="Y458" s="4"/>
    </row>
    <row r="459" spans="1:25" hidden="1">
      <c r="A459" s="3">
        <v>459</v>
      </c>
      <c r="B459" s="17" t="s">
        <v>1534</v>
      </c>
      <c r="C459" s="3" t="s">
        <v>625</v>
      </c>
      <c r="D459" s="3" t="s">
        <v>626</v>
      </c>
      <c r="E459" s="3" t="s">
        <v>627</v>
      </c>
      <c r="F459" s="3" t="s">
        <v>628</v>
      </c>
      <c r="G459" s="3" t="s">
        <v>35</v>
      </c>
      <c r="H459" s="3">
        <f>VALUE(MID(LEFT(Table1[[#This Row],[Unique ID]], FIND("/", Table1[[#This Row],[Unique ID]]) - 1), 2, LEN(Table1[[#This Row],[Unique ID]])))</f>
        <v>9</v>
      </c>
      <c r="I459" s="3" t="s">
        <v>86</v>
      </c>
      <c r="J459" s="3"/>
      <c r="K459" s="3" t="s">
        <v>56</v>
      </c>
      <c r="L459" s="3" t="s">
        <v>1581</v>
      </c>
      <c r="M459" s="3">
        <v>2500</v>
      </c>
      <c r="N459" s="3" t="s">
        <v>283</v>
      </c>
      <c r="O459" s="3">
        <v>12</v>
      </c>
      <c r="P459" s="3" t="s">
        <v>56</v>
      </c>
      <c r="Q459" s="3">
        <v>2024</v>
      </c>
      <c r="R459" s="3"/>
      <c r="S459" s="17" t="s">
        <v>507</v>
      </c>
      <c r="T459" s="14">
        <v>45505</v>
      </c>
      <c r="U459" s="3" t="s">
        <v>1105</v>
      </c>
      <c r="V459" s="4"/>
      <c r="W459" s="3"/>
      <c r="X459" s="3" t="s">
        <v>1582</v>
      </c>
      <c r="Y459" s="4"/>
    </row>
    <row r="460" spans="1:25" hidden="1">
      <c r="A460" s="3">
        <v>460</v>
      </c>
      <c r="B460" s="17" t="s">
        <v>1534</v>
      </c>
      <c r="C460" s="3" t="s">
        <v>955</v>
      </c>
      <c r="D460" s="3" t="s">
        <v>1583</v>
      </c>
      <c r="E460" s="3"/>
      <c r="F460" s="3" t="s">
        <v>957</v>
      </c>
      <c r="G460" s="3" t="s">
        <v>61</v>
      </c>
      <c r="H460" s="3">
        <f>VALUE(MID(LEFT(Table1[[#This Row],[Unique ID]], FIND("/", Table1[[#This Row],[Unique ID]]) - 1), 2, LEN(Table1[[#This Row],[Unique ID]])))</f>
        <v>9</v>
      </c>
      <c r="I460" s="3" t="s">
        <v>589</v>
      </c>
      <c r="J460" s="17"/>
      <c r="K460" s="3" t="s">
        <v>160</v>
      </c>
      <c r="L460" s="3" t="s">
        <v>1584</v>
      </c>
      <c r="M460" s="3">
        <v>388</v>
      </c>
      <c r="N460" s="3" t="s">
        <v>1585</v>
      </c>
      <c r="O460" s="3">
        <v>1</v>
      </c>
      <c r="P460" s="3" t="s">
        <v>160</v>
      </c>
      <c r="Q460" s="3">
        <v>2024</v>
      </c>
      <c r="R460" s="17"/>
      <c r="S460" s="17" t="s">
        <v>507</v>
      </c>
      <c r="T460" s="14">
        <v>45535</v>
      </c>
      <c r="U460" s="3"/>
      <c r="V460" s="18"/>
      <c r="W460" s="17"/>
      <c r="X460" s="3" t="s">
        <v>1586</v>
      </c>
      <c r="Y460" s="4"/>
    </row>
    <row r="461" spans="1:25" hidden="1">
      <c r="A461" s="3">
        <v>461</v>
      </c>
      <c r="B461" s="17" t="s">
        <v>1587</v>
      </c>
      <c r="C461" s="17" t="s">
        <v>1588</v>
      </c>
      <c r="D461" s="17" t="s">
        <v>1589</v>
      </c>
      <c r="E461" s="17"/>
      <c r="F461" s="17" t="s">
        <v>1590</v>
      </c>
      <c r="G461" s="17" t="s">
        <v>61</v>
      </c>
      <c r="H461" s="17">
        <f>VALUE(MID(LEFT(Table1[[#This Row],[Unique ID]], FIND("/", Table1[[#This Row],[Unique ID]]) - 1), 2, LEN(Table1[[#This Row],[Unique ID]])))</f>
        <v>1</v>
      </c>
      <c r="I461" s="17" t="s">
        <v>1591</v>
      </c>
      <c r="J461" s="17"/>
      <c r="K461" s="17" t="s">
        <v>62</v>
      </c>
      <c r="L461" s="17" t="s">
        <v>1592</v>
      </c>
      <c r="M461" s="26">
        <v>200000</v>
      </c>
      <c r="N461" s="17" t="s">
        <v>1593</v>
      </c>
      <c r="O461" s="42">
        <v>36</v>
      </c>
      <c r="P461" s="17" t="s">
        <v>56</v>
      </c>
      <c r="Q461" s="17">
        <v>2025</v>
      </c>
      <c r="R461" s="17" t="s">
        <v>1594</v>
      </c>
      <c r="S461" s="17" t="s">
        <v>507</v>
      </c>
      <c r="T461" s="14">
        <v>45649</v>
      </c>
      <c r="U461" s="18" t="s">
        <v>1105</v>
      </c>
      <c r="V461" s="18"/>
      <c r="W461" s="17"/>
      <c r="X461" s="18"/>
      <c r="Y461" s="4"/>
    </row>
    <row r="462" spans="1:25" hidden="1">
      <c r="A462" s="3">
        <v>462</v>
      </c>
      <c r="B462" s="17" t="s">
        <v>1534</v>
      </c>
      <c r="C462" s="17" t="s">
        <v>1174</v>
      </c>
      <c r="D462" s="17" t="s">
        <v>1175</v>
      </c>
      <c r="E462" s="17" t="s">
        <v>1176</v>
      </c>
      <c r="F462" s="17" t="s">
        <v>1177</v>
      </c>
      <c r="G462" s="17" t="s">
        <v>61</v>
      </c>
      <c r="H462" s="17">
        <f>VALUE(MID(LEFT(Table1[[#This Row],[Unique ID]], FIND("/", Table1[[#This Row],[Unique ID]]) - 1), 2, LEN(Table1[[#This Row],[Unique ID]])))</f>
        <v>8</v>
      </c>
      <c r="I462" s="17" t="s">
        <v>36</v>
      </c>
      <c r="J462" s="17" t="s">
        <v>36</v>
      </c>
      <c r="K462" s="17" t="s">
        <v>56</v>
      </c>
      <c r="L462" s="17" t="s">
        <v>1595</v>
      </c>
      <c r="M462" s="26">
        <v>15000</v>
      </c>
      <c r="N462" s="17" t="s">
        <v>1596</v>
      </c>
      <c r="O462" s="42">
        <v>12</v>
      </c>
      <c r="P462" s="17" t="s">
        <v>56</v>
      </c>
      <c r="Q462" s="17">
        <v>2024</v>
      </c>
      <c r="R462" s="17" t="s">
        <v>1597</v>
      </c>
      <c r="S462" s="17" t="s">
        <v>507</v>
      </c>
      <c r="T462" s="14">
        <v>45474</v>
      </c>
      <c r="U462" s="18" t="s">
        <v>1105</v>
      </c>
      <c r="V462" s="18"/>
      <c r="W462" s="17"/>
      <c r="X462" s="18"/>
      <c r="Y462" s="4"/>
    </row>
    <row r="463" spans="1:25" hidden="1">
      <c r="A463" s="3">
        <v>463</v>
      </c>
      <c r="B463" s="17" t="s">
        <v>1534</v>
      </c>
      <c r="C463" s="29" t="s">
        <v>549</v>
      </c>
      <c r="D463" s="29" t="s">
        <v>550</v>
      </c>
      <c r="E463" s="29" t="s">
        <v>551</v>
      </c>
      <c r="F463" s="29" t="s">
        <v>552</v>
      </c>
      <c r="G463" s="29" t="s">
        <v>61</v>
      </c>
      <c r="H463" s="17">
        <f>VALUE(MID(LEFT(Table1[[#This Row],[Unique ID]], FIND("/", Table1[[#This Row],[Unique ID]]) - 1), 2, LEN(Table1[[#This Row],[Unique ID]])))</f>
        <v>8</v>
      </c>
      <c r="I463" s="29" t="s">
        <v>37</v>
      </c>
      <c r="J463" s="17"/>
      <c r="K463" s="29" t="s">
        <v>56</v>
      </c>
      <c r="L463" s="17" t="s">
        <v>1598</v>
      </c>
      <c r="M463" s="24">
        <v>35700</v>
      </c>
      <c r="N463" s="17" t="s">
        <v>1599</v>
      </c>
      <c r="O463" s="3">
        <v>12</v>
      </c>
      <c r="P463" s="17" t="s">
        <v>56</v>
      </c>
      <c r="Q463" s="17">
        <v>2024</v>
      </c>
      <c r="R463" s="17" t="s">
        <v>1600</v>
      </c>
      <c r="S463" s="17" t="s">
        <v>507</v>
      </c>
      <c r="T463" s="14">
        <v>45597</v>
      </c>
      <c r="U463" s="18" t="s">
        <v>1105</v>
      </c>
      <c r="V463" s="18"/>
      <c r="W463" s="17"/>
      <c r="X463" s="18"/>
      <c r="Y463" s="4"/>
    </row>
    <row r="464" spans="1:25" hidden="1">
      <c r="A464" s="3">
        <v>464</v>
      </c>
      <c r="B464" s="17" t="s">
        <v>1587</v>
      </c>
      <c r="C464" s="3" t="s">
        <v>1601</v>
      </c>
      <c r="D464" s="3" t="s">
        <v>1602</v>
      </c>
      <c r="E464" s="3" t="s">
        <v>33</v>
      </c>
      <c r="F464" s="3" t="s">
        <v>1603</v>
      </c>
      <c r="G464" s="3" t="s">
        <v>35</v>
      </c>
      <c r="H464" s="3">
        <f>VALUE(MID(LEFT(Table1[[#This Row],[Unique ID]], FIND("/", Table1[[#This Row],[Unique ID]]) - 1), 2, LEN(Table1[[#This Row],[Unique ID]])))</f>
        <v>9</v>
      </c>
      <c r="I464" s="3" t="s">
        <v>209</v>
      </c>
      <c r="J464" s="3"/>
      <c r="K464" s="29" t="s">
        <v>56</v>
      </c>
      <c r="L464" s="3" t="s">
        <v>1604</v>
      </c>
      <c r="M464" s="26">
        <v>85000</v>
      </c>
      <c r="N464" s="3" t="s">
        <v>1605</v>
      </c>
      <c r="O464" s="41">
        <v>10</v>
      </c>
      <c r="P464" s="3" t="s">
        <v>876</v>
      </c>
      <c r="Q464" s="17">
        <v>2025</v>
      </c>
      <c r="R464" s="17" t="s">
        <v>1606</v>
      </c>
      <c r="S464" s="17" t="s">
        <v>507</v>
      </c>
      <c r="T464" s="14">
        <v>45658</v>
      </c>
      <c r="U464" s="4" t="s">
        <v>1607</v>
      </c>
      <c r="V464" s="4"/>
      <c r="W464" s="3"/>
      <c r="X464" s="4"/>
      <c r="Y464" s="4"/>
    </row>
    <row r="465" spans="1:25" ht="12.75" hidden="1" customHeight="1">
      <c r="A465" s="3">
        <v>465</v>
      </c>
      <c r="B465" s="17" t="s">
        <v>1587</v>
      </c>
      <c r="C465" s="17" t="s">
        <v>303</v>
      </c>
      <c r="D465" s="17" t="s">
        <v>304</v>
      </c>
      <c r="E465" s="17"/>
      <c r="F465" s="17" t="s">
        <v>305</v>
      </c>
      <c r="G465" s="17" t="s">
        <v>35</v>
      </c>
      <c r="H465" s="17">
        <f>VALUE(MID(LEFT(Table1[[#This Row],[Unique ID]], FIND("/", Table1[[#This Row],[Unique ID]]) - 1), 2, LEN(Table1[[#This Row],[Unique ID]])))</f>
        <v>4</v>
      </c>
      <c r="I465" s="17" t="s">
        <v>76</v>
      </c>
      <c r="J465" s="17"/>
      <c r="K465" s="29" t="s">
        <v>1608</v>
      </c>
      <c r="L465" s="3" t="s">
        <v>1609</v>
      </c>
      <c r="M465" s="27">
        <v>1000</v>
      </c>
      <c r="N465" s="17" t="s">
        <v>1610</v>
      </c>
      <c r="O465" s="3">
        <v>3</v>
      </c>
      <c r="P465" s="3" t="s">
        <v>42</v>
      </c>
      <c r="Q465" s="17">
        <v>2025</v>
      </c>
      <c r="R465" s="17"/>
      <c r="S465" s="17" t="s">
        <v>507</v>
      </c>
      <c r="T465" s="14">
        <v>45790</v>
      </c>
      <c r="U465" s="18"/>
      <c r="V465" s="18"/>
      <c r="W465" s="17"/>
      <c r="X465" s="18" t="s">
        <v>1611</v>
      </c>
      <c r="Y465" s="4"/>
    </row>
    <row r="466" spans="1:25" hidden="1">
      <c r="A466" s="3">
        <v>466</v>
      </c>
      <c r="B466" s="17" t="s">
        <v>1587</v>
      </c>
      <c r="C466" s="17" t="s">
        <v>303</v>
      </c>
      <c r="D466" s="17" t="s">
        <v>304</v>
      </c>
      <c r="E466" s="17"/>
      <c r="F466" s="17" t="s">
        <v>305</v>
      </c>
      <c r="G466" s="17" t="s">
        <v>35</v>
      </c>
      <c r="H466" s="17">
        <f>VALUE(MID(LEFT(Table1[[#This Row],[Unique ID]], FIND("/", Table1[[#This Row],[Unique ID]]) - 1), 2, LEN(Table1[[#This Row],[Unique ID]])))</f>
        <v>4</v>
      </c>
      <c r="I466" s="17" t="s">
        <v>76</v>
      </c>
      <c r="J466" s="17"/>
      <c r="K466" s="29" t="s">
        <v>56</v>
      </c>
      <c r="L466" s="3" t="s">
        <v>1612</v>
      </c>
      <c r="M466" s="27">
        <v>100000</v>
      </c>
      <c r="N466" s="17" t="s">
        <v>1613</v>
      </c>
      <c r="O466" s="42">
        <v>24</v>
      </c>
      <c r="P466" s="17" t="s">
        <v>56</v>
      </c>
      <c r="Q466" s="17">
        <v>2025</v>
      </c>
      <c r="R466" s="17" t="s">
        <v>1614</v>
      </c>
      <c r="S466" s="17" t="s">
        <v>507</v>
      </c>
      <c r="T466" s="14">
        <v>45677</v>
      </c>
      <c r="U466" s="3" t="s">
        <v>1116</v>
      </c>
      <c r="V466" s="18"/>
      <c r="W466" s="17"/>
      <c r="X466" s="18" t="s">
        <v>1615</v>
      </c>
      <c r="Y466" s="4"/>
    </row>
    <row r="467" spans="1:25" hidden="1">
      <c r="A467" s="3">
        <v>467</v>
      </c>
      <c r="B467" s="17" t="s">
        <v>1587</v>
      </c>
      <c r="C467" s="3" t="s">
        <v>347</v>
      </c>
      <c r="D467" s="3" t="s">
        <v>348</v>
      </c>
      <c r="E467" s="3" t="s">
        <v>349</v>
      </c>
      <c r="F467" s="3" t="s">
        <v>350</v>
      </c>
      <c r="G467" s="3" t="s">
        <v>35</v>
      </c>
      <c r="H467" s="3">
        <f>VALUE(MID(LEFT(Table1[[#This Row],[Unique ID]], FIND("/", Table1[[#This Row],[Unique ID]]) - 1), 2, LEN(Table1[[#This Row],[Unique ID]])))</f>
        <v>6</v>
      </c>
      <c r="I467" s="3" t="s">
        <v>36</v>
      </c>
      <c r="J467" s="3"/>
      <c r="K467" s="29" t="s">
        <v>56</v>
      </c>
      <c r="L467" s="3" t="s">
        <v>1616</v>
      </c>
      <c r="M467" s="26">
        <v>13425</v>
      </c>
      <c r="N467" s="17" t="s">
        <v>1617</v>
      </c>
      <c r="O467" s="42">
        <v>24</v>
      </c>
      <c r="P467" s="17" t="s">
        <v>56</v>
      </c>
      <c r="Q467" s="17">
        <v>2025</v>
      </c>
      <c r="R467" s="17" t="s">
        <v>1618</v>
      </c>
      <c r="S467" s="17" t="s">
        <v>507</v>
      </c>
      <c r="T467" s="14">
        <v>45870</v>
      </c>
      <c r="U467" s="3" t="s">
        <v>1116</v>
      </c>
      <c r="V467" s="18"/>
      <c r="W467" s="17"/>
      <c r="X467" s="18" t="s">
        <v>1619</v>
      </c>
      <c r="Y467" s="4"/>
    </row>
    <row r="468" spans="1:25" hidden="1">
      <c r="A468" s="3">
        <v>468</v>
      </c>
      <c r="B468" s="28" t="s">
        <v>1587</v>
      </c>
      <c r="C468" s="28" t="s">
        <v>89</v>
      </c>
      <c r="D468" s="28" t="s">
        <v>90</v>
      </c>
      <c r="E468" s="28" t="s">
        <v>91</v>
      </c>
      <c r="F468" s="28" t="s">
        <v>92</v>
      </c>
      <c r="G468" s="28" t="s">
        <v>61</v>
      </c>
      <c r="H468" s="28">
        <f>VALUE(MID(LEFT(Table1[[#This Row],[Unique ID]], FIND("/", Table1[[#This Row],[Unique ID]]) - 1), 2, LEN(Table1[[#This Row],[Unique ID]])))</f>
        <v>7</v>
      </c>
      <c r="I468" s="28" t="s">
        <v>93</v>
      </c>
      <c r="J468" s="17"/>
      <c r="K468" s="29" t="s">
        <v>56</v>
      </c>
      <c r="L468" s="3" t="s">
        <v>1620</v>
      </c>
      <c r="M468" s="26">
        <v>190000</v>
      </c>
      <c r="N468" s="17" t="s">
        <v>1617</v>
      </c>
      <c r="O468" s="42">
        <v>12</v>
      </c>
      <c r="P468" s="17" t="s">
        <v>56</v>
      </c>
      <c r="Q468" s="17">
        <v>2025</v>
      </c>
      <c r="R468" s="17" t="s">
        <v>1621</v>
      </c>
      <c r="S468" s="17" t="s">
        <v>507</v>
      </c>
      <c r="T468" s="14">
        <v>45685</v>
      </c>
      <c r="U468" s="3" t="s">
        <v>1105</v>
      </c>
      <c r="V468" s="18"/>
      <c r="W468" s="17"/>
      <c r="X468" s="18" t="s">
        <v>1622</v>
      </c>
      <c r="Y468" s="4"/>
    </row>
    <row r="469" spans="1:25" hidden="1">
      <c r="A469" s="3">
        <v>469</v>
      </c>
      <c r="B469" s="28" t="s">
        <v>1587</v>
      </c>
      <c r="C469" s="28" t="s">
        <v>1482</v>
      </c>
      <c r="D469" s="28" t="s">
        <v>1483</v>
      </c>
      <c r="E469" s="28" t="s">
        <v>1484</v>
      </c>
      <c r="F469" s="17" t="s">
        <v>1485</v>
      </c>
      <c r="G469" s="17" t="s">
        <v>61</v>
      </c>
      <c r="H469" s="17">
        <f>VALUE(MID(LEFT(Table1[[#This Row],[Unique ID]], FIND("/", Table1[[#This Row],[Unique ID]]) - 1), 2, LEN(Table1[[#This Row],[Unique ID]])))</f>
        <v>4</v>
      </c>
      <c r="I469" s="17" t="s">
        <v>229</v>
      </c>
      <c r="J469" s="17"/>
      <c r="K469" s="29" t="s">
        <v>56</v>
      </c>
      <c r="L469" s="17" t="s">
        <v>1623</v>
      </c>
      <c r="M469" s="26">
        <v>22000</v>
      </c>
      <c r="N469" s="17" t="s">
        <v>1624</v>
      </c>
      <c r="O469" s="42">
        <v>24</v>
      </c>
      <c r="P469" s="17" t="s">
        <v>56</v>
      </c>
      <c r="Q469" s="17">
        <v>2025</v>
      </c>
      <c r="R469" s="17" t="s">
        <v>1625</v>
      </c>
      <c r="S469" s="17" t="s">
        <v>507</v>
      </c>
      <c r="T469" s="14">
        <v>45798</v>
      </c>
      <c r="U469" s="3" t="s">
        <v>1105</v>
      </c>
      <c r="V469" s="18"/>
      <c r="W469" s="17"/>
      <c r="X469" s="18" t="s">
        <v>1626</v>
      </c>
      <c r="Y469" s="4"/>
    </row>
    <row r="470" spans="1:25" hidden="1">
      <c r="A470" s="3">
        <v>470</v>
      </c>
      <c r="B470" s="28" t="s">
        <v>1587</v>
      </c>
      <c r="C470" s="28" t="s">
        <v>1627</v>
      </c>
      <c r="D470" s="28" t="s">
        <v>1628</v>
      </c>
      <c r="E470" s="28" t="s">
        <v>1629</v>
      </c>
      <c r="F470" s="55" t="s">
        <v>1630</v>
      </c>
      <c r="G470" s="17" t="s">
        <v>61</v>
      </c>
      <c r="H470" s="17">
        <f>VALUE(MID(LEFT(Table1[[#This Row],[Unique ID]], FIND("/", Table1[[#This Row],[Unique ID]]) - 1), 2, LEN(Table1[[#This Row],[Unique ID]])))</f>
        <v>9</v>
      </c>
      <c r="I470" s="17" t="s">
        <v>36</v>
      </c>
      <c r="J470" s="17"/>
      <c r="K470" s="29" t="s">
        <v>56</v>
      </c>
      <c r="L470" s="17" t="s">
        <v>1631</v>
      </c>
      <c r="M470" s="26">
        <v>7244.36</v>
      </c>
      <c r="N470" s="17" t="s">
        <v>1632</v>
      </c>
      <c r="O470" s="42">
        <v>12</v>
      </c>
      <c r="P470" s="17" t="s">
        <v>56</v>
      </c>
      <c r="Q470" s="17">
        <v>2024</v>
      </c>
      <c r="R470" s="17" t="s">
        <v>1633</v>
      </c>
      <c r="S470" s="17" t="s">
        <v>507</v>
      </c>
      <c r="T470" s="14"/>
      <c r="U470" s="18"/>
      <c r="V470" s="18"/>
      <c r="W470" s="17"/>
      <c r="X470" s="18"/>
      <c r="Y470" s="4"/>
    </row>
    <row r="471" spans="1:25" hidden="1">
      <c r="A471" s="3">
        <v>471</v>
      </c>
      <c r="B471" s="28" t="s">
        <v>1587</v>
      </c>
      <c r="C471" s="56" t="s">
        <v>1576</v>
      </c>
      <c r="D471" s="17" t="s">
        <v>1577</v>
      </c>
      <c r="E471" s="17" t="s">
        <v>1578</v>
      </c>
      <c r="F471" s="17" t="s">
        <v>1579</v>
      </c>
      <c r="G471" s="17" t="s">
        <v>61</v>
      </c>
      <c r="H471" s="17">
        <f>VALUE(MID(LEFT(Table1[[#This Row],[Unique ID]], FIND("/", Table1[[#This Row],[Unique ID]]) - 1), 2, LEN(Table1[[#This Row],[Unique ID]])))</f>
        <v>9</v>
      </c>
      <c r="I471" s="17" t="s">
        <v>86</v>
      </c>
      <c r="J471" s="17"/>
      <c r="K471" s="17" t="s">
        <v>160</v>
      </c>
      <c r="L471" s="17" t="s">
        <v>1634</v>
      </c>
      <c r="M471" s="26">
        <v>157</v>
      </c>
      <c r="N471" s="17" t="s">
        <v>1635</v>
      </c>
      <c r="O471" s="17">
        <v>1</v>
      </c>
      <c r="P471" s="17" t="s">
        <v>160</v>
      </c>
      <c r="Q471" s="17">
        <v>2025</v>
      </c>
      <c r="R471" s="17"/>
      <c r="S471" s="17" t="s">
        <v>507</v>
      </c>
      <c r="T471" s="14">
        <v>45758</v>
      </c>
      <c r="U471" s="18"/>
      <c r="V471" s="18"/>
      <c r="W471" s="17"/>
      <c r="X471" s="18" t="s">
        <v>1636</v>
      </c>
      <c r="Y471" s="4"/>
    </row>
    <row r="472" spans="1:25" hidden="1">
      <c r="A472" s="3">
        <v>472</v>
      </c>
      <c r="B472" s="28" t="s">
        <v>1587</v>
      </c>
      <c r="C472" s="17" t="s">
        <v>863</v>
      </c>
      <c r="D472" s="17" t="s">
        <v>864</v>
      </c>
      <c r="E472" s="17" t="s">
        <v>865</v>
      </c>
      <c r="F472" s="17" t="s">
        <v>866</v>
      </c>
      <c r="G472" s="17" t="s">
        <v>35</v>
      </c>
      <c r="H472" s="17">
        <f>VALUE(MID(LEFT(Table1[[#This Row],[Unique ID]], FIND("/", Table1[[#This Row],[Unique ID]]) - 1), 2, LEN(Table1[[#This Row],[Unique ID]])))</f>
        <v>9</v>
      </c>
      <c r="I472" s="17" t="s">
        <v>93</v>
      </c>
      <c r="J472" s="17" t="s">
        <v>93</v>
      </c>
      <c r="K472" s="17" t="s">
        <v>160</v>
      </c>
      <c r="L472" s="17" t="s">
        <v>1637</v>
      </c>
      <c r="M472" s="26">
        <v>5000</v>
      </c>
      <c r="N472" s="17" t="s">
        <v>1638</v>
      </c>
      <c r="O472" s="17"/>
      <c r="P472" s="17" t="s">
        <v>160</v>
      </c>
      <c r="Q472" s="17">
        <v>2025</v>
      </c>
      <c r="R472" s="17"/>
      <c r="S472" s="17" t="s">
        <v>507</v>
      </c>
      <c r="T472" s="14"/>
      <c r="U472" s="18"/>
      <c r="V472" s="18"/>
      <c r="W472" s="17"/>
      <c r="X472" s="18" t="s">
        <v>1639</v>
      </c>
      <c r="Y472" s="4"/>
    </row>
    <row r="473" spans="1:25">
      <c r="A473" s="3">
        <v>473</v>
      </c>
      <c r="B473" s="28" t="s">
        <v>1587</v>
      </c>
      <c r="C473" s="29" t="s">
        <v>1550</v>
      </c>
      <c r="D473" s="29" t="s">
        <v>1551</v>
      </c>
      <c r="E473" s="29" t="s">
        <v>1552</v>
      </c>
      <c r="F473" s="29" t="s">
        <v>1553</v>
      </c>
      <c r="G473" s="29" t="s">
        <v>61</v>
      </c>
      <c r="H473" s="29">
        <f>VALUE(MID(LEFT(Table1[[#This Row],[Unique ID]], FIND("/", Table1[[#This Row],[Unique ID]]) - 1), 2, LEN(Table1[[#This Row],[Unique ID]])))</f>
        <v>10</v>
      </c>
      <c r="I473" s="29" t="s">
        <v>36</v>
      </c>
      <c r="J473" s="29" t="s">
        <v>36</v>
      </c>
      <c r="K473" s="29" t="s">
        <v>1640</v>
      </c>
      <c r="L473" s="17" t="s">
        <v>1641</v>
      </c>
      <c r="M473" s="26">
        <v>2500</v>
      </c>
      <c r="N473" s="17" t="s">
        <v>283</v>
      </c>
      <c r="O473" s="17">
        <v>12</v>
      </c>
      <c r="P473" s="17" t="s">
        <v>56</v>
      </c>
      <c r="Q473" s="17">
        <v>2025</v>
      </c>
      <c r="R473" s="17" t="s">
        <v>1642</v>
      </c>
      <c r="S473" s="17" t="s">
        <v>43</v>
      </c>
      <c r="T473" s="14">
        <v>45803</v>
      </c>
      <c r="U473" s="3" t="s">
        <v>1105</v>
      </c>
      <c r="V473" s="18"/>
      <c r="W473" s="17"/>
      <c r="X473" s="18" t="s">
        <v>1643</v>
      </c>
      <c r="Y473" s="4"/>
    </row>
    <row r="474" spans="1:25" hidden="1">
      <c r="A474" s="3">
        <v>474</v>
      </c>
      <c r="B474" s="29" t="s">
        <v>1587</v>
      </c>
      <c r="C474" s="29" t="s">
        <v>89</v>
      </c>
      <c r="D474" s="29" t="s">
        <v>90</v>
      </c>
      <c r="E474" s="29" t="s">
        <v>91</v>
      </c>
      <c r="F474" s="29" t="s">
        <v>92</v>
      </c>
      <c r="G474" s="29" t="s">
        <v>61</v>
      </c>
      <c r="H474" s="29">
        <f>VALUE(MID(LEFT(Table1[[#This Row],[Unique ID]], FIND("/", Table1[[#This Row],[Unique ID]]) - 1), 2, LEN(Table1[[#This Row],[Unique ID]])))</f>
        <v>7</v>
      </c>
      <c r="I474" s="29" t="s">
        <v>93</v>
      </c>
      <c r="J474" s="17"/>
      <c r="K474" s="29" t="s">
        <v>56</v>
      </c>
      <c r="L474" s="3" t="s">
        <v>1644</v>
      </c>
      <c r="M474" s="26">
        <v>39000</v>
      </c>
      <c r="N474" s="17" t="s">
        <v>1617</v>
      </c>
      <c r="O474" s="42">
        <v>12</v>
      </c>
      <c r="P474" s="17" t="s">
        <v>56</v>
      </c>
      <c r="Q474" s="17">
        <v>2025</v>
      </c>
      <c r="R474" s="17" t="s">
        <v>1645</v>
      </c>
      <c r="S474" s="17" t="s">
        <v>507</v>
      </c>
      <c r="T474" s="14">
        <v>45807</v>
      </c>
      <c r="U474" s="3" t="s">
        <v>1105</v>
      </c>
      <c r="V474" s="18"/>
      <c r="W474" s="17"/>
      <c r="X474" s="18" t="s">
        <v>1646</v>
      </c>
      <c r="Y474" s="4"/>
    </row>
    <row r="475" spans="1:25" hidden="1">
      <c r="A475" s="3">
        <v>475</v>
      </c>
      <c r="B475" s="17" t="s">
        <v>1587</v>
      </c>
      <c r="C475" s="29" t="s">
        <v>631</v>
      </c>
      <c r="D475" s="29" t="s">
        <v>632</v>
      </c>
      <c r="E475" s="29" t="s">
        <v>1380</v>
      </c>
      <c r="F475" s="29" t="s">
        <v>634</v>
      </c>
      <c r="G475" s="29" t="s">
        <v>61</v>
      </c>
      <c r="H475" s="17">
        <f>VALUE(MID(LEFT(Table1[[#This Row],[Unique ID]], FIND("/", Table1[[#This Row],[Unique ID]]) - 1), 2, LEN(Table1[[#This Row],[Unique ID]])))</f>
        <v>9</v>
      </c>
      <c r="I475" s="29" t="s">
        <v>589</v>
      </c>
      <c r="J475" s="17"/>
      <c r="K475" s="29" t="s">
        <v>1608</v>
      </c>
      <c r="L475" s="58" t="s">
        <v>1647</v>
      </c>
      <c r="M475" s="26">
        <v>2000</v>
      </c>
      <c r="N475" s="17" t="s">
        <v>1648</v>
      </c>
      <c r="O475" s="42">
        <v>1</v>
      </c>
      <c r="P475" s="3" t="s">
        <v>42</v>
      </c>
      <c r="Q475" s="17">
        <v>2025</v>
      </c>
      <c r="R475" s="17"/>
      <c r="S475" s="17" t="s">
        <v>507</v>
      </c>
      <c r="T475" s="14">
        <v>45658</v>
      </c>
      <c r="U475" s="18"/>
      <c r="V475" s="18"/>
      <c r="W475" s="17"/>
      <c r="X475" s="18" t="s">
        <v>1649</v>
      </c>
      <c r="Y475" s="4"/>
    </row>
    <row r="476" spans="1:25" hidden="1">
      <c r="A476" s="3">
        <v>476</v>
      </c>
      <c r="B476" s="17" t="s">
        <v>1587</v>
      </c>
      <c r="C476" s="17" t="s">
        <v>1043</v>
      </c>
      <c r="D476" s="17" t="s">
        <v>1044</v>
      </c>
      <c r="E476" s="17" t="s">
        <v>1045</v>
      </c>
      <c r="F476" s="17" t="s">
        <v>1046</v>
      </c>
      <c r="G476" s="17" t="s">
        <v>35</v>
      </c>
      <c r="H476" s="17">
        <f>VALUE(MID(LEFT(Table1[[#This Row],[Unique ID]], FIND("/", Table1[[#This Row],[Unique ID]]) - 1), 2, LEN(Table1[[#This Row],[Unique ID]])))</f>
        <v>10</v>
      </c>
      <c r="I476" s="17" t="s">
        <v>110</v>
      </c>
      <c r="J476" s="17" t="s">
        <v>589</v>
      </c>
      <c r="K476" s="29" t="s">
        <v>56</v>
      </c>
      <c r="L476" s="17" t="s">
        <v>1650</v>
      </c>
      <c r="M476" s="26">
        <v>5000</v>
      </c>
      <c r="N476" s="17" t="s">
        <v>1651</v>
      </c>
      <c r="O476" s="42">
        <v>12</v>
      </c>
      <c r="P476" s="17" t="s">
        <v>56</v>
      </c>
      <c r="Q476" s="17">
        <v>2025</v>
      </c>
      <c r="R476" s="17"/>
      <c r="S476" s="17" t="s">
        <v>507</v>
      </c>
      <c r="T476" s="14">
        <v>45809</v>
      </c>
      <c r="U476" s="3" t="s">
        <v>1105</v>
      </c>
      <c r="V476" s="18"/>
      <c r="W476" s="17"/>
      <c r="X476" s="18" t="s">
        <v>1652</v>
      </c>
      <c r="Y476" s="4"/>
    </row>
    <row r="477" spans="1:25" hidden="1">
      <c r="A477" s="3">
        <v>477</v>
      </c>
      <c r="B477" s="17" t="s">
        <v>1587</v>
      </c>
      <c r="C477" s="17" t="s">
        <v>641</v>
      </c>
      <c r="D477" s="17" t="s">
        <v>642</v>
      </c>
      <c r="E477" s="17" t="s">
        <v>643</v>
      </c>
      <c r="F477" s="17" t="s">
        <v>644</v>
      </c>
      <c r="G477" s="17" t="s">
        <v>61</v>
      </c>
      <c r="H477" s="17">
        <f>VALUE(MID(LEFT(Table1[[#This Row],[Unique ID]], FIND("/", Table1[[#This Row],[Unique ID]]) - 1), 2, LEN(Table1[[#This Row],[Unique ID]])))</f>
        <v>9</v>
      </c>
      <c r="I477" s="17" t="s">
        <v>37</v>
      </c>
      <c r="J477" s="17" t="s">
        <v>37</v>
      </c>
      <c r="K477" s="17" t="s">
        <v>1653</v>
      </c>
      <c r="L477" s="17" t="s">
        <v>1654</v>
      </c>
      <c r="M477" s="26">
        <v>7500</v>
      </c>
      <c r="N477" s="17" t="s">
        <v>1655</v>
      </c>
      <c r="O477" s="42">
        <v>8</v>
      </c>
      <c r="P477" s="17" t="s">
        <v>1653</v>
      </c>
      <c r="Q477" s="17">
        <v>2025</v>
      </c>
      <c r="R477" s="17"/>
      <c r="S477" s="17" t="s">
        <v>507</v>
      </c>
      <c r="T477" s="14">
        <v>45809</v>
      </c>
      <c r="U477" s="18"/>
      <c r="V477" s="18"/>
      <c r="W477" s="17"/>
      <c r="X477" s="18" t="s">
        <v>1656</v>
      </c>
      <c r="Y477" s="4"/>
    </row>
    <row r="478" spans="1:25" hidden="1">
      <c r="A478" s="3">
        <v>478</v>
      </c>
      <c r="B478" s="17" t="s">
        <v>1587</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29" t="s">
        <v>56</v>
      </c>
      <c r="L478" s="17" t="s">
        <v>1657</v>
      </c>
      <c r="M478" s="26">
        <v>73690</v>
      </c>
      <c r="N478" s="17" t="s">
        <v>1658</v>
      </c>
      <c r="O478" s="3">
        <v>24</v>
      </c>
      <c r="P478" s="17" t="s">
        <v>56</v>
      </c>
      <c r="Q478" s="17">
        <v>2025</v>
      </c>
      <c r="R478" s="17" t="s">
        <v>1659</v>
      </c>
      <c r="S478" s="17" t="s">
        <v>507</v>
      </c>
      <c r="T478" s="14">
        <v>45901</v>
      </c>
      <c r="U478" s="3" t="s">
        <v>1105</v>
      </c>
      <c r="V478" s="18"/>
      <c r="W478" s="17"/>
      <c r="X478" s="18" t="s">
        <v>1660</v>
      </c>
      <c r="Y478" s="4"/>
    </row>
    <row r="479" spans="1:25">
      <c r="A479" s="3">
        <v>479</v>
      </c>
      <c r="B479" s="17" t="s">
        <v>1661</v>
      </c>
      <c r="C479" s="3" t="s">
        <v>1662</v>
      </c>
      <c r="D479" s="3" t="s">
        <v>1663</v>
      </c>
      <c r="E479" s="3" t="s">
        <v>1664</v>
      </c>
      <c r="F479" s="3" t="s">
        <v>1553</v>
      </c>
      <c r="G479" s="3" t="s">
        <v>61</v>
      </c>
      <c r="H479" s="57">
        <f>VALUE(MID(LEFT(Table1[[#This Row],[Unique ID]], FIND("/", Table1[[#This Row],[Unique ID]]) - 1), 2, LEN(Table1[[#This Row],[Unique ID]])))</f>
        <v>11</v>
      </c>
      <c r="I479" s="57" t="s">
        <v>37</v>
      </c>
      <c r="J479" s="57" t="s">
        <v>37</v>
      </c>
      <c r="K479" s="57" t="s">
        <v>56</v>
      </c>
      <c r="L479" s="57" t="s">
        <v>1665</v>
      </c>
      <c r="M479" s="57">
        <v>50000</v>
      </c>
      <c r="N479" s="57" t="s">
        <v>1666</v>
      </c>
      <c r="O479" s="57">
        <v>12</v>
      </c>
      <c r="P479" s="57" t="s">
        <v>56</v>
      </c>
      <c r="Q479" s="17">
        <v>2025</v>
      </c>
      <c r="R479" s="57" t="s">
        <v>1667</v>
      </c>
      <c r="S479" s="17" t="s">
        <v>43</v>
      </c>
      <c r="T479" s="14">
        <v>45901</v>
      </c>
      <c r="U479" s="57" t="s">
        <v>1105</v>
      </c>
      <c r="V479" s="57"/>
      <c r="W479" s="57"/>
      <c r="X479" s="4" t="s">
        <v>1668</v>
      </c>
      <c r="Y479" s="4"/>
    </row>
    <row r="480" spans="1:25">
      <c r="A480" s="3">
        <v>480</v>
      </c>
      <c r="B480" s="17" t="s">
        <v>1661</v>
      </c>
      <c r="C480" s="17" t="s">
        <v>1669</v>
      </c>
      <c r="D480" s="17" t="s">
        <v>1670</v>
      </c>
      <c r="E480" s="17" t="s">
        <v>1206</v>
      </c>
      <c r="F480" s="17" t="s">
        <v>1671</v>
      </c>
      <c r="G480" s="17" t="s">
        <v>61</v>
      </c>
      <c r="H480" s="57">
        <f>VALUE(MID(LEFT(Table1[[#This Row],[Unique ID]], FIND("/", Table1[[#This Row],[Unique ID]]) - 1), 2, LEN(Table1[[#This Row],[Unique ID]])))</f>
        <v>11</v>
      </c>
      <c r="I480" s="57" t="s">
        <v>86</v>
      </c>
      <c r="J480" s="57" t="s">
        <v>86</v>
      </c>
      <c r="K480" s="57" t="s">
        <v>160</v>
      </c>
      <c r="L480" s="57" t="s">
        <v>1672</v>
      </c>
      <c r="M480" s="57">
        <v>7500</v>
      </c>
      <c r="N480" s="57" t="s">
        <v>1673</v>
      </c>
      <c r="O480" s="57">
        <v>12</v>
      </c>
      <c r="P480" s="57" t="s">
        <v>160</v>
      </c>
      <c r="Q480" s="17">
        <v>2025</v>
      </c>
      <c r="R480" s="57"/>
      <c r="S480" s="17" t="s">
        <v>43</v>
      </c>
      <c r="T480" s="14">
        <v>45905</v>
      </c>
      <c r="U480" s="57"/>
      <c r="V480" s="57"/>
      <c r="W480" s="57"/>
      <c r="X480" s="57"/>
      <c r="Y480" s="18"/>
    </row>
    <row r="481" spans="1:25" hidden="1">
      <c r="A481" s="3">
        <v>481</v>
      </c>
      <c r="B481" s="17" t="s">
        <v>1661</v>
      </c>
      <c r="C481" s="3" t="s">
        <v>774</v>
      </c>
      <c r="D481" s="17" t="s">
        <v>1674</v>
      </c>
      <c r="E481" s="17" t="s">
        <v>1675</v>
      </c>
      <c r="F481" s="17" t="s">
        <v>775</v>
      </c>
      <c r="G481" s="3" t="s">
        <v>61</v>
      </c>
      <c r="H481" s="3">
        <f>VALUE(MID(LEFT(Table1[[#This Row],[Unique ID]], FIND("/", Table1[[#This Row],[Unique ID]]) - 1), 2, LEN(Table1[[#This Row],[Unique ID]])))</f>
        <v>3</v>
      </c>
      <c r="I481" s="3" t="s">
        <v>36</v>
      </c>
      <c r="J481" s="3"/>
      <c r="K481" s="3" t="s">
        <v>56</v>
      </c>
      <c r="L481" s="3" t="s">
        <v>283</v>
      </c>
      <c r="M481" s="3">
        <v>27754</v>
      </c>
      <c r="N481" s="3" t="s">
        <v>1676</v>
      </c>
      <c r="O481" s="3">
        <v>2</v>
      </c>
      <c r="P481" s="3" t="s">
        <v>56</v>
      </c>
      <c r="Q481" s="17">
        <v>2025</v>
      </c>
      <c r="R481" s="3" t="s">
        <v>1677</v>
      </c>
      <c r="S481" s="17" t="s">
        <v>507</v>
      </c>
      <c r="T481" s="14">
        <v>46037</v>
      </c>
      <c r="U481" s="3" t="s">
        <v>1116</v>
      </c>
      <c r="V481" s="4"/>
      <c r="W481" s="3"/>
      <c r="X481" s="3" t="s">
        <v>1678</v>
      </c>
      <c r="Y481" s="4"/>
    </row>
    <row r="482" spans="1:25" hidden="1">
      <c r="A482" s="3">
        <v>482</v>
      </c>
      <c r="B482" s="17" t="s">
        <v>1661</v>
      </c>
      <c r="C482" s="3" t="s">
        <v>303</v>
      </c>
      <c r="D482" s="17" t="s">
        <v>304</v>
      </c>
      <c r="E482" s="17"/>
      <c r="F482" s="17" t="s">
        <v>305</v>
      </c>
      <c r="G482" s="3" t="s">
        <v>35</v>
      </c>
      <c r="H482" s="3">
        <f>VALUE(MID(LEFT(Table1[[#This Row],[Unique ID]], FIND("/", Table1[[#This Row],[Unique ID]]) - 1), 2, LEN(Table1[[#This Row],[Unique ID]])))</f>
        <v>4</v>
      </c>
      <c r="I482" s="3" t="s">
        <v>76</v>
      </c>
      <c r="J482" s="3"/>
      <c r="K482" s="3" t="s">
        <v>56</v>
      </c>
      <c r="L482" s="3" t="s">
        <v>1679</v>
      </c>
      <c r="M482" s="3">
        <v>54000</v>
      </c>
      <c r="N482" s="3" t="s">
        <v>1680</v>
      </c>
      <c r="O482" s="3">
        <v>12</v>
      </c>
      <c r="P482" s="3" t="s">
        <v>56</v>
      </c>
      <c r="Q482" s="17">
        <v>2025</v>
      </c>
      <c r="R482" s="3" t="s">
        <v>1681</v>
      </c>
      <c r="S482" s="17" t="s">
        <v>507</v>
      </c>
      <c r="T482" s="14">
        <v>45968</v>
      </c>
      <c r="U482" s="3" t="s">
        <v>1116</v>
      </c>
      <c r="V482" s="4"/>
      <c r="W482" s="3"/>
      <c r="X482" s="3" t="s">
        <v>1682</v>
      </c>
      <c r="Y482" s="4"/>
    </row>
    <row r="483" spans="1:25" hidden="1">
      <c r="A483" s="3">
        <v>483</v>
      </c>
      <c r="B483" s="17" t="s">
        <v>1661</v>
      </c>
      <c r="C483" s="3" t="s">
        <v>716</v>
      </c>
      <c r="D483" s="17" t="s">
        <v>717</v>
      </c>
      <c r="E483" s="17" t="s">
        <v>718</v>
      </c>
      <c r="F483" s="17" t="s">
        <v>719</v>
      </c>
      <c r="G483" s="3" t="s">
        <v>61</v>
      </c>
      <c r="H483" s="3">
        <f>VALUE(MID(LEFT(Table1[[#This Row],[Unique ID]], FIND("/", Table1[[#This Row],[Unique ID]]) - 1), 2, LEN(Table1[[#This Row],[Unique ID]])))</f>
        <v>3</v>
      </c>
      <c r="I483" s="3" t="s">
        <v>229</v>
      </c>
      <c r="J483" s="3"/>
      <c r="K483" s="3" t="s">
        <v>876</v>
      </c>
      <c r="L483" s="3" t="s">
        <v>1683</v>
      </c>
      <c r="M483" s="3">
        <v>2000</v>
      </c>
      <c r="N483" s="3" t="s">
        <v>1684</v>
      </c>
      <c r="O483" s="3">
        <v>1</v>
      </c>
      <c r="P483" s="3" t="s">
        <v>876</v>
      </c>
      <c r="Q483" s="17">
        <v>2025</v>
      </c>
      <c r="R483" s="3"/>
      <c r="S483" s="17" t="s">
        <v>507</v>
      </c>
      <c r="T483" s="14">
        <v>45966</v>
      </c>
      <c r="U483" s="3"/>
      <c r="V483" s="4"/>
      <c r="W483" s="3"/>
      <c r="X483" s="3" t="s">
        <v>1685</v>
      </c>
      <c r="Y483" s="4"/>
    </row>
    <row r="484" spans="1:25" hidden="1">
      <c r="A484" s="3">
        <v>484</v>
      </c>
      <c r="B484" s="17" t="s">
        <v>1661</v>
      </c>
      <c r="C484" s="3" t="s">
        <v>1174</v>
      </c>
      <c r="D484" s="17" t="s">
        <v>1686</v>
      </c>
      <c r="E484" s="17" t="s">
        <v>1687</v>
      </c>
      <c r="F484" s="17" t="s">
        <v>1500</v>
      </c>
      <c r="G484" s="3" t="s">
        <v>61</v>
      </c>
      <c r="H484" s="3">
        <f>VALUE(MID(LEFT(Table1[[#This Row],[Unique ID]], FIND("/", Table1[[#This Row],[Unique ID]]) - 1), 2, LEN(Table1[[#This Row],[Unique ID]])))</f>
        <v>8</v>
      </c>
      <c r="I484" s="3" t="s">
        <v>36</v>
      </c>
      <c r="J484" s="3"/>
      <c r="K484" s="3" t="s">
        <v>56</v>
      </c>
      <c r="L484" s="3" t="s">
        <v>1688</v>
      </c>
      <c r="M484" s="3">
        <v>15000</v>
      </c>
      <c r="N484" s="3" t="s">
        <v>1689</v>
      </c>
      <c r="O484" s="3">
        <v>12</v>
      </c>
      <c r="P484" s="3" t="s">
        <v>56</v>
      </c>
      <c r="Q484" s="17">
        <v>2025</v>
      </c>
      <c r="R484" s="3" t="s">
        <v>1690</v>
      </c>
      <c r="S484" s="17" t="s">
        <v>507</v>
      </c>
      <c r="T484" s="14">
        <v>45474</v>
      </c>
      <c r="U484" s="3" t="s">
        <v>1105</v>
      </c>
      <c r="V484" s="4"/>
      <c r="W484" s="3"/>
      <c r="X484" s="3"/>
      <c r="Y484" s="4"/>
    </row>
    <row r="485" spans="1:25" hidden="1">
      <c r="A485" s="3">
        <v>485</v>
      </c>
      <c r="B485" s="17" t="s">
        <v>1661</v>
      </c>
      <c r="C485" s="3" t="s">
        <v>287</v>
      </c>
      <c r="D485" s="17" t="s">
        <v>1321</v>
      </c>
      <c r="E485" s="17" t="s">
        <v>1322</v>
      </c>
      <c r="F485" s="17" t="s">
        <v>289</v>
      </c>
      <c r="G485" s="3" t="s">
        <v>35</v>
      </c>
      <c r="H485" s="3">
        <f>VALUE(MID(LEFT(Table1[[#This Row],[Unique ID]], FIND("/", Table1[[#This Row],[Unique ID]]) - 1), 2, LEN(Table1[[#This Row],[Unique ID]])))</f>
        <v>6</v>
      </c>
      <c r="I485" s="3" t="s">
        <v>76</v>
      </c>
      <c r="J485" s="3"/>
      <c r="K485" s="3" t="s">
        <v>160</v>
      </c>
      <c r="L485" s="3" t="s">
        <v>1691</v>
      </c>
      <c r="M485" s="3">
        <v>1180</v>
      </c>
      <c r="N485" s="3" t="s">
        <v>1692</v>
      </c>
      <c r="O485" s="3">
        <v>1</v>
      </c>
      <c r="P485" s="3" t="s">
        <v>160</v>
      </c>
      <c r="Q485" s="17">
        <v>2025</v>
      </c>
      <c r="R485" s="3"/>
      <c r="S485" s="17" t="s">
        <v>507</v>
      </c>
      <c r="T485" s="14">
        <v>45901</v>
      </c>
      <c r="U485" s="3"/>
      <c r="V485" s="4"/>
      <c r="W485" s="3"/>
      <c r="X485" s="3" t="s">
        <v>1693</v>
      </c>
      <c r="Y485" s="4"/>
    </row>
    <row r="486" spans="1:25" hidden="1">
      <c r="A486" s="3">
        <v>486</v>
      </c>
      <c r="B486" s="17" t="s">
        <v>1661</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56</v>
      </c>
      <c r="L486" s="3" t="s">
        <v>1694</v>
      </c>
      <c r="M486" s="3">
        <v>142000</v>
      </c>
      <c r="N486" s="3" t="s">
        <v>1695</v>
      </c>
      <c r="O486" s="3">
        <v>12</v>
      </c>
      <c r="P486" s="3" t="s">
        <v>56</v>
      </c>
      <c r="Q486" s="17">
        <v>2025</v>
      </c>
      <c r="R486" s="3" t="s">
        <v>1696</v>
      </c>
      <c r="S486" s="17" t="s">
        <v>507</v>
      </c>
      <c r="T486" s="14">
        <v>45941</v>
      </c>
      <c r="U486" s="3" t="s">
        <v>1116</v>
      </c>
      <c r="V486" s="4"/>
      <c r="W486" s="3"/>
      <c r="X486" s="3" t="s">
        <v>1697</v>
      </c>
      <c r="Y486" s="4"/>
    </row>
    <row r="487" spans="1:25" hidden="1">
      <c r="A487" s="3">
        <v>487</v>
      </c>
      <c r="B487" s="17" t="s">
        <v>1661</v>
      </c>
      <c r="C487" s="3" t="s">
        <v>549</v>
      </c>
      <c r="D487" s="17" t="s">
        <v>550</v>
      </c>
      <c r="E487" s="17" t="s">
        <v>551</v>
      </c>
      <c r="F487" s="17" t="s">
        <v>552</v>
      </c>
      <c r="G487" s="3" t="s">
        <v>61</v>
      </c>
      <c r="H487" s="3">
        <f>VALUE(MID(LEFT(Table1[[#This Row],[Unique ID]], FIND("/", Table1[[#This Row],[Unique ID]]) - 1), 2, LEN(Table1[[#This Row],[Unique ID]])))</f>
        <v>8</v>
      </c>
      <c r="I487" s="3" t="s">
        <v>37</v>
      </c>
      <c r="J487" s="3"/>
      <c r="K487" s="3" t="s">
        <v>56</v>
      </c>
      <c r="L487" s="3" t="s">
        <v>1698</v>
      </c>
      <c r="M487" s="3">
        <v>200827</v>
      </c>
      <c r="N487" s="3" t="s">
        <v>1699</v>
      </c>
      <c r="O487" s="3">
        <v>1</v>
      </c>
      <c r="P487" s="3" t="s">
        <v>56</v>
      </c>
      <c r="Q487" s="17">
        <v>2025</v>
      </c>
      <c r="R487" s="3" t="s">
        <v>1700</v>
      </c>
      <c r="S487" s="17" t="s">
        <v>507</v>
      </c>
      <c r="T487" s="3"/>
      <c r="U487" s="3" t="s">
        <v>1116</v>
      </c>
      <c r="V487" s="4"/>
      <c r="W487" s="3"/>
      <c r="X487" s="3" t="s">
        <v>1701</v>
      </c>
      <c r="Y487" s="4"/>
    </row>
    <row r="488" spans="1:25" hidden="1">
      <c r="A488" s="3">
        <v>488</v>
      </c>
      <c r="B488" s="17" t="s">
        <v>1661</v>
      </c>
      <c r="C488" s="3" t="s">
        <v>879</v>
      </c>
      <c r="D488" s="17" t="s">
        <v>880</v>
      </c>
      <c r="E488" s="17" t="s">
        <v>881</v>
      </c>
      <c r="F488" s="17" t="s">
        <v>882</v>
      </c>
      <c r="G488" s="3" t="s">
        <v>61</v>
      </c>
      <c r="H488" s="3">
        <f>VALUE(MID(LEFT(Table1[[#This Row],[Unique ID]], FIND("/", Table1[[#This Row],[Unique ID]]) - 1), 2, LEN(Table1[[#This Row],[Unique ID]])))</f>
        <v>10</v>
      </c>
      <c r="I488" s="3" t="s">
        <v>86</v>
      </c>
      <c r="J488" s="3"/>
      <c r="K488" s="3" t="s">
        <v>1702</v>
      </c>
      <c r="L488" s="3" t="s">
        <v>1703</v>
      </c>
      <c r="M488" s="3">
        <v>67215.39</v>
      </c>
      <c r="N488" s="3" t="s">
        <v>1704</v>
      </c>
      <c r="O488" s="3">
        <v>6</v>
      </c>
      <c r="P488" s="3" t="s">
        <v>1702</v>
      </c>
      <c r="Q488" s="17">
        <v>2025</v>
      </c>
      <c r="R488" s="3"/>
      <c r="S488" s="17" t="s">
        <v>507</v>
      </c>
      <c r="T488" s="14">
        <v>46082</v>
      </c>
      <c r="U488" s="3"/>
      <c r="V488" s="4"/>
      <c r="W488" s="3"/>
      <c r="X488" s="3" t="s">
        <v>1705</v>
      </c>
      <c r="Y488" s="4"/>
    </row>
    <row r="489" spans="1:25" hidden="1">
      <c r="A489" s="3">
        <v>489</v>
      </c>
      <c r="B489" s="17" t="s">
        <v>1661</v>
      </c>
      <c r="C489" s="3" t="s">
        <v>641</v>
      </c>
      <c r="D489" s="17" t="s">
        <v>642</v>
      </c>
      <c r="E489" s="17" t="s">
        <v>643</v>
      </c>
      <c r="F489" s="17" t="s">
        <v>644</v>
      </c>
      <c r="G489" s="3" t="s">
        <v>61</v>
      </c>
      <c r="H489" s="3">
        <f>VALUE(MID(LEFT(Table1[[#This Row],[Unique ID]], FIND("/", Table1[[#This Row],[Unique ID]]) - 1), 2, LEN(Table1[[#This Row],[Unique ID]])))</f>
        <v>9</v>
      </c>
      <c r="I489" s="3" t="s">
        <v>37</v>
      </c>
      <c r="J489" s="3"/>
      <c r="K489" s="3" t="s">
        <v>1706</v>
      </c>
      <c r="L489" s="3" t="s">
        <v>1707</v>
      </c>
      <c r="M489" s="3">
        <v>10000</v>
      </c>
      <c r="N489" s="3" t="s">
        <v>1708</v>
      </c>
      <c r="O489" s="3">
        <v>6</v>
      </c>
      <c r="P489" s="3" t="s">
        <v>1706</v>
      </c>
      <c r="Q489" s="17">
        <v>2025</v>
      </c>
      <c r="R489" s="3"/>
      <c r="S489" s="17" t="s">
        <v>507</v>
      </c>
      <c r="T489" s="14">
        <v>45962</v>
      </c>
      <c r="U489" s="3"/>
      <c r="V489" s="4"/>
      <c r="W489" s="3"/>
      <c r="X489" s="3" t="s">
        <v>1709</v>
      </c>
      <c r="Y489" s="4"/>
    </row>
    <row r="490" spans="1:25" hidden="1">
      <c r="A490" s="3">
        <v>490</v>
      </c>
      <c r="B490" s="17" t="s">
        <v>1661</v>
      </c>
      <c r="C490" s="3" t="s">
        <v>659</v>
      </c>
      <c r="D490" s="17" t="s">
        <v>660</v>
      </c>
      <c r="E490" s="17" t="s">
        <v>661</v>
      </c>
      <c r="F490" s="17" t="s">
        <v>662</v>
      </c>
      <c r="G490" s="3" t="s">
        <v>61</v>
      </c>
      <c r="H490" s="17">
        <f>VALUE(MID(LEFT(Table1[[#This Row],[Unique ID]], FIND("/", Table1[[#This Row],[Unique ID]]) - 1), 2, LEN(Table1[[#This Row],[Unique ID]])))</f>
        <v>9</v>
      </c>
      <c r="I490" s="29" t="s">
        <v>589</v>
      </c>
      <c r="J490" s="17"/>
      <c r="K490" s="3" t="s">
        <v>56</v>
      </c>
      <c r="L490" s="3" t="s">
        <v>1710</v>
      </c>
      <c r="M490" s="3">
        <v>4500</v>
      </c>
      <c r="N490" s="3" t="s">
        <v>1711</v>
      </c>
      <c r="O490" s="3">
        <v>24</v>
      </c>
      <c r="P490" s="3" t="s">
        <v>56</v>
      </c>
      <c r="Q490" s="17">
        <v>2025</v>
      </c>
      <c r="R490" s="3" t="s">
        <v>1712</v>
      </c>
      <c r="S490" s="17" t="s">
        <v>507</v>
      </c>
      <c r="T490" s="14">
        <v>45917</v>
      </c>
      <c r="U490" s="3" t="s">
        <v>1105</v>
      </c>
      <c r="V490" s="18"/>
      <c r="W490" s="17"/>
      <c r="X490" s="3" t="s">
        <v>1713</v>
      </c>
      <c r="Y490" s="18"/>
    </row>
    <row r="491" spans="1:25" hidden="1">
      <c r="A491" s="3">
        <v>491</v>
      </c>
      <c r="B491" s="17" t="s">
        <v>1714</v>
      </c>
      <c r="C491" s="28" t="s">
        <v>287</v>
      </c>
      <c r="D491" s="28" t="s">
        <v>1321</v>
      </c>
      <c r="E491" s="28" t="s">
        <v>1322</v>
      </c>
      <c r="F491" s="28" t="s">
        <v>289</v>
      </c>
      <c r="G491" s="3" t="s">
        <v>35</v>
      </c>
      <c r="H491" s="3">
        <f>VALUE(MID(LEFT(Table1[[#This Row],[Unique ID]], FIND("/", Table1[[#This Row],[Unique ID]]) - 1), 2, LEN(Table1[[#This Row],[Unique ID]])))</f>
        <v>6</v>
      </c>
      <c r="I491" s="28" t="s">
        <v>76</v>
      </c>
      <c r="J491" s="3"/>
      <c r="K491" s="28" t="s">
        <v>56</v>
      </c>
      <c r="L491" s="28" t="s">
        <v>62</v>
      </c>
      <c r="M491" s="28">
        <v>140000</v>
      </c>
      <c r="N491" s="28" t="s">
        <v>1715</v>
      </c>
      <c r="O491" s="28">
        <v>12</v>
      </c>
      <c r="P491" s="28" t="s">
        <v>56</v>
      </c>
      <c r="Q491" s="3">
        <v>2026</v>
      </c>
      <c r="R491" s="3"/>
      <c r="S491" s="17" t="s">
        <v>507</v>
      </c>
      <c r="T491" s="14">
        <v>46027</v>
      </c>
      <c r="U491" s="28" t="s">
        <v>1116</v>
      </c>
      <c r="V491" s="4"/>
      <c r="W491" s="3"/>
      <c r="X491" s="28" t="s">
        <v>1716</v>
      </c>
      <c r="Y491" s="4"/>
    </row>
    <row r="492" spans="1:25" hidden="1">
      <c r="A492" s="3">
        <v>492</v>
      </c>
      <c r="B492" s="17" t="s">
        <v>1714</v>
      </c>
      <c r="C492" s="31" t="s">
        <v>249</v>
      </c>
      <c r="D492" s="28" t="s">
        <v>250</v>
      </c>
      <c r="E492" s="28" t="s">
        <v>251</v>
      </c>
      <c r="F492" s="28" t="s">
        <v>252</v>
      </c>
      <c r="G492" s="3" t="s">
        <v>61</v>
      </c>
      <c r="H492" s="3">
        <f>VALUE(MID(LEFT(Table1[[#This Row],[Unique ID]], FIND("/", Table1[[#This Row],[Unique ID]]) - 1), 2, LEN(Table1[[#This Row],[Unique ID]])))</f>
        <v>7</v>
      </c>
      <c r="I492" s="31" t="s">
        <v>36</v>
      </c>
      <c r="J492" s="3"/>
      <c r="K492" s="31" t="s">
        <v>56</v>
      </c>
      <c r="L492" s="31" t="s">
        <v>1717</v>
      </c>
      <c r="M492" s="31">
        <v>2800</v>
      </c>
      <c r="N492" s="31" t="s">
        <v>1718</v>
      </c>
      <c r="O492" s="31">
        <v>12</v>
      </c>
      <c r="P492" s="31" t="s">
        <v>56</v>
      </c>
      <c r="Q492" s="3">
        <v>2026</v>
      </c>
      <c r="R492" s="3"/>
      <c r="S492" s="17" t="s">
        <v>507</v>
      </c>
      <c r="T492" s="14">
        <v>46054</v>
      </c>
      <c r="U492" s="31" t="s">
        <v>1105</v>
      </c>
      <c r="V492" s="4"/>
      <c r="W492" s="3"/>
      <c r="X492" s="31" t="s">
        <v>1460</v>
      </c>
      <c r="Y492" s="4"/>
    </row>
    <row r="493" spans="1:25" hidden="1">
      <c r="A493" s="3">
        <v>493</v>
      </c>
      <c r="B493" s="17" t="s">
        <v>1714</v>
      </c>
      <c r="C493" s="3" t="s">
        <v>549</v>
      </c>
      <c r="D493" s="28" t="s">
        <v>550</v>
      </c>
      <c r="E493" s="28" t="s">
        <v>551</v>
      </c>
      <c r="F493" s="28" t="s">
        <v>552</v>
      </c>
      <c r="G493" s="3" t="s">
        <v>61</v>
      </c>
      <c r="H493" s="3">
        <f>VALUE(MID(LEFT(Table1[[#This Row],[Unique ID]], FIND("/", Table1[[#This Row],[Unique ID]]) - 1), 2, LEN(Table1[[#This Row],[Unique ID]])))</f>
        <v>8</v>
      </c>
      <c r="I493" s="31" t="s">
        <v>37</v>
      </c>
      <c r="J493" s="3"/>
      <c r="K493" s="31" t="s">
        <v>1287</v>
      </c>
      <c r="L493" s="31" t="s">
        <v>1719</v>
      </c>
      <c r="M493" s="31">
        <v>18750</v>
      </c>
      <c r="N493" s="31" t="s">
        <v>1720</v>
      </c>
      <c r="O493" s="31">
        <v>4</v>
      </c>
      <c r="P493" s="31" t="s">
        <v>1287</v>
      </c>
      <c r="Q493" s="3">
        <v>2026</v>
      </c>
      <c r="R493" s="3"/>
      <c r="S493" s="17" t="s">
        <v>507</v>
      </c>
      <c r="T493" s="14">
        <v>46104</v>
      </c>
      <c r="U493" s="31" t="s">
        <v>1460</v>
      </c>
      <c r="V493" s="4"/>
      <c r="W493" s="3"/>
      <c r="X493" s="31" t="s">
        <v>1721</v>
      </c>
      <c r="Y493" s="4"/>
    </row>
    <row r="494" spans="1:25" hidden="1">
      <c r="A494" s="3">
        <v>494</v>
      </c>
      <c r="B494" s="17" t="s">
        <v>1714</v>
      </c>
      <c r="C494" s="3" t="s">
        <v>863</v>
      </c>
      <c r="D494" s="28" t="s">
        <v>864</v>
      </c>
      <c r="E494" s="28" t="s">
        <v>865</v>
      </c>
      <c r="F494" s="28" t="s">
        <v>866</v>
      </c>
      <c r="G494" s="3" t="s">
        <v>35</v>
      </c>
      <c r="H494" s="3">
        <f>VALUE(MID(LEFT(Table1[[#This Row],[Unique ID]], FIND("/", Table1[[#This Row],[Unique ID]]) - 1), 2, LEN(Table1[[#This Row],[Unique ID]])))</f>
        <v>9</v>
      </c>
      <c r="I494" s="31" t="s">
        <v>93</v>
      </c>
      <c r="J494" s="3"/>
      <c r="K494" s="31" t="s">
        <v>56</v>
      </c>
      <c r="L494" s="31" t="s">
        <v>1722</v>
      </c>
      <c r="M494" s="31">
        <v>7500</v>
      </c>
      <c r="N494" s="31" t="s">
        <v>1723</v>
      </c>
      <c r="O494" s="31">
        <v>8</v>
      </c>
      <c r="P494" s="31" t="s">
        <v>56</v>
      </c>
      <c r="Q494" s="3">
        <v>2026</v>
      </c>
      <c r="R494" s="3"/>
      <c r="S494" s="17" t="s">
        <v>507</v>
      </c>
      <c r="T494" s="14">
        <v>46082</v>
      </c>
      <c r="U494" s="31" t="s">
        <v>1105</v>
      </c>
      <c r="V494" s="4"/>
      <c r="W494" s="3"/>
      <c r="X494" s="31" t="s">
        <v>1460</v>
      </c>
      <c r="Y494" s="4"/>
    </row>
    <row r="495" spans="1:25" hidden="1">
      <c r="A495" s="3">
        <v>495</v>
      </c>
      <c r="B495" s="17" t="s">
        <v>1714</v>
      </c>
      <c r="C495" s="3" t="s">
        <v>1513</v>
      </c>
      <c r="D495" s="29" t="s">
        <v>1515</v>
      </c>
      <c r="E495" s="29" t="s">
        <v>1724</v>
      </c>
      <c r="F495" s="29" t="s">
        <v>1725</v>
      </c>
      <c r="G495" s="3" t="s">
        <v>35</v>
      </c>
      <c r="H495" s="17">
        <f>VALUE(MID(LEFT(Table1[[#This Row],[Unique ID]], FIND("/", Table1[[#This Row],[Unique ID]]) - 1), 2, LEN(Table1[[#This Row],[Unique ID]])))</f>
        <v>8</v>
      </c>
      <c r="I495" s="31" t="s">
        <v>37</v>
      </c>
      <c r="J495" s="17"/>
      <c r="K495" s="31" t="s">
        <v>42</v>
      </c>
      <c r="L495" s="31" t="s">
        <v>1726</v>
      </c>
      <c r="M495" s="31">
        <v>1500</v>
      </c>
      <c r="N495" s="31" t="s">
        <v>1727</v>
      </c>
      <c r="O495" s="59">
        <v>0</v>
      </c>
      <c r="P495" s="31" t="s">
        <v>42</v>
      </c>
      <c r="Q495" s="3">
        <v>2026</v>
      </c>
      <c r="R495" s="17"/>
      <c r="S495" s="17" t="s">
        <v>507</v>
      </c>
      <c r="T495" s="14">
        <v>46196</v>
      </c>
      <c r="U495" s="31" t="s">
        <v>1460</v>
      </c>
      <c r="V495" s="18"/>
      <c r="W495" s="17"/>
      <c r="X495" s="31" t="s">
        <v>1728</v>
      </c>
      <c r="Y495" s="18"/>
    </row>
    <row r="496" spans="1:25" hidden="1">
      <c r="A496" s="3">
        <v>496</v>
      </c>
      <c r="B496" s="17" t="s">
        <v>1714</v>
      </c>
      <c r="C496" s="3" t="s">
        <v>885</v>
      </c>
      <c r="D496" s="29" t="s">
        <v>886</v>
      </c>
      <c r="E496" s="29"/>
      <c r="F496" s="29" t="s">
        <v>887</v>
      </c>
      <c r="G496" s="3" t="s">
        <v>61</v>
      </c>
      <c r="H496" s="17">
        <f>VALUE(MID(LEFT(Table1[[#This Row],[Unique ID]], FIND("/", Table1[[#This Row],[Unique ID]]) - 1), 2, LEN(Table1[[#This Row],[Unique ID]])))</f>
        <v>10</v>
      </c>
      <c r="I496" s="17" t="s">
        <v>110</v>
      </c>
      <c r="J496" s="17"/>
      <c r="K496" s="28" t="s">
        <v>56</v>
      </c>
      <c r="L496" s="17" t="s">
        <v>1729</v>
      </c>
      <c r="M496" s="26">
        <v>5000</v>
      </c>
      <c r="N496" s="17" t="s">
        <v>1730</v>
      </c>
      <c r="O496" s="42"/>
      <c r="P496" s="17" t="s">
        <v>56</v>
      </c>
      <c r="Q496" s="3">
        <v>2026</v>
      </c>
      <c r="R496" s="17"/>
      <c r="S496" s="17" t="s">
        <v>507</v>
      </c>
      <c r="T496" s="14">
        <v>46196</v>
      </c>
      <c r="U496" s="28" t="s">
        <v>1116</v>
      </c>
      <c r="V496" s="18"/>
      <c r="W496" s="17"/>
      <c r="X496" s="18" t="s">
        <v>1731</v>
      </c>
      <c r="Y496" s="18"/>
    </row>
    <row r="497" spans="1:25">
      <c r="A497" s="3">
        <v>497</v>
      </c>
      <c r="B497" s="17" t="s">
        <v>1714</v>
      </c>
      <c r="C497" s="28" t="s">
        <v>1732</v>
      </c>
      <c r="D497" s="28" t="s">
        <v>1733</v>
      </c>
      <c r="E497" s="28" t="s">
        <v>1734</v>
      </c>
      <c r="F497" s="28" t="s">
        <v>281</v>
      </c>
      <c r="G497" s="3" t="s">
        <v>61</v>
      </c>
      <c r="H497" s="3">
        <f>VALUE(MID(LEFT(Table1[[#This Row],[Unique ID]], FIND("/", Table1[[#This Row],[Unique ID]]) - 1), 2, LEN(Table1[[#This Row],[Unique ID]])))</f>
        <v>11</v>
      </c>
      <c r="I497" s="28" t="s">
        <v>86</v>
      </c>
      <c r="J497" s="30" t="s">
        <v>1460</v>
      </c>
      <c r="K497" s="28" t="s">
        <v>56</v>
      </c>
      <c r="L497" s="28" t="s">
        <v>1735</v>
      </c>
      <c r="M497" s="28">
        <v>100000</v>
      </c>
      <c r="N497" s="28" t="s">
        <v>1736</v>
      </c>
      <c r="O497" s="28">
        <v>24</v>
      </c>
      <c r="P497" s="28" t="s">
        <v>56</v>
      </c>
      <c r="Q497" s="3">
        <v>2026</v>
      </c>
      <c r="R497" s="28" t="s">
        <v>1737</v>
      </c>
      <c r="S497" s="3" t="s">
        <v>43</v>
      </c>
      <c r="T497" s="60">
        <v>46051</v>
      </c>
      <c r="U497" s="28"/>
      <c r="V497" s="4"/>
      <c r="W497" s="3"/>
      <c r="X497" s="28" t="s">
        <v>1738</v>
      </c>
      <c r="Y497" s="4"/>
    </row>
    <row r="498" spans="1:25">
      <c r="A498" s="3">
        <v>498</v>
      </c>
      <c r="B498" s="17" t="s">
        <v>1714</v>
      </c>
      <c r="C498" s="28" t="s">
        <v>1739</v>
      </c>
      <c r="D498" s="28" t="s">
        <v>1740</v>
      </c>
      <c r="E498" s="28" t="s">
        <v>1460</v>
      </c>
      <c r="F498" s="28" t="s">
        <v>1741</v>
      </c>
      <c r="G498" s="3" t="s">
        <v>61</v>
      </c>
      <c r="H498" s="3">
        <f>VALUE(MID(LEFT(Table1[[#This Row],[Unique ID]], FIND("/", Table1[[#This Row],[Unique ID]]) - 1), 2, LEN(Table1[[#This Row],[Unique ID]])))</f>
        <v>12</v>
      </c>
      <c r="I498" s="31" t="s">
        <v>589</v>
      </c>
      <c r="J498" s="32" t="s">
        <v>589</v>
      </c>
      <c r="K498" s="31" t="s">
        <v>56</v>
      </c>
      <c r="L498" s="31" t="s">
        <v>1742</v>
      </c>
      <c r="M498" s="31">
        <v>43000</v>
      </c>
      <c r="N498" s="31" t="s">
        <v>1743</v>
      </c>
      <c r="O498" s="31">
        <v>36</v>
      </c>
      <c r="P498" s="31" t="s">
        <v>56</v>
      </c>
      <c r="Q498" s="3">
        <v>2026</v>
      </c>
      <c r="R498" s="31" t="s">
        <v>1744</v>
      </c>
      <c r="S498" s="3" t="s">
        <v>43</v>
      </c>
      <c r="T498" s="61">
        <v>46142</v>
      </c>
      <c r="U498" s="31" t="s">
        <v>1105</v>
      </c>
      <c r="V498" s="4"/>
      <c r="W498" s="3"/>
      <c r="X498" s="31" t="s">
        <v>1745</v>
      </c>
      <c r="Y498" s="4"/>
    </row>
    <row r="499" spans="1:25">
      <c r="A499" s="3">
        <v>499</v>
      </c>
      <c r="B499" s="17" t="s">
        <v>1714</v>
      </c>
      <c r="C499" s="28" t="s">
        <v>1739</v>
      </c>
      <c r="D499" s="28" t="s">
        <v>1740</v>
      </c>
      <c r="E499" s="28" t="s">
        <v>1460</v>
      </c>
      <c r="F499" s="28" t="s">
        <v>1741</v>
      </c>
      <c r="G499" s="3" t="s">
        <v>61</v>
      </c>
      <c r="H499" s="3">
        <f>VALUE(MID(LEFT(Table1[[#This Row],[Unique ID]], FIND("/", Table1[[#This Row],[Unique ID]]) - 1), 2, LEN(Table1[[#This Row],[Unique ID]])))</f>
        <v>12</v>
      </c>
      <c r="I499" s="31" t="s">
        <v>589</v>
      </c>
      <c r="J499" s="32" t="s">
        <v>589</v>
      </c>
      <c r="K499" s="31" t="s">
        <v>56</v>
      </c>
      <c r="L499" s="31" t="s">
        <v>1746</v>
      </c>
      <c r="M499" s="31">
        <v>30416</v>
      </c>
      <c r="N499" s="31" t="s">
        <v>1747</v>
      </c>
      <c r="O499" s="31">
        <v>36</v>
      </c>
      <c r="P499" s="31" t="s">
        <v>56</v>
      </c>
      <c r="Q499" s="3">
        <v>2026</v>
      </c>
      <c r="R499" s="31" t="s">
        <v>1744</v>
      </c>
      <c r="S499" s="3" t="s">
        <v>43</v>
      </c>
      <c r="T499" s="61">
        <v>46143</v>
      </c>
      <c r="U499" s="31" t="s">
        <v>1105</v>
      </c>
      <c r="V499" s="4"/>
      <c r="W499" s="3"/>
      <c r="X499" s="31" t="s">
        <v>1748</v>
      </c>
      <c r="Y499" s="4"/>
    </row>
    <row r="500" spans="1:25">
      <c r="A500" s="3">
        <v>500</v>
      </c>
      <c r="B500" s="17" t="s">
        <v>1714</v>
      </c>
      <c r="C500" s="29" t="s">
        <v>1749</v>
      </c>
      <c r="D500" s="29" t="s">
        <v>1724</v>
      </c>
      <c r="E500" s="29" t="s">
        <v>1750</v>
      </c>
      <c r="F500" s="29" t="s">
        <v>1751</v>
      </c>
      <c r="G500" s="3" t="s">
        <v>61</v>
      </c>
      <c r="H500" s="17">
        <f>VALUE(MID(LEFT(Table1[[#This Row],[Unique ID]], FIND("/", Table1[[#This Row],[Unique ID]]) - 1), 2, LEN(Table1[[#This Row],[Unique ID]])))</f>
        <v>12</v>
      </c>
      <c r="I500" s="31" t="s">
        <v>37</v>
      </c>
      <c r="J500" s="32" t="s">
        <v>37</v>
      </c>
      <c r="K500" s="31" t="s">
        <v>53</v>
      </c>
      <c r="L500" s="31" t="s">
        <v>1752</v>
      </c>
      <c r="M500" s="31">
        <v>1153.8499999999999</v>
      </c>
      <c r="N500" s="31" t="s">
        <v>1753</v>
      </c>
      <c r="O500" s="31">
        <v>12</v>
      </c>
      <c r="P500" s="31" t="s">
        <v>53</v>
      </c>
      <c r="Q500" s="3">
        <v>2026</v>
      </c>
      <c r="R500" s="31" t="s">
        <v>1460</v>
      </c>
      <c r="S500" s="3" t="s">
        <v>43</v>
      </c>
      <c r="T500" s="61">
        <v>46023</v>
      </c>
      <c r="U500" s="31" t="s">
        <v>1460</v>
      </c>
      <c r="V500" s="18"/>
      <c r="W500" s="17"/>
      <c r="X500" s="31" t="s">
        <v>1460</v>
      </c>
      <c r="Y500" s="18"/>
    </row>
    <row r="501" spans="1:25" hidden="1">
      <c r="A501" s="3">
        <v>501</v>
      </c>
      <c r="B501" s="17" t="s">
        <v>1714</v>
      </c>
      <c r="C501" s="17" t="s">
        <v>560</v>
      </c>
      <c r="D501" s="17" t="s">
        <v>561</v>
      </c>
      <c r="E501" s="17" t="s">
        <v>562</v>
      </c>
      <c r="F501" s="17" t="s">
        <v>563</v>
      </c>
      <c r="G501" s="17" t="s">
        <v>61</v>
      </c>
      <c r="H501" s="17">
        <f>VALUE(MID(LEFT(Table1[[#This Row],[Unique ID]], FIND("/", Table1[[#This Row],[Unique ID]]) - 1), 2, LEN(Table1[[#This Row],[Unique ID]])))</f>
        <v>8</v>
      </c>
      <c r="I501" s="17" t="s">
        <v>37</v>
      </c>
      <c r="J501" s="17"/>
      <c r="K501" s="31" t="s">
        <v>53</v>
      </c>
      <c r="L501" s="17" t="s">
        <v>1754</v>
      </c>
      <c r="M501" s="26">
        <v>97509</v>
      </c>
      <c r="N501" s="17" t="s">
        <v>1755</v>
      </c>
      <c r="O501" s="31">
        <v>12</v>
      </c>
      <c r="P501" s="31" t="s">
        <v>53</v>
      </c>
      <c r="Q501" s="17">
        <v>2026</v>
      </c>
      <c r="R501" s="17" t="s">
        <v>1756</v>
      </c>
      <c r="S501" s="17" t="s">
        <v>507</v>
      </c>
      <c r="T501" s="61">
        <v>46216</v>
      </c>
      <c r="U501" s="31" t="s">
        <v>1105</v>
      </c>
      <c r="V501" s="18"/>
      <c r="W501" s="17"/>
      <c r="X501" s="18"/>
      <c r="Y501" s="18"/>
    </row>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E1994"/>
  <sheetViews>
    <sheetView topLeftCell="A3" workbookViewId="0">
      <selection activeCell="G6" sqref="G6"/>
    </sheetView>
  </sheetViews>
  <sheetFormatPr defaultRowHeight="14.45"/>
  <cols>
    <col min="1" max="1" width="22.140625" bestFit="1" customWidth="1"/>
    <col min="2" max="2" width="11.140625" style="35" bestFit="1" customWidth="1"/>
    <col min="3" max="9" width="11.140625" bestFit="1" customWidth="1"/>
  </cols>
  <sheetData>
    <row r="1" spans="1:5">
      <c r="A1" s="5" t="s">
        <v>17</v>
      </c>
      <c r="B1" t="s">
        <v>1757</v>
      </c>
    </row>
    <row r="2" spans="1:5">
      <c r="A2" s="5" t="s">
        <v>18</v>
      </c>
      <c r="B2" t="s">
        <v>1757</v>
      </c>
    </row>
    <row r="3" spans="1:5">
      <c r="A3" s="5" t="s">
        <v>20</v>
      </c>
      <c r="B3" t="s">
        <v>1757</v>
      </c>
    </row>
    <row r="4" spans="1:5">
      <c r="B4"/>
    </row>
    <row r="5" spans="1:5">
      <c r="A5" s="5" t="s">
        <v>1758</v>
      </c>
      <c r="B5" s="5" t="s">
        <v>8</v>
      </c>
    </row>
    <row r="6" spans="1:5">
      <c r="A6" s="5" t="s">
        <v>4</v>
      </c>
      <c r="B6" t="s">
        <v>61</v>
      </c>
      <c r="C6" t="s">
        <v>35</v>
      </c>
      <c r="D6" t="s">
        <v>29</v>
      </c>
      <c r="E6" t="s">
        <v>1759</v>
      </c>
    </row>
    <row r="7" spans="1:5">
      <c r="A7" t="s">
        <v>741</v>
      </c>
      <c r="B7" s="13"/>
      <c r="C7" s="13">
        <v>6123726</v>
      </c>
      <c r="D7" s="13"/>
      <c r="E7" s="13">
        <v>6123726</v>
      </c>
    </row>
    <row r="8" spans="1:5">
      <c r="A8">
        <v>2016</v>
      </c>
      <c r="B8" s="13"/>
      <c r="C8" s="13"/>
      <c r="D8" s="13">
        <v>5227040</v>
      </c>
      <c r="E8" s="13">
        <v>5227040</v>
      </c>
    </row>
    <row r="9" spans="1:5">
      <c r="A9" t="s">
        <v>704</v>
      </c>
      <c r="B9" s="13">
        <v>5000000</v>
      </c>
      <c r="C9" s="13"/>
      <c r="D9" s="13"/>
      <c r="E9" s="13">
        <v>5000000</v>
      </c>
    </row>
    <row r="10" spans="1:5">
      <c r="A10" t="s">
        <v>469</v>
      </c>
      <c r="B10" s="13">
        <v>3683000</v>
      </c>
      <c r="C10" s="13"/>
      <c r="D10" s="13"/>
      <c r="E10" s="13">
        <v>3683000</v>
      </c>
    </row>
    <row r="11" spans="1:5">
      <c r="A11" t="s">
        <v>205</v>
      </c>
      <c r="B11" s="13"/>
      <c r="C11" s="13">
        <v>3345121</v>
      </c>
      <c r="D11" s="13"/>
      <c r="E11" s="13">
        <v>3345121</v>
      </c>
    </row>
    <row r="12" spans="1:5">
      <c r="A12" t="s">
        <v>646</v>
      </c>
      <c r="B12" s="13"/>
      <c r="C12" s="13">
        <v>2035038.5299999998</v>
      </c>
      <c r="D12" s="13"/>
      <c r="E12" s="13">
        <v>2035038.5299999998</v>
      </c>
    </row>
    <row r="13" spans="1:5">
      <c r="A13" t="s">
        <v>287</v>
      </c>
      <c r="B13" s="13"/>
      <c r="C13" s="13">
        <v>1926920.77</v>
      </c>
      <c r="D13" s="13"/>
      <c r="E13" s="13">
        <v>1926920.77</v>
      </c>
    </row>
    <row r="14" spans="1:5">
      <c r="A14" t="s">
        <v>549</v>
      </c>
      <c r="B14" s="13">
        <v>1898763.53</v>
      </c>
      <c r="C14" s="13"/>
      <c r="D14" s="13"/>
      <c r="E14" s="13">
        <v>1898763.53</v>
      </c>
    </row>
    <row r="15" spans="1:5">
      <c r="A15" t="s">
        <v>1050</v>
      </c>
      <c r="B15" s="13"/>
      <c r="C15" s="13">
        <v>1419000</v>
      </c>
      <c r="D15" s="13"/>
      <c r="E15" s="13">
        <v>1419000</v>
      </c>
    </row>
    <row r="16" spans="1:5">
      <c r="A16" t="s">
        <v>716</v>
      </c>
      <c r="B16" s="13">
        <v>1391000</v>
      </c>
      <c r="C16" s="13"/>
      <c r="D16" s="13"/>
      <c r="E16" s="13">
        <v>1391000</v>
      </c>
    </row>
    <row r="17" spans="1:5">
      <c r="A17" t="s">
        <v>120</v>
      </c>
      <c r="B17" s="13"/>
      <c r="C17" s="13">
        <v>1102552</v>
      </c>
      <c r="D17" s="13"/>
      <c r="E17" s="13">
        <v>1102552</v>
      </c>
    </row>
    <row r="18" spans="1:5">
      <c r="A18" t="s">
        <v>321</v>
      </c>
      <c r="B18" s="13">
        <v>996505</v>
      </c>
      <c r="C18" s="13"/>
      <c r="D18" s="13"/>
      <c r="E18" s="13">
        <v>996505</v>
      </c>
    </row>
    <row r="19" spans="1:5">
      <c r="A19" t="s">
        <v>326</v>
      </c>
      <c r="B19" s="13">
        <v>883100</v>
      </c>
      <c r="C19" s="13"/>
      <c r="D19" s="13"/>
      <c r="E19" s="13">
        <v>883100</v>
      </c>
    </row>
    <row r="20" spans="1:5">
      <c r="A20" t="s">
        <v>381</v>
      </c>
      <c r="B20" s="13">
        <v>850939.32000000007</v>
      </c>
      <c r="C20" s="13"/>
      <c r="D20" s="13"/>
      <c r="E20" s="13">
        <v>850939.32000000007</v>
      </c>
    </row>
    <row r="21" spans="1:5">
      <c r="A21" t="s">
        <v>687</v>
      </c>
      <c r="B21" s="13"/>
      <c r="C21" s="13">
        <v>778554</v>
      </c>
      <c r="D21" s="13"/>
      <c r="E21" s="13">
        <v>778554</v>
      </c>
    </row>
    <row r="22" spans="1:5">
      <c r="A22" t="s">
        <v>394</v>
      </c>
      <c r="B22" s="13">
        <v>750298</v>
      </c>
      <c r="C22" s="13"/>
      <c r="D22" s="13"/>
      <c r="E22" s="13">
        <v>750298</v>
      </c>
    </row>
    <row r="23" spans="1:5">
      <c r="A23" t="s">
        <v>263</v>
      </c>
      <c r="B23" s="13">
        <v>725264.68</v>
      </c>
      <c r="C23" s="13"/>
      <c r="D23" s="13"/>
      <c r="E23" s="13">
        <v>725264.68</v>
      </c>
    </row>
    <row r="24" spans="1:5">
      <c r="A24" t="s">
        <v>235</v>
      </c>
      <c r="B24" s="13"/>
      <c r="C24" s="13">
        <v>719926</v>
      </c>
      <c r="D24" s="13"/>
      <c r="E24" s="13">
        <v>719926</v>
      </c>
    </row>
    <row r="25" spans="1:5">
      <c r="A25" t="s">
        <v>961</v>
      </c>
      <c r="B25" s="13"/>
      <c r="C25" s="13">
        <v>613311.71</v>
      </c>
      <c r="D25" s="13"/>
      <c r="E25" s="13">
        <v>613311.71</v>
      </c>
    </row>
    <row r="26" spans="1:5">
      <c r="A26" t="s">
        <v>303</v>
      </c>
      <c r="B26" s="13"/>
      <c r="C26" s="13">
        <v>504695.73</v>
      </c>
      <c r="D26" s="13"/>
      <c r="E26" s="13">
        <v>504695.73</v>
      </c>
    </row>
    <row r="27" spans="1:5">
      <c r="A27" t="s">
        <v>409</v>
      </c>
      <c r="B27" s="13"/>
      <c r="C27" s="13">
        <v>375000</v>
      </c>
      <c r="D27" s="13"/>
      <c r="E27" s="13">
        <v>375000</v>
      </c>
    </row>
    <row r="28" spans="1:5">
      <c r="A28" t="s">
        <v>879</v>
      </c>
      <c r="B28" s="13">
        <v>345797.99</v>
      </c>
      <c r="C28" s="13"/>
      <c r="D28" s="13"/>
      <c r="E28" s="13">
        <v>345797.99</v>
      </c>
    </row>
    <row r="29" spans="1:5">
      <c r="A29" t="s">
        <v>1015</v>
      </c>
      <c r="B29" s="13">
        <v>305511</v>
      </c>
      <c r="C29" s="13"/>
      <c r="D29" s="13"/>
      <c r="E29" s="13">
        <v>305511</v>
      </c>
    </row>
    <row r="30" spans="1:5">
      <c r="A30" t="s">
        <v>747</v>
      </c>
      <c r="B30" s="13">
        <v>277989.58</v>
      </c>
      <c r="C30" s="13"/>
      <c r="D30" s="13"/>
      <c r="E30" s="13">
        <v>277989.58</v>
      </c>
    </row>
    <row r="31" spans="1:5">
      <c r="A31" t="s">
        <v>89</v>
      </c>
      <c r="B31" s="13">
        <v>251130</v>
      </c>
      <c r="C31" s="13"/>
      <c r="D31" s="13"/>
      <c r="E31" s="13">
        <v>251130</v>
      </c>
    </row>
    <row r="32" spans="1:5">
      <c r="A32" t="s">
        <v>711</v>
      </c>
      <c r="B32" s="13">
        <v>251128</v>
      </c>
      <c r="C32" s="13"/>
      <c r="D32" s="13"/>
      <c r="E32" s="13">
        <v>251128</v>
      </c>
    </row>
    <row r="33" spans="1:5">
      <c r="A33" t="s">
        <v>766</v>
      </c>
      <c r="B33" s="13"/>
      <c r="C33" s="13">
        <v>242972</v>
      </c>
      <c r="D33" s="13"/>
      <c r="E33" s="13">
        <v>242972</v>
      </c>
    </row>
    <row r="34" spans="1:5">
      <c r="A34" t="s">
        <v>812</v>
      </c>
      <c r="B34" s="13">
        <v>220000</v>
      </c>
      <c r="C34" s="13"/>
      <c r="D34" s="13"/>
      <c r="E34" s="13">
        <v>220000</v>
      </c>
    </row>
    <row r="35" spans="1:5">
      <c r="A35" t="s">
        <v>920</v>
      </c>
      <c r="B35" s="13"/>
      <c r="C35" s="13">
        <v>210000</v>
      </c>
      <c r="D35" s="13"/>
      <c r="E35" s="13">
        <v>210000</v>
      </c>
    </row>
    <row r="36" spans="1:5">
      <c r="A36" t="s">
        <v>1588</v>
      </c>
      <c r="B36" s="13">
        <v>200000</v>
      </c>
      <c r="C36" s="13"/>
      <c r="D36" s="13"/>
      <c r="E36" s="13">
        <v>200000</v>
      </c>
    </row>
    <row r="37" spans="1:5">
      <c r="A37" t="s">
        <v>641</v>
      </c>
      <c r="B37" s="13">
        <v>189690</v>
      </c>
      <c r="C37" s="13"/>
      <c r="D37" s="13"/>
      <c r="E37" s="13">
        <v>189690</v>
      </c>
    </row>
    <row r="38" spans="1:5">
      <c r="A38" t="s">
        <v>134</v>
      </c>
      <c r="B38" s="13"/>
      <c r="C38" s="13">
        <v>158000</v>
      </c>
      <c r="D38" s="13"/>
      <c r="E38" s="13">
        <v>158000</v>
      </c>
    </row>
    <row r="39" spans="1:5">
      <c r="A39" t="s">
        <v>100</v>
      </c>
      <c r="B39" s="13">
        <v>150561</v>
      </c>
      <c r="C39" s="13"/>
      <c r="D39" s="13"/>
      <c r="E39" s="13">
        <v>150561</v>
      </c>
    </row>
    <row r="40" spans="1:5">
      <c r="A40" t="s">
        <v>560</v>
      </c>
      <c r="B40" s="13">
        <v>149553.72</v>
      </c>
      <c r="C40" s="13"/>
      <c r="D40" s="13"/>
      <c r="E40" s="13">
        <v>149553.72</v>
      </c>
    </row>
    <row r="41" spans="1:5">
      <c r="A41" t="s">
        <v>432</v>
      </c>
      <c r="B41" s="13"/>
      <c r="C41" s="13">
        <v>128974</v>
      </c>
      <c r="D41" s="13"/>
      <c r="E41" s="13">
        <v>128974</v>
      </c>
    </row>
    <row r="42" spans="1:5">
      <c r="A42" t="s">
        <v>774</v>
      </c>
      <c r="B42" s="13">
        <v>127754</v>
      </c>
      <c r="C42" s="13"/>
      <c r="D42" s="13"/>
      <c r="E42" s="13">
        <v>127754</v>
      </c>
    </row>
    <row r="43" spans="1:5">
      <c r="A43" t="s">
        <v>269</v>
      </c>
      <c r="B43" s="13">
        <v>127700</v>
      </c>
      <c r="C43" s="13"/>
      <c r="D43" s="13"/>
      <c r="E43" s="13">
        <v>127700</v>
      </c>
    </row>
    <row r="44" spans="1:5">
      <c r="A44" t="s">
        <v>361</v>
      </c>
      <c r="B44" s="13"/>
      <c r="C44" s="13">
        <v>121300</v>
      </c>
      <c r="D44" s="13"/>
      <c r="E44" s="13">
        <v>121300</v>
      </c>
    </row>
    <row r="45" spans="1:5">
      <c r="A45" t="s">
        <v>1043</v>
      </c>
      <c r="B45" s="13"/>
      <c r="C45" s="13">
        <v>103352.20999999999</v>
      </c>
      <c r="D45" s="13"/>
      <c r="E45" s="13">
        <v>103352.20999999999</v>
      </c>
    </row>
    <row r="46" spans="1:5">
      <c r="A46" t="s">
        <v>218</v>
      </c>
      <c r="B46" s="13">
        <v>100000</v>
      </c>
      <c r="C46" s="13"/>
      <c r="D46" s="13"/>
      <c r="E46" s="13">
        <v>100000</v>
      </c>
    </row>
    <row r="47" spans="1:5">
      <c r="A47" t="s">
        <v>1732</v>
      </c>
      <c r="B47" s="13">
        <v>100000</v>
      </c>
      <c r="C47" s="13"/>
      <c r="D47" s="13"/>
      <c r="E47" s="13">
        <v>100000</v>
      </c>
    </row>
    <row r="48" spans="1:5">
      <c r="A48" t="s">
        <v>199</v>
      </c>
      <c r="B48" s="13"/>
      <c r="C48" s="13">
        <v>100000</v>
      </c>
      <c r="D48" s="13"/>
      <c r="E48" s="13">
        <v>100000</v>
      </c>
    </row>
    <row r="49" spans="1:5">
      <c r="A49" t="s">
        <v>414</v>
      </c>
      <c r="B49" s="13">
        <v>97866.4</v>
      </c>
      <c r="C49" s="13"/>
      <c r="D49" s="13"/>
      <c r="E49" s="13">
        <v>97866.4</v>
      </c>
    </row>
    <row r="50" spans="1:5">
      <c r="A50" t="s">
        <v>803</v>
      </c>
      <c r="B50" s="13"/>
      <c r="C50" s="13">
        <v>91320</v>
      </c>
      <c r="D50" s="13"/>
      <c r="E50" s="13">
        <v>91320</v>
      </c>
    </row>
    <row r="51" spans="1:5">
      <c r="A51" t="s">
        <v>1601</v>
      </c>
      <c r="B51" s="13"/>
      <c r="C51" s="13">
        <v>85000</v>
      </c>
      <c r="D51" s="13"/>
      <c r="E51" s="13">
        <v>85000</v>
      </c>
    </row>
    <row r="52" spans="1:5">
      <c r="A52" t="s">
        <v>760</v>
      </c>
      <c r="B52" s="13">
        <v>80499</v>
      </c>
      <c r="C52" s="13"/>
      <c r="D52" s="13"/>
      <c r="E52" s="13">
        <v>80499</v>
      </c>
    </row>
    <row r="53" spans="1:5">
      <c r="A53" t="s">
        <v>1739</v>
      </c>
      <c r="B53" s="13">
        <v>73416</v>
      </c>
      <c r="C53" s="13"/>
      <c r="D53" s="13"/>
      <c r="E53" s="13">
        <v>73416</v>
      </c>
    </row>
    <row r="54" spans="1:5">
      <c r="A54" t="s">
        <v>1482</v>
      </c>
      <c r="B54" s="13">
        <v>71990</v>
      </c>
      <c r="C54" s="13"/>
      <c r="D54" s="13"/>
      <c r="E54" s="13">
        <v>71990</v>
      </c>
    </row>
    <row r="55" spans="1:5">
      <c r="A55" t="s">
        <v>906</v>
      </c>
      <c r="B55" s="13">
        <v>65693.259999999995</v>
      </c>
      <c r="C55" s="13"/>
      <c r="D55" s="13"/>
      <c r="E55" s="13">
        <v>65693.259999999995</v>
      </c>
    </row>
    <row r="56" spans="1:5">
      <c r="A56" t="s">
        <v>57</v>
      </c>
      <c r="B56" s="13">
        <v>65488</v>
      </c>
      <c r="C56" s="13"/>
      <c r="D56" s="13"/>
      <c r="E56" s="13">
        <v>65488</v>
      </c>
    </row>
    <row r="57" spans="1:5">
      <c r="A57" t="s">
        <v>608</v>
      </c>
      <c r="B57" s="13"/>
      <c r="C57" s="13">
        <v>64904.729999999996</v>
      </c>
      <c r="D57" s="13"/>
      <c r="E57" s="13">
        <v>64904.729999999996</v>
      </c>
    </row>
    <row r="58" spans="1:5">
      <c r="A58" t="s">
        <v>899</v>
      </c>
      <c r="B58" s="13"/>
      <c r="C58" s="13">
        <v>63557</v>
      </c>
      <c r="D58" s="13"/>
      <c r="E58" s="13">
        <v>63557</v>
      </c>
    </row>
    <row r="59" spans="1:5">
      <c r="A59" t="s">
        <v>590</v>
      </c>
      <c r="B59" s="13"/>
      <c r="C59" s="13">
        <v>60000</v>
      </c>
      <c r="D59" s="13"/>
      <c r="E59" s="13">
        <v>60000</v>
      </c>
    </row>
    <row r="60" spans="1:5">
      <c r="A60" t="s">
        <v>141</v>
      </c>
      <c r="B60" s="13">
        <v>59012.640000000007</v>
      </c>
      <c r="C60" s="13"/>
      <c r="D60" s="13"/>
      <c r="E60" s="13">
        <v>59012.640000000007</v>
      </c>
    </row>
    <row r="61" spans="1:5">
      <c r="A61" t="s">
        <v>978</v>
      </c>
      <c r="B61" s="13"/>
      <c r="C61" s="13">
        <v>56000</v>
      </c>
      <c r="D61" s="13"/>
      <c r="E61" s="13">
        <v>56000</v>
      </c>
    </row>
    <row r="62" spans="1:5">
      <c r="A62" t="s">
        <v>526</v>
      </c>
      <c r="B62" s="13">
        <v>52181.040000000008</v>
      </c>
      <c r="C62" s="13"/>
      <c r="D62" s="13"/>
      <c r="E62" s="13">
        <v>52181.040000000008</v>
      </c>
    </row>
    <row r="63" spans="1:5">
      <c r="A63" t="s">
        <v>955</v>
      </c>
      <c r="B63" s="13">
        <v>52054</v>
      </c>
      <c r="C63" s="13"/>
      <c r="D63" s="13"/>
      <c r="E63" s="13">
        <v>52054</v>
      </c>
    </row>
    <row r="64" spans="1:5">
      <c r="A64" t="s">
        <v>1513</v>
      </c>
      <c r="B64" s="13"/>
      <c r="C64" s="13">
        <v>51500</v>
      </c>
      <c r="D64" s="13"/>
      <c r="E64" s="13">
        <v>51500</v>
      </c>
    </row>
    <row r="65" spans="1:5">
      <c r="A65" t="s">
        <v>885</v>
      </c>
      <c r="B65" s="13">
        <v>51000</v>
      </c>
      <c r="C65" s="13"/>
      <c r="D65" s="13"/>
      <c r="E65" s="13">
        <v>51000</v>
      </c>
    </row>
    <row r="66" spans="1:5">
      <c r="A66" t="s">
        <v>1662</v>
      </c>
      <c r="B66" s="13">
        <v>50000</v>
      </c>
      <c r="C66" s="13"/>
      <c r="D66" s="13"/>
      <c r="E66" s="13">
        <v>50000</v>
      </c>
    </row>
    <row r="67" spans="1:5">
      <c r="A67" t="s">
        <v>1257</v>
      </c>
      <c r="B67" s="13"/>
      <c r="C67" s="13">
        <v>50000</v>
      </c>
      <c r="D67" s="13"/>
      <c r="E67" s="13">
        <v>50000</v>
      </c>
    </row>
    <row r="68" spans="1:5">
      <c r="A68" t="s">
        <v>515</v>
      </c>
      <c r="B68" s="13"/>
      <c r="C68" s="13">
        <v>46500</v>
      </c>
      <c r="D68" s="13"/>
      <c r="E68" s="13">
        <v>46500</v>
      </c>
    </row>
    <row r="69" spans="1:5">
      <c r="A69" t="s">
        <v>543</v>
      </c>
      <c r="B69" s="13">
        <v>46000</v>
      </c>
      <c r="C69" s="13"/>
      <c r="D69" s="13"/>
      <c r="E69" s="13">
        <v>46000</v>
      </c>
    </row>
    <row r="70" spans="1:5">
      <c r="A70" t="s">
        <v>389</v>
      </c>
      <c r="B70" s="13">
        <v>43650</v>
      </c>
      <c r="C70" s="13"/>
      <c r="D70" s="13"/>
      <c r="E70" s="13">
        <v>43650</v>
      </c>
    </row>
    <row r="71" spans="1:5">
      <c r="A71" t="s">
        <v>31</v>
      </c>
      <c r="B71" s="13"/>
      <c r="C71" s="13">
        <v>43452</v>
      </c>
      <c r="D71" s="13"/>
      <c r="E71" s="13">
        <v>43452</v>
      </c>
    </row>
    <row r="72" spans="1:5">
      <c r="A72" t="s">
        <v>664</v>
      </c>
      <c r="B72" s="13">
        <v>40497</v>
      </c>
      <c r="C72" s="13"/>
      <c r="D72" s="13"/>
      <c r="E72" s="13">
        <v>40497</v>
      </c>
    </row>
    <row r="73" spans="1:5">
      <c r="A73" t="s">
        <v>537</v>
      </c>
      <c r="B73" s="13">
        <v>40000</v>
      </c>
      <c r="C73" s="13"/>
      <c r="D73" s="13"/>
      <c r="E73" s="13">
        <v>40000</v>
      </c>
    </row>
    <row r="74" spans="1:5">
      <c r="A74" t="s">
        <v>347</v>
      </c>
      <c r="B74" s="13"/>
      <c r="C74" s="13">
        <v>38015.22</v>
      </c>
      <c r="D74" s="13"/>
      <c r="E74" s="13">
        <v>38015.22</v>
      </c>
    </row>
    <row r="75" spans="1:5">
      <c r="A75" t="s">
        <v>598</v>
      </c>
      <c r="B75" s="13">
        <v>37700</v>
      </c>
      <c r="C75" s="13"/>
      <c r="D75" s="13"/>
      <c r="E75" s="13">
        <v>37700</v>
      </c>
    </row>
    <row r="76" spans="1:5">
      <c r="A76" t="s">
        <v>1174</v>
      </c>
      <c r="B76" s="13">
        <v>37500</v>
      </c>
      <c r="C76" s="13"/>
      <c r="D76" s="13"/>
      <c r="E76" s="13">
        <v>37500</v>
      </c>
    </row>
    <row r="77" spans="1:5">
      <c r="A77" t="s">
        <v>873</v>
      </c>
      <c r="B77" s="13"/>
      <c r="C77" s="13">
        <v>35535.760000000002</v>
      </c>
      <c r="D77" s="13"/>
      <c r="E77" s="13">
        <v>35535.760000000002</v>
      </c>
    </row>
    <row r="78" spans="1:5">
      <c r="A78" t="s">
        <v>489</v>
      </c>
      <c r="B78" s="13">
        <v>33548</v>
      </c>
      <c r="C78" s="13"/>
      <c r="D78" s="13"/>
      <c r="E78" s="13">
        <v>33548</v>
      </c>
    </row>
    <row r="79" spans="1:5">
      <c r="A79" t="s">
        <v>508</v>
      </c>
      <c r="B79" s="13"/>
      <c r="C79" s="13">
        <v>33015.949999999997</v>
      </c>
      <c r="D79" s="13"/>
      <c r="E79" s="13">
        <v>33015.949999999997</v>
      </c>
    </row>
    <row r="80" spans="1:5">
      <c r="A80" t="s">
        <v>1466</v>
      </c>
      <c r="B80" s="13">
        <v>30000</v>
      </c>
      <c r="C80" s="13"/>
      <c r="D80" s="13"/>
      <c r="E80" s="13">
        <v>30000</v>
      </c>
    </row>
    <row r="81" spans="1:5">
      <c r="A81" t="s">
        <v>565</v>
      </c>
      <c r="B81" s="13">
        <v>26380.03</v>
      </c>
      <c r="C81" s="13"/>
      <c r="D81" s="13"/>
      <c r="E81" s="13">
        <v>26380.03</v>
      </c>
    </row>
    <row r="82" spans="1:5">
      <c r="A82" t="s">
        <v>367</v>
      </c>
      <c r="B82" s="13">
        <v>25434</v>
      </c>
      <c r="C82" s="13"/>
      <c r="D82" s="13"/>
      <c r="E82" s="13">
        <v>25434</v>
      </c>
    </row>
    <row r="83" spans="1:5">
      <c r="A83" t="s">
        <v>818</v>
      </c>
      <c r="B83" s="13"/>
      <c r="C83" s="13">
        <v>24990</v>
      </c>
      <c r="D83" s="13"/>
      <c r="E83" s="13">
        <v>24990</v>
      </c>
    </row>
    <row r="84" spans="1:5">
      <c r="A84" t="s">
        <v>631</v>
      </c>
      <c r="B84" s="13">
        <v>24393</v>
      </c>
      <c r="C84" s="13"/>
      <c r="D84" s="13"/>
      <c r="E84" s="13">
        <v>24393</v>
      </c>
    </row>
    <row r="85" spans="1:5">
      <c r="A85" t="s">
        <v>625</v>
      </c>
      <c r="B85" s="13"/>
      <c r="C85" s="13">
        <v>23888</v>
      </c>
      <c r="D85" s="13"/>
      <c r="E85" s="13">
        <v>23888</v>
      </c>
    </row>
    <row r="86" spans="1:5">
      <c r="A86" t="s">
        <v>1417</v>
      </c>
      <c r="B86" s="13"/>
      <c r="C86" s="13">
        <v>21090</v>
      </c>
      <c r="D86" s="13"/>
      <c r="E86" s="13">
        <v>21090</v>
      </c>
    </row>
    <row r="87" spans="1:5">
      <c r="A87" t="s">
        <v>192</v>
      </c>
      <c r="B87" s="13">
        <v>20000</v>
      </c>
      <c r="C87" s="13"/>
      <c r="D87" s="13"/>
      <c r="E87" s="13">
        <v>20000</v>
      </c>
    </row>
    <row r="88" spans="1:5">
      <c r="A88" t="s">
        <v>1024</v>
      </c>
      <c r="B88" s="13"/>
      <c r="C88" s="13">
        <v>20000</v>
      </c>
      <c r="D88" s="13"/>
      <c r="E88" s="13">
        <v>20000</v>
      </c>
    </row>
    <row r="89" spans="1:5">
      <c r="A89" t="s">
        <v>72</v>
      </c>
      <c r="B89" s="13"/>
      <c r="C89" s="13">
        <v>18250</v>
      </c>
      <c r="D89" s="13"/>
      <c r="E89" s="13">
        <v>18250</v>
      </c>
    </row>
    <row r="90" spans="1:5">
      <c r="A90" t="s">
        <v>107</v>
      </c>
      <c r="B90" s="13"/>
      <c r="C90" s="13">
        <v>18193</v>
      </c>
      <c r="D90" s="13"/>
      <c r="E90" s="13">
        <v>18193</v>
      </c>
    </row>
    <row r="91" spans="1:5">
      <c r="A91" t="s">
        <v>680</v>
      </c>
      <c r="B91" s="13"/>
      <c r="C91" s="13">
        <v>17179.64</v>
      </c>
      <c r="D91" s="13"/>
      <c r="E91" s="13">
        <v>17179.64</v>
      </c>
    </row>
    <row r="92" spans="1:5">
      <c r="A92" t="s">
        <v>477</v>
      </c>
      <c r="B92" s="13">
        <v>17000</v>
      </c>
      <c r="C92" s="13"/>
      <c r="D92" s="13"/>
      <c r="E92" s="13">
        <v>17000</v>
      </c>
    </row>
    <row r="93" spans="1:5">
      <c r="A93" t="s">
        <v>225</v>
      </c>
      <c r="B93" s="13">
        <v>16543</v>
      </c>
      <c r="C93" s="13"/>
      <c r="D93" s="13"/>
      <c r="E93" s="13">
        <v>16543</v>
      </c>
    </row>
    <row r="94" spans="1:5">
      <c r="A94" t="s">
        <v>151</v>
      </c>
      <c r="B94" s="13">
        <v>15440</v>
      </c>
      <c r="C94" s="13"/>
      <c r="D94" s="13"/>
      <c r="E94" s="13">
        <v>15440</v>
      </c>
    </row>
    <row r="95" spans="1:5">
      <c r="A95" t="s">
        <v>45</v>
      </c>
      <c r="B95" s="13"/>
      <c r="C95" s="13">
        <v>15000</v>
      </c>
      <c r="D95" s="13"/>
      <c r="E95" s="13">
        <v>15000</v>
      </c>
    </row>
    <row r="96" spans="1:5">
      <c r="A96" t="s">
        <v>1132</v>
      </c>
      <c r="B96" s="13">
        <v>14500</v>
      </c>
      <c r="C96" s="13"/>
      <c r="D96" s="13"/>
      <c r="E96" s="13">
        <v>14500</v>
      </c>
    </row>
    <row r="97" spans="1:5">
      <c r="A97" t="s">
        <v>675</v>
      </c>
      <c r="B97" s="13">
        <v>14300</v>
      </c>
      <c r="C97" s="13"/>
      <c r="D97" s="13"/>
      <c r="E97" s="13">
        <v>14300</v>
      </c>
    </row>
    <row r="98" spans="1:5">
      <c r="A98" t="s">
        <v>574</v>
      </c>
      <c r="B98" s="13">
        <v>14178</v>
      </c>
      <c r="C98" s="13"/>
      <c r="D98" s="13"/>
      <c r="E98" s="13">
        <v>14178</v>
      </c>
    </row>
    <row r="99" spans="1:5">
      <c r="A99" t="s">
        <v>863</v>
      </c>
      <c r="B99" s="13"/>
      <c r="C99" s="13">
        <v>13870</v>
      </c>
      <c r="D99" s="13"/>
      <c r="E99" s="13">
        <v>13870</v>
      </c>
    </row>
    <row r="100" spans="1:5">
      <c r="A100" t="s">
        <v>278</v>
      </c>
      <c r="B100" s="13">
        <v>13500</v>
      </c>
      <c r="C100" s="13"/>
      <c r="D100" s="13"/>
      <c r="E100" s="13">
        <v>13500</v>
      </c>
    </row>
    <row r="101" spans="1:5">
      <c r="A101" t="s">
        <v>336</v>
      </c>
      <c r="B101" s="13">
        <v>13500</v>
      </c>
      <c r="C101" s="13"/>
      <c r="D101" s="13"/>
      <c r="E101" s="13">
        <v>13500</v>
      </c>
    </row>
    <row r="102" spans="1:5">
      <c r="A102" t="s">
        <v>731</v>
      </c>
      <c r="B102" s="13"/>
      <c r="C102" s="13">
        <v>13500</v>
      </c>
      <c r="D102" s="13"/>
      <c r="E102" s="13">
        <v>13500</v>
      </c>
    </row>
    <row r="103" spans="1:5">
      <c r="A103" t="s">
        <v>659</v>
      </c>
      <c r="B103" s="13">
        <v>12579.59</v>
      </c>
      <c r="C103" s="13"/>
      <c r="D103" s="13"/>
      <c r="E103" s="13">
        <v>12579.59</v>
      </c>
    </row>
    <row r="104" spans="1:5">
      <c r="A104" t="s">
        <v>637</v>
      </c>
      <c r="B104" s="13"/>
      <c r="C104" s="13">
        <v>12000</v>
      </c>
      <c r="D104" s="13"/>
      <c r="E104" s="13">
        <v>12000</v>
      </c>
    </row>
    <row r="105" spans="1:5">
      <c r="A105" t="s">
        <v>249</v>
      </c>
      <c r="B105" s="13">
        <v>10317.39</v>
      </c>
      <c r="C105" s="13"/>
      <c r="D105" s="13"/>
      <c r="E105" s="13">
        <v>10317.39</v>
      </c>
    </row>
    <row r="106" spans="1:5">
      <c r="A106" t="s">
        <v>520</v>
      </c>
      <c r="B106" s="13">
        <v>8363.39</v>
      </c>
      <c r="C106" s="13"/>
      <c r="D106" s="13"/>
      <c r="E106" s="13">
        <v>8363.39</v>
      </c>
    </row>
    <row r="107" spans="1:5">
      <c r="A107" t="s">
        <v>722</v>
      </c>
      <c r="B107" s="13"/>
      <c r="C107" s="13">
        <v>7859.77</v>
      </c>
      <c r="D107" s="13"/>
      <c r="E107" s="13">
        <v>7859.77</v>
      </c>
    </row>
    <row r="108" spans="1:5">
      <c r="A108" t="s">
        <v>1669</v>
      </c>
      <c r="B108" s="13">
        <v>7500</v>
      </c>
      <c r="C108" s="13"/>
      <c r="D108" s="13"/>
      <c r="E108" s="13">
        <v>7500</v>
      </c>
    </row>
    <row r="109" spans="1:5">
      <c r="A109" t="s">
        <v>172</v>
      </c>
      <c r="B109" s="13"/>
      <c r="C109" s="13">
        <v>7500</v>
      </c>
      <c r="D109" s="13"/>
      <c r="E109" s="13">
        <v>7500</v>
      </c>
    </row>
    <row r="110" spans="1:5">
      <c r="A110" t="s">
        <v>1627</v>
      </c>
      <c r="B110" s="13">
        <v>7244.36</v>
      </c>
      <c r="C110" s="13"/>
      <c r="D110" s="13"/>
      <c r="E110" s="13">
        <v>7244.36</v>
      </c>
    </row>
    <row r="111" spans="1:5">
      <c r="A111" t="s">
        <v>442</v>
      </c>
      <c r="B111" s="13"/>
      <c r="C111" s="13">
        <v>6669.62</v>
      </c>
      <c r="D111" s="13"/>
      <c r="E111" s="13">
        <v>6669.62</v>
      </c>
    </row>
    <row r="112" spans="1:5">
      <c r="A112" t="s">
        <v>950</v>
      </c>
      <c r="B112" s="13"/>
      <c r="C112" s="13">
        <v>6400</v>
      </c>
      <c r="D112" s="13"/>
      <c r="E112" s="13">
        <v>6400</v>
      </c>
    </row>
    <row r="113" spans="1:5">
      <c r="A113" t="s">
        <v>1220</v>
      </c>
      <c r="B113" s="13"/>
      <c r="C113" s="13">
        <v>6000</v>
      </c>
      <c r="D113" s="13"/>
      <c r="E113" s="13">
        <v>6000</v>
      </c>
    </row>
    <row r="114" spans="1:5">
      <c r="A114" t="s">
        <v>179</v>
      </c>
      <c r="B114" s="13">
        <v>5780</v>
      </c>
      <c r="C114" s="13"/>
      <c r="D114" s="13"/>
      <c r="E114" s="13">
        <v>5780</v>
      </c>
    </row>
    <row r="115" spans="1:5">
      <c r="A115" t="s">
        <v>372</v>
      </c>
      <c r="B115" s="13"/>
      <c r="C115" s="13">
        <v>5021</v>
      </c>
      <c r="D115" s="13"/>
      <c r="E115" s="13">
        <v>5021</v>
      </c>
    </row>
    <row r="116" spans="1:5">
      <c r="A116" t="s">
        <v>1184</v>
      </c>
      <c r="B116" s="13">
        <v>5000</v>
      </c>
      <c r="C116" s="13"/>
      <c r="D116" s="13"/>
      <c r="E116" s="13">
        <v>5000</v>
      </c>
    </row>
    <row r="117" spans="1:5">
      <c r="A117" t="s">
        <v>619</v>
      </c>
      <c r="B117" s="13"/>
      <c r="C117" s="13">
        <v>5000</v>
      </c>
      <c r="D117" s="13"/>
      <c r="E117" s="13">
        <v>5000</v>
      </c>
    </row>
    <row r="118" spans="1:5">
      <c r="A118" t="s">
        <v>1108</v>
      </c>
      <c r="B118" s="13"/>
      <c r="C118" s="13">
        <v>4153</v>
      </c>
      <c r="D118" s="13"/>
      <c r="E118" s="13">
        <v>4153</v>
      </c>
    </row>
    <row r="119" spans="1:5">
      <c r="A119" t="s">
        <v>426</v>
      </c>
      <c r="B119" s="13">
        <v>3500</v>
      </c>
      <c r="C119" s="13"/>
      <c r="D119" s="13"/>
      <c r="E119" s="13">
        <v>3500</v>
      </c>
    </row>
    <row r="120" spans="1:5">
      <c r="A120" t="s">
        <v>1150</v>
      </c>
      <c r="B120" s="13"/>
      <c r="C120" s="13">
        <v>3400</v>
      </c>
      <c r="D120" s="13"/>
      <c r="E120" s="13">
        <v>3400</v>
      </c>
    </row>
    <row r="121" spans="1:5">
      <c r="A121" t="s">
        <v>555</v>
      </c>
      <c r="B121" s="13">
        <v>3100</v>
      </c>
      <c r="C121" s="13"/>
      <c r="D121" s="13"/>
      <c r="E121" s="13">
        <v>3100</v>
      </c>
    </row>
    <row r="122" spans="1:5">
      <c r="A122" t="s">
        <v>1550</v>
      </c>
      <c r="B122" s="13">
        <v>2700</v>
      </c>
      <c r="C122" s="13"/>
      <c r="D122" s="13"/>
      <c r="E122" s="13">
        <v>2700</v>
      </c>
    </row>
    <row r="123" spans="1:5">
      <c r="A123" t="s">
        <v>1358</v>
      </c>
      <c r="B123" s="13">
        <v>2100</v>
      </c>
      <c r="C123" s="13"/>
      <c r="D123" s="13"/>
      <c r="E123" s="13">
        <v>2100</v>
      </c>
    </row>
    <row r="124" spans="1:5">
      <c r="A124" t="s">
        <v>82</v>
      </c>
      <c r="B124" s="13">
        <v>2000</v>
      </c>
      <c r="C124" s="13"/>
      <c r="D124" s="13"/>
      <c r="E124" s="13">
        <v>2000</v>
      </c>
    </row>
    <row r="125" spans="1:5">
      <c r="A125" t="s">
        <v>791</v>
      </c>
      <c r="B125" s="13"/>
      <c r="C125" s="13">
        <v>2000</v>
      </c>
      <c r="D125" s="13"/>
      <c r="E125" s="13">
        <v>2000</v>
      </c>
    </row>
    <row r="126" spans="1:5">
      <c r="A126" t="s">
        <v>967</v>
      </c>
      <c r="B126" s="13"/>
      <c r="C126" s="13">
        <v>1570</v>
      </c>
      <c r="D126" s="13"/>
      <c r="E126" s="13">
        <v>1570</v>
      </c>
    </row>
    <row r="127" spans="1:5">
      <c r="A127" t="s">
        <v>670</v>
      </c>
      <c r="B127" s="13">
        <v>1500</v>
      </c>
      <c r="C127" s="13"/>
      <c r="D127" s="13"/>
      <c r="E127" s="13">
        <v>1500</v>
      </c>
    </row>
    <row r="128" spans="1:5">
      <c r="A128" t="s">
        <v>463</v>
      </c>
      <c r="B128" s="13">
        <v>1500</v>
      </c>
      <c r="C128" s="13"/>
      <c r="D128" s="13"/>
      <c r="E128" s="13">
        <v>1500</v>
      </c>
    </row>
    <row r="129" spans="1:5">
      <c r="A129" t="s">
        <v>1091</v>
      </c>
      <c r="B129" s="13">
        <v>1500</v>
      </c>
      <c r="C129" s="13"/>
      <c r="D129" s="13"/>
      <c r="E129" s="13">
        <v>1500</v>
      </c>
    </row>
    <row r="130" spans="1:5">
      <c r="A130" t="s">
        <v>185</v>
      </c>
      <c r="B130" s="13">
        <v>1380</v>
      </c>
      <c r="C130" s="13"/>
      <c r="D130" s="13"/>
      <c r="E130" s="13">
        <v>1380</v>
      </c>
    </row>
    <row r="131" spans="1:5">
      <c r="A131" t="s">
        <v>1749</v>
      </c>
      <c r="B131" s="13">
        <v>1153.8499999999999</v>
      </c>
      <c r="C131" s="13"/>
      <c r="D131" s="13"/>
      <c r="E131" s="13">
        <v>1153.8499999999999</v>
      </c>
    </row>
    <row r="132" spans="1:5">
      <c r="A132" t="s">
        <v>296</v>
      </c>
      <c r="B132" s="13">
        <v>1150</v>
      </c>
      <c r="C132" s="13"/>
      <c r="D132" s="13"/>
      <c r="E132" s="13">
        <v>1150</v>
      </c>
    </row>
    <row r="133" spans="1:5">
      <c r="A133" t="s">
        <v>834</v>
      </c>
      <c r="B133" s="13"/>
      <c r="C133" s="13">
        <v>1100</v>
      </c>
      <c r="D133" s="13"/>
      <c r="E133" s="13">
        <v>1100</v>
      </c>
    </row>
    <row r="134" spans="1:5">
      <c r="A134" t="s">
        <v>501</v>
      </c>
      <c r="B134" s="13">
        <v>820</v>
      </c>
      <c r="C134" s="13"/>
      <c r="D134" s="13"/>
      <c r="E134" s="13">
        <v>820</v>
      </c>
    </row>
    <row r="135" spans="1:5">
      <c r="A135" t="s">
        <v>419</v>
      </c>
      <c r="B135" s="13">
        <v>800</v>
      </c>
      <c r="C135" s="13"/>
      <c r="D135" s="13"/>
      <c r="E135" s="13">
        <v>800</v>
      </c>
    </row>
    <row r="136" spans="1:5">
      <c r="A136" t="s">
        <v>114</v>
      </c>
      <c r="B136" s="13">
        <v>670</v>
      </c>
      <c r="C136" s="13"/>
      <c r="D136" s="13"/>
      <c r="E136" s="13">
        <v>670</v>
      </c>
    </row>
    <row r="137" spans="1:5">
      <c r="A137" t="s">
        <v>314</v>
      </c>
      <c r="B137" s="13">
        <v>610</v>
      </c>
      <c r="C137" s="13"/>
      <c r="D137" s="13"/>
      <c r="E137" s="13">
        <v>610</v>
      </c>
    </row>
    <row r="138" spans="1:5">
      <c r="A138" t="s">
        <v>698</v>
      </c>
      <c r="B138" s="13"/>
      <c r="C138" s="13">
        <v>500</v>
      </c>
      <c r="D138" s="13"/>
      <c r="E138" s="13">
        <v>500</v>
      </c>
    </row>
    <row r="139" spans="1:5">
      <c r="A139" t="s">
        <v>1576</v>
      </c>
      <c r="B139" s="13">
        <v>157</v>
      </c>
      <c r="C139" s="13"/>
      <c r="D139" s="13"/>
      <c r="E139" s="13">
        <v>157</v>
      </c>
    </row>
    <row r="140" spans="1:5">
      <c r="A140" t="s">
        <v>932</v>
      </c>
      <c r="B140" s="13">
        <v>100</v>
      </c>
      <c r="C140" s="13"/>
      <c r="D140" s="13"/>
      <c r="E140" s="13">
        <v>100</v>
      </c>
    </row>
    <row r="141" spans="1:5">
      <c r="A141" t="s">
        <v>457</v>
      </c>
      <c r="B141" s="13"/>
      <c r="C141" s="13"/>
      <c r="D141" s="13"/>
      <c r="E141" s="13"/>
    </row>
    <row r="142" spans="1:5">
      <c r="A142" t="s">
        <v>450</v>
      </c>
      <c r="B142" s="13">
        <v>0</v>
      </c>
      <c r="C142" s="13"/>
      <c r="D142" s="13"/>
      <c r="E142" s="13">
        <v>0</v>
      </c>
    </row>
    <row r="143" spans="1:5">
      <c r="A143" t="s">
        <v>1203</v>
      </c>
      <c r="B143" s="13"/>
      <c r="C143" s="13"/>
      <c r="D143" s="13"/>
      <c r="E143" s="13"/>
    </row>
    <row r="144" spans="1:5">
      <c r="A144" t="s">
        <v>1160</v>
      </c>
      <c r="B144" s="13"/>
      <c r="C144" s="13"/>
      <c r="D144" s="13"/>
      <c r="E144" s="13"/>
    </row>
    <row r="145" spans="1:5">
      <c r="A145" t="s">
        <v>213</v>
      </c>
      <c r="B145" s="13"/>
      <c r="C145" s="13"/>
      <c r="D145" s="13"/>
      <c r="E145" s="13"/>
    </row>
    <row r="146" spans="1:5">
      <c r="A146" t="s">
        <v>1037</v>
      </c>
      <c r="B146" s="13"/>
      <c r="C146" s="13"/>
      <c r="D146" s="13"/>
      <c r="E146" s="13"/>
    </row>
    <row r="147" spans="1:5">
      <c r="A147" t="s">
        <v>258</v>
      </c>
      <c r="B147" s="13"/>
      <c r="C147" s="13"/>
      <c r="D147" s="13"/>
      <c r="E147" s="13"/>
    </row>
    <row r="148" spans="1:5">
      <c r="A148" t="s">
        <v>582</v>
      </c>
      <c r="B148" s="13"/>
      <c r="C148" s="13"/>
      <c r="D148" s="13"/>
      <c r="E148" s="13"/>
    </row>
    <row r="149" spans="1:5">
      <c r="A149" t="s">
        <v>1759</v>
      </c>
      <c r="B149" s="13">
        <v>20300474.770000003</v>
      </c>
      <c r="C149" s="13">
        <v>20982378.640000001</v>
      </c>
      <c r="D149" s="13">
        <v>5227040</v>
      </c>
      <c r="E149" s="13">
        <v>46509893.410000004</v>
      </c>
    </row>
    <row r="150" spans="1:5">
      <c r="B150"/>
    </row>
    <row r="151" spans="1:5">
      <c r="B151"/>
    </row>
    <row r="152" spans="1:5">
      <c r="B152"/>
    </row>
    <row r="153" spans="1:5">
      <c r="B153"/>
    </row>
    <row r="154" spans="1:5">
      <c r="B154"/>
    </row>
    <row r="155" spans="1:5">
      <c r="B155"/>
    </row>
    <row r="156" spans="1:5">
      <c r="B156"/>
    </row>
    <row r="157" spans="1:5">
      <c r="B157"/>
    </row>
    <row r="158" spans="1:5">
      <c r="B158"/>
    </row>
    <row r="159" spans="1:5">
      <c r="B159"/>
    </row>
    <row r="160" spans="1:5">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A6" workbookViewId="0">
      <selection activeCell="B18" sqref="B18"/>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1757</v>
      </c>
      <c r="C1" t="s">
        <v>1760</v>
      </c>
    </row>
    <row r="2" spans="1:5">
      <c r="A2" s="5" t="s">
        <v>20</v>
      </c>
      <c r="B2" t="s">
        <v>1757</v>
      </c>
    </row>
    <row r="3" spans="1:5">
      <c r="A3" s="5" t="s">
        <v>12</v>
      </c>
      <c r="B3" t="s">
        <v>1757</v>
      </c>
    </row>
    <row r="4" spans="1:5">
      <c r="A4" s="5" t="s">
        <v>3</v>
      </c>
      <c r="B4" t="s">
        <v>1757</v>
      </c>
    </row>
    <row r="6" spans="1:5">
      <c r="A6" s="5" t="s">
        <v>1758</v>
      </c>
      <c r="B6" s="5" t="s">
        <v>8</v>
      </c>
    </row>
    <row r="7" spans="1:5">
      <c r="A7" s="5" t="s">
        <v>18</v>
      </c>
      <c r="B7" t="s">
        <v>61</v>
      </c>
      <c r="C7" t="s">
        <v>35</v>
      </c>
      <c r="D7" t="s">
        <v>29</v>
      </c>
      <c r="E7" t="s">
        <v>1759</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2804451.46</v>
      </c>
      <c r="C16" s="13">
        <v>3196178.52</v>
      </c>
      <c r="D16" s="13">
        <v>0</v>
      </c>
      <c r="E16" s="13">
        <v>6000629.9800000004</v>
      </c>
    </row>
    <row r="17" spans="1:5">
      <c r="A17">
        <v>2025</v>
      </c>
      <c r="B17" s="13">
        <v>921643.39</v>
      </c>
      <c r="C17" s="13">
        <v>406605</v>
      </c>
      <c r="D17" s="13">
        <v>0</v>
      </c>
      <c r="E17" s="13">
        <v>1328248.3900000001</v>
      </c>
    </row>
    <row r="18" spans="1:5">
      <c r="A18">
        <v>2026</v>
      </c>
      <c r="B18" s="13">
        <v>298628.84999999998</v>
      </c>
      <c r="C18" s="13">
        <v>149000</v>
      </c>
      <c r="D18" s="13">
        <v>0</v>
      </c>
      <c r="E18" s="13">
        <v>447628.85</v>
      </c>
    </row>
    <row r="19" spans="1:5">
      <c r="A19" t="s">
        <v>1759</v>
      </c>
      <c r="B19" s="13">
        <v>20300474.770000003</v>
      </c>
      <c r="C19" s="13">
        <v>20982378.639999997</v>
      </c>
      <c r="D19" s="13">
        <v>5227040</v>
      </c>
      <c r="E19" s="13">
        <v>46509893.410000004</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1757</v>
      </c>
    </row>
    <row r="27" spans="1:5">
      <c r="B27" s="5" t="s">
        <v>8</v>
      </c>
    </row>
    <row r="28" spans="1:5">
      <c r="B28" t="s">
        <v>61</v>
      </c>
      <c r="C28" t="s">
        <v>35</v>
      </c>
      <c r="D28" t="s">
        <v>29</v>
      </c>
      <c r="E28" t="s">
        <v>1759</v>
      </c>
    </row>
    <row r="29" spans="1:5">
      <c r="A29" t="s">
        <v>1758</v>
      </c>
      <c r="B29" s="13">
        <v>20300474.770000003</v>
      </c>
      <c r="C29" s="13">
        <v>20982378.639999997</v>
      </c>
      <c r="D29" s="13">
        <v>5227040</v>
      </c>
      <c r="E29" s="13">
        <v>46509893.409999996</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1761</v>
      </c>
    </row>
    <row r="51" spans="1:5">
      <c r="A51" s="10" t="s">
        <v>9</v>
      </c>
      <c r="B51" s="11" t="s">
        <v>1757</v>
      </c>
      <c r="C51" s="11"/>
      <c r="D51" s="11"/>
      <c r="E51" s="11"/>
    </row>
    <row r="52" spans="1:5">
      <c r="A52" s="10" t="s">
        <v>20</v>
      </c>
      <c r="B52" s="11" t="s">
        <v>1757</v>
      </c>
      <c r="C52" s="11"/>
      <c r="D52" s="11"/>
      <c r="E52" s="11" t="s">
        <v>1760</v>
      </c>
    </row>
    <row r="53" spans="1:5">
      <c r="A53" s="10" t="s">
        <v>12</v>
      </c>
      <c r="B53" s="11" t="s">
        <v>1757</v>
      </c>
      <c r="C53" s="11"/>
      <c r="D53" s="11"/>
      <c r="E53" s="11"/>
    </row>
    <row r="54" spans="1:5">
      <c r="A54" s="11"/>
      <c r="B54" s="11"/>
      <c r="C54" s="11"/>
      <c r="D54" s="11"/>
      <c r="E54" s="11"/>
    </row>
    <row r="55" spans="1:5">
      <c r="A55" s="10" t="s">
        <v>1762</v>
      </c>
      <c r="B55" s="10" t="s">
        <v>8</v>
      </c>
      <c r="C55" s="11"/>
      <c r="D55" s="11"/>
      <c r="E55" s="11"/>
    </row>
    <row r="56" spans="1:5">
      <c r="A56" s="10" t="s">
        <v>18</v>
      </c>
      <c r="B56" s="11" t="s">
        <v>61</v>
      </c>
      <c r="C56" s="11" t="s">
        <v>35</v>
      </c>
      <c r="D56" s="11" t="s">
        <v>29</v>
      </c>
      <c r="E56" s="11" t="s">
        <v>1759</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26</v>
      </c>
      <c r="C65" s="11">
        <v>10</v>
      </c>
      <c r="D65" s="11">
        <v>0</v>
      </c>
      <c r="E65" s="11">
        <v>36</v>
      </c>
    </row>
    <row r="66" spans="1:5">
      <c r="A66" s="11">
        <v>2025</v>
      </c>
      <c r="B66" s="11">
        <v>18</v>
      </c>
      <c r="C66" s="11">
        <v>9</v>
      </c>
      <c r="D66" s="11">
        <v>0</v>
      </c>
      <c r="E66" s="11">
        <v>27</v>
      </c>
    </row>
    <row r="67" spans="1:5">
      <c r="A67" s="11">
        <v>2026</v>
      </c>
      <c r="B67" s="11">
        <v>8</v>
      </c>
      <c r="C67" s="11">
        <v>3</v>
      </c>
      <c r="D67" s="11">
        <v>0</v>
      </c>
      <c r="E67" s="11">
        <v>11</v>
      </c>
    </row>
    <row r="68" spans="1:5">
      <c r="A68" s="11" t="s">
        <v>1759</v>
      </c>
      <c r="B68" s="11">
        <v>248</v>
      </c>
      <c r="C68" s="11">
        <v>182</v>
      </c>
      <c r="D68" s="11">
        <v>1</v>
      </c>
      <c r="E68" s="11">
        <v>431</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1763</v>
      </c>
    </row>
    <row r="78" spans="1:5">
      <c r="A78" s="10" t="s">
        <v>12</v>
      </c>
      <c r="B78" s="11" t="s">
        <v>1757</v>
      </c>
      <c r="C78" s="11"/>
      <c r="D78" s="11"/>
    </row>
    <row r="79" spans="1:5">
      <c r="A79" s="10" t="s">
        <v>9</v>
      </c>
      <c r="B79" s="11" t="s">
        <v>1757</v>
      </c>
      <c r="C79" s="11"/>
      <c r="D79" s="11"/>
    </row>
    <row r="80" spans="1:5">
      <c r="A80" s="10" t="s">
        <v>20</v>
      </c>
      <c r="B80" s="11" t="s">
        <v>1757</v>
      </c>
      <c r="C80" s="11"/>
      <c r="D80" s="11"/>
    </row>
    <row r="81" spans="1:4">
      <c r="A81" s="11"/>
      <c r="B81" s="11"/>
      <c r="C81" s="11"/>
      <c r="D81" s="11"/>
    </row>
    <row r="82" spans="1:4">
      <c r="A82" s="10" t="s">
        <v>4</v>
      </c>
      <c r="B82" s="11" t="s">
        <v>1758</v>
      </c>
    </row>
    <row r="83" spans="1:4">
      <c r="A83" s="11" t="s">
        <v>885</v>
      </c>
      <c r="B83" s="11">
        <v>17000</v>
      </c>
    </row>
    <row r="84" spans="1:4">
      <c r="A84" s="11" t="s">
        <v>1043</v>
      </c>
      <c r="B84" s="11">
        <v>26452.21</v>
      </c>
    </row>
    <row r="85" spans="1:4">
      <c r="A85" s="11" t="s">
        <v>1050</v>
      </c>
      <c r="B85" s="11">
        <v>4000</v>
      </c>
    </row>
    <row r="86" spans="1:4">
      <c r="A86" s="11" t="s">
        <v>967</v>
      </c>
      <c r="B86" s="11">
        <v>1570</v>
      </c>
    </row>
    <row r="87" spans="1:4">
      <c r="A87" s="11" t="s">
        <v>879</v>
      </c>
      <c r="B87" s="11">
        <v>2500</v>
      </c>
    </row>
    <row r="88" spans="1:4">
      <c r="A88" s="11" t="s">
        <v>1132</v>
      </c>
      <c r="B88" s="11">
        <v>14500</v>
      </c>
    </row>
    <row r="89" spans="1:4">
      <c r="A89" s="11" t="s">
        <v>704</v>
      </c>
      <c r="B89" s="11">
        <v>3000000</v>
      </c>
    </row>
    <row r="90" spans="1:4">
      <c r="A90" s="11" t="s">
        <v>687</v>
      </c>
      <c r="B90" s="11">
        <v>722555</v>
      </c>
    </row>
    <row r="91" spans="1:4">
      <c r="A91" s="11" t="s">
        <v>741</v>
      </c>
      <c r="B91" s="11">
        <v>1968808</v>
      </c>
    </row>
    <row r="92" spans="1:4">
      <c r="A92" s="11" t="s">
        <v>680</v>
      </c>
      <c r="B92" s="11">
        <v>14000</v>
      </c>
    </row>
    <row r="93" spans="1:4">
      <c r="A93" s="11" t="s">
        <v>31</v>
      </c>
      <c r="B93" s="11">
        <v>16533</v>
      </c>
    </row>
    <row r="94" spans="1:4">
      <c r="A94" s="11" t="s">
        <v>711</v>
      </c>
      <c r="B94" s="11">
        <v>7660</v>
      </c>
    </row>
    <row r="95" spans="1:4">
      <c r="A95" s="11" t="s">
        <v>1015</v>
      </c>
      <c r="B95" s="11">
        <v>298011</v>
      </c>
    </row>
    <row r="96" spans="1:4">
      <c r="A96" s="11" t="s">
        <v>303</v>
      </c>
      <c r="B96" s="11">
        <v>98000</v>
      </c>
    </row>
    <row r="97" spans="1:2">
      <c r="A97" s="11" t="s">
        <v>834</v>
      </c>
      <c r="B97" s="11">
        <v>1100</v>
      </c>
    </row>
    <row r="98" spans="1:2">
      <c r="A98" s="11" t="s">
        <v>520</v>
      </c>
      <c r="B98" s="11">
        <v>8163.3899999999994</v>
      </c>
    </row>
    <row r="99" spans="1:2">
      <c r="A99" s="11" t="s">
        <v>205</v>
      </c>
      <c r="B99" s="11">
        <v>1844720</v>
      </c>
    </row>
    <row r="100" spans="1:2">
      <c r="A100" s="11" t="s">
        <v>321</v>
      </c>
      <c r="B100" s="11">
        <v>567005</v>
      </c>
    </row>
    <row r="101" spans="1:2">
      <c r="A101" s="11" t="s">
        <v>269</v>
      </c>
      <c r="B101" s="11">
        <v>52572</v>
      </c>
    </row>
    <row r="102" spans="1:2">
      <c r="A102" s="11" t="s">
        <v>287</v>
      </c>
      <c r="B102" s="11">
        <v>1400720.38</v>
      </c>
    </row>
    <row r="103" spans="1:2">
      <c r="A103" s="11" t="s">
        <v>326</v>
      </c>
      <c r="B103" s="11">
        <v>103000</v>
      </c>
    </row>
    <row r="104" spans="1:2">
      <c r="A104" s="11" t="s">
        <v>347</v>
      </c>
      <c r="B104" s="11">
        <v>623</v>
      </c>
    </row>
    <row r="105" spans="1:2">
      <c r="A105" s="11" t="s">
        <v>489</v>
      </c>
      <c r="B105" s="11">
        <v>11000</v>
      </c>
    </row>
    <row r="106" spans="1:2">
      <c r="A106" s="11" t="s">
        <v>89</v>
      </c>
      <c r="B106" s="11">
        <v>5000</v>
      </c>
    </row>
    <row r="107" spans="1:2">
      <c r="A107" s="11" t="s">
        <v>107</v>
      </c>
      <c r="B107" s="11">
        <v>2200</v>
      </c>
    </row>
    <row r="108" spans="1:2">
      <c r="A108" s="11" t="s">
        <v>141</v>
      </c>
      <c r="B108" s="11">
        <v>10000</v>
      </c>
    </row>
    <row r="109" spans="1:2">
      <c r="A109" s="11" t="s">
        <v>920</v>
      </c>
      <c r="B109" s="11">
        <v>0</v>
      </c>
    </row>
    <row r="110" spans="1:2">
      <c r="A110" s="11" t="s">
        <v>249</v>
      </c>
      <c r="B110" s="11">
        <v>1000</v>
      </c>
    </row>
    <row r="111" spans="1:2">
      <c r="A111" s="11" t="s">
        <v>381</v>
      </c>
      <c r="B111" s="11">
        <v>564087.01</v>
      </c>
    </row>
    <row r="112" spans="1:2">
      <c r="A112" s="11" t="s">
        <v>394</v>
      </c>
      <c r="B112" s="11">
        <v>33000</v>
      </c>
    </row>
    <row r="113" spans="1:2">
      <c r="A113" s="11" t="s">
        <v>414</v>
      </c>
      <c r="B113" s="11">
        <v>79623.399999999994</v>
      </c>
    </row>
    <row r="114" spans="1:2">
      <c r="A114" s="11" t="s">
        <v>432</v>
      </c>
      <c r="B114" s="11">
        <v>86974</v>
      </c>
    </row>
    <row r="115" spans="1:2">
      <c r="A115" s="11" t="s">
        <v>469</v>
      </c>
      <c r="B115" s="11">
        <v>3000</v>
      </c>
    </row>
    <row r="116" spans="1:2">
      <c r="A116" s="11" t="s">
        <v>543</v>
      </c>
      <c r="B116" s="11">
        <v>38500</v>
      </c>
    </row>
    <row r="117" spans="1:2">
      <c r="A117" s="11" t="s">
        <v>1108</v>
      </c>
      <c r="B117" s="11">
        <v>1003</v>
      </c>
    </row>
    <row r="118" spans="1:2">
      <c r="A118" s="11" t="s">
        <v>549</v>
      </c>
      <c r="B118" s="11">
        <v>188598</v>
      </c>
    </row>
    <row r="119" spans="1:2">
      <c r="A119" s="11" t="s">
        <v>565</v>
      </c>
      <c r="B119" s="11">
        <v>2200</v>
      </c>
    </row>
    <row r="120" spans="1:2">
      <c r="A120" s="11" t="s">
        <v>574</v>
      </c>
      <c r="B120" s="11">
        <v>11000</v>
      </c>
    </row>
    <row r="121" spans="1:2">
      <c r="A121" s="11" t="s">
        <v>598</v>
      </c>
      <c r="B121" s="11">
        <v>2700</v>
      </c>
    </row>
    <row r="122" spans="1:2">
      <c r="A122" s="11" t="s">
        <v>631</v>
      </c>
      <c r="B122" s="11">
        <v>550</v>
      </c>
    </row>
    <row r="123" spans="1:2">
      <c r="A123" s="11" t="s">
        <v>641</v>
      </c>
      <c r="B123" s="11">
        <v>89000</v>
      </c>
    </row>
    <row r="124" spans="1:2">
      <c r="A124" s="11" t="s">
        <v>646</v>
      </c>
      <c r="B124" s="11">
        <v>288773.92</v>
      </c>
    </row>
    <row r="125" spans="1:2">
      <c r="A125" s="11" t="s">
        <v>664</v>
      </c>
      <c r="B125" s="11">
        <v>19998.5</v>
      </c>
    </row>
    <row r="126" spans="1:2">
      <c r="A126" s="11" t="s">
        <v>961</v>
      </c>
      <c r="B126" s="11">
        <v>545305</v>
      </c>
    </row>
    <row r="127" spans="1:2">
      <c r="A127" s="11" t="s">
        <v>1174</v>
      </c>
      <c r="B127" s="11">
        <v>7500</v>
      </c>
    </row>
    <row r="128" spans="1:2">
      <c r="A128" s="11" t="s">
        <v>1184</v>
      </c>
      <c r="B128" s="11">
        <v>5000</v>
      </c>
    </row>
    <row r="129" spans="1:5">
      <c r="A129" s="11" t="s">
        <v>1203</v>
      </c>
      <c r="B129" s="11">
        <v>0</v>
      </c>
    </row>
    <row r="130" spans="1:5">
      <c r="A130" s="11" t="s">
        <v>1220</v>
      </c>
      <c r="B130" s="11">
        <v>6000</v>
      </c>
    </row>
    <row r="131" spans="1:5">
      <c r="A131" s="11" t="s">
        <v>1257</v>
      </c>
      <c r="B131" s="11">
        <v>50000</v>
      </c>
    </row>
    <row r="132" spans="1:5">
      <c r="A132" s="11" t="s">
        <v>1358</v>
      </c>
      <c r="B132" s="11">
        <v>2100</v>
      </c>
    </row>
    <row r="133" spans="1:5">
      <c r="A133" s="11" t="s">
        <v>1417</v>
      </c>
      <c r="B133" s="11">
        <v>2000</v>
      </c>
    </row>
    <row r="134" spans="1:5">
      <c r="A134" s="11" t="s">
        <v>1759</v>
      </c>
      <c r="B134" s="11">
        <v>12225605.810000001</v>
      </c>
    </row>
    <row r="135" spans="1:5">
      <c r="A135" s="11"/>
      <c r="B135" s="11"/>
    </row>
    <row r="136" spans="1:5">
      <c r="A136" s="11"/>
      <c r="B136" s="11"/>
    </row>
    <row r="137" spans="1:5">
      <c r="A137" s="11"/>
      <c r="B137" s="11"/>
    </row>
    <row r="139" spans="1:5">
      <c r="A139" s="5" t="s">
        <v>17</v>
      </c>
      <c r="B139" t="s">
        <v>1757</v>
      </c>
    </row>
    <row r="141" spans="1:5">
      <c r="A141" s="5" t="s">
        <v>1758</v>
      </c>
      <c r="B141" s="5" t="s">
        <v>8</v>
      </c>
    </row>
    <row r="142" spans="1:5">
      <c r="A142" s="5" t="s">
        <v>9</v>
      </c>
      <c r="B142" t="s">
        <v>61</v>
      </c>
      <c r="C142" t="s">
        <v>35</v>
      </c>
      <c r="D142" t="s">
        <v>29</v>
      </c>
      <c r="E142" t="s">
        <v>1759</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1891542.58</v>
      </c>
      <c r="C145" s="13">
        <v>6212395.6400000006</v>
      </c>
      <c r="D145" s="13">
        <v>0</v>
      </c>
      <c r="E145" s="13">
        <v>8103938.2200000007</v>
      </c>
    </row>
    <row r="146" spans="1:5">
      <c r="A146">
        <v>4</v>
      </c>
      <c r="B146" s="13">
        <v>1429257.07</v>
      </c>
      <c r="C146" s="13">
        <v>1199294.73</v>
      </c>
      <c r="D146" s="13">
        <v>0</v>
      </c>
      <c r="E146" s="13">
        <v>2628551.7999999998</v>
      </c>
    </row>
    <row r="147" spans="1:5">
      <c r="A147">
        <v>5</v>
      </c>
      <c r="B147" s="13">
        <v>1099645</v>
      </c>
      <c r="C147" s="13">
        <v>5370609.6200000001</v>
      </c>
      <c r="D147" s="13">
        <v>0</v>
      </c>
      <c r="E147" s="13">
        <v>6470254.6200000001</v>
      </c>
    </row>
    <row r="148" spans="1:5">
      <c r="A148">
        <v>6</v>
      </c>
      <c r="B148" s="13">
        <v>1305809</v>
      </c>
      <c r="C148" s="13">
        <v>2136235.9900000002</v>
      </c>
      <c r="D148" s="13">
        <v>0</v>
      </c>
      <c r="E148" s="13">
        <v>3442044.99</v>
      </c>
    </row>
    <row r="149" spans="1:5">
      <c r="A149">
        <v>7</v>
      </c>
      <c r="B149" s="13">
        <v>5893149.79</v>
      </c>
      <c r="C149" s="13">
        <v>408432.95</v>
      </c>
      <c r="D149" s="13">
        <v>0</v>
      </c>
      <c r="E149" s="13">
        <v>6301582.7400000002</v>
      </c>
    </row>
    <row r="150" spans="1:5">
      <c r="A150">
        <v>8</v>
      </c>
      <c r="B150" s="13">
        <v>2278968.54</v>
      </c>
      <c r="C150" s="13">
        <v>205557.72999999998</v>
      </c>
      <c r="D150" s="13">
        <v>0</v>
      </c>
      <c r="E150" s="13">
        <v>2484526.27</v>
      </c>
    </row>
    <row r="151" spans="1:5">
      <c r="A151">
        <v>9</v>
      </c>
      <c r="B151" s="13">
        <v>333114.94999999995</v>
      </c>
      <c r="C151" s="13">
        <v>2789508.24</v>
      </c>
      <c r="D151" s="13">
        <v>0</v>
      </c>
      <c r="E151" s="13">
        <v>3122623.1900000004</v>
      </c>
    </row>
    <row r="152" spans="1:5">
      <c r="A152">
        <v>10</v>
      </c>
      <c r="B152" s="13">
        <v>416097.99</v>
      </c>
      <c r="C152" s="13">
        <v>1615457.97</v>
      </c>
      <c r="D152" s="13">
        <v>0</v>
      </c>
      <c r="E152" s="13">
        <v>2031555.96</v>
      </c>
    </row>
    <row r="153" spans="1:5">
      <c r="A153" t="s">
        <v>1764</v>
      </c>
      <c r="B153" s="13">
        <v>0</v>
      </c>
      <c r="C153" s="13">
        <v>0</v>
      </c>
      <c r="D153" s="13">
        <v>5227040</v>
      </c>
      <c r="E153" s="13">
        <v>5227040</v>
      </c>
    </row>
    <row r="154" spans="1:5">
      <c r="A154">
        <v>11</v>
      </c>
      <c r="B154" s="13">
        <v>157500</v>
      </c>
      <c r="C154" s="13">
        <v>0</v>
      </c>
      <c r="D154" s="13">
        <v>0</v>
      </c>
      <c r="E154" s="13">
        <v>157500</v>
      </c>
    </row>
    <row r="155" spans="1:5">
      <c r="A155">
        <v>12</v>
      </c>
      <c r="B155" s="13">
        <v>74569.850000000006</v>
      </c>
      <c r="C155" s="13">
        <v>0</v>
      </c>
      <c r="D155" s="13">
        <v>0</v>
      </c>
      <c r="E155" s="13">
        <v>74569.850000000006</v>
      </c>
    </row>
    <row r="156" spans="1:5">
      <c r="A156" t="s">
        <v>1759</v>
      </c>
      <c r="B156" s="13">
        <v>20300474.77</v>
      </c>
      <c r="C156" s="13">
        <v>20982378.640000001</v>
      </c>
      <c r="D156" s="13">
        <v>5227040</v>
      </c>
      <c r="E156" s="13">
        <v>46509893.410000004</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10">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5">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4">
      <dataBar>
        <cfvo type="min"/>
        <cfvo type="max"/>
        <color rgb="FFFFB628"/>
      </dataBar>
      <extLst>
        <ext xmlns:x14="http://schemas.microsoft.com/office/spreadsheetml/2009/9/main" uri="{B025F937-C7B1-47D3-B67F-A62EFF666E3E}">
          <x14:id>{7E5B887E-7175-40AA-8248-8ED2DD874DA1}</x14:id>
        </ext>
      </extLst>
    </cfRule>
  </conditionalFormatting>
  <conditionalFormatting pivot="1" sqref="B17:E18">
    <cfRule type="dataBar" priority="1">
      <dataBar>
        <cfvo type="min"/>
        <cfvo type="max"/>
        <color rgb="FFFFB628"/>
      </dataBar>
      <extLst>
        <ext xmlns:x14="http://schemas.microsoft.com/office/spreadsheetml/2009/9/main" uri="{B025F937-C7B1-47D3-B67F-A62EFF666E3E}">
          <x14:id>{93786FCD-69D1-448C-A885-DC400C4FF061}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 xmlns:xm="http://schemas.microsoft.com/office/excel/2006/main" pivot="1">
          <x14:cfRule type="dataBar" id="{93786FCD-69D1-448C-A885-DC400C4FF061}">
            <x14:dataBar minLength="0" maxLength="100" gradient="0">
              <x14:cfvo type="autoMin"/>
              <x14:cfvo type="autoMax"/>
              <x14:negativeFillColor rgb="FFFF0000"/>
              <x14:axisColor rgb="FF000000"/>
            </x14:dataBar>
          </x14:cfRule>
          <xm:sqref>B17:E18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1757</v>
      </c>
    </row>
    <row r="3" spans="2:6">
      <c r="B3" s="5" t="s">
        <v>3</v>
      </c>
      <c r="C3" t="s">
        <v>1763</v>
      </c>
      <c r="F3" t="s">
        <v>1760</v>
      </c>
    </row>
    <row r="4" spans="2:6">
      <c r="B4" s="5" t="s">
        <v>20</v>
      </c>
      <c r="C4" t="s">
        <v>1757</v>
      </c>
    </row>
    <row r="5" spans="2:6">
      <c r="B5" s="5" t="s">
        <v>12</v>
      </c>
      <c r="C5" t="s">
        <v>1757</v>
      </c>
    </row>
    <row r="7" spans="2:6">
      <c r="B7" s="5" t="s">
        <v>1762</v>
      </c>
      <c r="C7" s="5" t="s">
        <v>8</v>
      </c>
    </row>
    <row r="8" spans="2:6">
      <c r="B8" s="5" t="s">
        <v>18</v>
      </c>
      <c r="C8" t="s">
        <v>61</v>
      </c>
      <c r="D8" t="s">
        <v>35</v>
      </c>
      <c r="E8" t="s">
        <v>1759</v>
      </c>
    </row>
    <row r="9" spans="2:6">
      <c r="B9">
        <v>2024</v>
      </c>
      <c r="C9" s="13">
        <v>12</v>
      </c>
      <c r="D9" s="13">
        <v>4</v>
      </c>
      <c r="E9" s="13">
        <v>16</v>
      </c>
    </row>
    <row r="10" spans="2:6">
      <c r="B10">
        <v>2025</v>
      </c>
      <c r="C10" s="13">
        <v>9</v>
      </c>
      <c r="D10" s="13">
        <v>6</v>
      </c>
      <c r="E10" s="13">
        <v>15</v>
      </c>
    </row>
    <row r="11" spans="2:6">
      <c r="B11" t="s">
        <v>1759</v>
      </c>
      <c r="C11" s="13">
        <v>21</v>
      </c>
      <c r="D11" s="13">
        <v>10</v>
      </c>
      <c r="E11" s="13">
        <v>31</v>
      </c>
    </row>
    <row r="23" spans="2:6">
      <c r="B23" s="5" t="s">
        <v>9</v>
      </c>
      <c r="C23" t="s">
        <v>1757</v>
      </c>
    </row>
    <row r="24" spans="2:6">
      <c r="B24" s="5" t="s">
        <v>3</v>
      </c>
      <c r="C24" t="s">
        <v>1757</v>
      </c>
      <c r="F24" t="s">
        <v>1760</v>
      </c>
    </row>
    <row r="25" spans="2:6">
      <c r="B25" s="5" t="s">
        <v>20</v>
      </c>
      <c r="C25" t="s">
        <v>43</v>
      </c>
    </row>
    <row r="26" spans="2:6">
      <c r="B26" s="5" t="s">
        <v>12</v>
      </c>
      <c r="C26" t="s">
        <v>1757</v>
      </c>
    </row>
    <row r="28" spans="2:6">
      <c r="B28" s="5" t="s">
        <v>1758</v>
      </c>
      <c r="C28" s="5" t="s">
        <v>8</v>
      </c>
    </row>
    <row r="29" spans="2:6">
      <c r="B29" s="5" t="s">
        <v>18</v>
      </c>
      <c r="C29" t="s">
        <v>61</v>
      </c>
      <c r="D29" t="s">
        <v>35</v>
      </c>
      <c r="E29" t="s">
        <v>1759</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289782.59999999998</v>
      </c>
      <c r="D37" s="13">
        <v>65000</v>
      </c>
      <c r="E37" s="13">
        <v>354782.6</v>
      </c>
    </row>
    <row r="38" spans="2:6">
      <c r="B38">
        <v>2025</v>
      </c>
      <c r="C38" s="13">
        <v>60000</v>
      </c>
      <c r="D38" s="13">
        <v>0</v>
      </c>
      <c r="E38" s="13">
        <v>60000</v>
      </c>
    </row>
    <row r="39" spans="2:6">
      <c r="B39">
        <v>2026</v>
      </c>
      <c r="C39" s="13">
        <v>174569.85</v>
      </c>
      <c r="D39" s="13">
        <v>0</v>
      </c>
      <c r="E39" s="13">
        <v>174569.85</v>
      </c>
    </row>
    <row r="40" spans="2:6">
      <c r="B40" t="s">
        <v>1759</v>
      </c>
      <c r="C40" s="13">
        <v>8227880.54</v>
      </c>
      <c r="D40" s="13">
        <v>5135579.33</v>
      </c>
      <c r="E40" s="13">
        <v>13363459.869999997</v>
      </c>
    </row>
    <row r="45" spans="2:6">
      <c r="B45" s="5" t="s">
        <v>9</v>
      </c>
      <c r="C45" t="s">
        <v>1757</v>
      </c>
    </row>
    <row r="46" spans="2:6">
      <c r="B46" s="5" t="s">
        <v>3</v>
      </c>
      <c r="C46" t="s">
        <v>1757</v>
      </c>
      <c r="F46" t="s">
        <v>1760</v>
      </c>
    </row>
    <row r="47" spans="2:6">
      <c r="B47" s="5" t="s">
        <v>20</v>
      </c>
      <c r="C47" t="s">
        <v>1757</v>
      </c>
    </row>
    <row r="48" spans="2:6">
      <c r="B48" s="5" t="s">
        <v>12</v>
      </c>
      <c r="C48" t="s">
        <v>1757</v>
      </c>
    </row>
    <row r="50" spans="2:6">
      <c r="B50" s="5" t="s">
        <v>1758</v>
      </c>
      <c r="C50" s="5" t="s">
        <v>8</v>
      </c>
    </row>
    <row r="51" spans="2:6">
      <c r="B51" s="5" t="s">
        <v>18</v>
      </c>
      <c r="C51" t="s">
        <v>61</v>
      </c>
      <c r="D51" t="s">
        <v>35</v>
      </c>
      <c r="E51" t="s">
        <v>29</v>
      </c>
      <c r="F51" t="s">
        <v>1759</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2804451.46</v>
      </c>
      <c r="D60" s="13">
        <v>3196178.52</v>
      </c>
      <c r="E60" s="13">
        <v>0</v>
      </c>
      <c r="F60" s="13">
        <v>6000629.9800000004</v>
      </c>
    </row>
    <row r="61" spans="2:6">
      <c r="B61">
        <v>2025</v>
      </c>
      <c r="C61" s="13">
        <v>921643.39</v>
      </c>
      <c r="D61" s="13">
        <v>406605</v>
      </c>
      <c r="E61" s="13">
        <v>0</v>
      </c>
      <c r="F61" s="13">
        <v>1328248.3900000001</v>
      </c>
    </row>
    <row r="62" spans="2:6">
      <c r="B62">
        <v>2026</v>
      </c>
      <c r="C62" s="13">
        <v>298628.84999999998</v>
      </c>
      <c r="D62" s="13">
        <v>149000</v>
      </c>
      <c r="E62" s="13">
        <v>0</v>
      </c>
      <c r="F62" s="13">
        <v>447628.85</v>
      </c>
    </row>
    <row r="63" spans="2:6">
      <c r="B63" t="s">
        <v>1759</v>
      </c>
      <c r="C63" s="13">
        <v>20300474.770000003</v>
      </c>
      <c r="D63" s="13">
        <v>20982378.639999997</v>
      </c>
      <c r="E63" s="13">
        <v>5227040</v>
      </c>
      <c r="F63" s="13">
        <v>46509893.410000004</v>
      </c>
    </row>
    <row r="69" spans="2:6">
      <c r="B69" s="5" t="s">
        <v>9</v>
      </c>
      <c r="C69" t="s">
        <v>1757</v>
      </c>
    </row>
    <row r="70" spans="2:6">
      <c r="B70" s="5" t="s">
        <v>3</v>
      </c>
      <c r="C70" t="s">
        <v>1757</v>
      </c>
      <c r="F70" t="s">
        <v>1760</v>
      </c>
    </row>
    <row r="71" spans="2:6">
      <c r="B71" s="5" t="s">
        <v>20</v>
      </c>
      <c r="C71" t="s">
        <v>1757</v>
      </c>
    </row>
    <row r="72" spans="2:6">
      <c r="B72" s="5" t="s">
        <v>12</v>
      </c>
      <c r="C72" t="s">
        <v>1757</v>
      </c>
    </row>
    <row r="74" spans="2:6">
      <c r="B74" s="5" t="s">
        <v>8</v>
      </c>
      <c r="C74" t="s">
        <v>1758</v>
      </c>
    </row>
    <row r="75" spans="2:6">
      <c r="B75" t="s">
        <v>61</v>
      </c>
      <c r="C75" s="13">
        <v>20300474.770000003</v>
      </c>
    </row>
    <row r="76" spans="2:6">
      <c r="B76" t="s">
        <v>35</v>
      </c>
      <c r="C76" s="13">
        <v>20982378.639999997</v>
      </c>
    </row>
    <row r="77" spans="2:6">
      <c r="B77" t="s">
        <v>29</v>
      </c>
      <c r="C77" s="13">
        <v>5227040</v>
      </c>
    </row>
    <row r="78" spans="2:6">
      <c r="B78" t="s">
        <v>1759</v>
      </c>
      <c r="C78" s="13">
        <v>46509893.409999996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9"/>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1757</v>
      </c>
    </row>
    <row r="5" spans="2:6">
      <c r="B5" s="5" t="s">
        <v>1758</v>
      </c>
      <c r="C5" s="5" t="s">
        <v>8</v>
      </c>
    </row>
    <row r="6" spans="2:6">
      <c r="B6" s="5" t="s">
        <v>3</v>
      </c>
      <c r="C6" t="s">
        <v>61</v>
      </c>
      <c r="D6" t="s">
        <v>35</v>
      </c>
      <c r="E6" t="s">
        <v>29</v>
      </c>
      <c r="F6" t="s">
        <v>1759</v>
      </c>
    </row>
    <row r="7" spans="2:6">
      <c r="B7" t="s">
        <v>30</v>
      </c>
      <c r="C7" s="13">
        <v>1211066.92</v>
      </c>
      <c r="D7" s="13">
        <v>136565.72</v>
      </c>
      <c r="E7" s="13">
        <v>0</v>
      </c>
      <c r="F7" s="13">
        <v>1347632.64</v>
      </c>
    </row>
    <row r="8" spans="2:6">
      <c r="B8" t="s">
        <v>68</v>
      </c>
      <c r="C8" s="13">
        <v>1158936.8700000001</v>
      </c>
      <c r="D8" s="13">
        <v>362966.79</v>
      </c>
      <c r="E8" s="13">
        <v>0</v>
      </c>
      <c r="F8" s="13">
        <v>1521903.6600000001</v>
      </c>
    </row>
    <row r="9" spans="2:6">
      <c r="B9" t="s">
        <v>841</v>
      </c>
      <c r="C9" s="13">
        <v>258543.43999999997</v>
      </c>
      <c r="D9" s="13">
        <v>136894.16999999998</v>
      </c>
      <c r="E9" s="13">
        <v>0</v>
      </c>
      <c r="F9" s="13">
        <v>395437.61</v>
      </c>
    </row>
    <row r="10" spans="2:6">
      <c r="B10" t="s">
        <v>113</v>
      </c>
      <c r="C10" s="13">
        <v>247823.24000000002</v>
      </c>
      <c r="D10" s="13">
        <v>296192.21999999997</v>
      </c>
      <c r="E10" s="13">
        <v>0</v>
      </c>
      <c r="F10" s="13">
        <v>544015.46</v>
      </c>
    </row>
    <row r="11" spans="2:6">
      <c r="B11" t="s">
        <v>1014</v>
      </c>
      <c r="C11" s="13">
        <v>41415.17</v>
      </c>
      <c r="D11" s="13">
        <v>41632.559999999998</v>
      </c>
      <c r="E11" s="13">
        <v>0</v>
      </c>
      <c r="F11" s="13">
        <v>83047.73</v>
      </c>
    </row>
    <row r="12" spans="2:6">
      <c r="B12" t="s">
        <v>1165</v>
      </c>
      <c r="C12" s="13">
        <v>3196135.39</v>
      </c>
      <c r="D12" s="13">
        <v>828648.39</v>
      </c>
      <c r="E12" s="13">
        <v>0</v>
      </c>
      <c r="F12" s="13">
        <v>4024783.7800000003</v>
      </c>
    </row>
    <row r="13" spans="2:6">
      <c r="B13" t="s">
        <v>65</v>
      </c>
      <c r="C13" s="13">
        <v>4450874</v>
      </c>
      <c r="D13" s="13">
        <v>1790573</v>
      </c>
      <c r="E13" s="13">
        <v>0</v>
      </c>
      <c r="F13" s="13">
        <v>6241447</v>
      </c>
    </row>
    <row r="14" spans="2:6">
      <c r="B14" t="s">
        <v>44</v>
      </c>
      <c r="C14" s="13">
        <v>1513444.51</v>
      </c>
      <c r="D14" s="13">
        <v>702498.95</v>
      </c>
      <c r="E14" s="13">
        <v>0</v>
      </c>
      <c r="F14" s="13">
        <v>2215943.46</v>
      </c>
    </row>
    <row r="15" spans="2:6">
      <c r="B15" t="s">
        <v>79</v>
      </c>
      <c r="C15" s="13">
        <v>776456.36</v>
      </c>
      <c r="D15" s="13">
        <v>731560.09</v>
      </c>
      <c r="E15" s="13">
        <v>0</v>
      </c>
      <c r="F15" s="13">
        <v>1508016.45</v>
      </c>
    </row>
    <row r="16" spans="2:6">
      <c r="B16" t="s">
        <v>895</v>
      </c>
      <c r="C16" s="13">
        <v>602234.26</v>
      </c>
      <c r="D16" s="13">
        <v>301595.76</v>
      </c>
      <c r="E16" s="13">
        <v>0</v>
      </c>
      <c r="F16" s="13">
        <v>903830.02</v>
      </c>
    </row>
    <row r="17" spans="2:6">
      <c r="B17" t="s">
        <v>1069</v>
      </c>
      <c r="C17" s="13">
        <v>109600</v>
      </c>
      <c r="D17" s="13">
        <v>27396.71</v>
      </c>
      <c r="E17" s="13">
        <v>0</v>
      </c>
      <c r="F17" s="13">
        <v>136996.71</v>
      </c>
    </row>
    <row r="18" spans="2:6">
      <c r="B18" t="s">
        <v>773</v>
      </c>
      <c r="C18" s="13">
        <v>100000</v>
      </c>
      <c r="D18" s="13">
        <v>126500</v>
      </c>
      <c r="E18" s="13">
        <v>0</v>
      </c>
      <c r="F18" s="13">
        <v>226500</v>
      </c>
    </row>
    <row r="19" spans="2:6">
      <c r="B19" t="s">
        <v>825</v>
      </c>
      <c r="C19" s="13">
        <v>92500</v>
      </c>
      <c r="D19" s="13">
        <v>70000</v>
      </c>
      <c r="E19" s="13">
        <v>0</v>
      </c>
      <c r="F19" s="13">
        <v>162500</v>
      </c>
    </row>
    <row r="20" spans="2:6">
      <c r="B20" t="s">
        <v>1003</v>
      </c>
      <c r="C20" s="13">
        <v>38800</v>
      </c>
      <c r="D20" s="13">
        <v>60000</v>
      </c>
      <c r="E20" s="13">
        <v>0</v>
      </c>
      <c r="F20" s="13">
        <v>98800</v>
      </c>
    </row>
    <row r="21" spans="2:6">
      <c r="B21" t="s">
        <v>780</v>
      </c>
      <c r="C21" s="13">
        <v>0</v>
      </c>
      <c r="D21" s="13">
        <v>27100</v>
      </c>
      <c r="E21" s="13">
        <v>0</v>
      </c>
      <c r="F21" s="13">
        <v>27100</v>
      </c>
    </row>
    <row r="22" spans="2:6">
      <c r="B22" t="s">
        <v>889</v>
      </c>
      <c r="C22" s="13">
        <v>0</v>
      </c>
      <c r="D22" s="13">
        <v>76000</v>
      </c>
      <c r="E22" s="13">
        <v>0</v>
      </c>
      <c r="F22" s="13">
        <v>76000</v>
      </c>
    </row>
    <row r="23" spans="2:6">
      <c r="B23" t="s">
        <v>1060</v>
      </c>
      <c r="C23" s="13">
        <v>20000</v>
      </c>
      <c r="D23" s="13">
        <v>40000</v>
      </c>
      <c r="E23" s="13">
        <v>0</v>
      </c>
      <c r="F23" s="13">
        <v>60000</v>
      </c>
    </row>
    <row r="24" spans="2:6">
      <c r="B24" t="s">
        <v>784</v>
      </c>
      <c r="C24" s="13">
        <v>25000</v>
      </c>
      <c r="D24" s="13">
        <v>20000</v>
      </c>
      <c r="E24" s="13">
        <v>0</v>
      </c>
      <c r="F24" s="13">
        <v>45000</v>
      </c>
    </row>
    <row r="25" spans="2:6">
      <c r="B25" t="s">
        <v>898</v>
      </c>
      <c r="C25" s="13">
        <v>221468</v>
      </c>
      <c r="D25" s="13">
        <v>85113</v>
      </c>
      <c r="E25" s="13">
        <v>0</v>
      </c>
      <c r="F25" s="13">
        <v>306581</v>
      </c>
    </row>
    <row r="26" spans="2:6">
      <c r="B26" t="s">
        <v>1076</v>
      </c>
      <c r="C26" s="13">
        <v>1500</v>
      </c>
      <c r="D26" s="13">
        <v>53876</v>
      </c>
      <c r="E26" s="13">
        <v>0</v>
      </c>
      <c r="F26" s="13">
        <v>55376</v>
      </c>
    </row>
    <row r="27" spans="2:6">
      <c r="B27" t="s">
        <v>500</v>
      </c>
      <c r="C27" s="13">
        <v>220820</v>
      </c>
      <c r="D27" s="13">
        <v>446956</v>
      </c>
      <c r="E27" s="13">
        <v>0</v>
      </c>
      <c r="F27" s="13">
        <v>667776</v>
      </c>
    </row>
    <row r="28" spans="2:6">
      <c r="B28" t="s">
        <v>986</v>
      </c>
      <c r="C28" s="13">
        <v>37000</v>
      </c>
      <c r="D28" s="13">
        <v>801867</v>
      </c>
      <c r="E28" s="13">
        <v>0</v>
      </c>
      <c r="F28" s="13">
        <v>838867</v>
      </c>
    </row>
    <row r="29" spans="2:6">
      <c r="B29" t="s">
        <v>1073</v>
      </c>
      <c r="C29" s="13">
        <v>4000</v>
      </c>
      <c r="D29" s="13">
        <v>464051.64</v>
      </c>
      <c r="E29" s="13">
        <v>0</v>
      </c>
      <c r="F29" s="13">
        <v>468051.64</v>
      </c>
    </row>
    <row r="30" spans="2:6">
      <c r="B30" t="s">
        <v>27</v>
      </c>
      <c r="C30" s="13">
        <v>0</v>
      </c>
      <c r="D30" s="13">
        <v>0</v>
      </c>
      <c r="E30" s="13">
        <v>5227040</v>
      </c>
      <c r="F30" s="13">
        <v>5227040</v>
      </c>
    </row>
    <row r="31" spans="2:6">
      <c r="B31" t="s">
        <v>1242</v>
      </c>
      <c r="C31" s="13">
        <v>1123721.4100000001</v>
      </c>
      <c r="D31" s="13">
        <v>1181361.3700000001</v>
      </c>
      <c r="E31" s="13">
        <v>0</v>
      </c>
      <c r="F31" s="13">
        <v>2305082.7800000003</v>
      </c>
    </row>
    <row r="32" spans="2:6">
      <c r="B32" t="s">
        <v>1337</v>
      </c>
      <c r="C32" s="13">
        <v>578165</v>
      </c>
      <c r="D32" s="13">
        <v>2192656.75</v>
      </c>
      <c r="E32" s="13">
        <v>0</v>
      </c>
      <c r="F32" s="13">
        <v>2770821.75</v>
      </c>
    </row>
    <row r="33" spans="2:6">
      <c r="B33" t="s">
        <v>1391</v>
      </c>
      <c r="C33" s="13">
        <v>246246.5</v>
      </c>
      <c r="D33" s="13">
        <v>909863</v>
      </c>
      <c r="E33" s="13">
        <v>0</v>
      </c>
      <c r="F33" s="13">
        <v>1156109.5</v>
      </c>
    </row>
    <row r="34" spans="2:6">
      <c r="B34" t="s">
        <v>1449</v>
      </c>
      <c r="C34" s="13">
        <v>2653071.1</v>
      </c>
      <c r="D34" s="13">
        <v>7052816</v>
      </c>
      <c r="E34" s="13">
        <v>0</v>
      </c>
      <c r="F34" s="13">
        <v>9705887.0999999996</v>
      </c>
    </row>
    <row r="35" spans="2:6">
      <c r="B35" t="s">
        <v>1587</v>
      </c>
      <c r="C35" s="13">
        <v>544091.36</v>
      </c>
      <c r="D35" s="13">
        <v>209425</v>
      </c>
      <c r="E35" s="13">
        <v>0</v>
      </c>
      <c r="F35" s="13">
        <v>753516.36</v>
      </c>
    </row>
    <row r="36" spans="2:6">
      <c r="B36" t="s">
        <v>1534</v>
      </c>
      <c r="C36" s="13">
        <v>144136</v>
      </c>
      <c r="D36" s="13">
        <v>1462088.52</v>
      </c>
      <c r="E36" s="13">
        <v>0</v>
      </c>
      <c r="F36" s="13">
        <v>1606224.52</v>
      </c>
    </row>
    <row r="37" spans="2:6">
      <c r="B37" t="s">
        <v>1661</v>
      </c>
      <c r="C37" s="13">
        <v>384796.39</v>
      </c>
      <c r="D37" s="13">
        <v>197180</v>
      </c>
      <c r="E37" s="13">
        <v>0</v>
      </c>
      <c r="F37" s="13">
        <v>581976.39</v>
      </c>
    </row>
    <row r="38" spans="2:6">
      <c r="B38" t="s">
        <v>1714</v>
      </c>
      <c r="C38" s="13">
        <v>298628.84999999998</v>
      </c>
      <c r="D38" s="13">
        <v>149000</v>
      </c>
      <c r="E38" s="13">
        <v>0</v>
      </c>
      <c r="F38" s="13">
        <v>447628.85</v>
      </c>
    </row>
    <row r="39" spans="2:6">
      <c r="B39" t="s">
        <v>1759</v>
      </c>
      <c r="C39" s="13">
        <v>20300474.770000003</v>
      </c>
      <c r="D39" s="13">
        <v>20982378.639999997</v>
      </c>
      <c r="E39" s="13">
        <v>5227040</v>
      </c>
      <c r="F39" s="13">
        <v>46509893.410000004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2021-07-26T11:02:44Z</dcterms:created>
  <dcterms:modified xsi:type="dcterms:W3CDTF">2026-10-27T14:25:09Z</dcterms:modified>
  <cp:category/>
  <cp:contentStatus/>
</cp:coreProperties>
</file>
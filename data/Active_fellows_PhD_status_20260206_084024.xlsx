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29" documentId="13_ncr:1_{503F577C-3F40-4625-BC6E-453B42AAE264}" xr6:coauthVersionLast="47" xr6:coauthVersionMax="47" xr10:uidLastSave="{1387FE79-37AC-4F2E-B801-E3E0E3A2A9CC}"/>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1042" r:id="rId20"/>
    <pivotCache cacheId="1043" r:id="rId21"/>
    <pivotCache cacheId="1044" r:id="rId22"/>
    <pivotCache cacheId="1045"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<sst xmlns="http://schemas.openxmlformats.org/spreadsheetml/2006/main" count="2834" uniqueCount="947">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</sst>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80">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0" fillId="0" borderId="0" xfId="0" applyNumberFormat="1"/>
    <xf numFmtId="0" fontId="0" fillId="0" borderId="1" xfId="0" applyNumberFormat="1" applyBorder="1"/>
    <xf numFmtId="0" fontId="0" fillId="0" borderId="0" xfId="0" applyNumberFormat="1"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56.5887156250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03T00:00:00" maxDate="2026-02-04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03T00:00:00"/>
    <m/>
    <m/>
    <m/>
    <m/>
    <n v="28"/>
    <x v="0"/>
    <x v="0"/>
    <n v="28"/>
    <x v="0"/>
  </r>
  <r>
    <n v="2"/>
    <x v="1"/>
    <s v="Abiket"/>
    <s v="Nanfizat"/>
    <s v="Alamukii"/>
    <x v="0"/>
    <x v="1"/>
    <s v="Nigeria"/>
    <x v="1"/>
    <x v="1"/>
    <d v="2016-02-17T00:00:00"/>
    <d v="2019-03-01T00:00:00"/>
    <d v="2026-02-03T00:00:00"/>
    <m/>
    <m/>
    <m/>
    <m/>
    <n v="54"/>
    <x v="1"/>
    <x v="0"/>
    <n v="54"/>
    <x v="1"/>
  </r>
  <r>
    <n v="3"/>
    <x v="2"/>
    <s v="Abimbola  "/>
    <s v="Margaret"/>
    <s v="Obimakinde"/>
    <x v="0"/>
    <x v="1"/>
    <s v="Nigeria"/>
    <x v="1"/>
    <x v="2"/>
    <d v="2019-07-01T00:00:00"/>
    <d v="2019-03-01T00:00:00"/>
    <d v="2026-02-03T00:00:00"/>
    <m/>
    <m/>
    <m/>
    <m/>
    <n v="58"/>
    <x v="2"/>
    <x v="0"/>
    <n v="58"/>
    <x v="1"/>
  </r>
  <r>
    <n v="4"/>
    <x v="3"/>
    <s v="Abiodun"/>
    <s v="Olufunke"/>
    <s v="Oluwatoba"/>
    <x v="0"/>
    <x v="2"/>
    <s v="Nigeria"/>
    <x v="1"/>
    <x v="1"/>
    <d v="2012-01-12T00:00:00"/>
    <d v="2012-03-01T00:00:00"/>
    <d v="2026-02-03T00:00:00"/>
    <m/>
    <m/>
    <m/>
    <m/>
    <n v="93"/>
    <x v="3"/>
    <x v="0"/>
    <n v="93"/>
    <x v="1"/>
  </r>
  <r>
    <n v="5"/>
    <x v="4"/>
    <s v="Abiola"/>
    <s v="Olubusola"/>
    <s v="Komolafe"/>
    <x v="0"/>
    <x v="3"/>
    <s v="Nigeria"/>
    <x v="0"/>
    <x v="0"/>
    <d v="2016-03-29T00:00:00"/>
    <d v="2017-03-01T00:00:00"/>
    <d v="2026-02-03T00:00:00"/>
    <m/>
    <m/>
    <m/>
    <m/>
    <n v="34"/>
    <x v="4"/>
    <x v="0"/>
    <n v="34"/>
    <x v="0"/>
  </r>
  <r>
    <n v="6"/>
    <x v="5"/>
    <s v="Adebolajo"/>
    <m/>
    <s v="Adeyemo"/>
    <x v="1"/>
    <x v="2"/>
    <s v="Nigeria"/>
    <x v="1"/>
    <x v="1"/>
    <d v="2012-01-16T00:00:00"/>
    <d v="2012-03-01T00:00:00"/>
    <d v="2026-02-03T00:00:00"/>
    <n v="168"/>
    <m/>
    <m/>
    <m/>
    <n v="168"/>
    <x v="5"/>
    <x v="0"/>
    <n v="139"/>
    <x v="1"/>
  </r>
  <r>
    <n v="7"/>
    <x v="6"/>
    <s v="Adefolarin"/>
    <s v="Olufolake"/>
    <s v="Adeyinka"/>
    <x v="0"/>
    <x v="4"/>
    <s v="Nigeria"/>
    <x v="1"/>
    <x v="1"/>
    <d v="2013-02-20T00:00:00"/>
    <d v="2013-03-01T00:00:00"/>
    <d v="2026-02-03T00:00:00"/>
    <m/>
    <m/>
    <m/>
    <m/>
    <n v="56"/>
    <x v="6"/>
    <x v="0"/>
    <n v="56"/>
    <x v="1"/>
  </r>
  <r>
    <n v="8"/>
    <x v="7"/>
    <s v="Adeleye"/>
    <s v="Abiodun"/>
    <s v="Adeomi"/>
    <x v="1"/>
    <x v="5"/>
    <s v="Nigeria"/>
    <x v="0"/>
    <x v="2"/>
    <d v="2018-08-06T00:00:00"/>
    <d v="2018-03-01T00:00:00"/>
    <d v="2026-02-03T00:00:00"/>
    <m/>
    <m/>
    <m/>
    <m/>
    <n v="51"/>
    <x v="7"/>
    <x v="0"/>
    <n v="51"/>
    <x v="0"/>
  </r>
  <r>
    <n v="9"/>
    <x v="8"/>
    <s v="Adeniyi"/>
    <s v="Francis"/>
    <s v="Fagbamigbe"/>
    <x v="1"/>
    <x v="2"/>
    <s v="Nigeria"/>
    <x v="1"/>
    <x v="1"/>
    <d v="2012-03-19T00:00:00"/>
    <d v="2012-03-01T00:00:00"/>
    <d v="2026-02-03T00:00:00"/>
    <m/>
    <m/>
    <m/>
    <m/>
    <n v="25"/>
    <x v="8"/>
    <x v="0"/>
    <n v="25"/>
    <x v="0"/>
  </r>
  <r>
    <n v="10"/>
    <x v="9"/>
    <s v="Adesola"/>
    <s v="Oluwafunmilola"/>
    <s v="Olumide"/>
    <x v="0"/>
    <x v="4"/>
    <s v="Nigeria"/>
    <x v="1"/>
    <x v="1"/>
    <d v="2013-02-21T00:00:00"/>
    <d v="2013-03-01T00:00:00"/>
    <d v="2026-02-03T00:00:00"/>
    <m/>
    <m/>
    <m/>
    <m/>
    <n v="52"/>
    <x v="9"/>
    <x v="0"/>
    <n v="52"/>
    <x v="1"/>
  </r>
  <r>
    <n v="11"/>
    <x v="10"/>
    <s v="Admire"/>
    <s v="Takuranhamo"/>
    <s v="Chikandiwa"/>
    <x v="1"/>
    <x v="6"/>
    <s v="South Africa"/>
    <x v="2"/>
    <x v="2"/>
    <d v="2017-03-15T00:00:00"/>
    <d v="2014-03-01T00:00:00"/>
    <d v="2026-02-03T00:00:00"/>
    <m/>
    <m/>
    <m/>
    <m/>
    <n v="69"/>
    <x v="10"/>
    <x v="0"/>
    <n v="69"/>
    <x v="1"/>
  </r>
  <r>
    <n v="12"/>
    <x v="11"/>
    <s v="Alex "/>
    <s v="John"/>
    <s v="Ntamatungiro"/>
    <x v="1"/>
    <x v="1"/>
    <s v="Tanzania"/>
    <x v="3"/>
    <x v="2"/>
    <d v="2020-01-31T00:00:00"/>
    <d v="2019-03-01T00:00:00"/>
    <d v="2026-02-03T00:00:00"/>
    <m/>
    <m/>
    <m/>
    <m/>
    <n v="59"/>
    <x v="11"/>
    <x v="0"/>
    <n v="59"/>
    <x v="1"/>
  </r>
  <r>
    <n v="13"/>
    <x v="12"/>
    <s v="Alexander"/>
    <s v="-"/>
    <s v="Kagaha"/>
    <x v="1"/>
    <x v="3"/>
    <s v="Uganda"/>
    <x v="4"/>
    <x v="2"/>
    <d v="2017-06-03T00:00:00"/>
    <d v="2017-03-01T00:00:00"/>
    <d v="2026-02-03T00:00:00"/>
    <m/>
    <m/>
    <m/>
    <m/>
    <n v="51"/>
    <x v="12"/>
    <x v="0"/>
    <n v="51"/>
    <x v="0"/>
  </r>
  <r>
    <n v="14"/>
    <x v="13"/>
    <s v="Alice"/>
    <m/>
    <s v="Muhayimana"/>
    <x v="0"/>
    <x v="7"/>
    <s v="Rwanda"/>
    <x v="5"/>
    <x v="2"/>
    <d v="2020-01-31T00:00:00"/>
    <d v="2020-03-01T00:00:00"/>
    <d v="2026-02-03T00:00:00"/>
    <n v="72"/>
    <m/>
    <m/>
    <m/>
    <n v="72"/>
    <x v="13"/>
    <x v="0"/>
    <n v="55"/>
    <x v="1"/>
  </r>
  <r>
    <n v="15"/>
    <x v="14"/>
    <s v="Alinane Linda"/>
    <m/>
    <s v="Nyondo-Mipando"/>
    <x v="0"/>
    <x v="2"/>
    <s v="Malawi"/>
    <x v="6"/>
    <x v="3"/>
    <d v="2012-01-09T00:00:00"/>
    <d v="2012-03-01T00:00:00"/>
    <d v="2026-02-03T00:00:00"/>
    <m/>
    <m/>
    <m/>
    <m/>
    <n v="49"/>
    <x v="14"/>
    <x v="0"/>
    <n v="49"/>
    <x v="0"/>
  </r>
  <r>
    <n v="16"/>
    <x v="15"/>
    <s v="Andrew"/>
    <s v="-"/>
    <s v="Tamale"/>
    <x v="1"/>
    <x v="6"/>
    <s v="Uganda"/>
    <x v="4"/>
    <x v="4"/>
    <d v="2014-03-12T00:00:00"/>
    <d v="2014-03-01T00:00:00"/>
    <d v="2026-02-03T00:00:00"/>
    <m/>
    <m/>
    <m/>
    <m/>
    <n v="37"/>
    <x v="15"/>
    <x v="0"/>
    <n v="37"/>
    <x v="0"/>
  </r>
  <r>
    <n v="17"/>
    <x v="16"/>
    <s v="Angeline"/>
    <m/>
    <s v="Chepchirchir"/>
    <x v="0"/>
    <x v="4"/>
    <s v="Kenya"/>
    <x v="7"/>
    <x v="5"/>
    <d v="2013-02-24T00:00:00"/>
    <d v="2013-03-01T00:00:00"/>
    <d v="2026-02-03T00:00:00"/>
    <m/>
    <m/>
    <m/>
    <m/>
    <n v="82"/>
    <x v="16"/>
    <x v="0"/>
    <n v="82"/>
    <x v="1"/>
  </r>
  <r>
    <n v="18"/>
    <x v="17"/>
    <s v="Anitha"/>
    <s v="-"/>
    <s v="Philbert"/>
    <x v="0"/>
    <x v="4"/>
    <s v="Tanzania"/>
    <x v="8"/>
    <x v="6"/>
    <d v="2012-10-23T00:00:00"/>
    <d v="2013-03-01T00:00:00"/>
    <d v="2026-02-03T00:00:00"/>
    <m/>
    <m/>
    <m/>
    <m/>
    <n v="42"/>
    <x v="17"/>
    <x v="0"/>
    <n v="42"/>
    <x v="0"/>
  </r>
  <r>
    <n v="19"/>
    <x v="18"/>
    <s v="Anne"/>
    <s v="Majuma"/>
    <s v="Khisa"/>
    <x v="0"/>
    <x v="4"/>
    <s v="Kenya"/>
    <x v="7"/>
    <x v="5"/>
    <d v="2012-07-07T00:00:00"/>
    <d v="2013-03-01T00:00:00"/>
    <d v="2026-02-03T00:00:00"/>
    <m/>
    <m/>
    <m/>
    <m/>
    <n v="46"/>
    <x v="18"/>
    <x v="0"/>
    <n v="46"/>
    <x v="0"/>
  </r>
  <r>
    <n v="20"/>
    <x v="19"/>
    <s v="Atupele"/>
    <s v="Ngina"/>
    <s v="Mulaga"/>
    <x v="0"/>
    <x v="5"/>
    <s v="Malawi"/>
    <x v="6"/>
    <x v="3"/>
    <d v="2018-04-01T00:00:00"/>
    <d v="2018-03-01T00:00:00"/>
    <d v="2026-02-03T00:00:00"/>
    <m/>
    <m/>
    <m/>
    <m/>
    <n v="58"/>
    <x v="19"/>
    <x v="0"/>
    <n v="58"/>
    <x v="1"/>
  </r>
  <r>
    <n v="21"/>
    <x v="20"/>
    <s v="Austin"/>
    <s v="Henderson"/>
    <s v="Mtethiwa"/>
    <x v="1"/>
    <x v="2"/>
    <s v="Malawi"/>
    <x v="6"/>
    <x v="3"/>
    <d v="2012-03-09T00:00:00"/>
    <d v="2012-03-01T00:00:00"/>
    <d v="2026-02-03T00:00:00"/>
    <m/>
    <m/>
    <m/>
    <m/>
    <n v="57"/>
    <x v="20"/>
    <x v="0"/>
    <n v="57"/>
    <x v="1"/>
  </r>
  <r>
    <n v="22"/>
    <x v="21"/>
    <s v="Ayodele"/>
    <s v="John"/>
    <s v="Alonge"/>
    <x v="1"/>
    <x v="6"/>
    <s v="Nigeria"/>
    <x v="1"/>
    <x v="5"/>
    <d v="2015-09-30T00:00:00"/>
    <d v="2014-03-01T00:00:00"/>
    <d v="2026-02-03T00:00:00"/>
    <m/>
    <m/>
    <m/>
    <m/>
    <n v="46"/>
    <x v="21"/>
    <x v="0"/>
    <n v="46"/>
    <x v="0"/>
  </r>
  <r>
    <n v="23"/>
    <x v="22"/>
    <s v="Babatunde"/>
    <s v="Olubayo"/>
    <s v="Adedokun"/>
    <x v="1"/>
    <x v="8"/>
    <s v="Nigeria"/>
    <x v="1"/>
    <x v="1"/>
    <d v="2011-03-01T00:00:00"/>
    <d v="2011-04-01T00:00:00"/>
    <d v="2026-02-03T00:00:00"/>
    <m/>
    <m/>
    <m/>
    <m/>
    <n v="70"/>
    <x v="22"/>
    <x v="0"/>
    <n v="70"/>
    <x v="1"/>
  </r>
  <r>
    <n v="24"/>
    <x v="23"/>
    <s v="Beatrice"/>
    <s v="Waitherero"/>
    <s v="Maina"/>
    <x v="0"/>
    <x v="0"/>
    <s v="Kenya"/>
    <x v="9"/>
    <x v="2"/>
    <d v="2017-03-22T00:00:00"/>
    <d v="2016-03-01T00:00:00"/>
    <d v="2026-02-03T00:00:00"/>
    <m/>
    <m/>
    <m/>
    <m/>
    <n v="67"/>
    <x v="23"/>
    <x v="0"/>
    <n v="67"/>
    <x v="1"/>
  </r>
  <r>
    <n v="25"/>
    <x v="24"/>
    <s v="Beryl"/>
    <s v="Chelangat"/>
    <s v="Maritim"/>
    <x v="0"/>
    <x v="7"/>
    <s v="Kenya"/>
    <x v="10"/>
    <x v="2"/>
    <d v="2020-07-01T00:00:00"/>
    <d v="2020-03-01T00:00:00"/>
    <d v="2026-02-03T00:00:00"/>
    <m/>
    <m/>
    <m/>
    <m/>
    <n v="43"/>
    <x v="24"/>
    <x v="0"/>
    <n v="43"/>
    <x v="0"/>
  </r>
  <r>
    <n v="26"/>
    <x v="25"/>
    <s v="Betty"/>
    <s v="Karimi"/>
    <s v="Mwiti"/>
    <x v="0"/>
    <x v="0"/>
    <s v="Kenya"/>
    <x v="7"/>
    <x v="5"/>
    <d v="2016-11-30T00:00:00"/>
    <d v="2016-03-01T00:00:00"/>
    <d v="2026-02-03T00:00:00"/>
    <m/>
    <d v="2020-04-20T00:00:00"/>
    <d v="2020-06-11T00:00:00"/>
    <n v="2"/>
    <n v="52"/>
    <x v="25"/>
    <x v="0"/>
    <n v="52"/>
    <x v="1"/>
  </r>
  <r>
    <n v="27"/>
    <x v="26"/>
    <s v="Blessings"/>
    <s v="Nyasilia Kaunda"/>
    <s v="Kaunda-Khangamwa"/>
    <x v="0"/>
    <x v="3"/>
    <s v="Malawi"/>
    <x v="6"/>
    <x v="2"/>
    <d v="2017-04-30T00:00:00"/>
    <d v="2017-03-01T00:00:00"/>
    <d v="2026-02-03T00:00:00"/>
    <m/>
    <m/>
    <m/>
    <m/>
    <n v="51"/>
    <x v="12"/>
    <x v="0"/>
    <n v="51"/>
    <x v="0"/>
  </r>
  <r>
    <n v="28"/>
    <x v="27"/>
    <s v="Boladale"/>
    <s v="Moyosore"/>
    <s v="Mapayi"/>
    <x v="0"/>
    <x v="6"/>
    <s v="Nigeria"/>
    <x v="0"/>
    <x v="0"/>
    <d v="2013-03-15T00:00:00"/>
    <d v="2014-03-01T00:00:00"/>
    <d v="2026-02-03T00:00:00"/>
    <m/>
    <m/>
    <m/>
    <m/>
    <n v="37"/>
    <x v="26"/>
    <x v="0"/>
    <n v="37"/>
    <x v="0"/>
  </r>
  <r>
    <n v="29"/>
    <x v="28"/>
    <s v="Tumwine"/>
    <m/>
    <s v="Gabriel"/>
    <x v="1"/>
    <x v="2"/>
    <s v="Uganda"/>
    <x v="4"/>
    <x v="4"/>
    <d v="2012-01-25T00:00:00"/>
    <d v="2012-03-01T00:00:00"/>
    <d v="2026-02-03T00:00:00"/>
    <n v="168"/>
    <m/>
    <m/>
    <m/>
    <n v="168"/>
    <x v="27"/>
    <x v="1"/>
    <s v="In progress: Above 60 months"/>
    <x v="2"/>
  </r>
  <r>
    <n v="30"/>
    <x v="29"/>
    <s v="Bolutife"/>
    <s v="Ayokunnu"/>
    <s v="Olusanya"/>
    <x v="1"/>
    <x v="6"/>
    <s v="Nigeria"/>
    <x v="1"/>
    <x v="1"/>
    <d v="2014-07-10T00:00:00"/>
    <d v="2014-03-01T00:00:00"/>
    <d v="2026-02-03T00:00:00"/>
    <m/>
    <m/>
    <m/>
    <m/>
    <n v="85"/>
    <x v="28"/>
    <x v="0"/>
    <n v="85"/>
    <x v="1"/>
  </r>
  <r>
    <n v="31"/>
    <x v="30"/>
    <s v="Caroline"/>
    <s v="Sultan"/>
    <s v="Sambai"/>
    <x v="0"/>
    <x v="8"/>
    <s v="Kenya"/>
    <x v="10"/>
    <x v="7"/>
    <d v="2011-10-11T00:00:00"/>
    <d v="2011-04-01T00:00:00"/>
    <d v="2026-02-03T00:00:00"/>
    <m/>
    <m/>
    <m/>
    <m/>
    <n v="36"/>
    <x v="8"/>
    <x v="0"/>
    <n v="36"/>
    <x v="0"/>
  </r>
  <r>
    <n v="32"/>
    <x v="31"/>
    <s v="Caroline"/>
    <s v="Jepkoech"/>
    <s v="Sawe"/>
    <x v="0"/>
    <x v="6"/>
    <s v="Kenya"/>
    <x v="10"/>
    <x v="5"/>
    <d v="2014-04-01T00:00:00"/>
    <d v="2014-03-01T00:00:00"/>
    <d v="2026-02-03T00:00:00"/>
    <m/>
    <m/>
    <m/>
    <m/>
    <n v="91"/>
    <x v="29"/>
    <x v="0"/>
    <n v="91"/>
    <x v="1"/>
  </r>
  <r>
    <n v="33"/>
    <x v="32"/>
    <s v="Catherine"/>
    <s v="Mawia"/>
    <s v="Musyoka"/>
    <x v="0"/>
    <x v="3"/>
    <s v="Kenya"/>
    <x v="7"/>
    <x v="5"/>
    <d v="2017-06-30T00:00:00"/>
    <d v="2017-03-01T00:00:00"/>
    <d v="2026-02-03T00:00:00"/>
    <m/>
    <m/>
    <m/>
    <m/>
    <n v="55"/>
    <x v="30"/>
    <x v="0"/>
    <n v="55"/>
    <x v="1"/>
  </r>
  <r>
    <n v="34"/>
    <x v="33"/>
    <s v="Celestin"/>
    <m/>
    <s v="Ndikumana"/>
    <x v="1"/>
    <x v="9"/>
    <s v="Rwanda"/>
    <x v="5"/>
    <x v="7"/>
    <d v="2017-09-15T00:00:00"/>
    <d v="2015-03-01T00:00:00"/>
    <d v="2026-02-03T00:00:00"/>
    <m/>
    <m/>
    <m/>
    <m/>
    <n v="58"/>
    <x v="31"/>
    <x v="0"/>
    <n v="58"/>
    <x v="1"/>
  </r>
  <r>
    <n v="35"/>
    <x v="34"/>
    <s v="Celestin"/>
    <m/>
    <s v="Banamwana"/>
    <x v="1"/>
    <x v="3"/>
    <s v="Rwanda"/>
    <x v="5"/>
    <x v="4"/>
    <d v="2017-04-30T00:00:00"/>
    <d v="2017-03-01T00:00:00"/>
    <d v="2026-02-03T00:00:00"/>
    <m/>
    <m/>
    <m/>
    <m/>
    <n v="82"/>
    <x v="32"/>
    <x v="0"/>
    <n v="82"/>
    <x v="1"/>
  </r>
  <r>
    <n v="36"/>
    <x v="35"/>
    <s v="Celine"/>
    <m/>
    <s v="Niwemahoro"/>
    <x v="0"/>
    <x v="8"/>
    <s v="Rwanda"/>
    <x v="5"/>
    <x v="6"/>
    <d v="2011-03-14T00:00:00"/>
    <d v="2011-04-01T00:00:00"/>
    <d v="2026-02-03T00:00:00"/>
    <m/>
    <m/>
    <m/>
    <m/>
    <n v="79"/>
    <x v="33"/>
    <x v="0"/>
    <n v="79"/>
    <x v="1"/>
  </r>
  <r>
    <n v="37"/>
    <x v="36"/>
    <s v="Charles"/>
    <s v="Masulani"/>
    <s v="Mwale"/>
    <x v="1"/>
    <x v="4"/>
    <s v="Rwanda"/>
    <x v="5"/>
    <x v="8"/>
    <d v="2012-10-18T00:00:00"/>
    <d v="2013-03-01T00:00:00"/>
    <d v="2026-02-03T00:00:00"/>
    <m/>
    <m/>
    <m/>
    <m/>
    <n v="57"/>
    <x v="34"/>
    <x v="0"/>
    <n v="57"/>
    <x v="1"/>
  </r>
  <r>
    <n v="38"/>
    <x v="37"/>
    <s v="Charles "/>
    <m/>
    <s v="Ssemugabo"/>
    <x v="1"/>
    <x v="1"/>
    <s v="Uganda"/>
    <x v="4"/>
    <x v="4"/>
    <d v="2019-07-01T00:00:00"/>
    <d v="2019-03-01T00:00:00"/>
    <d v="2026-02-03T00:00:00"/>
    <m/>
    <m/>
    <m/>
    <m/>
    <n v="55"/>
    <x v="35"/>
    <x v="0"/>
    <n v="55"/>
    <x v="1"/>
  </r>
  <r>
    <n v="39"/>
    <x v="38"/>
    <s v="Cheikh Mbacké"/>
    <m/>
    <s v="Faye"/>
    <x v="1"/>
    <x v="9"/>
    <s v="Senegal"/>
    <x v="9"/>
    <x v="2"/>
    <d v="2016-01-01T00:00:00"/>
    <d v="2015-03-01T00:00:00"/>
    <d v="2026-02-03T00:00:00"/>
    <m/>
    <m/>
    <m/>
    <m/>
    <n v="52"/>
    <x v="36"/>
    <x v="0"/>
    <n v="52"/>
    <x v="1"/>
  </r>
  <r>
    <n v="40"/>
    <x v="39"/>
    <s v="Chinenyenwa"/>
    <s v="Maria Dorathy"/>
    <s v="Ohia"/>
    <x v="0"/>
    <x v="7"/>
    <s v="Nigeria"/>
    <x v="1"/>
    <x v="1"/>
    <m/>
    <d v="2020-03-01T00:00:00"/>
    <d v="2026-02-03T00:00:00"/>
    <m/>
    <m/>
    <m/>
    <m/>
    <n v="22"/>
    <x v="37"/>
    <x v="0"/>
    <n v="22"/>
    <x v="0"/>
  </r>
  <r>
    <n v="41"/>
    <x v="40"/>
    <s v="Chrispus"/>
    <s v="-"/>
    <s v="Mayora"/>
    <x v="1"/>
    <x v="6"/>
    <s v="Uganda"/>
    <x v="4"/>
    <x v="2"/>
    <d v="2015-01-01T00:00:00"/>
    <d v="2014-03-01T00:00:00"/>
    <d v="2026-02-03T00:00:00"/>
    <m/>
    <m/>
    <m/>
    <m/>
    <n v="89"/>
    <x v="38"/>
    <x v="0"/>
    <n v="89"/>
    <x v="1"/>
  </r>
  <r>
    <n v="42"/>
    <x v="41"/>
    <s v="Christine"/>
    <s v="Minoo"/>
    <s v="Mbindyo"/>
    <x v="0"/>
    <x v="5"/>
    <s v="Kenya"/>
    <x v="7"/>
    <x v="5"/>
    <d v="2018-10-01T00:00:00"/>
    <d v="2018-03-01T00:00:00"/>
    <d v="2026-02-03T00:00:00"/>
    <m/>
    <m/>
    <m/>
    <m/>
    <n v="50"/>
    <x v="39"/>
    <x v="0"/>
    <n v="50"/>
    <x v="0"/>
  </r>
  <r>
    <n v="43"/>
    <x v="42"/>
    <s v="Diana"/>
    <s v="-"/>
    <s v="Menya"/>
    <x v="0"/>
    <x v="2"/>
    <s v="Kenya"/>
    <x v="10"/>
    <x v="7"/>
    <d v="2013-03-01T00:00:00"/>
    <d v="2012-03-01T00:00:00"/>
    <d v="2026-02-03T00:00:00"/>
    <m/>
    <m/>
    <m/>
    <m/>
    <n v="57"/>
    <x v="20"/>
    <x v="0"/>
    <n v="57"/>
    <x v="1"/>
  </r>
  <r>
    <n v="44"/>
    <x v="43"/>
    <s v="Dieter"/>
    <m/>
    <s v="Hartmann"/>
    <x v="1"/>
    <x v="6"/>
    <s v="South Africa"/>
    <x v="2"/>
    <x v="2"/>
    <d v="2013-12-09T00:00:00"/>
    <d v="2014-03-01T00:00:00"/>
    <d v="2026-02-03T00:00:00"/>
    <m/>
    <m/>
    <m/>
    <m/>
    <n v="101"/>
    <x v="40"/>
    <x v="0"/>
    <n v="101"/>
    <x v="1"/>
  </r>
  <r>
    <n v="45"/>
    <x v="44"/>
    <s v="Evangeline"/>
    <s v="Wawira"/>
    <s v="Njiru"/>
    <x v="0"/>
    <x v="4"/>
    <s v="Kenya"/>
    <x v="10"/>
    <x v="7"/>
    <d v="2012-09-01T00:00:00"/>
    <d v="2013-03-01T00:00:00"/>
    <d v="2026-02-03T00:00:00"/>
    <n v="156"/>
    <m/>
    <m/>
    <m/>
    <n v="156"/>
    <x v="27"/>
    <x v="1"/>
    <s v="In progress: Above 60 months"/>
    <x v="2"/>
  </r>
  <r>
    <n v="46"/>
    <x v="45"/>
    <s v="Dieudonne"/>
    <m/>
    <s v="Uwizeye"/>
    <x v="1"/>
    <x v="8"/>
    <s v="Rwanda"/>
    <x v="5"/>
    <x v="6"/>
    <d v="2011-06-01T00:00:00"/>
    <d v="2011-04-01T00:00:00"/>
    <d v="2026-02-03T00:00:00"/>
    <m/>
    <m/>
    <m/>
    <m/>
    <n v="56"/>
    <x v="41"/>
    <x v="0"/>
    <n v="56"/>
    <x v="1"/>
  </r>
  <r>
    <n v="47"/>
    <x v="46"/>
    <s v="Emmanuel"/>
    <m/>
    <s v="Shema"/>
    <x v="1"/>
    <x v="4"/>
    <s v="Rwanda"/>
    <x v="5"/>
    <x v="7"/>
    <d v="2013-03-27T00:00:00"/>
    <d v="2013-03-01T00:00:00"/>
    <d v="2026-02-03T00:00:00"/>
    <n v="156"/>
    <m/>
    <m/>
    <m/>
    <n v="156"/>
    <x v="27"/>
    <x v="1"/>
    <s v="In progress: Above 60 months"/>
    <x v="2"/>
  </r>
  <r>
    <n v="48"/>
    <x v="47"/>
    <s v="Emmanuel"/>
    <s v="Wilson"/>
    <s v="Kaindoa"/>
    <x v="1"/>
    <x v="9"/>
    <s v="Tanzania"/>
    <x v="3"/>
    <x v="2"/>
    <d v="2015-08-15T00:00:00"/>
    <d v="2015-03-01T00:00:00"/>
    <d v="2026-02-03T00:00:00"/>
    <m/>
    <m/>
    <m/>
    <m/>
    <n v="58"/>
    <x v="31"/>
    <x v="0"/>
    <n v="58"/>
    <x v="1"/>
  </r>
  <r>
    <n v="49"/>
    <x v="48"/>
    <s v="Eniola"/>
    <m/>
    <s v="Bambgboye"/>
    <x v="1"/>
    <x v="0"/>
    <s v="Nigeria"/>
    <x v="1"/>
    <x v="1"/>
    <d v="2016-08-08T00:00:00"/>
    <d v="2016-03-01T00:00:00"/>
    <d v="2026-02-03T00:00:00"/>
    <m/>
    <d v="2020-03-17T00:00:00"/>
    <d v="2021-02-15T00:00:00"/>
    <n v="11"/>
    <n v="50"/>
    <x v="42"/>
    <x v="0"/>
    <n v="50"/>
    <x v="0"/>
  </r>
  <r>
    <n v="50"/>
    <x v="49"/>
    <s v="Eniola"/>
    <s v="Olubukola"/>
    <s v="Cadmus"/>
    <x v="0"/>
    <x v="3"/>
    <s v="Nigeria"/>
    <x v="1"/>
    <x v="1"/>
    <d v="2017-09-04T00:00:00"/>
    <d v="2017-03-01T00:00:00"/>
    <d v="2026-02-03T00:00:00"/>
    <m/>
    <d v="2020-09-04T00:00:00"/>
    <d v="2021-03-01T00:00:00"/>
    <n v="6"/>
    <n v="49"/>
    <x v="29"/>
    <x v="0"/>
    <n v="49"/>
    <x v="0"/>
  </r>
  <r>
    <n v="51"/>
    <x v="50"/>
    <s v="Ernest"/>
    <s v="Yamie"/>
    <s v="Moya"/>
    <x v="1"/>
    <x v="1"/>
    <s v="Malawi"/>
    <x v="6"/>
    <x v="3"/>
    <d v="2019-09-01T00:00:00"/>
    <d v="2019-03-01T00:00:00"/>
    <d v="2026-02-03T00:00:00"/>
    <m/>
    <m/>
    <m/>
    <m/>
    <n v="60"/>
    <x v="43"/>
    <x v="0"/>
    <n v="60"/>
    <x v="1"/>
  </r>
  <r>
    <n v="52"/>
    <x v="51"/>
    <s v="Esnat"/>
    <s v="Dorothy"/>
    <s v="Chirwa"/>
    <x v="0"/>
    <x v="8"/>
    <s v="Malawi"/>
    <x v="6"/>
    <x v="2"/>
    <d v="2011-02-03T00:00:00"/>
    <d v="2011-04-01T00:00:00"/>
    <d v="2026-02-03T00:00:00"/>
    <m/>
    <m/>
    <m/>
    <m/>
    <n v="67"/>
    <x v="44"/>
    <x v="0"/>
    <n v="67"/>
    <x v="1"/>
  </r>
  <r>
    <n v="53"/>
    <x v="52"/>
    <s v="Esther"/>
    <s v="Clyde"/>
    <s v="Nabakwe"/>
    <x v="0"/>
    <x v="8"/>
    <s v="Kenya"/>
    <x v="10"/>
    <x v="7"/>
    <d v="2011-03-03T00:00:00"/>
    <d v="2011-04-01T00:00:00"/>
    <d v="2026-02-03T00:00:00"/>
    <m/>
    <m/>
    <m/>
    <m/>
    <n v="101"/>
    <x v="45"/>
    <x v="0"/>
    <n v="101"/>
    <x v="1"/>
  </r>
  <r>
    <n v="54"/>
    <x v="53"/>
    <s v="Esther"/>
    <s v="Kikelomo"/>
    <s v="Afolabi"/>
    <x v="0"/>
    <x v="9"/>
    <s v="Nigeria"/>
    <x v="0"/>
    <x v="0"/>
    <d v="2014-04-19T00:00:00"/>
    <d v="2015-03-01T00:00:00"/>
    <d v="2026-02-03T00:00:00"/>
    <m/>
    <m/>
    <m/>
    <m/>
    <n v="39"/>
    <x v="46"/>
    <x v="0"/>
    <n v="39"/>
    <x v="0"/>
  </r>
  <r>
    <n v="55"/>
    <x v="54"/>
    <s v="Evaline"/>
    <m/>
    <s v="Mcharo"/>
    <x v="0"/>
    <x v="2"/>
    <s v="Tanzania"/>
    <x v="8"/>
    <x v="5"/>
    <d v="2012-02-07T00:00:00"/>
    <d v="2012-03-01T00:00:00"/>
    <d v="2026-02-03T00:00:00"/>
    <m/>
    <m/>
    <m/>
    <m/>
    <n v="58"/>
    <x v="18"/>
    <x v="0"/>
    <n v="58"/>
    <x v="1"/>
  </r>
  <r>
    <n v="56"/>
    <x v="55"/>
    <s v="Providence"/>
    <s v="Jechirchir"/>
    <s v="Kiptoo"/>
    <x v="0"/>
    <x v="4"/>
    <s v="Kenya"/>
    <x v="10"/>
    <x v="7"/>
    <d v="2012-09-01T00:00:00"/>
    <d v="2013-03-01T00:00:00"/>
    <d v="2026-02-03T00:00:00"/>
    <n v="156"/>
    <m/>
    <m/>
    <m/>
    <n v="156"/>
    <x v="27"/>
    <x v="1"/>
    <s v="In progress: Above 60 months"/>
    <x v="2"/>
  </r>
  <r>
    <n v="57"/>
    <x v="56"/>
    <s v="Evelyne"/>
    <m/>
    <s v="Kantarama"/>
    <x v="0"/>
    <x v="1"/>
    <s v="Rwanda"/>
    <x v="5"/>
    <x v="8"/>
    <d v="2019-12-11T00:00:00"/>
    <d v="2019-03-01T00:00:00"/>
    <d v="2026-02-03T00:00:00"/>
    <m/>
    <m/>
    <m/>
    <m/>
    <n v="56"/>
    <x v="47"/>
    <x v="0"/>
    <n v="56"/>
    <x v="1"/>
  </r>
  <r>
    <n v="58"/>
    <x v="57"/>
    <s v="Faustin"/>
    <m/>
    <s v="Ntirenganya"/>
    <x v="1"/>
    <x v="5"/>
    <s v="Rwanda"/>
    <x v="5"/>
    <x v="8"/>
    <d v="2018-09-01T00:00:00"/>
    <d v="2018-03-01T00:00:00"/>
    <d v="2026-02-03T00:00:00"/>
    <n v="96"/>
    <m/>
    <m/>
    <m/>
    <n v="96"/>
    <x v="48"/>
    <x v="0"/>
    <n v="69"/>
    <x v="1"/>
  </r>
  <r>
    <n v="59"/>
    <x v="58"/>
    <s v="Felishana"/>
    <s v="Jepkosgei"/>
    <s v="Cherop"/>
    <x v="0"/>
    <x v="3"/>
    <s v="Kenya"/>
    <x v="10"/>
    <x v="7"/>
    <d v="2017-08-31T00:00:00"/>
    <d v="2017-03-01T00:00:00"/>
    <d v="2026-02-03T00:00:00"/>
    <m/>
    <m/>
    <m/>
    <m/>
    <n v="69"/>
    <x v="49"/>
    <x v="0"/>
    <n v="69"/>
    <x v="1"/>
  </r>
  <r>
    <n v="60"/>
    <x v="59"/>
    <s v="Felix"/>
    <m/>
    <s v="Khuluza"/>
    <x v="1"/>
    <x v="9"/>
    <s v="Malawi"/>
    <x v="6"/>
    <x v="3"/>
    <d v="2015-02-02T00:00:00"/>
    <d v="2015-03-01T00:00:00"/>
    <d v="2026-02-03T00:00:00"/>
    <m/>
    <m/>
    <m/>
    <m/>
    <n v="46"/>
    <x v="50"/>
    <x v="0"/>
    <n v="46"/>
    <x v="0"/>
  </r>
  <r>
    <n v="61"/>
    <x v="60"/>
    <s v="Flavia"/>
    <s v="Kiweewa"/>
    <s v="Matovu"/>
    <x v="0"/>
    <x v="6"/>
    <s v="Uganda"/>
    <x v="4"/>
    <x v="2"/>
    <d v="2017-05-31T00:00:00"/>
    <d v="2014-03-01T00:00:00"/>
    <d v="2026-02-03T00:00:00"/>
    <m/>
    <m/>
    <m/>
    <m/>
    <n v="93"/>
    <x v="51"/>
    <x v="0"/>
    <n v="93"/>
    <x v="1"/>
  </r>
  <r>
    <n v="62"/>
    <x v="61"/>
    <s v="Folake"/>
    <s v="Barakat"/>
    <s v="Lawal"/>
    <x v="0"/>
    <x v="3"/>
    <s v="Nigeria"/>
    <x v="1"/>
    <x v="1"/>
    <d v="2017-04-03T00:00:00"/>
    <d v="2017-03-01T00:00:00"/>
    <d v="2026-02-03T00:00:00"/>
    <m/>
    <d v="2020-09-03T00:00:00"/>
    <d v="2021-04-01T00:00:00"/>
    <n v="7"/>
    <n v="48"/>
    <x v="52"/>
    <x v="0"/>
    <n v="48"/>
    <x v="0"/>
  </r>
  <r>
    <n v="63"/>
    <x v="62"/>
    <s v="Folashayo"/>
    <s v="Ikenna Peter"/>
    <s v="Adeniji"/>
    <x v="1"/>
    <x v="5"/>
    <s v="Nigeria"/>
    <x v="1"/>
    <x v="2"/>
    <d v="2018-08-06T00:00:00"/>
    <d v="2018-03-01T00:00:00"/>
    <d v="2026-02-03T00:00:00"/>
    <m/>
    <m/>
    <m/>
    <m/>
    <n v="43"/>
    <x v="53"/>
    <x v="0"/>
    <n v="43"/>
    <x v="0"/>
  </r>
  <r>
    <n v="64"/>
    <x v="63"/>
    <s v="Folusho"/>
    <s v="Mubowale"/>
    <s v="Balogun"/>
    <x v="0"/>
    <x v="9"/>
    <s v="Nigeria"/>
    <x v="1"/>
    <x v="1"/>
    <d v="2014-08-01T00:00:00"/>
    <d v="2015-03-01T00:00:00"/>
    <d v="2026-02-03T00:00:00"/>
    <m/>
    <m/>
    <m/>
    <m/>
    <n v="59"/>
    <x v="54"/>
    <x v="0"/>
    <n v="59"/>
    <x v="1"/>
  </r>
  <r>
    <n v="65"/>
    <x v="64"/>
    <s v="Foluso"/>
    <s v="Ayobami"/>
    <s v="Atiba"/>
    <x v="0"/>
    <x v="5"/>
    <s v="Nigeria"/>
    <x v="1"/>
    <x v="2"/>
    <d v="2018-06-10T00:00:00"/>
    <d v="2018-03-01T00:00:00"/>
    <d v="2026-02-03T00:00:00"/>
    <n v="96"/>
    <m/>
    <m/>
    <m/>
    <n v="96"/>
    <x v="55"/>
    <x v="0"/>
    <n v="77"/>
    <x v="1"/>
  </r>
  <r>
    <n v="66"/>
    <x v="65"/>
    <s v="François"/>
    <m/>
    <s v="Niragire"/>
    <x v="1"/>
    <x v="8"/>
    <s v="Rwanda"/>
    <x v="5"/>
    <x v="8"/>
    <d v="2011-10-07T00:00:00"/>
    <d v="2011-04-01T00:00:00"/>
    <d v="2026-02-03T00:00:00"/>
    <m/>
    <m/>
    <m/>
    <m/>
    <n v="76"/>
    <x v="56"/>
    <x v="0"/>
    <n v="76"/>
    <x v="1"/>
  </r>
  <r>
    <n v="67"/>
    <x v="66"/>
    <s v="Fred"/>
    <m/>
    <s v="Maniragaba"/>
    <x v="1"/>
    <x v="9"/>
    <s v="Uganda"/>
    <x v="4"/>
    <x v="4"/>
    <d v="2015-05-01T00:00:00"/>
    <d v="2015-03-01T00:00:00"/>
    <d v="2026-02-03T00:00:00"/>
    <m/>
    <m/>
    <m/>
    <m/>
    <n v="53"/>
    <x v="57"/>
    <x v="0"/>
    <n v="53"/>
    <x v="1"/>
  </r>
  <r>
    <n v="68"/>
    <x v="67"/>
    <s v="Frederick "/>
    <m/>
    <s v="Oporia"/>
    <x v="1"/>
    <x v="7"/>
    <s v="Uganda"/>
    <x v="4"/>
    <x v="4"/>
    <d v="2020-08-31T00:00:00"/>
    <d v="2020-03-01T00:00:00"/>
    <d v="2026-02-03T00:00:00"/>
    <m/>
    <m/>
    <m/>
    <m/>
    <n v="45"/>
    <x v="48"/>
    <x v="0"/>
    <n v="45"/>
    <x v="0"/>
  </r>
  <r>
    <n v="69"/>
    <x v="68"/>
    <s v="Fredrick"/>
    <s v="Okoth"/>
    <s v="Okaka"/>
    <x v="1"/>
    <x v="4"/>
    <s v="Kenya"/>
    <x v="10"/>
    <x v="7"/>
    <d v="2012-08-09T00:00:00"/>
    <d v="2013-03-01T00:00:00"/>
    <d v="2026-02-03T00:00:00"/>
    <m/>
    <m/>
    <m/>
    <m/>
    <n v="45"/>
    <x v="58"/>
    <x v="0"/>
    <n v="45"/>
    <x v="0"/>
  </r>
  <r>
    <n v="70"/>
    <x v="69"/>
    <s v="Fresier"/>
    <m/>
    <s v="Maseko"/>
    <x v="1"/>
    <x v="8"/>
    <s v="Malawi"/>
    <x v="6"/>
    <x v="3"/>
    <d v="2011-01-01T00:00:00"/>
    <d v="2011-04-01T00:00:00"/>
    <d v="2026-02-03T00:00:00"/>
    <m/>
    <m/>
    <m/>
    <m/>
    <n v="65"/>
    <x v="59"/>
    <x v="0"/>
    <n v="65"/>
    <x v="1"/>
  </r>
  <r>
    <n v="71"/>
    <x v="70"/>
    <s v="Funmilola"/>
    <s v="Folasade"/>
    <s v="Oyinlola"/>
    <x v="0"/>
    <x v="3"/>
    <s v="Nigeria"/>
    <x v="0"/>
    <x v="0"/>
    <d v="2016-11-09T00:00:00"/>
    <d v="2017-03-01T00:00:00"/>
    <d v="2026-02-03T00:00:00"/>
    <m/>
    <m/>
    <m/>
    <m/>
    <n v="33"/>
    <x v="60"/>
    <x v="0"/>
    <n v="33"/>
    <x v="0"/>
  </r>
  <r>
    <n v="72"/>
    <x v="71"/>
    <s v="Jackline"/>
    <s v="Chepchirchir"/>
    <s v="Sitienei"/>
    <x v="0"/>
    <x v="6"/>
    <s v="Kenya"/>
    <x v="10"/>
    <x v="2"/>
    <d v="2014-02-23T00:00:00"/>
    <d v="2014-03-01T00:00:00"/>
    <d v="2026-02-03T00:00:00"/>
    <n v="144"/>
    <m/>
    <m/>
    <m/>
    <n v="144"/>
    <x v="27"/>
    <x v="1"/>
    <s v="In progress: Above 60 months"/>
    <x v="2"/>
  </r>
  <r>
    <n v="73"/>
    <x v="72"/>
    <s v="Funmito"/>
    <s v="Omolola"/>
    <s v="Fehintola"/>
    <x v="0"/>
    <x v="1"/>
    <s v="Nigeria"/>
    <x v="0"/>
    <x v="1"/>
    <d v="2019-04-15T00:00:00"/>
    <d v="2019-03-01T00:00:00"/>
    <d v="2026-02-03T00:00:00"/>
    <m/>
    <d v="2023-05-01T00:00:00"/>
    <d v="2023-10-30T00:00:00"/>
    <n v="6"/>
    <n v="50"/>
    <x v="61"/>
    <x v="0"/>
    <n v="50"/>
    <x v="0"/>
  </r>
  <r>
    <n v="74"/>
    <x v="73"/>
    <s v="Getrude"/>
    <s v="Shepelo"/>
    <s v="Peter"/>
    <x v="0"/>
    <x v="5"/>
    <s v="Kenya"/>
    <x v="7"/>
    <x v="5"/>
    <d v="2018-03-01T00:00:00"/>
    <d v="2018-03-01T00:00:00"/>
    <d v="2026-02-03T00:00:00"/>
    <m/>
    <m/>
    <m/>
    <m/>
    <n v="33"/>
    <x v="62"/>
    <x v="0"/>
    <n v="33"/>
    <x v="0"/>
  </r>
  <r>
    <n v="75"/>
    <x v="74"/>
    <s v="Godwin"/>
    <m/>
    <s v="Anywar"/>
    <x v="1"/>
    <x v="0"/>
    <s v="Uganda"/>
    <x v="4"/>
    <x v="4"/>
    <d v="2016-09-25T00:00:00"/>
    <d v="2016-03-01T00:00:00"/>
    <d v="2026-02-03T00:00:00"/>
    <m/>
    <m/>
    <m/>
    <m/>
    <n v="70"/>
    <x v="63"/>
    <x v="0"/>
    <n v="70"/>
    <x v="1"/>
  </r>
  <r>
    <n v="76"/>
    <x v="75"/>
    <s v="Grace"/>
    <s v="Wambura"/>
    <s v="Mbuthia"/>
    <x v="0"/>
    <x v="6"/>
    <s v="Kenya"/>
    <x v="10"/>
    <x v="5"/>
    <d v="2014-10-01T00:00:00"/>
    <d v="2014-03-01T00:00:00"/>
    <d v="2026-02-03T00:00:00"/>
    <m/>
    <m/>
    <m/>
    <m/>
    <n v="51"/>
    <x v="64"/>
    <x v="0"/>
    <n v="51"/>
    <x v="0"/>
  </r>
  <r>
    <n v="77"/>
    <x v="76"/>
    <s v="Hellen"/>
    <s v="Jepngetich"/>
    <s v="Jepngetich"/>
    <x v="0"/>
    <x v="9"/>
    <s v="Kenya"/>
    <x v="10"/>
    <x v="7"/>
    <d v="2015-09-10T00:00:00"/>
    <d v="2015-03-01T00:00:00"/>
    <d v="2026-02-03T00:00:00"/>
    <m/>
    <d v="2020-03-15T00:00:00"/>
    <d v="2020-08-06T00:00:00"/>
    <n v="5"/>
    <n v="64"/>
    <x v="65"/>
    <x v="0"/>
    <n v="64"/>
    <x v="1"/>
  </r>
  <r>
    <n v="78"/>
    <x v="77"/>
    <s v="Henry"/>
    <m/>
    <s v="Zakumumpa"/>
    <x v="1"/>
    <x v="6"/>
    <s v="Uganda"/>
    <x v="4"/>
    <x v="4"/>
    <d v="2013-11-26T00:00:00"/>
    <d v="2014-03-01T00:00:00"/>
    <d v="2026-02-03T00:00:00"/>
    <m/>
    <m/>
    <m/>
    <m/>
    <n v="56"/>
    <x v="66"/>
    <x v="0"/>
    <n v="56"/>
    <x v="1"/>
  </r>
  <r>
    <n v="79"/>
    <x v="78"/>
    <s v="Herbert"/>
    <s v="Hudson"/>
    <s v="Longwe"/>
    <x v="1"/>
    <x v="2"/>
    <s v="Malawi"/>
    <x v="6"/>
    <x v="3"/>
    <d v="2012-02-22T00:00:00"/>
    <d v="2012-03-01T00:00:00"/>
    <d v="2026-02-03T00:00:00"/>
    <m/>
    <m/>
    <m/>
    <m/>
    <n v="40"/>
    <x v="67"/>
    <x v="0"/>
    <n v="40"/>
    <x v="0"/>
  </r>
  <r>
    <n v="80"/>
    <x v="79"/>
    <s v="Ikeola"/>
    <s v="Adejoke"/>
    <s v="Adeoye"/>
    <x v="0"/>
    <x v="9"/>
    <s v="Nigeria"/>
    <x v="1"/>
    <x v="1"/>
    <d v="2013-02-01T00:00:00"/>
    <d v="2015-03-01T00:00:00"/>
    <d v="2026-02-03T00:00:00"/>
    <m/>
    <d v="2017-03-01T00:00:00"/>
    <d v="2018-02-01T00:00:00"/>
    <n v="12"/>
    <n v="66"/>
    <x v="68"/>
    <x v="0"/>
    <n v="66"/>
    <x v="1"/>
  </r>
  <r>
    <n v="81"/>
    <x v="80"/>
    <s v="Irene"/>
    <s v="Richard"/>
    <s v="Moshi"/>
    <x v="0"/>
    <x v="6"/>
    <s v="Tanzania"/>
    <x v="3"/>
    <x v="2"/>
    <d v="2015-02-01T00:00:00"/>
    <d v="2014-03-01T00:00:00"/>
    <d v="2026-02-03T00:00:00"/>
    <m/>
    <m/>
    <m/>
    <m/>
    <n v="70"/>
    <x v="31"/>
    <x v="0"/>
    <n v="70"/>
    <x v="1"/>
  </r>
  <r>
    <n v="82"/>
    <x v="81"/>
    <s v="Jacob"/>
    <s v="Wale"/>
    <s v="Mobolaji"/>
    <x v="1"/>
    <x v="5"/>
    <s v="Nigeria"/>
    <x v="0"/>
    <x v="0"/>
    <d v="2017-05-15T00:00:00"/>
    <d v="2018-03-01T00:00:00"/>
    <d v="2026-02-03T00:00:00"/>
    <m/>
    <m/>
    <m/>
    <m/>
    <n v="43"/>
    <x v="23"/>
    <x v="0"/>
    <n v="43"/>
    <x v="0"/>
  </r>
  <r>
    <n v="83"/>
    <x v="82"/>
    <s v="James"/>
    <s v="Mburu"/>
    <s v="Kang'ethe"/>
    <x v="1"/>
    <x v="7"/>
    <s v="Kenya"/>
    <x v="7"/>
    <x v="5"/>
    <d v="2021-02-18T00:00:00"/>
    <d v="2020-03-01T00:00:00"/>
    <d v="2026-02-03T00:00:00"/>
    <n v="72"/>
    <m/>
    <m/>
    <m/>
    <n v="72"/>
    <x v="69"/>
    <x v="0"/>
    <n v="57"/>
    <x v="1"/>
  </r>
  <r>
    <n v="84"/>
    <x v="83"/>
    <s v="James"/>
    <m/>
    <s v="Muleme"/>
    <x v="1"/>
    <x v="7"/>
    <s v="Uganda"/>
    <x v="4"/>
    <x v="4"/>
    <d v="2022-01-19T00:00:00"/>
    <d v="2020-03-01T00:00:00"/>
    <d v="2026-02-03T00:00:00"/>
    <m/>
    <m/>
    <m/>
    <m/>
    <n v="45"/>
    <x v="70"/>
    <x v="0"/>
    <n v="45"/>
    <x v="0"/>
  </r>
  <r>
    <n v="85"/>
    <x v="84"/>
    <s v="Jean de la Croix"/>
    <s v="Allen"/>
    <s v="Ingabire"/>
    <x v="1"/>
    <x v="7"/>
    <s v="Rwanda"/>
    <x v="5"/>
    <x v="8"/>
    <d v="2020-01-10T00:00:00"/>
    <d v="2020-03-01T00:00:00"/>
    <d v="2026-02-03T00:00:00"/>
    <n v="72"/>
    <m/>
    <m/>
    <m/>
    <n v="72"/>
    <x v="71"/>
    <x v="0"/>
    <n v="56"/>
    <x v="1"/>
  </r>
  <r>
    <n v="86"/>
    <x v="85"/>
    <s v="Jeanette"/>
    <m/>
    <s v="Dawa"/>
    <x v="0"/>
    <x v="9"/>
    <s v="Kenya"/>
    <x v="7"/>
    <x v="5"/>
    <d v="2015-10-13T00:00:00"/>
    <d v="2015-03-01T00:00:00"/>
    <d v="2026-02-03T00:00:00"/>
    <m/>
    <m/>
    <m/>
    <m/>
    <n v="69"/>
    <x v="62"/>
    <x v="0"/>
    <n v="69"/>
    <x v="1"/>
  </r>
  <r>
    <n v="87"/>
    <x v="86"/>
    <s v="Jepchirchir"/>
    <m/>
    <s v="Kiplagat"/>
    <x v="0"/>
    <x v="9"/>
    <s v="Kenya"/>
    <x v="10"/>
    <x v="2"/>
    <d v="2015-08-06T00:00:00"/>
    <d v="2015-03-01T00:00:00"/>
    <d v="2026-02-03T00:00:00"/>
    <m/>
    <m/>
    <m/>
    <m/>
    <n v="56"/>
    <x v="72"/>
    <x v="0"/>
    <n v="56"/>
    <x v="1"/>
  </r>
  <r>
    <n v="88"/>
    <x v="87"/>
    <s v="Joan"/>
    <s v="Nankya"/>
    <s v="Mutyoba"/>
    <x v="0"/>
    <x v="0"/>
    <s v="Uganda"/>
    <x v="4"/>
    <x v="4"/>
    <d v="2016-04-04T00:00:00"/>
    <d v="2016-03-01T00:00:00"/>
    <d v="2026-02-03T00:00:00"/>
    <m/>
    <m/>
    <m/>
    <m/>
    <n v="72"/>
    <x v="73"/>
    <x v="0"/>
    <n v="72"/>
    <x v="1"/>
  </r>
  <r>
    <n v="89"/>
    <x v="88"/>
    <s v="Joel"/>
    <s v="Olayiwola"/>
    <s v="Faronbi"/>
    <x v="1"/>
    <x v="4"/>
    <s v="Nigeria"/>
    <x v="0"/>
    <x v="0"/>
    <d v="2012-09-26T00:00:00"/>
    <d v="2013-03-01T00:00:00"/>
    <d v="2026-02-03T00:00:00"/>
    <m/>
    <m/>
    <m/>
    <m/>
    <n v="34"/>
    <x v="74"/>
    <x v="0"/>
    <n v="34"/>
    <x v="0"/>
  </r>
  <r>
    <n v="90"/>
    <x v="89"/>
    <s v="John"/>
    <s v="Olugbenga"/>
    <s v="Abe"/>
    <x v="1"/>
    <x v="0"/>
    <s v="Nigeria"/>
    <x v="0"/>
    <x v="0"/>
    <d v="2016-11-09T00:00:00"/>
    <d v="2016-03-01T00:00:00"/>
    <d v="2026-02-03T00:00:00"/>
    <m/>
    <m/>
    <m/>
    <m/>
    <n v="40"/>
    <x v="75"/>
    <x v="0"/>
    <n v="40"/>
    <x v="0"/>
  </r>
  <r>
    <n v="91"/>
    <x v="90"/>
    <s v="Esther"/>
    <s v="Wamuyu"/>
    <s v="Karumi"/>
    <x v="0"/>
    <x v="9"/>
    <s v="Kenya"/>
    <x v="7"/>
    <x v="5"/>
    <d v="2015-09-08T00:00:00"/>
    <d v="2015-03-01T00:00:00"/>
    <d v="2026-02-03T00:00:00"/>
    <n v="132"/>
    <m/>
    <m/>
    <m/>
    <n v="132"/>
    <x v="27"/>
    <x v="1"/>
    <s v="In progress: Above 60 months"/>
    <x v="2"/>
  </r>
  <r>
    <n v="92"/>
    <x v="91"/>
    <s v="Joseph"/>
    <s v="Maurice"/>
    <s v="Mutisya"/>
    <x v="1"/>
    <x v="2"/>
    <s v="Kenya"/>
    <x v="9"/>
    <x v="2"/>
    <d v="2012-03-19T00:00:00"/>
    <d v="2012-03-01T00:00:00"/>
    <d v="2026-02-03T00:00:00"/>
    <m/>
    <m/>
    <m/>
    <m/>
    <n v="82"/>
    <x v="76"/>
    <x v="0"/>
    <n v="82"/>
    <x v="1"/>
  </r>
  <r>
    <n v="93"/>
    <x v="92"/>
    <s v="Joshua"/>
    <s v="Odunayo"/>
    <s v="Akinyemi"/>
    <x v="1"/>
    <x v="8"/>
    <s v="Nigeria"/>
    <x v="1"/>
    <x v="1"/>
    <d v="2011-03-07T00:00:00"/>
    <d v="2011-04-01T00:00:00"/>
    <d v="2026-02-03T00:00:00"/>
    <m/>
    <m/>
    <m/>
    <m/>
    <n v="35"/>
    <x v="77"/>
    <x v="0"/>
    <n v="35"/>
    <x v="0"/>
  </r>
  <r>
    <n v="94"/>
    <x v="93"/>
    <s v="Judith"/>
    <s v="Nekesa"/>
    <s v="Mangeni"/>
    <x v="0"/>
    <x v="4"/>
    <s v="Kenya"/>
    <x v="10"/>
    <x v="5"/>
    <d v="2013-06-07T00:00:00"/>
    <d v="2013-03-01T00:00:00"/>
    <d v="2026-02-03T00:00:00"/>
    <m/>
    <m/>
    <m/>
    <m/>
    <n v="50"/>
    <x v="78"/>
    <x v="0"/>
    <n v="50"/>
    <x v="0"/>
  </r>
  <r>
    <n v="95"/>
    <x v="94"/>
    <s v="Hillary"/>
    <s v="Kipruto"/>
    <s v="Sang"/>
    <x v="1"/>
    <x v="9"/>
    <s v="Kenya"/>
    <x v="10"/>
    <x v="7"/>
    <d v="2014-09-01T00:00:00"/>
    <d v="2015-03-01T00:00:00"/>
    <d v="2026-02-03T00:00:00"/>
    <n v="132"/>
    <m/>
    <m/>
    <m/>
    <n v="132"/>
    <x v="27"/>
    <x v="1"/>
    <s v="In progress: Above 60 months"/>
    <x v="2"/>
  </r>
  <r>
    <n v="96"/>
    <x v="95"/>
    <s v="Judith"/>
    <s v="Reegan Mulubwa"/>
    <s v="Mwansa-Kambafwile"/>
    <x v="0"/>
    <x v="3"/>
    <s v="South Africa"/>
    <x v="2"/>
    <x v="2"/>
    <d v="2016-03-14T00:00:00"/>
    <d v="2017-03-01T00:00:00"/>
    <d v="2026-02-03T00:00:00"/>
    <m/>
    <m/>
    <m/>
    <m/>
    <n v="73"/>
    <x v="79"/>
    <x v="0"/>
    <n v="73"/>
    <x v="1"/>
  </r>
  <r>
    <n v="97"/>
    <x v="96"/>
    <s v="Julienne"/>
    <m/>
    <s v="Murererehe"/>
    <x v="0"/>
    <x v="5"/>
    <s v="Rwanda"/>
    <x v="5"/>
    <x v="2"/>
    <d v="2018-10-30T00:00:00"/>
    <d v="2018-03-01T00:00:00"/>
    <d v="2026-02-03T00:00:00"/>
    <m/>
    <d v="2020-05-01T00:00:00"/>
    <d v="2020-07-31T00:00:00"/>
    <n v="3"/>
    <n v="72"/>
    <x v="80"/>
    <x v="0"/>
    <n v="72"/>
    <x v="1"/>
  </r>
  <r>
    <n v="98"/>
    <x v="97"/>
    <s v="Justin"/>
    <m/>
    <s v="Kumala"/>
    <x v="1"/>
    <x v="0"/>
    <s v="Malawi"/>
    <x v="6"/>
    <x v="2"/>
    <d v="2016-09-09T00:00:00"/>
    <d v="2016-03-01T00:00:00"/>
    <d v="2026-02-03T00:00:00"/>
    <n v="120"/>
    <m/>
    <m/>
    <m/>
    <n v="120"/>
    <x v="69"/>
    <x v="0"/>
    <n v="105"/>
    <x v="1"/>
  </r>
  <r>
    <n v="99"/>
    <x v="98"/>
    <s v="Justine"/>
    <s v="Nnakate"/>
    <s v="Bukenya"/>
    <x v="0"/>
    <x v="9"/>
    <s v="Uganda"/>
    <x v="4"/>
    <x v="4"/>
    <d v="2017-01-30T00:00:00"/>
    <d v="2015-03-01T00:00:00"/>
    <d v="2026-02-03T00:00:00"/>
    <m/>
    <m/>
    <m/>
    <m/>
    <n v="75"/>
    <x v="81"/>
    <x v="0"/>
    <n v="75"/>
    <x v="1"/>
  </r>
  <r>
    <n v="100"/>
    <x v="99"/>
    <s v="Kaitesi"/>
    <s v="Batamuliza"/>
    <s v="Mukara"/>
    <x v="0"/>
    <x v="6"/>
    <s v="Rwanda"/>
    <x v="5"/>
    <x v="4"/>
    <d v="2015-12-15T00:00:00"/>
    <d v="2014-03-01T00:00:00"/>
    <d v="2026-02-03T00:00:00"/>
    <m/>
    <m/>
    <m/>
    <m/>
    <n v="87"/>
    <x v="81"/>
    <x v="0"/>
    <n v="87"/>
    <x v="1"/>
  </r>
  <r>
    <n v="101"/>
    <x v="100"/>
    <s v="Kato"/>
    <s v="Charles"/>
    <s v="Drago "/>
    <x v="1"/>
    <x v="4"/>
    <s v="Uganda"/>
    <x v="4"/>
    <x v="4"/>
    <d v="2012-09-11T00:00:00"/>
    <d v="2013-03-01T00:00:00"/>
    <d v="2026-02-03T00:00:00"/>
    <m/>
    <m/>
    <m/>
    <m/>
    <n v="37"/>
    <x v="14"/>
    <x v="0"/>
    <n v="37"/>
    <x v="0"/>
  </r>
  <r>
    <n v="102"/>
    <x v="101"/>
    <s v="Kellen"/>
    <s v="Joyce"/>
    <s v="Karimi"/>
    <x v="0"/>
    <x v="3"/>
    <s v="Kenya"/>
    <x v="7"/>
    <x v="2"/>
    <d v="2017-06-30T00:00:00"/>
    <d v="2017-03-01T00:00:00"/>
    <d v="2026-02-03T00:00:00"/>
    <m/>
    <m/>
    <m/>
    <m/>
    <n v="79"/>
    <x v="82"/>
    <x v="0"/>
    <n v="79"/>
    <x v="1"/>
  </r>
  <r>
    <n v="103"/>
    <x v="102"/>
    <s v="Kennedy"/>
    <s v="S.Naviava"/>
    <s v="Otwombe"/>
    <x v="1"/>
    <x v="8"/>
    <s v="South Africa"/>
    <x v="2"/>
    <x v="2"/>
    <d v="2011-04-05T00:00:00"/>
    <d v="2011-04-01T00:00:00"/>
    <d v="2026-02-03T00:00:00"/>
    <m/>
    <m/>
    <m/>
    <m/>
    <n v="88"/>
    <x v="83"/>
    <x v="0"/>
    <n v="88"/>
    <x v="1"/>
  </r>
  <r>
    <n v="104"/>
    <x v="103"/>
    <s v="Kganetso"/>
    <s v="-"/>
    <s v="Sekome"/>
    <x v="1"/>
    <x v="7"/>
    <s v="South Africa"/>
    <x v="2"/>
    <x v="2"/>
    <d v="2019-07-14T00:00:00"/>
    <d v="2020-03-01T00:00:00"/>
    <d v="2026-02-03T00:00:00"/>
    <n v="72"/>
    <m/>
    <m/>
    <m/>
    <n v="72"/>
    <x v="84"/>
    <x v="0"/>
    <n v="56"/>
    <x v="1"/>
  </r>
  <r>
    <n v="105"/>
    <x v="104"/>
    <s v="Khumbo"/>
    <s v="Michael"/>
    <s v="Kalulu"/>
    <x v="1"/>
    <x v="0"/>
    <s v="Malawi"/>
    <x v="6"/>
    <x v="3"/>
    <d v="2014-07-08T00:00:00"/>
    <d v="2016-03-01T00:00:00"/>
    <d v="2026-02-03T00:00:00"/>
    <m/>
    <m/>
    <m/>
    <m/>
    <n v="50"/>
    <x v="85"/>
    <x v="0"/>
    <n v="50"/>
    <x v="0"/>
  </r>
  <r>
    <n v="106"/>
    <x v="105"/>
    <s v="Kikelomo"/>
    <s v="Abayowa"/>
    <s v="Mbada"/>
    <x v="0"/>
    <x v="9"/>
    <s v="Nigeria"/>
    <x v="0"/>
    <x v="0"/>
    <d v="2014-04-15T00:00:00"/>
    <d v="2015-03-01T00:00:00"/>
    <d v="2026-02-03T00:00:00"/>
    <m/>
    <m/>
    <m/>
    <m/>
    <n v="42"/>
    <x v="86"/>
    <x v="0"/>
    <n v="42"/>
    <x v="0"/>
  </r>
  <r>
    <n v="107"/>
    <x v="106"/>
    <s v="Kirsty"/>
    <m/>
    <s v="Van Stormbroek"/>
    <x v="0"/>
    <x v="1"/>
    <s v="South Africa"/>
    <x v="2"/>
    <x v="2"/>
    <d v="2019-03-04T00:00:00"/>
    <d v="2019-03-01T00:00:00"/>
    <d v="2026-02-03T00:00:00"/>
    <n v="84"/>
    <m/>
    <m/>
    <m/>
    <n v="84"/>
    <x v="87"/>
    <x v="0"/>
    <n v="63"/>
    <x v="1"/>
  </r>
  <r>
    <n v="108"/>
    <x v="107"/>
    <s v="Kudus"/>
    <s v="Oluwatoyin"/>
    <s v="Adebayo"/>
    <x v="1"/>
    <x v="0"/>
    <s v="Nigeria"/>
    <x v="1"/>
    <x v="1"/>
    <d v="2013-03-25T00:00:00"/>
    <d v="2016-03-01T00:00:00"/>
    <d v="2026-02-03T00:00:00"/>
    <m/>
    <m/>
    <m/>
    <m/>
    <n v="38"/>
    <x v="88"/>
    <x v="0"/>
    <n v="38"/>
    <x v="0"/>
  </r>
  <r>
    <n v="109"/>
    <x v="108"/>
    <s v="Lebogang"/>
    <s v="Johanna"/>
    <s v="Maseko"/>
    <x v="0"/>
    <x v="5"/>
    <s v="South Africa"/>
    <x v="2"/>
    <x v="2"/>
    <d v="2018-08-01T00:00:00"/>
    <d v="2018-03-01T00:00:00"/>
    <d v="2026-02-03T00:00:00"/>
    <n v="96"/>
    <m/>
    <m/>
    <m/>
    <n v="96"/>
    <x v="69"/>
    <x v="0"/>
    <n v="81"/>
    <x v="1"/>
  </r>
  <r>
    <n v="110"/>
    <x v="109"/>
    <s v="Lester"/>
    <m/>
    <s v="Kapanda"/>
    <x v="1"/>
    <x v="9"/>
    <s v="Malawi"/>
    <x v="6"/>
    <x v="3"/>
    <d v="2015-03-16T00:00:00"/>
    <d v="2015-03-01T00:00:00"/>
    <d v="2026-02-03T00:00:00"/>
    <m/>
    <m/>
    <m/>
    <m/>
    <n v="61"/>
    <x v="89"/>
    <x v="0"/>
    <n v="61"/>
    <x v="1"/>
  </r>
  <r>
    <n v="111"/>
    <x v="110"/>
    <s v="Macellina"/>
    <s v="Yinyinade"/>
    <s v="Ijadunola"/>
    <x v="0"/>
    <x v="0"/>
    <s v="Nigeria"/>
    <x v="0"/>
    <x v="0"/>
    <d v="2014-08-11T00:00:00"/>
    <d v="2016-03-01T00:00:00"/>
    <d v="2026-02-03T00:00:00"/>
    <m/>
    <m/>
    <m/>
    <m/>
    <n v="46"/>
    <x v="4"/>
    <x v="0"/>
    <n v="46"/>
    <x v="0"/>
  </r>
  <r>
    <n v="112"/>
    <x v="111"/>
    <s v="Madalitso"/>
    <s v="Enock"/>
    <s v="Chisati"/>
    <x v="1"/>
    <x v="3"/>
    <s v="Malawi"/>
    <x v="6"/>
    <x v="3"/>
    <d v="2016-11-30T00:00:00"/>
    <d v="2017-03-01T00:00:00"/>
    <d v="2026-02-03T00:00:00"/>
    <m/>
    <m/>
    <m/>
    <m/>
    <n v="46"/>
    <x v="90"/>
    <x v="0"/>
    <n v="46"/>
    <x v="0"/>
  </r>
  <r>
    <n v="113"/>
    <x v="112"/>
    <s v="Magutah"/>
    <s v="Joel"/>
    <s v="Karani"/>
    <x v="1"/>
    <x v="6"/>
    <s v="Kenya"/>
    <x v="10"/>
    <x v="5"/>
    <d v="2014-01-03T00:00:00"/>
    <d v="2014-03-01T00:00:00"/>
    <d v="2026-02-03T00:00:00"/>
    <m/>
    <m/>
    <m/>
    <m/>
    <n v="57"/>
    <x v="91"/>
    <x v="0"/>
    <n v="57"/>
    <x v="1"/>
  </r>
  <r>
    <n v="114"/>
    <x v="113"/>
    <s v="Makhosazane"/>
    <s v="Nomhle"/>
    <s v="Khoza"/>
    <x v="0"/>
    <x v="0"/>
    <s v="South Africa"/>
    <x v="2"/>
    <x v="2"/>
    <d v="2015-02-01T00:00:00"/>
    <d v="2016-03-01T00:00:00"/>
    <d v="2026-02-03T00:00:00"/>
    <m/>
    <m/>
    <m/>
    <m/>
    <n v="76"/>
    <x v="92"/>
    <x v="0"/>
    <n v="76"/>
    <x v="1"/>
  </r>
  <r>
    <n v="115"/>
    <x v="114"/>
    <s v="Marceline"/>
    <s v="Francis"/>
    <s v="Finda"/>
    <x v="0"/>
    <x v="3"/>
    <s v="Tanzania"/>
    <x v="3"/>
    <x v="2"/>
    <d v="2017-03-31T00:00:00"/>
    <d v="2017-03-01T00:00:00"/>
    <d v="2026-02-03T00:00:00"/>
    <m/>
    <m/>
    <m/>
    <m/>
    <n v="55"/>
    <x v="93"/>
    <x v="0"/>
    <n v="55"/>
    <x v="1"/>
  </r>
  <r>
    <n v="116"/>
    <x v="115"/>
    <s v="Margaret"/>
    <s v="Omowaleola"/>
    <s v="Akinwaare"/>
    <x v="0"/>
    <x v="5"/>
    <s v="Nigeria"/>
    <x v="1"/>
    <x v="1"/>
    <d v="2015-01-26T00:00:00"/>
    <d v="2018-03-01T00:00:00"/>
    <d v="2026-02-03T00:00:00"/>
    <m/>
    <m/>
    <m/>
    <m/>
    <n v="46"/>
    <x v="94"/>
    <x v="0"/>
    <n v="46"/>
    <x v="0"/>
  </r>
  <r>
    <n v="117"/>
    <x v="116"/>
    <s v="Maria"/>
    <s v="Chifuniro"/>
    <s v="Chikalipo"/>
    <x v="0"/>
    <x v="9"/>
    <s v="Malawi"/>
    <x v="6"/>
    <x v="3"/>
    <d v="2015-12-14T00:00:00"/>
    <d v="2015-03-01T00:00:00"/>
    <d v="2026-02-03T00:00:00"/>
    <m/>
    <m/>
    <m/>
    <m/>
    <n v="57"/>
    <x v="10"/>
    <x v="0"/>
    <n v="57"/>
    <x v="1"/>
  </r>
  <r>
    <n v="118"/>
    <x v="117"/>
    <s v="Marie Chantal"/>
    <m/>
    <s v="Uwimana"/>
    <x v="0"/>
    <x v="0"/>
    <s v="Rwanda"/>
    <x v="5"/>
    <x v="2"/>
    <d v="2017-02-16T00:00:00"/>
    <d v="2016-03-01T00:00:00"/>
    <d v="2026-02-03T00:00:00"/>
    <m/>
    <d v="2020-04-09T00:00:00"/>
    <d v="2020-07-23T00:00:00"/>
    <n v="4"/>
    <n v="50"/>
    <x v="95"/>
    <x v="0"/>
    <n v="50"/>
    <x v="0"/>
  </r>
  <r>
    <n v="119"/>
    <x v="118"/>
    <s v="Marie Claire"/>
    <s v="-"/>
    <s v="Uwamahoro"/>
    <x v="0"/>
    <x v="3"/>
    <s v="Rwanda"/>
    <x v="5"/>
    <x v="2"/>
    <d v="2017-07-01T00:00:00"/>
    <d v="2017-03-01T00:00:00"/>
    <d v="2026-02-03T00:00:00"/>
    <m/>
    <m/>
    <m/>
    <m/>
    <n v="51"/>
    <x v="96"/>
    <x v="0"/>
    <n v="51"/>
    <x v="0"/>
  </r>
  <r>
    <n v="120"/>
    <x v="119"/>
    <s v="Marifa"/>
    <m/>
    <s v="Muchemwa"/>
    <x v="0"/>
    <x v="7"/>
    <s v="Zimbabwe"/>
    <x v="2"/>
    <x v="2"/>
    <d v="2020-02-04T00:00:00"/>
    <d v="2020-03-01T00:00:00"/>
    <d v="2026-02-03T00:00:00"/>
    <m/>
    <m/>
    <m/>
    <m/>
    <n v="44"/>
    <x v="97"/>
    <x v="0"/>
    <n v="44"/>
    <x v="0"/>
  </r>
  <r>
    <n v="121"/>
    <x v="120"/>
    <s v="Marjorie"/>
    <s v="Kyomuhendo"/>
    <s v="Niyitegeka"/>
    <x v="0"/>
    <x v="4"/>
    <s v="Uganda"/>
    <x v="4"/>
    <x v="4"/>
    <d v="2013-02-20T00:00:00"/>
    <d v="2013-03-01T00:00:00"/>
    <d v="2026-02-03T00:00:00"/>
    <m/>
    <m/>
    <m/>
    <m/>
    <n v="107"/>
    <x v="98"/>
    <x v="0"/>
    <n v="107"/>
    <x v="1"/>
  </r>
  <r>
    <n v="122"/>
    <x v="121"/>
    <s v="Martha"/>
    <s v="Kabudula"/>
    <s v="Makwero"/>
    <x v="0"/>
    <x v="3"/>
    <s v="Malawi"/>
    <x v="6"/>
    <x v="2"/>
    <d v="2017-03-22T00:00:00"/>
    <d v="2017-03-01T00:00:00"/>
    <d v="2026-02-03T00:00:00"/>
    <n v="108"/>
    <m/>
    <m/>
    <m/>
    <n v="108"/>
    <x v="99"/>
    <x v="0"/>
    <n v="92"/>
    <x v="1"/>
  </r>
  <r>
    <n v="123"/>
    <x v="122"/>
    <s v="Mary"/>
    <s v="Oluwafunke"/>
    <s v="Obiyan"/>
    <x v="0"/>
    <x v="2"/>
    <s v="Nigeria"/>
    <x v="0"/>
    <x v="0"/>
    <d v="2012-02-22T00:00:00"/>
    <d v="2012-03-01T00:00:00"/>
    <d v="2026-02-03T00:00:00"/>
    <m/>
    <m/>
    <m/>
    <m/>
    <n v="25"/>
    <x v="8"/>
    <x v="0"/>
    <n v="25"/>
    <x v="0"/>
  </r>
  <r>
    <n v="124"/>
    <x v="123"/>
    <s v="Mary"/>
    <s v="Wanjira"/>
    <s v="Njue-Kamau"/>
    <x v="0"/>
    <x v="0"/>
    <s v="Kenya"/>
    <x v="7"/>
    <x v="5"/>
    <d v="2015-09-25T00:00:00"/>
    <d v="2016-03-01T00:00:00"/>
    <d v="2026-02-03T00:00:00"/>
    <m/>
    <m/>
    <m/>
    <m/>
    <n v="46"/>
    <x v="16"/>
    <x v="0"/>
    <n v="46"/>
    <x v="0"/>
  </r>
  <r>
    <n v="125"/>
    <x v="124"/>
    <s v="Mbithi"/>
    <s v="Michael"/>
    <s v="Mutua"/>
    <x v="1"/>
    <x v="6"/>
    <s v="Kenya"/>
    <x v="9"/>
    <x v="2"/>
    <d v="2014-04-27T00:00:00"/>
    <d v="2014-03-01T00:00:00"/>
    <d v="2026-02-03T00:00:00"/>
    <m/>
    <m/>
    <m/>
    <m/>
    <n v="65"/>
    <x v="100"/>
    <x v="0"/>
    <n v="65"/>
    <x v="1"/>
  </r>
  <r>
    <n v="126"/>
    <x v="125"/>
    <s v="Chimwemwe"/>
    <s v="Chikoko"/>
    <s v="Kwanjo-Banda"/>
    <x v="0"/>
    <x v="0"/>
    <s v="Malawi"/>
    <x v="6"/>
    <x v="3"/>
    <d v="2017-04-01T00:00:00"/>
    <d v="2016-03-01T00:00:00"/>
    <d v="2026-02-03T00:00:00"/>
    <n v="120"/>
    <m/>
    <m/>
    <m/>
    <n v="120"/>
    <x v="101"/>
    <x v="0"/>
    <n v="114"/>
    <x v="1"/>
  </r>
  <r>
    <n v="127"/>
    <x v="126"/>
    <s v="Modupe"/>
    <s v="Oladunni"/>
    <s v="Taiwo"/>
    <x v="0"/>
    <x v="6"/>
    <s v="Nigeria"/>
    <x v="0"/>
    <x v="0"/>
    <d v="2012-09-04T00:00:00"/>
    <d v="2014-03-01T00:00:00"/>
    <d v="2026-02-03T00:00:00"/>
    <m/>
    <m/>
    <m/>
    <m/>
    <n v="25"/>
    <x v="14"/>
    <x v="0"/>
    <n v="25"/>
    <x v="0"/>
  </r>
  <r>
    <n v="128"/>
    <x v="127"/>
    <s v="Mohamed"/>
    <s v="Kassim"/>
    <s v="Ally"/>
    <x v="1"/>
    <x v="6"/>
    <s v="Tanzania"/>
    <x v="8"/>
    <x v="6"/>
    <d v="2014-04-01T00:00:00"/>
    <d v="2014-03-01T00:00:00"/>
    <d v="2026-02-03T00:00:00"/>
    <m/>
    <m/>
    <m/>
    <m/>
    <n v="50"/>
    <x v="102"/>
    <x v="0"/>
    <n v="50"/>
    <x v="0"/>
  </r>
  <r>
    <n v="129"/>
    <x v="128"/>
    <s v="Mphatso"/>
    <s v="Steve Wilbes"/>
    <s v="Kamndaya"/>
    <x v="1"/>
    <x v="8"/>
    <s v="Malawi"/>
    <x v="6"/>
    <x v="2"/>
    <d v="2011-03-10T00:00:00"/>
    <d v="2011-04-01T00:00:00"/>
    <d v="2026-02-03T00:00:00"/>
    <m/>
    <m/>
    <m/>
    <m/>
    <n v="60"/>
    <x v="14"/>
    <x v="0"/>
    <n v="60"/>
    <x v="1"/>
  </r>
  <r>
    <n v="130"/>
    <x v="129"/>
    <s v="Abigail"/>
    <s v="Ruth"/>
    <s v="Dreyer"/>
    <x v="0"/>
    <x v="3"/>
    <s v="South Africa"/>
    <x v="2"/>
    <x v="2"/>
    <d v="2016-09-01T00:00:00"/>
    <d v="2017-03-01T00:00:00"/>
    <d v="2026-02-03T00:00:00"/>
    <n v="108"/>
    <m/>
    <m/>
    <m/>
    <n v="108"/>
    <x v="103"/>
    <x v="0"/>
    <n v="101"/>
    <x v="1"/>
  </r>
  <r>
    <n v="131"/>
    <x v="130"/>
    <s v="Mpho"/>
    <s v="Primrose"/>
    <s v="Molete"/>
    <x v="0"/>
    <x v="0"/>
    <s v="South Africa"/>
    <x v="2"/>
    <x v="2"/>
    <d v="2016-01-04T00:00:00"/>
    <d v="2016-03-01T00:00:00"/>
    <d v="2026-02-03T00:00:00"/>
    <m/>
    <m/>
    <m/>
    <m/>
    <n v="63"/>
    <x v="104"/>
    <x v="0"/>
    <n v="63"/>
    <x v="1"/>
  </r>
  <r>
    <n v="132"/>
    <x v="131"/>
    <s v="Mumuni"/>
    <m/>
    <s v="Adejumo"/>
    <x v="1"/>
    <x v="0"/>
    <s v="Nigeria"/>
    <x v="1"/>
    <x v="1"/>
    <d v="2013-05-09T00:00:00"/>
    <d v="2016-03-01T00:00:00"/>
    <d v="2026-02-03T00:00:00"/>
    <m/>
    <m/>
    <m/>
    <m/>
    <n v="67"/>
    <x v="105"/>
    <x v="0"/>
    <n v="67"/>
    <x v="1"/>
  </r>
  <r>
    <n v="133"/>
    <x v="132"/>
    <s v="Nakubuluwa"/>
    <m/>
    <s v="Sarah"/>
    <x v="0"/>
    <x v="2"/>
    <s v="Uganda"/>
    <x v="4"/>
    <x v="4"/>
    <d v="2012-01-23T00:00:00"/>
    <d v="2012-03-01T00:00:00"/>
    <d v="2026-02-03T00:00:00"/>
    <m/>
    <m/>
    <m/>
    <m/>
    <n v="59"/>
    <x v="22"/>
    <x v="0"/>
    <n v="59"/>
    <x v="1"/>
  </r>
  <r>
    <n v="134"/>
    <x v="133"/>
    <s v="Nalugo"/>
    <s v="Scovia"/>
    <s v="Mbalinda"/>
    <x v="0"/>
    <x v="2"/>
    <s v="Uganda"/>
    <x v="4"/>
    <x v="4"/>
    <d v="2011-11-20T00:00:00"/>
    <d v="2012-03-01T00:00:00"/>
    <d v="2026-02-03T00:00:00"/>
    <m/>
    <m/>
    <m/>
    <m/>
    <n v="71"/>
    <x v="106"/>
    <x v="0"/>
    <n v="71"/>
    <x v="1"/>
  </r>
  <r>
    <n v="135"/>
    <x v="134"/>
    <s v="Nicole"/>
    <m/>
    <s v="De Wet"/>
    <x v="0"/>
    <x v="8"/>
    <s v="South Africa"/>
    <x v="2"/>
    <x v="2"/>
    <d v="2011-03-03T00:00:00"/>
    <d v="2011-04-01T00:00:00"/>
    <d v="2026-02-03T00:00:00"/>
    <m/>
    <m/>
    <m/>
    <m/>
    <n v="32"/>
    <x v="107"/>
    <x v="0"/>
    <n v="32"/>
    <x v="0"/>
  </r>
  <r>
    <n v="136"/>
    <x v="135"/>
    <s v="Nilian"/>
    <s v="Ayuma"/>
    <s v="Mukungu"/>
    <x v="0"/>
    <x v="6"/>
    <s v="Kenya"/>
    <x v="7"/>
    <x v="5"/>
    <d v="2015-03-02T00:00:00"/>
    <d v="2014-03-01T00:00:00"/>
    <d v="2026-02-03T00:00:00"/>
    <m/>
    <m/>
    <m/>
    <m/>
    <n v="103"/>
    <x v="108"/>
    <x v="0"/>
    <n v="103"/>
    <x v="1"/>
  </r>
  <r>
    <n v="137"/>
    <x v="136"/>
    <s v="Nishimwe"/>
    <s v="Aurore"/>
    <s v="Aurore"/>
    <x v="0"/>
    <x v="3"/>
    <s v="Rwanda"/>
    <x v="5"/>
    <x v="2"/>
    <d v="2017-04-01T00:00:00"/>
    <d v="2017-03-01T00:00:00"/>
    <d v="2026-02-03T00:00:00"/>
    <m/>
    <m/>
    <m/>
    <m/>
    <n v="68"/>
    <x v="109"/>
    <x v="0"/>
    <n v="68"/>
    <x v="1"/>
  </r>
  <r>
    <n v="138"/>
    <x v="137"/>
    <s v="Njuguna"/>
    <s v="John"/>
    <s v="Njenga"/>
    <x v="1"/>
    <x v="2"/>
    <s v="Kenya"/>
    <x v="7"/>
    <x v="5"/>
    <d v="2012-02-20T00:00:00"/>
    <d v="2012-03-01T00:00:00"/>
    <d v="2026-02-03T00:00:00"/>
    <m/>
    <m/>
    <m/>
    <m/>
    <n v="58"/>
    <x v="18"/>
    <x v="0"/>
    <n v="58"/>
    <x v="1"/>
  </r>
  <r>
    <n v="139"/>
    <x v="138"/>
    <s v="Nkosiyazi"/>
    <s v="-"/>
    <s v="Dube"/>
    <x v="1"/>
    <x v="6"/>
    <s v="South Africa"/>
    <x v="2"/>
    <x v="2"/>
    <d v="2014-01-01T00:00:00"/>
    <d v="2014-03-01T00:00:00"/>
    <d v="2026-02-03T00:00:00"/>
    <m/>
    <m/>
    <m/>
    <m/>
    <n v="53"/>
    <x v="83"/>
    <x v="0"/>
    <n v="53"/>
    <x v="1"/>
  </r>
  <r>
    <n v="140"/>
    <x v="139"/>
    <s v="Nomfundo"/>
    <s v="Nzuza"/>
    <s v="Moroe"/>
    <x v="0"/>
    <x v="0"/>
    <s v="South Africa"/>
    <x v="2"/>
    <x v="2"/>
    <d v="2015-02-01T00:00:00"/>
    <d v="2016-03-01T00:00:00"/>
    <d v="2026-02-03T00:00:00"/>
    <m/>
    <m/>
    <m/>
    <m/>
    <n v="32"/>
    <x v="110"/>
    <x v="0"/>
    <n v="32"/>
    <x v="0"/>
  </r>
  <r>
    <n v="141"/>
    <x v="140"/>
    <s v="Obasola"/>
    <s v="Ireti"/>
    <s v="Oluwaseun"/>
    <x v="0"/>
    <x v="4"/>
    <s v="Nigeria"/>
    <x v="1"/>
    <x v="1"/>
    <d v="2012-09-26T00:00:00"/>
    <d v="2013-03-01T00:00:00"/>
    <d v="2026-02-03T00:00:00"/>
    <m/>
    <m/>
    <m/>
    <m/>
    <n v="49"/>
    <x v="26"/>
    <x v="0"/>
    <n v="49"/>
    <x v="0"/>
  </r>
  <r>
    <n v="142"/>
    <x v="141"/>
    <s v="Ojo"/>
    <s v="Melvin"/>
    <s v="Agunbiade"/>
    <x v="1"/>
    <x v="4"/>
    <s v="Nigeria"/>
    <x v="0"/>
    <x v="2"/>
    <d v="2013-02-25T00:00:00"/>
    <d v="2013-03-01T00:00:00"/>
    <d v="2026-02-03T00:00:00"/>
    <m/>
    <m/>
    <m/>
    <m/>
    <n v="43"/>
    <x v="111"/>
    <x v="0"/>
    <n v="43"/>
    <x v="0"/>
  </r>
  <r>
    <n v="143"/>
    <x v="142"/>
    <s v="Oladapo"/>
    <s v="Oluwaseun"/>
    <s v="Akinyemi"/>
    <x v="1"/>
    <x v="6"/>
    <s v="Nigeria"/>
    <x v="1"/>
    <x v="2"/>
    <d v="2014-02-25T00:00:00"/>
    <d v="2014-03-01T00:00:00"/>
    <d v="2026-02-03T00:00:00"/>
    <m/>
    <m/>
    <m/>
    <m/>
    <n v="81"/>
    <x v="112"/>
    <x v="0"/>
    <n v="81"/>
    <x v="1"/>
  </r>
  <r>
    <n v="144"/>
    <x v="143"/>
    <s v="Olindah"/>
    <s v="Mkhonto"/>
    <s v="Silaule"/>
    <x v="0"/>
    <x v="1"/>
    <s v="South Africa"/>
    <x v="2"/>
    <x v="2"/>
    <d v="2020-01-31T00:00:00"/>
    <d v="2019-03-01T00:00:00"/>
    <d v="2026-02-03T00:00:00"/>
    <m/>
    <m/>
    <m/>
    <m/>
    <n v="63"/>
    <x v="113"/>
    <x v="0"/>
    <n v="63"/>
    <x v="1"/>
  </r>
  <r>
    <n v="145"/>
    <x v="144"/>
    <s v="Olivia"/>
    <s v="Millicent Awino"/>
    <s v="Osiro"/>
    <x v="0"/>
    <x v="0"/>
    <s v="Kenya"/>
    <x v="7"/>
    <x v="5"/>
    <d v="2016-10-06T00:00:00"/>
    <d v="2016-03-01T00:00:00"/>
    <d v="2026-02-03T00:00:00"/>
    <m/>
    <m/>
    <m/>
    <m/>
    <n v="45"/>
    <x v="114"/>
    <x v="0"/>
    <n v="45"/>
    <x v="0"/>
  </r>
  <r>
    <n v="146"/>
    <x v="145"/>
    <s v="Olufemi"/>
    <s v="Mayowa"/>
    <s v="Adetutu"/>
    <x v="1"/>
    <x v="3"/>
    <s v="Nigeria"/>
    <x v="0"/>
    <x v="0"/>
    <d v="2016-11-09T00:00:00"/>
    <d v="2017-03-01T00:00:00"/>
    <d v="2026-02-03T00:00:00"/>
    <m/>
    <m/>
    <m/>
    <m/>
    <n v="34"/>
    <x v="4"/>
    <x v="0"/>
    <n v="34"/>
    <x v="0"/>
  </r>
  <r>
    <n v="147"/>
    <x v="146"/>
    <s v="Olufunmilayo"/>
    <s v="Olufunmilola"/>
    <s v="Banjo"/>
    <x v="0"/>
    <x v="4"/>
    <s v="Nigeria"/>
    <x v="0"/>
    <x v="0"/>
    <d v="2013-01-30T00:00:00"/>
    <d v="2013-03-01T00:00:00"/>
    <d v="2026-02-03T00:00:00"/>
    <m/>
    <m/>
    <m/>
    <m/>
    <n v="27"/>
    <x v="115"/>
    <x v="0"/>
    <n v="27"/>
    <x v="0"/>
  </r>
  <r>
    <n v="148"/>
    <x v="147"/>
    <s v="Olufunmilola"/>
    <s v="Onabanjo"/>
    <s v="Ogun"/>
    <x v="0"/>
    <x v="3"/>
    <s v="Nigeria"/>
    <x v="1"/>
    <x v="1"/>
    <d v="2017-10-30T00:00:00"/>
    <d v="2017-03-01T00:00:00"/>
    <d v="2026-02-03T00:00:00"/>
    <m/>
    <d v="2020-09-01T00:00:00"/>
    <d v="2021-05-01T00:00:00"/>
    <n v="8"/>
    <n v="50"/>
    <x v="37"/>
    <x v="0"/>
    <n v="50"/>
    <x v="0"/>
  </r>
  <r>
    <n v="149"/>
    <x v="148"/>
    <s v="Olujide"/>
    <s v="Olusesan"/>
    <s v="Arije"/>
    <x v="1"/>
    <x v="1"/>
    <s v="Nigeria"/>
    <x v="0"/>
    <x v="2"/>
    <d v="2020-01-07T00:00:00"/>
    <d v="2019-03-01T00:00:00"/>
    <d v="2026-02-03T00:00:00"/>
    <m/>
    <m/>
    <m/>
    <m/>
    <n v="56"/>
    <x v="116"/>
    <x v="0"/>
    <n v="56"/>
    <x v="1"/>
  </r>
  <r>
    <n v="150"/>
    <x v="149"/>
    <s v="Olusegun"/>
    <s v="Emmanuel"/>
    <s v="Thomas"/>
    <x v="1"/>
    <x v="4"/>
    <s v="Nigeria"/>
    <x v="1"/>
    <x v="1"/>
    <d v="2012-04-05T00:00:00"/>
    <d v="2013-03-01T00:00:00"/>
    <d v="2026-02-03T00:00:00"/>
    <m/>
    <m/>
    <m/>
    <m/>
    <n v="54"/>
    <x v="117"/>
    <x v="0"/>
    <n v="54"/>
    <x v="1"/>
  </r>
  <r>
    <n v="151"/>
    <x v="150"/>
    <s v="Oluseye"/>
    <s v="Ademola"/>
    <s v="Okunola"/>
    <x v="1"/>
    <x v="3"/>
    <s v="Nigeria"/>
    <x v="0"/>
    <x v="0"/>
    <d v="2017-04-12T00:00:00"/>
    <d v="2017-03-01T00:00:00"/>
    <d v="2026-02-03T00:00:00"/>
    <m/>
    <m/>
    <m/>
    <m/>
    <n v="54"/>
    <x v="118"/>
    <x v="0"/>
    <n v="54"/>
    <x v="1"/>
  </r>
  <r>
    <n v="152"/>
    <x v="151"/>
    <s v=" Lindiwe"/>
    <m/>
    <s v="Farlane"/>
    <x v="0"/>
    <x v="5"/>
    <s v="South Africa"/>
    <x v="2"/>
    <x v="2"/>
    <d v="2019-01-02T00:00:00"/>
    <d v="2018-03-01T00:00:00"/>
    <d v="2026-02-03T00:00:00"/>
    <n v="96"/>
    <m/>
    <m/>
    <m/>
    <n v="96"/>
    <x v="119"/>
    <x v="0"/>
    <n v="86"/>
    <x v="1"/>
  </r>
  <r>
    <n v="153"/>
    <x v="152"/>
    <s v="Olusola"/>
    <s v="Oluyinka"/>
    <s v="Olawoye"/>
    <x v="0"/>
    <x v="3"/>
    <s v="Nigeria"/>
    <x v="1"/>
    <x v="1"/>
    <d v="2015-10-30T00:00:00"/>
    <d v="2017-03-01T00:00:00"/>
    <d v="2026-02-03T00:00:00"/>
    <m/>
    <d v="2020-09-03T00:00:00"/>
    <d v="2021-06-01T00:00:00"/>
    <n v="9"/>
    <n v="44"/>
    <x v="120"/>
    <x v="0"/>
    <n v="44"/>
    <x v="0"/>
  </r>
  <r>
    <n v="154"/>
    <x v="153"/>
    <s v="Jean de Dieu"/>
    <m/>
    <s v="Habimana"/>
    <x v="1"/>
    <x v="5"/>
    <s v="Rwanda"/>
    <x v="5"/>
    <x v="8"/>
    <d v="2018-03-01T00:00:00"/>
    <d v="2018-03-01T00:00:00"/>
    <d v="2026-02-03T00:00:00"/>
    <n v="96"/>
    <m/>
    <m/>
    <m/>
    <n v="96"/>
    <x v="27"/>
    <x v="1"/>
    <s v="In progress: Above 60 months"/>
    <x v="2"/>
  </r>
  <r>
    <n v="155"/>
    <x v="154"/>
    <s v="Olutoyin"/>
    <s v="Olubunmi"/>
    <s v="Sekoni"/>
    <x v="0"/>
    <x v="0"/>
    <s v="Nigeria"/>
    <x v="1"/>
    <x v="2"/>
    <d v="2017-06-05T00:00:00"/>
    <d v="2016-03-01T00:00:00"/>
    <d v="2026-02-03T00:00:00"/>
    <m/>
    <m/>
    <m/>
    <m/>
    <n v="88"/>
    <x v="121"/>
    <x v="0"/>
    <n v="88"/>
    <x v="1"/>
  </r>
  <r>
    <n v="156"/>
    <x v="155"/>
    <s v="Oluwaseun"/>
    <s v="Taiwo"/>
    <s v="Esan"/>
    <x v="0"/>
    <x v="5"/>
    <s v="Nigeria"/>
    <x v="0"/>
    <x v="2"/>
    <d v="2018-05-01T00:00:00"/>
    <d v="2018-03-01T00:00:00"/>
    <d v="2026-02-03T00:00:00"/>
    <m/>
    <m/>
    <m/>
    <m/>
    <n v="55"/>
    <x v="122"/>
    <x v="0"/>
    <n v="55"/>
    <x v="1"/>
  </r>
  <r>
    <n v="157"/>
    <x v="156"/>
    <s v="Oluwaseyi"/>
    <s v="Dolapo"/>
    <s v="Somefun"/>
    <x v="0"/>
    <x v="0"/>
    <s v="Nigeria"/>
    <x v="2"/>
    <x v="2"/>
    <d v="2016-04-04T00:00:00"/>
    <d v="2016-03-01T00:00:00"/>
    <d v="2026-02-03T00:00:00"/>
    <m/>
    <d v="2022-12-01T00:00:00"/>
    <d v="2023-02-28T00:00:00"/>
    <n v="3"/>
    <n v="41"/>
    <x v="123"/>
    <x v="0"/>
    <n v="41"/>
    <x v="0"/>
  </r>
  <r>
    <n v="158"/>
    <x v="157"/>
    <s v="Omolayo "/>
    <s v="Bukola "/>
    <s v="Oluwatope"/>
    <x v="0"/>
    <x v="1"/>
    <s v="Nigeria"/>
    <x v="0"/>
    <x v="0"/>
    <d v="2018-10-23T00:00:00"/>
    <d v="2019-03-01T00:00:00"/>
    <d v="2026-02-03T00:00:00"/>
    <m/>
    <m/>
    <m/>
    <m/>
    <n v="47"/>
    <x v="124"/>
    <x v="0"/>
    <n v="47"/>
    <x v="0"/>
  </r>
  <r>
    <n v="159"/>
    <x v="158"/>
    <s v="Oyewale"/>
    <s v="Mayowa"/>
    <s v="Morakinyo"/>
    <x v="1"/>
    <x v="9"/>
    <s v="Nigeria"/>
    <x v="1"/>
    <x v="1"/>
    <d v="2013-07-04T00:00:00"/>
    <d v="2015-03-01T00:00:00"/>
    <d v="2026-02-03T00:00:00"/>
    <m/>
    <m/>
    <m/>
    <m/>
    <n v="95"/>
    <x v="125"/>
    <x v="0"/>
    <n v="95"/>
    <x v="1"/>
  </r>
  <r>
    <n v="160"/>
    <x v="159"/>
    <s v="Oyeyemi"/>
    <s v="Olajumoke"/>
    <s v="Oyelade"/>
    <x v="0"/>
    <x v="5"/>
    <s v="Nigeria"/>
    <x v="0"/>
    <x v="2"/>
    <d v="2018-07-30T00:00:00"/>
    <d v="2018-03-01T00:00:00"/>
    <d v="2026-02-03T00:00:00"/>
    <m/>
    <m/>
    <m/>
    <m/>
    <n v="52"/>
    <x v="126"/>
    <x v="0"/>
    <n v="52"/>
    <x v="1"/>
  </r>
  <r>
    <n v="161"/>
    <x v="160"/>
    <s v="Angella"/>
    <m/>
    <s v="Musewa"/>
    <x v="0"/>
    <x v="5"/>
    <s v="Uganda"/>
    <x v="4"/>
    <x v="5"/>
    <d v="2019-01-28T00:00:00"/>
    <d v="2018-03-01T00:00:00"/>
    <d v="2026-02-03T00:00:00"/>
    <n v="96"/>
    <m/>
    <m/>
    <m/>
    <n v="96"/>
    <x v="27"/>
    <x v="1"/>
    <s v="In progress: Above 60 months"/>
    <x v="2"/>
  </r>
  <r>
    <n v="162"/>
    <x v="161"/>
    <s v="Robert"/>
    <m/>
    <s v="Rutayisire"/>
    <x v="1"/>
    <x v="5"/>
    <s v="Rwanda"/>
    <x v="5"/>
    <x v="5"/>
    <d v="2018-08-13T00:00:00"/>
    <d v="2018-03-01T00:00:00"/>
    <d v="2026-02-03T00:00:00"/>
    <n v="96"/>
    <m/>
    <m/>
    <m/>
    <n v="96"/>
    <x v="27"/>
    <x v="1"/>
    <s v="In progress: Above 60 months"/>
    <x v="2"/>
  </r>
  <r>
    <n v="163"/>
    <x v="162"/>
    <s v="Peter"/>
    <s v="Suriwakenda"/>
    <s v="Nyasulu"/>
    <x v="1"/>
    <x v="8"/>
    <s v="Malawi"/>
    <x v="2"/>
    <x v="2"/>
    <d v="2011-03-03T00:00:00"/>
    <d v="2011-04-01T00:00:00"/>
    <d v="2026-02-03T00:00:00"/>
    <m/>
    <m/>
    <m/>
    <m/>
    <n v="42"/>
    <x v="127"/>
    <x v="0"/>
    <n v="42"/>
    <x v="0"/>
  </r>
  <r>
    <n v="164"/>
    <x v="163"/>
    <s v="Peter"/>
    <s v="Mpasho"/>
    <s v="Mwamtobe"/>
    <x v="1"/>
    <x v="2"/>
    <s v="Malawi"/>
    <x v="6"/>
    <x v="3"/>
    <d v="2012-10-04T00:00:00"/>
    <d v="2012-03-01T00:00:00"/>
    <d v="2026-02-03T00:00:00"/>
    <m/>
    <m/>
    <m/>
    <m/>
    <n v="37"/>
    <x v="128"/>
    <x v="0"/>
    <n v="37"/>
    <x v="0"/>
  </r>
  <r>
    <n v="165"/>
    <x v="164"/>
    <s v="Priscille"/>
    <m/>
    <s v="Musabirema"/>
    <x v="0"/>
    <x v="1"/>
    <s v="Rwanda"/>
    <x v="5"/>
    <x v="2"/>
    <d v="2020-01-10T00:00:00"/>
    <d v="2019-03-01T00:00:00"/>
    <d v="2026-02-03T00:00:00"/>
    <m/>
    <m/>
    <m/>
    <m/>
    <n v="57"/>
    <x v="129"/>
    <x v="0"/>
    <n v="57"/>
    <x v="1"/>
  </r>
  <r>
    <n v="166"/>
    <x v="165"/>
    <s v="Respicius"/>
    <s v="Shombusho"/>
    <s v="Damian"/>
    <x v="1"/>
    <x v="6"/>
    <s v="Tanzania"/>
    <x v="8"/>
    <x v="6"/>
    <d v="2014-04-17T00:00:00"/>
    <d v="2014-03-01T00:00:00"/>
    <d v="2026-02-03T00:00:00"/>
    <m/>
    <m/>
    <m/>
    <m/>
    <n v="57"/>
    <x v="130"/>
    <x v="0"/>
    <n v="57"/>
    <x v="1"/>
  </r>
  <r>
    <n v="167"/>
    <x v="166"/>
    <s v="Rose"/>
    <s v="Okoyo"/>
    <s v="Opiyo"/>
    <x v="0"/>
    <x v="8"/>
    <s v="Kenya"/>
    <x v="7"/>
    <x v="5"/>
    <d v="2011-09-15T00:00:00"/>
    <d v="2011-04-01T00:00:00"/>
    <d v="2026-02-03T00:00:00"/>
    <m/>
    <m/>
    <m/>
    <m/>
    <n v="54"/>
    <x v="131"/>
    <x v="0"/>
    <n v="54"/>
    <x v="1"/>
  </r>
  <r>
    <n v="168"/>
    <x v="167"/>
    <s v="Anne"/>
    <s v="Njeri"/>
    <s v="Maina"/>
    <x v="0"/>
    <x v="5"/>
    <s v="Kenya"/>
    <x v="7"/>
    <x v="5"/>
    <d v="2019-01-01T00:00:00"/>
    <d v="2018-03-01T00:00:00"/>
    <d v="2026-02-03T00:00:00"/>
    <n v="96"/>
    <m/>
    <m/>
    <m/>
    <n v="96"/>
    <x v="27"/>
    <x v="1"/>
    <s v="In progress: Above 60 months"/>
    <x v="2"/>
  </r>
  <r>
    <n v="169"/>
    <x v="168"/>
    <s v="Samanta"/>
    <s v="Tresha"/>
    <s v="Lalla-Edward"/>
    <x v="0"/>
    <x v="4"/>
    <s v="South Africa"/>
    <x v="2"/>
    <x v="2"/>
    <d v="2013-10-01T00:00:00"/>
    <d v="2013-03-01T00:00:00"/>
    <d v="2026-02-03T00:00:00"/>
    <m/>
    <m/>
    <m/>
    <m/>
    <n v="65"/>
    <x v="132"/>
    <x v="0"/>
    <n v="65"/>
    <x v="1"/>
  </r>
  <r>
    <n v="170"/>
    <x v="169"/>
    <s v="Samuel"/>
    <s v="Waweru"/>
    <s v="Mwaniki"/>
    <x v="1"/>
    <x v="5"/>
    <s v="Kenya"/>
    <x v="7"/>
    <x v="2"/>
    <d v="2018-09-30T00:00:00"/>
    <d v="2018-03-01T00:00:00"/>
    <d v="2026-02-03T00:00:00"/>
    <m/>
    <m/>
    <m/>
    <m/>
    <n v="64"/>
    <x v="133"/>
    <x v="0"/>
    <n v="64"/>
    <x v="1"/>
  </r>
  <r>
    <n v="171"/>
    <x v="170"/>
    <s v="Sara"/>
    <s v="Jewett"/>
    <s v="Nieuwoudt"/>
    <x v="0"/>
    <x v="6"/>
    <s v="South Africa"/>
    <x v="2"/>
    <x v="2"/>
    <d v="2014-08-16T00:00:00"/>
    <d v="2014-03-01T00:00:00"/>
    <d v="2026-02-03T00:00:00"/>
    <m/>
    <m/>
    <m/>
    <m/>
    <n v="65"/>
    <x v="134"/>
    <x v="0"/>
    <n v="65"/>
    <x v="1"/>
  </r>
  <r>
    <n v="172"/>
    <x v="171"/>
    <s v="Oluwafemi"/>
    <s v="Akinyele"/>
    <s v="Popoola"/>
    <x v="1"/>
    <x v="5"/>
    <s v="Nigeria"/>
    <x v="1"/>
    <x v="1"/>
    <d v="2018-11-01T00:00:00"/>
    <d v="2018-03-01T00:00:00"/>
    <d v="2026-02-03T00:00:00"/>
    <n v="96"/>
    <m/>
    <m/>
    <m/>
    <n v="96"/>
    <x v="27"/>
    <x v="1"/>
    <s v="In progress: Above 60 months"/>
    <x v="2"/>
  </r>
  <r>
    <n v="173"/>
    <x v="172"/>
    <s v="Catherine"/>
    <m/>
    <s v="Kafu"/>
    <x v="0"/>
    <x v="5"/>
    <s v="Kenya"/>
    <x v="10"/>
    <x v="2"/>
    <d v="2018-09-03T00:00:00"/>
    <d v="2018-03-01T00:00:00"/>
    <d v="2026-02-03T00:00:00"/>
    <n v="96"/>
    <m/>
    <m/>
    <m/>
    <n v="96"/>
    <x v="135"/>
    <x v="0"/>
    <n v="84"/>
    <x v="1"/>
  </r>
  <r>
    <n v="174"/>
    <x v="173"/>
    <s v="Agnes"/>
    <s v="Jemuge"/>
    <s v="Maleyo"/>
    <x v="0"/>
    <x v="5"/>
    <s v="Kenya"/>
    <x v="10"/>
    <x v="5"/>
    <d v="2016-08-12T00:00:00"/>
    <d v="2018-03-01T00:00:00"/>
    <d v="2026-02-03T00:00:00"/>
    <n v="96"/>
    <m/>
    <m/>
    <m/>
    <n v="96"/>
    <x v="27"/>
    <x v="1"/>
    <s v="In progress: Above 60 months"/>
    <x v="2"/>
  </r>
  <r>
    <n v="175"/>
    <x v="174"/>
    <s v="Save"/>
    <m/>
    <s v="Kumwenda"/>
    <x v="1"/>
    <x v="4"/>
    <s v="Malawi"/>
    <x v="6"/>
    <x v="3"/>
    <d v="2013-11-01T00:00:00"/>
    <d v="2013-03-01T00:00:00"/>
    <d v="2026-02-03T00:00:00"/>
    <m/>
    <m/>
    <m/>
    <m/>
    <n v="74"/>
    <x v="136"/>
    <x v="0"/>
    <n v="74"/>
    <x v="1"/>
  </r>
  <r>
    <n v="176"/>
    <x v="175"/>
    <s v="Shakeerah "/>
    <s v="Olaide"/>
    <s v="Gbadebo"/>
    <x v="0"/>
    <x v="7"/>
    <s v="Nigeria"/>
    <x v="1"/>
    <x v="1"/>
    <d v="2020-12-17T00:00:00"/>
    <d v="2020-03-01T00:00:00"/>
    <d v="2026-02-03T00:00:00"/>
    <n v="72"/>
    <d v="2024-05-01T00:00:00"/>
    <d v="2024-08-31T00:00:00"/>
    <n v="4"/>
    <n v="72"/>
    <x v="137"/>
    <x v="0"/>
    <n v="52"/>
    <x v="1"/>
  </r>
  <r>
    <n v="177"/>
    <x v="176"/>
    <s v="Siphamandla"/>
    <s v="Bonga"/>
    <s v="Gumede"/>
    <x v="1"/>
    <x v="5"/>
    <s v="South Africa"/>
    <x v="2"/>
    <x v="2"/>
    <d v="2019-01-01T00:00:00"/>
    <d v="2018-03-01T00:00:00"/>
    <d v="2026-02-03T00:00:00"/>
    <n v="96"/>
    <m/>
    <m/>
    <m/>
    <n v="96"/>
    <x v="69"/>
    <x v="0"/>
    <n v="81"/>
    <x v="1"/>
  </r>
  <r>
    <n v="178"/>
    <x v="177"/>
    <s v="Noel"/>
    <m/>
    <s v="Korukire"/>
    <x v="1"/>
    <x v="1"/>
    <s v="Rwanda"/>
    <x v="5"/>
    <x v="8"/>
    <d v="2019-09-01T00:00:00"/>
    <d v="2019-03-01T00:00:00"/>
    <d v="2026-02-03T00:00:00"/>
    <n v="84"/>
    <m/>
    <m/>
    <m/>
    <n v="84"/>
    <x v="138"/>
    <x v="0"/>
    <n v="78"/>
    <x v="1"/>
  </r>
  <r>
    <n v="179"/>
    <x v="178"/>
    <s v="Skye"/>
    <s v="Nandi"/>
    <s v="Adams"/>
    <x v="0"/>
    <x v="1"/>
    <s v="South Africa"/>
    <x v="2"/>
    <x v="2"/>
    <d v="2018-05-22T00:00:00"/>
    <d v="2019-03-01T00:00:00"/>
    <d v="2026-02-03T00:00:00"/>
    <m/>
    <m/>
    <m/>
    <m/>
    <n v="44"/>
    <x v="109"/>
    <x v="0"/>
    <n v="44"/>
    <x v="0"/>
  </r>
  <r>
    <n v="180"/>
    <x v="179"/>
    <s v="Lilian"/>
    <s v="Nkirote"/>
    <s v="Njagi"/>
    <x v="0"/>
    <x v="1"/>
    <s v="Kenya"/>
    <x v="7"/>
    <x v="5"/>
    <d v="2018-12-08T00:00:00"/>
    <d v="2019-03-01T00:00:00"/>
    <d v="2026-02-03T00:00:00"/>
    <n v="84"/>
    <d v="2023-09-01T00:00:00"/>
    <d v="2024-06-30T00:00:00"/>
    <n v="10"/>
    <n v="84"/>
    <x v="139"/>
    <x v="0"/>
    <n v="60"/>
    <x v="1"/>
  </r>
  <r>
    <n v="181"/>
    <x v="180"/>
    <s v="Leonidas"/>
    <m/>
    <s v="Banamwana"/>
    <x v="1"/>
    <x v="1"/>
    <s v="Rwanda"/>
    <x v="5"/>
    <x v="8"/>
    <d v="2019-10-20T00:00:00"/>
    <d v="2019-03-01T00:00:00"/>
    <d v="2026-02-03T00:00:00"/>
    <n v="84"/>
    <m/>
    <m/>
    <m/>
    <n v="84"/>
    <x v="27"/>
    <x v="1"/>
    <s v="In progress: Above 60 months"/>
    <x v="2"/>
  </r>
  <r>
    <n v="182"/>
    <x v="181"/>
    <s v="Sonti"/>
    <s v="Imogene"/>
    <s v="Pilusa"/>
    <x v="0"/>
    <x v="3"/>
    <s v="South Africa"/>
    <x v="2"/>
    <x v="2"/>
    <d v="2017-02-03T00:00:00"/>
    <d v="2017-03-01T00:00:00"/>
    <d v="2026-02-03T00:00:00"/>
    <m/>
    <m/>
    <m/>
    <m/>
    <n v="57"/>
    <x v="140"/>
    <x v="0"/>
    <n v="57"/>
    <x v="1"/>
  </r>
  <r>
    <n v="183"/>
    <x v="182"/>
    <s v="Cyril"/>
    <s v="Nyalik"/>
    <s v="Ogada"/>
    <x v="1"/>
    <x v="1"/>
    <s v="Kenya"/>
    <x v="7"/>
    <x v="2"/>
    <d v="2020-08-12T00:00:00"/>
    <d v="2019-03-01T00:00:00"/>
    <d v="2026-02-03T00:00:00"/>
    <n v="84"/>
    <m/>
    <m/>
    <m/>
    <n v="84"/>
    <x v="27"/>
    <x v="1"/>
    <s v="In progress: Above 60 months"/>
    <x v="2"/>
  </r>
  <r>
    <n v="184"/>
    <x v="183"/>
    <s v="Stephen"/>
    <s v="Ojiambo"/>
    <s v="Wandera"/>
    <x v="1"/>
    <x v="2"/>
    <s v="Uganda"/>
    <x v="4"/>
    <x v="4"/>
    <d v="2012-02-07T00:00:00"/>
    <d v="2012-03-01T00:00:00"/>
    <d v="2026-02-03T00:00:00"/>
    <m/>
    <m/>
    <m/>
    <m/>
    <n v="49"/>
    <x v="14"/>
    <x v="0"/>
    <n v="49"/>
    <x v="0"/>
  </r>
  <r>
    <n v="185"/>
    <x v="184"/>
    <s v="Stevens"/>
    <s v="M.B"/>
    <s v="Kisaka"/>
    <x v="1"/>
    <x v="3"/>
    <s v="Uganda"/>
    <x v="4"/>
    <x v="5"/>
    <d v="2017-06-01T00:00:00"/>
    <d v="2017-03-01T00:00:00"/>
    <d v="2026-02-03T00:00:00"/>
    <m/>
    <m/>
    <m/>
    <m/>
    <n v="70"/>
    <x v="141"/>
    <x v="0"/>
    <n v="70"/>
    <x v="1"/>
  </r>
  <r>
    <n v="186"/>
    <x v="185"/>
    <s v="Sulaimon"/>
    <s v="Taiwo"/>
    <s v="Adedokun"/>
    <x v="1"/>
    <x v="8"/>
    <s v="Nigeria"/>
    <x v="0"/>
    <x v="0"/>
    <d v="2011-03-01T00:00:00"/>
    <d v="2011-04-01T00:00:00"/>
    <d v="2026-02-03T00:00:00"/>
    <m/>
    <m/>
    <m/>
    <m/>
    <n v="26"/>
    <x v="142"/>
    <x v="0"/>
    <n v="26"/>
    <x v="0"/>
  </r>
  <r>
    <n v="187"/>
    <x v="186"/>
    <s v="Sulaimon"/>
    <s v="Atolagbe"/>
    <s v="Afolabi"/>
    <x v="1"/>
    <x v="8"/>
    <s v="Nigeria"/>
    <x v="11"/>
    <x v="2"/>
    <d v="2011-03-01T00:00:00"/>
    <d v="2011-04-01T00:00:00"/>
    <d v="2026-02-03T00:00:00"/>
    <m/>
    <m/>
    <m/>
    <m/>
    <n v="81"/>
    <x v="143"/>
    <x v="0"/>
    <n v="81"/>
    <x v="1"/>
  </r>
  <r>
    <n v="188"/>
    <x v="187"/>
    <s v="OLUFUNMILOLA"/>
    <s v="BAMIDELE"/>
    <s v="MAKANJUOLA"/>
    <x v="0"/>
    <x v="1"/>
    <s v="Nigeria"/>
    <x v="1"/>
    <x v="1"/>
    <d v="2019-01-07T00:00:00"/>
    <d v="2019-03-01T00:00:00"/>
    <d v="2026-02-03T00:00:00"/>
    <n v="84"/>
    <m/>
    <m/>
    <m/>
    <n v="84"/>
    <x v="27"/>
    <x v="1"/>
    <s v="In progress: Above 60 months"/>
    <x v="2"/>
  </r>
  <r>
    <n v="189"/>
    <x v="188"/>
    <s v="Sunday"/>
    <s v="Adepoju"/>
    <s v="Adedini"/>
    <x v="1"/>
    <x v="8"/>
    <s v="Nigeria"/>
    <x v="0"/>
    <x v="2"/>
    <d v="2011-02-08T00:00:00"/>
    <d v="2011-04-01T00:00:00"/>
    <d v="2026-02-03T00:00:00"/>
    <m/>
    <m/>
    <m/>
    <m/>
    <n v="24"/>
    <x v="144"/>
    <x v="0"/>
    <n v="24"/>
    <x v="0"/>
  </r>
  <r>
    <n v="190"/>
    <x v="189"/>
    <s v="Sunday"/>
    <s v="Joseph"/>
    <s v="Ayamolowo"/>
    <x v="1"/>
    <x v="6"/>
    <s v="Nigeria"/>
    <x v="0"/>
    <x v="0"/>
    <d v="2014-08-15T00:00:00"/>
    <d v="2014-03-01T00:00:00"/>
    <d v="2026-02-03T00:00:00"/>
    <m/>
    <m/>
    <m/>
    <m/>
    <n v="57"/>
    <x v="145"/>
    <x v="0"/>
    <n v="57"/>
    <x v="1"/>
  </r>
  <r>
    <n v="191"/>
    <x v="190"/>
    <s v="Taiwo"/>
    <s v="Akinyode"/>
    <s v="Obembe"/>
    <x v="1"/>
    <x v="9"/>
    <s v="Nigeria"/>
    <x v="1"/>
    <x v="2"/>
    <d v="2016-07-04T00:00:00"/>
    <d v="2015-03-01T00:00:00"/>
    <d v="2026-02-03T00:00:00"/>
    <m/>
    <m/>
    <m/>
    <m/>
    <n v="81"/>
    <x v="146"/>
    <x v="0"/>
    <n v="81"/>
    <x v="1"/>
  </r>
  <r>
    <n v="192"/>
    <x v="191"/>
    <s v="Ronald"/>
    <s v="Kibet"/>
    <s v="Tonui"/>
    <x v="1"/>
    <x v="1"/>
    <s v="Kenya"/>
    <x v="10"/>
    <x v="2"/>
    <d v="2020-01-01T00:00:00"/>
    <d v="2019-03-01T00:00:00"/>
    <d v="2026-02-03T00:00:00"/>
    <n v="84"/>
    <m/>
    <m/>
    <m/>
    <n v="84"/>
    <x v="27"/>
    <x v="1"/>
    <s v="In progress: Above 60 months"/>
    <x v="2"/>
  </r>
  <r>
    <n v="193"/>
    <x v="192"/>
    <s v="Taofeek"/>
    <s v="Oluwole"/>
    <s v="Awotidebe"/>
    <x v="1"/>
    <x v="8"/>
    <s v="Nigeria"/>
    <x v="0"/>
    <x v="1"/>
    <d v="2011-07-15T00:00:00"/>
    <d v="2011-04-01T00:00:00"/>
    <d v="2026-02-03T00:00:00"/>
    <m/>
    <m/>
    <m/>
    <m/>
    <n v="56"/>
    <x v="147"/>
    <x v="0"/>
    <n v="56"/>
    <x v="1"/>
  </r>
  <r>
    <n v="194"/>
    <x v="193"/>
    <s v="Taofeek"/>
    <s v="Kolawole"/>
    <s v="Aliyu"/>
    <x v="1"/>
    <x v="0"/>
    <s v="Nigeria"/>
    <x v="0"/>
    <x v="0"/>
    <d v="2016-12-20T00:00:00"/>
    <d v="2016-03-01T00:00:00"/>
    <d v="2026-02-03T00:00:00"/>
    <m/>
    <m/>
    <m/>
    <m/>
    <n v="42"/>
    <x v="148"/>
    <x v="0"/>
    <n v="42"/>
    <x v="0"/>
  </r>
  <r>
    <n v="195"/>
    <x v="194"/>
    <s v="Glory "/>
    <m/>
    <s v="Mzembe"/>
    <x v="0"/>
    <x v="1"/>
    <s v="Malawi"/>
    <x v="6"/>
    <x v="3"/>
    <d v="2019-12-16T00:00:00"/>
    <d v="2019-03-01T00:00:00"/>
    <d v="2026-02-03T00:00:00"/>
    <n v="84"/>
    <d v="2023-06-01T00:00:00"/>
    <d v="2024-05-31T00:00:00"/>
    <n v="12"/>
    <n v="84"/>
    <x v="27"/>
    <x v="1"/>
    <s v="In progress: Above 60 months"/>
    <x v="2"/>
  </r>
  <r>
    <n v="196"/>
    <x v="195"/>
    <s v="Temitope "/>
    <m/>
    <s v="Ilori"/>
    <x v="0"/>
    <x v="1"/>
    <s v="Nigeria"/>
    <x v="1"/>
    <x v="1"/>
    <d v="2020-01-10T00:00:00"/>
    <d v="2019-03-01T00:00:00"/>
    <d v="2026-02-03T00:00:00"/>
    <n v="84"/>
    <m/>
    <m/>
    <m/>
    <n v="84"/>
    <x v="27"/>
    <x v="1"/>
    <s v="In progress: Above 60 months"/>
    <x v="2"/>
  </r>
  <r>
    <n v="197"/>
    <x v="196"/>
    <s v="Tonney"/>
    <s v="Stophen"/>
    <s v="Nyirenda"/>
    <x v="1"/>
    <x v="4"/>
    <s v="Malawi"/>
    <x v="6"/>
    <x v="3"/>
    <d v="2011-11-01T00:00:00"/>
    <d v="2013-03-01T00:00:00"/>
    <d v="2026-02-03T00:00:00"/>
    <m/>
    <m/>
    <m/>
    <m/>
    <n v="28"/>
    <x v="149"/>
    <x v="0"/>
    <n v="28"/>
    <x v="0"/>
  </r>
  <r>
    <n v="198"/>
    <x v="197"/>
    <s v="Aline"/>
    <m/>
    <s v="Uwase"/>
    <x v="0"/>
    <x v="7"/>
    <s v="Rwanda"/>
    <x v="5"/>
    <x v="2"/>
    <d v="2019-12-16T00:00:00"/>
    <d v="2020-03-01T00:00:00"/>
    <d v="2026-02-03T00:00:00"/>
    <n v="72"/>
    <m/>
    <m/>
    <m/>
    <n v="72"/>
    <x v="150"/>
    <x v="0"/>
    <n v="68"/>
    <x v="1"/>
  </r>
  <r>
    <n v="199"/>
    <x v="198"/>
    <s v="Tumaini"/>
    <s v="Chiseko"/>
    <s v="Malenga"/>
    <x v="0"/>
    <x v="6"/>
    <s v="Malawi"/>
    <x v="6"/>
    <x v="3"/>
    <d v="2014-03-31T00:00:00"/>
    <d v="2014-03-01T00:00:00"/>
    <d v="2026-02-03T00:00:00"/>
    <m/>
    <m/>
    <m/>
    <m/>
    <n v="94"/>
    <x v="63"/>
    <x v="0"/>
    <n v="94"/>
    <x v="1"/>
  </r>
  <r>
    <n v="200"/>
    <x v="199"/>
    <s v="Aneth"/>
    <s v="Vedastus"/>
    <s v="Kalinjuma"/>
    <x v="0"/>
    <x v="7"/>
    <s v="Tanzania"/>
    <x v="3"/>
    <x v="2"/>
    <d v="2020-09-15T00:00:00"/>
    <d v="2020-03-01T00:00:00"/>
    <d v="2026-02-03T00:00:00"/>
    <n v="72"/>
    <m/>
    <m/>
    <m/>
    <n v="72"/>
    <x v="151"/>
    <x v="0"/>
    <n v="67"/>
    <x v="1"/>
  </r>
  <r>
    <n v="201"/>
    <x v="200"/>
    <s v="Apatsa"/>
    <m/>
    <s v="Selemani"/>
    <x v="1"/>
    <x v="7"/>
    <s v="Malawi"/>
    <x v="6"/>
    <x v="2"/>
    <d v="2021-08-16T00:00:00"/>
    <d v="2020-03-01T00:00:00"/>
    <d v="2026-02-03T00:00:00"/>
    <n v="72"/>
    <m/>
    <m/>
    <m/>
    <n v="72"/>
    <x v="152"/>
    <x v="0"/>
    <n v="68"/>
    <x v="1"/>
  </r>
  <r>
    <n v="202"/>
    <x v="201"/>
    <s v="Tutu"/>
    <s v="Said"/>
    <s v="Mzee"/>
    <x v="0"/>
    <x v="0"/>
    <s v="Tanzania"/>
    <x v="3"/>
    <x v="6"/>
    <d v="2016-10-20T00:00:00"/>
    <d v="2016-03-01T00:00:00"/>
    <d v="2026-02-03T00:00:00"/>
    <m/>
    <m/>
    <m/>
    <m/>
    <n v="99"/>
    <x v="87"/>
    <x v="0"/>
    <n v="99"/>
    <x v="1"/>
  </r>
  <r>
    <n v="203"/>
    <x v="202"/>
    <s v="Valens"/>
    <m/>
    <s v="Mbarushimana"/>
    <x v="1"/>
    <x v="0"/>
    <s v="Rwanda"/>
    <x v="5"/>
    <x v="2"/>
    <d v="2017-03-16T00:00:00"/>
    <d v="2016-03-01T00:00:00"/>
    <d v="2026-02-03T00:00:00"/>
    <n v="120"/>
    <m/>
    <m/>
    <m/>
    <n v="120"/>
    <x v="153"/>
    <x v="0"/>
    <n v="104"/>
    <x v="1"/>
  </r>
  <r>
    <n v="204"/>
    <x v="203"/>
    <s v="Emmanuel"/>
    <m/>
    <s v="Nzabonimana"/>
    <x v="1"/>
    <x v="7"/>
    <s v="Rwanda"/>
    <x v="5"/>
    <x v="2"/>
    <d v="2020-06-01T00:00:00"/>
    <d v="2020-03-01T00:00:00"/>
    <d v="2026-02-03T00:00:00"/>
    <n v="72"/>
    <m/>
    <m/>
    <m/>
    <n v="72"/>
    <x v="154"/>
    <x v="0"/>
    <n v="58"/>
    <x v="1"/>
  </r>
  <r>
    <n v="205"/>
    <x v="204"/>
    <s v="Victoria"/>
    <s v="Mathew"/>
    <s v="Mwakalinga Chuma"/>
    <x v="0"/>
    <x v="8"/>
    <s v="Tanzania"/>
    <x v="3"/>
    <x v="2"/>
    <d v="2011-03-07T00:00:00"/>
    <d v="2011-04-01T00:00:00"/>
    <d v="2026-02-03T00:00:00"/>
    <m/>
    <m/>
    <m/>
    <m/>
    <n v="81"/>
    <x v="143"/>
    <x v="0"/>
    <n v="81"/>
    <x v="1"/>
  </r>
  <r>
    <n v="206"/>
    <x v="205"/>
    <s v="Wanangwa"/>
    <s v="Chimwaza"/>
    <s v="Manda"/>
    <x v="0"/>
    <x v="3"/>
    <s v="Malawi"/>
    <x v="6"/>
    <x v="2"/>
    <d v="2017-09-21T00:00:00"/>
    <d v="2017-03-01T00:00:00"/>
    <d v="2026-02-03T00:00:00"/>
    <m/>
    <m/>
    <m/>
    <m/>
    <n v="81"/>
    <x v="155"/>
    <x v="0"/>
    <n v="81"/>
    <x v="1"/>
  </r>
  <r>
    <n v="207"/>
    <x v="206"/>
    <s v="Wells"/>
    <m/>
    <s v="Utembe"/>
    <x v="1"/>
    <x v="8"/>
    <s v="Malawi"/>
    <x v="6"/>
    <x v="2"/>
    <d v="2011-04-13T00:00:00"/>
    <d v="2011-04-01T00:00:00"/>
    <d v="2026-02-03T00:00:00"/>
    <m/>
    <m/>
    <m/>
    <m/>
    <n v="63"/>
    <x v="156"/>
    <x v="0"/>
    <n v="63"/>
    <x v="1"/>
  </r>
  <r>
    <n v="208"/>
    <x v="207"/>
    <s v="Wilfred"/>
    <m/>
    <s v="Eneku"/>
    <x v="1"/>
    <x v="1"/>
    <s v="Uganda"/>
    <x v="4"/>
    <x v="4"/>
    <d v="2019-04-01T00:00:00"/>
    <d v="2019-03-01T00:00:00"/>
    <d v="2026-02-03T00:00:00"/>
    <n v="84"/>
    <m/>
    <m/>
    <m/>
    <n v="84"/>
    <x v="157"/>
    <x v="0"/>
    <n v="65"/>
    <x v="1"/>
  </r>
  <r>
    <n v="209"/>
    <x v="208"/>
    <s v="Winnie"/>
    <s v="Chepkurui"/>
    <s v="Mutai"/>
    <x v="0"/>
    <x v="6"/>
    <s v="Kenya"/>
    <x v="7"/>
    <x v="5"/>
    <d v="2015-03-15T00:00:00"/>
    <d v="2014-03-01T00:00:00"/>
    <d v="2026-02-03T00:00:00"/>
    <m/>
    <m/>
    <m/>
    <m/>
    <n v="115"/>
    <x v="158"/>
    <x v="0"/>
    <n v="115"/>
    <x v="1"/>
  </r>
  <r>
    <n v="210"/>
    <x v="209"/>
    <s v="Mary"/>
    <s v="Ogbenyi"/>
    <s v="Ugalahi"/>
    <x v="0"/>
    <x v="7"/>
    <s v="Nigeria"/>
    <x v="1"/>
    <x v="1"/>
    <d v="2020-05-04T00:00:00"/>
    <d v="2020-03-01T00:00:00"/>
    <d v="2026-02-03T00:00:00"/>
    <n v="72"/>
    <m/>
    <m/>
    <m/>
    <n v="72"/>
    <x v="159"/>
    <x v="0"/>
    <n v="61"/>
    <x v="1"/>
  </r>
  <r>
    <n v="211"/>
    <x v="210"/>
    <s v="Maureen"/>
    <s v="Daisy"/>
    <s v="Majamanda"/>
    <x v="0"/>
    <x v="7"/>
    <s v="Malawi"/>
    <x v="6"/>
    <x v="3"/>
    <d v="2021-07-21T00:00:00"/>
    <d v="2020-03-01T00:00:00"/>
    <d v="2026-02-03T00:00:00"/>
    <n v="72"/>
    <m/>
    <m/>
    <m/>
    <n v="72"/>
    <x v="27"/>
    <x v="1"/>
    <s v="In progress: Above 60 months"/>
    <x v="2"/>
  </r>
  <r>
    <n v="212"/>
    <x v="211"/>
    <s v="Monday"/>
    <s v="Daniel"/>
    <s v="Olodu"/>
    <x v="1"/>
    <x v="7"/>
    <s v="Nigeria"/>
    <x v="0"/>
    <x v="1"/>
    <d v="2021-03-12T00:00:00"/>
    <d v="2020-03-01T00:00:00"/>
    <d v="2026-02-03T00:00:00"/>
    <n v="72"/>
    <m/>
    <m/>
    <m/>
    <n v="72"/>
    <x v="138"/>
    <x v="0"/>
    <n v="66"/>
    <x v="1"/>
  </r>
  <r>
    <n v="213"/>
    <x v="212"/>
    <s v="Oluwatosin"/>
    <s v="Eunice"/>
    <s v="Olorunmoteni"/>
    <x v="0"/>
    <x v="7"/>
    <s v="Nigeria"/>
    <x v="0"/>
    <x v="0"/>
    <d v="2021-04-19T00:00:00"/>
    <d v="2020-03-01T00:00:00"/>
    <d v="2026-02-03T00:00:00"/>
    <n v="72"/>
    <m/>
    <m/>
    <m/>
    <n v="72"/>
    <x v="160"/>
    <x v="0"/>
    <n v="61"/>
    <x v="1"/>
  </r>
  <r>
    <n v="214"/>
    <x v="213"/>
    <s v="Omotade"/>
    <s v="Adebimpe"/>
    <s v="Ijarotimi"/>
    <x v="0"/>
    <x v="7"/>
    <s v="Nigeria"/>
    <x v="0"/>
    <x v="1"/>
    <d v="2021-01-21T00:00:00"/>
    <d v="2020-03-01T00:00:00"/>
    <d v="2026-02-03T00:00:00"/>
    <n v="72"/>
    <m/>
    <m/>
    <m/>
    <n v="72"/>
    <x v="27"/>
    <x v="1"/>
    <s v="In progress: Above 60 months"/>
    <x v="2"/>
  </r>
  <r>
    <n v="215"/>
    <x v="214"/>
    <s v="Patience"/>
    <m/>
    <s v="Shamu"/>
    <x v="0"/>
    <x v="7"/>
    <s v="Zimbabwe"/>
    <x v="2"/>
    <x v="2"/>
    <d v="2021-03-10T00:00:00"/>
    <d v="2020-03-01T00:00:00"/>
    <d v="2026-02-03T00:00:00"/>
    <n v="72"/>
    <m/>
    <m/>
    <m/>
    <n v="72"/>
    <x v="161"/>
    <x v="0"/>
    <n v="68"/>
    <x v="1"/>
  </r>
  <r>
    <n v="216"/>
    <x v="215"/>
    <s v="Yolanda"/>
    <s v="Malele"/>
    <s v="Kolisa"/>
    <x v="0"/>
    <x v="9"/>
    <s v="South Africa"/>
    <x v="2"/>
    <x v="2"/>
    <d v="2016-03-01T00:00:00"/>
    <d v="2015-03-01T00:00:00"/>
    <d v="2026-02-03T00:00:00"/>
    <m/>
    <m/>
    <m/>
    <m/>
    <n v="75"/>
    <x v="12"/>
    <x v="0"/>
    <n v="75"/>
    <x v="1"/>
  </r>
  <r>
    <n v="217"/>
    <x v="216"/>
    <s v="Stefanie"/>
    <m/>
    <s v="Vermaak"/>
    <x v="0"/>
    <x v="7"/>
    <s v="South Africa"/>
    <x v="2"/>
    <x v="2"/>
    <d v="2019-08-01T00:00:00"/>
    <d v="2020-03-01T00:00:00"/>
    <d v="2026-02-03T00:00:00"/>
    <n v="72"/>
    <m/>
    <m/>
    <m/>
    <n v="72"/>
    <x v="27"/>
    <x v="1"/>
    <s v="In progress: Above 60 months"/>
    <x v="2"/>
  </r>
  <r>
    <n v="218"/>
    <x v="217"/>
    <s v="Takondwa"/>
    <s v="Connis"/>
    <s v="Bakuwa"/>
    <x v="0"/>
    <x v="7"/>
    <s v="Malawi"/>
    <x v="6"/>
    <x v="2"/>
    <d v="2021-10-10T00:00:00"/>
    <d v="2020-03-01T00:00:00"/>
    <d v="2026-02-03T00:00:00"/>
    <n v="72"/>
    <m/>
    <m/>
    <m/>
    <n v="72"/>
    <x v="27"/>
    <x v="1"/>
    <s v="In progress: Above 60 months"/>
    <x v="2"/>
  </r>
  <r>
    <n v="219"/>
    <x v="218"/>
    <s v="Temitope"/>
    <s v="Olumuyiwa"/>
    <s v="Ojo"/>
    <x v="1"/>
    <x v="7"/>
    <s v="Nigeria"/>
    <x v="0"/>
    <x v="2"/>
    <d v="2022-03-02T00:00:00"/>
    <d v="2020-03-01T00:00:00"/>
    <d v="2026-02-03T00:00:00"/>
    <n v="72"/>
    <m/>
    <m/>
    <m/>
    <n v="72"/>
    <x v="27"/>
    <x v="1"/>
    <s v="In progress: Above 60 months"/>
    <x v="2"/>
  </r>
  <r>
    <n v="220"/>
    <x v="219"/>
    <s v="Yetunde"/>
    <s v="A"/>
    <s v="Onimode"/>
    <x v="0"/>
    <x v="7"/>
    <s v="Nigeria"/>
    <x v="1"/>
    <x v="2"/>
    <d v="2021-08-24T00:00:00"/>
    <d v="2020-03-01T00:00:00"/>
    <d v="2026-02-03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0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10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6">
      <pivotArea outline="0" fieldPosition="0">
        <references count="1">
          <reference field="4294967294" count="1">
            <x v="1"/>
          </reference>
        </references>
      </pivotArea>
    </format>
    <format dxfId="87">
      <pivotArea outline="0" collapsedLevelsAreSubtotals="1" fieldPosition="0"/>
    </format>
    <format dxfId="88">
      <pivotArea field="8" type="button" dataOnly="0" labelOnly="1" outline="0" axis="axisRow" fieldPosition="0"/>
    </format>
    <format dxfId="89">
      <pivotArea dataOnly="0" labelOnly="1" outline="0" fieldPosition="0">
        <references count="1">
          <reference field="4294967294" count="5">
            <x v="0"/>
            <x v="1"/>
            <x v="2"/>
            <x v="3"/>
            <x v="4"/>
          </reference>
        </references>
      </pivotArea>
    </format>
    <format dxfId="90">
      <pivotArea field="8" type="button" dataOnly="0" labelOnly="1" outline="0" axis="axisRow" fieldPosition="0"/>
    </format>
    <format dxfId="91">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0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3">
      <pivotArea outline="0" collapsedLevelsAreSubtotals="1" fieldPosition="0"/>
    </format>
    <format dxfId="84">
      <pivotArea dataOnly="0" labelOnly="1" grandRow="1" outline="0" fieldPosition="0"/>
    </format>
    <format dxfId="85">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104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104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10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10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10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10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10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10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10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10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10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0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043"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04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043"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0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10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10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0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10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0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104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043"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0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38">
      <pivotArea field="6" type="button" dataOnly="0" labelOnly="1" outline="0" axis="axisRow"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outline="0" fieldPosition="0">
        <references count="1">
          <reference field="4294967294" count="1">
            <x v="0"/>
          </reference>
        </references>
      </pivotArea>
    </format>
    <format dxfId="47">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0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9">
      <pivotArea field="6" type="button" dataOnly="0" labelOnly="1" outline="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0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24">
      <pivotArea field="6" type="button" dataOnly="0" labelOnly="1" outline="0"/>
    </format>
    <format dxfId="25">
      <pivotArea dataOnly="0" labelOnly="1" grandCol="1" outline="0" fieldPosition="0"/>
    </format>
    <format dxfId="26">
      <pivotArea dataOnly="0" labelOnly="1" grandCol="1" outline="0" fieldPosition="0"/>
    </format>
    <format dxfId="27">
      <pivotArea dataOnly="0" labelOnly="1" grandCol="1" outline="0" fieldPosition="0"/>
    </format>
    <format dxfId="2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0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10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0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104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1045"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9"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29.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P4" s="78"/>
      <c r="Q4" s="78">
        <v>1</v>
      </c>
      <c r="R4" s="78"/>
      <c r="S4" s="78">
        <v>1</v>
      </c>
    </row>
    <row r="5" spans="15:19">
      <c r="O5" t="s">
        <v>9</v>
      </c>
      <c r="P5" s="78"/>
      <c r="Q5" s="78">
        <v>4</v>
      </c>
      <c r="R5" s="78"/>
      <c r="S5" s="78">
        <v>4</v>
      </c>
    </row>
    <row r="6" spans="15:19">
      <c r="O6" t="s">
        <v>10</v>
      </c>
      <c r="P6" s="78"/>
      <c r="Q6" s="78">
        <v>7</v>
      </c>
      <c r="R6" s="78"/>
      <c r="S6" s="78">
        <v>7</v>
      </c>
    </row>
    <row r="7" spans="15:19">
      <c r="O7" t="s">
        <v>11</v>
      </c>
      <c r="P7" s="78">
        <v>2</v>
      </c>
      <c r="Q7" s="78">
        <v>13</v>
      </c>
      <c r="R7" s="78">
        <v>6</v>
      </c>
      <c r="S7" s="78">
        <v>21</v>
      </c>
    </row>
    <row r="8" spans="15:19">
      <c r="O8" t="s">
        <v>12</v>
      </c>
      <c r="P8" s="78">
        <v>6</v>
      </c>
      <c r="Q8" s="78">
        <v>8</v>
      </c>
      <c r="R8" s="78">
        <v>5</v>
      </c>
      <c r="S8" s="78">
        <v>19</v>
      </c>
    </row>
    <row r="9" spans="15:19">
      <c r="O9" t="s">
        <v>13</v>
      </c>
      <c r="P9" s="78">
        <v>2</v>
      </c>
      <c r="Q9" s="78">
        <v>8</v>
      </c>
      <c r="R9" s="78">
        <v>21</v>
      </c>
      <c r="S9" s="78">
        <v>31</v>
      </c>
    </row>
    <row r="10" spans="15:19">
      <c r="O10" t="s">
        <v>14</v>
      </c>
      <c r="P10" s="78"/>
      <c r="Q10" s="78">
        <v>2</v>
      </c>
      <c r="R10" s="78">
        <v>2</v>
      </c>
      <c r="S10" s="78">
        <v>4</v>
      </c>
    </row>
    <row r="11" spans="15:19">
      <c r="O11" t="s">
        <v>15</v>
      </c>
      <c r="P11" s="78">
        <v>4</v>
      </c>
      <c r="Q11" s="78">
        <v>19</v>
      </c>
      <c r="R11" s="78">
        <v>13</v>
      </c>
      <c r="S11" s="78">
        <v>36</v>
      </c>
    </row>
    <row r="12" spans="15:19">
      <c r="O12" t="s">
        <v>16</v>
      </c>
      <c r="P12" s="78">
        <v>3</v>
      </c>
      <c r="Q12" s="78">
        <v>16</v>
      </c>
      <c r="R12" s="78">
        <v>8</v>
      </c>
      <c r="S12" s="78">
        <v>27</v>
      </c>
    </row>
    <row r="13" spans="15:19">
      <c r="O13" t="s">
        <v>17</v>
      </c>
      <c r="P13" s="78">
        <v>3</v>
      </c>
      <c r="Q13" s="78">
        <v>12</v>
      </c>
      <c r="R13" s="78">
        <v>5</v>
      </c>
      <c r="S13" s="78">
        <v>20</v>
      </c>
    </row>
    <row r="14" spans="15:19">
      <c r="O14" t="s">
        <v>18</v>
      </c>
      <c r="P14" s="78">
        <v>4</v>
      </c>
      <c r="Q14" s="78">
        <v>18</v>
      </c>
      <c r="R14" s="78">
        <v>2</v>
      </c>
      <c r="S14" s="78">
        <v>24</v>
      </c>
    </row>
    <row r="15" spans="15:19">
      <c r="O15" t="s">
        <v>19</v>
      </c>
      <c r="P15" s="78">
        <v>1</v>
      </c>
      <c r="Q15" s="78">
        <v>19</v>
      </c>
      <c r="R15" s="78">
        <v>6</v>
      </c>
      <c r="S15" s="78">
        <v>26</v>
      </c>
    </row>
    <row r="16" spans="15:19">
      <c r="O16" s="31" t="s">
        <v>7</v>
      </c>
      <c r="P16" s="77">
        <v>25</v>
      </c>
      <c r="Q16" s="77">
        <v>127</v>
      </c>
      <c r="R16" s="77">
        <v>68</v>
      </c>
      <c r="S16" s="77">
        <v>220</v>
      </c>
    </row>
    <row r="23" spans="15:19">
      <c r="O23" s="16" t="s">
        <v>20</v>
      </c>
    </row>
    <row r="24" spans="15:19">
      <c r="O24" s="2" t="s">
        <v>1</v>
      </c>
      <c r="P24" s="2" t="s">
        <v>2</v>
      </c>
    </row>
    <row r="25" spans="15:19">
      <c r="O25" s="2" t="s">
        <v>21</v>
      </c>
      <c r="P25" t="s">
        <v>4</v>
      </c>
      <c r="Q25" t="s">
        <v>5</v>
      </c>
      <c r="R25" t="s">
        <v>6</v>
      </c>
      <c r="S25" t="s">
        <v>7</v>
      </c>
    </row>
    <row r="26" spans="15:19">
      <c r="O26" t="s">
        <v>11</v>
      </c>
      <c r="P26" s="78">
        <v>1</v>
      </c>
      <c r="Q26" s="78">
        <v>12</v>
      </c>
      <c r="R26" s="78">
        <v>5</v>
      </c>
      <c r="S26" s="78">
        <v>18</v>
      </c>
    </row>
    <row r="27" spans="15:19">
      <c r="O27" t="s">
        <v>12</v>
      </c>
      <c r="P27" s="78">
        <v>4</v>
      </c>
      <c r="Q27" s="78">
        <v>5</v>
      </c>
      <c r="R27" s="78">
        <v>2</v>
      </c>
      <c r="S27" s="78">
        <v>11</v>
      </c>
    </row>
    <row r="28" spans="15:19">
      <c r="O28" t="s">
        <v>13</v>
      </c>
      <c r="P28" s="78"/>
      <c r="Q28" s="78">
        <v>3</v>
      </c>
      <c r="R28" s="78">
        <v>17</v>
      </c>
      <c r="S28" s="78">
        <v>20</v>
      </c>
    </row>
    <row r="29" spans="15:19">
      <c r="O29" t="s">
        <v>14</v>
      </c>
      <c r="P29" s="78"/>
      <c r="Q29" s="78">
        <v>4</v>
      </c>
      <c r="R29" s="78">
        <v>2</v>
      </c>
      <c r="S29" s="78">
        <v>6</v>
      </c>
    </row>
    <row r="30" spans="15:19">
      <c r="O30" t="s">
        <v>22</v>
      </c>
      <c r="P30" s="78">
        <v>4</v>
      </c>
      <c r="Q30" s="78">
        <v>16</v>
      </c>
      <c r="R30" s="78">
        <v>12</v>
      </c>
      <c r="S30" s="78">
        <v>32</v>
      </c>
    </row>
    <row r="31" spans="15:19">
      <c r="O31" t="s">
        <v>17</v>
      </c>
      <c r="P31" s="78">
        <v>5</v>
      </c>
      <c r="Q31" s="78">
        <v>14</v>
      </c>
      <c r="R31" s="78">
        <v>8</v>
      </c>
      <c r="S31" s="78">
        <v>27</v>
      </c>
    </row>
    <row r="32" spans="15:19">
      <c r="O32" t="s">
        <v>18</v>
      </c>
      <c r="P32" s="78">
        <v>2</v>
      </c>
      <c r="Q32" s="78">
        <v>6</v>
      </c>
      <c r="R32" s="78"/>
      <c r="S32" s="78">
        <v>8</v>
      </c>
    </row>
    <row r="33" spans="6:22">
      <c r="O33" t="s">
        <v>19</v>
      </c>
      <c r="P33" s="78">
        <v>7</v>
      </c>
      <c r="Q33" s="78">
        <v>58</v>
      </c>
      <c r="R33" s="78">
        <v>15</v>
      </c>
      <c r="S33" s="78">
        <v>80</v>
      </c>
    </row>
    <row r="34" spans="6:22">
      <c r="O34" t="s">
        <v>16</v>
      </c>
      <c r="P34" s="78">
        <v>2</v>
      </c>
      <c r="Q34" s="78">
        <v>9</v>
      </c>
      <c r="R34" s="78">
        <v>7</v>
      </c>
      <c r="S34" s="78">
        <v>18</v>
      </c>
    </row>
    <row r="35" spans="6:22">
      <c r="O35" s="30" t="s">
        <v>7</v>
      </c>
      <c r="P35" s="77">
        <v>25</v>
      </c>
      <c r="Q35" s="77">
        <v>127</v>
      </c>
      <c r="R35" s="77">
        <v>68</v>
      </c>
      <c r="S35" s="77">
        <v>220</v>
      </c>
    </row>
    <row r="40" spans="6:22">
      <c r="F40" s="23"/>
      <c r="O40" s="79" t="s">
        <v>23</v>
      </c>
      <c r="P40" s="79"/>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s="76">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s="76">
        <v>109</v>
      </c>
      <c r="C5" s="76">
        <v>86</v>
      </c>
      <c r="D5" s="76">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15" activePane="bottomLeft" state="frozen"/>
      <selection pane="bottomLeft" activeCell="V121" sqref="V12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hidden="1" customWidth="1"/>
    <col min="9" max="9" width="29.5703125" hidden="1" customWidth="1"/>
    <col min="10" max="10" width="29.42578125" customWidth="1"/>
    <col min="11" max="11" width="17.5703125" style="1" hidden="1" customWidth="1"/>
    <col min="12" max="13" width="16.42578125" style="1" hidden="1" customWidth="1"/>
    <col min="14" max="14" width="19.7109375" style="1" hidden="1" customWidth="1"/>
    <col min="15" max="16" width="14.140625" style="1" hidden="1" customWidth="1"/>
    <col min="17" max="17" width="14.140625" hidden="1" customWidth="1"/>
    <col min="18" max="18" width="15.85546875" hidden="1" customWidth="1"/>
    <col min="19" max="19" width="18.42578125" style="1" customWidth="1"/>
    <col min="20" max="20" width="17.42578125" customWidth="1"/>
    <col min="21" max="21" width="33" style="50" hidden="1"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46058</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46058</v>
      </c>
      <c r="N3" s="14"/>
      <c r="O3" s="39"/>
      <c r="P3" s="14"/>
      <c r="Q3" s="14"/>
      <c r="R3" s="12">
        <f t="shared" si="1"/>
        <v>54</v>
      </c>
      <c r="S3" s="25">
        <v>45163</v>
      </c>
      <c r="T3" s="12" t="s">
        <v>38</v>
      </c>
      <c r="U3" s="56">
        <f t="shared" si="2"/>
        <v>54</v>
      </c>
      <c r="V3" s="49" t="str">
        <f t="shared" si="3"/>
        <v>Completed:Delayed</v>
      </c>
      <c r="W3" s="52">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46058</v>
      </c>
      <c r="N4" s="14"/>
      <c r="O4" s="39"/>
      <c r="P4" s="14"/>
      <c r="Q4" s="14"/>
      <c r="R4" s="12">
        <f t="shared" si="1"/>
        <v>58</v>
      </c>
      <c r="S4" s="25">
        <v>45280</v>
      </c>
      <c r="T4" s="12" t="s">
        <v>38</v>
      </c>
      <c r="U4" s="56">
        <f t="shared" si="2"/>
        <v>58</v>
      </c>
      <c r="V4" s="49" t="str">
        <f t="shared" si="3"/>
        <v>Completed:Delayed</v>
      </c>
      <c r="W4" s="52">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46058</v>
      </c>
      <c r="N5" s="13"/>
      <c r="O5" s="13"/>
      <c r="P5" s="13"/>
      <c r="Q5" s="12"/>
      <c r="R5" s="12">
        <f t="shared" si="1"/>
        <v>93</v>
      </c>
      <c r="S5" s="25">
        <v>43787</v>
      </c>
      <c r="T5" s="12" t="s">
        <v>38</v>
      </c>
      <c r="U5" s="56">
        <f t="shared" si="2"/>
        <v>93</v>
      </c>
      <c r="V5" s="49" t="str">
        <f t="shared" si="3"/>
        <v>Completed:Delayed</v>
      </c>
      <c r="W5" s="52">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46058</v>
      </c>
      <c r="N6" s="13"/>
      <c r="O6" s="13"/>
      <c r="P6" s="13"/>
      <c r="Q6" s="12"/>
      <c r="R6" s="12">
        <f t="shared" si="1"/>
        <v>34</v>
      </c>
      <c r="S6" s="25">
        <v>43813</v>
      </c>
      <c r="T6" s="12" t="s">
        <v>38</v>
      </c>
      <c r="U6" s="56">
        <f t="shared" si="2"/>
        <v>34</v>
      </c>
      <c r="V6" s="49" t="str">
        <f t="shared" si="3"/>
        <v xml:space="preserve"> Completed:On time</v>
      </c>
      <c r="W6" s="52">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46058</v>
      </c>
      <c r="N7" s="14">
        <f ca="1">DATEDIF(L7,M7,"M") +1</f>
        <v>168</v>
      </c>
      <c r="O7" s="39"/>
      <c r="P7" s="14"/>
      <c r="Q7" s="14"/>
      <c r="R7" s="12">
        <f t="shared" ca="1" si="1"/>
        <v>168</v>
      </c>
      <c r="S7" s="25">
        <v>45183</v>
      </c>
      <c r="T7" s="12" t="s">
        <v>38</v>
      </c>
      <c r="U7" s="56">
        <f t="shared" si="2"/>
        <v>139</v>
      </c>
      <c r="V7" s="49" t="str">
        <f t="shared" si="3"/>
        <v>Completed:Delayed</v>
      </c>
      <c r="W7" s="52">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46058</v>
      </c>
      <c r="N8" s="13"/>
      <c r="O8" s="13"/>
      <c r="P8" s="13"/>
      <c r="Q8" s="12"/>
      <c r="R8" s="12">
        <f t="shared" si="1"/>
        <v>56</v>
      </c>
      <c r="S8" s="25">
        <v>43038</v>
      </c>
      <c r="T8" s="12" t="s">
        <v>38</v>
      </c>
      <c r="U8" s="56">
        <f t="shared" si="2"/>
        <v>56</v>
      </c>
      <c r="V8" s="49" t="str">
        <f t="shared" si="3"/>
        <v>Completed:Delayed</v>
      </c>
      <c r="W8" s="52">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46058</v>
      </c>
      <c r="N9" s="14"/>
      <c r="O9" s="39"/>
      <c r="P9" s="14"/>
      <c r="Q9" s="14"/>
      <c r="R9" s="12">
        <f t="shared" si="1"/>
        <v>51</v>
      </c>
      <c r="S9" s="25">
        <v>44682</v>
      </c>
      <c r="T9" s="12" t="s">
        <v>38</v>
      </c>
      <c r="U9" s="56">
        <f t="shared" si="2"/>
        <v>51</v>
      </c>
      <c r="V9" s="49" t="str">
        <f t="shared" si="3"/>
        <v xml:space="preserve"> Completed:On time</v>
      </c>
      <c r="W9" s="52">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46058</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hidden="1"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46058</v>
      </c>
      <c r="N11" s="13"/>
      <c r="O11" s="13"/>
      <c r="P11" s="13"/>
      <c r="Q11" s="12"/>
      <c r="R11" s="12">
        <f t="shared" si="1"/>
        <v>52</v>
      </c>
      <c r="S11" s="25">
        <v>42916</v>
      </c>
      <c r="T11" s="12" t="s">
        <v>38</v>
      </c>
      <c r="U11" s="56">
        <f t="shared" si="2"/>
        <v>52</v>
      </c>
      <c r="V11" s="49" t="str">
        <f t="shared" si="3"/>
        <v>Completed:Delayed</v>
      </c>
      <c r="W11" s="52">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46058</v>
      </c>
      <c r="N12" s="13"/>
      <c r="O12" s="13"/>
      <c r="P12" s="13"/>
      <c r="Q12" s="12"/>
      <c r="R12" s="12">
        <f t="shared" si="1"/>
        <v>69</v>
      </c>
      <c r="S12" s="25">
        <v>43799</v>
      </c>
      <c r="T12" s="12" t="s">
        <v>38</v>
      </c>
      <c r="U12" s="56">
        <f t="shared" si="2"/>
        <v>69</v>
      </c>
      <c r="V12" s="49" t="str">
        <f t="shared" si="3"/>
        <v>Completed:Delayed</v>
      </c>
      <c r="W12" s="52">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46058</v>
      </c>
      <c r="N13" s="14"/>
      <c r="O13" s="25"/>
      <c r="P13" s="25"/>
      <c r="Q13" s="14"/>
      <c r="R13" s="12">
        <f t="shared" si="1"/>
        <v>59</v>
      </c>
      <c r="S13" s="25">
        <v>45313</v>
      </c>
      <c r="T13" s="12" t="s">
        <v>38</v>
      </c>
      <c r="U13" s="56">
        <f t="shared" si="2"/>
        <v>59</v>
      </c>
      <c r="V13" s="49" t="str">
        <f t="shared" si="3"/>
        <v>Completed:Delayed</v>
      </c>
      <c r="W13" s="52">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46058</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46058</v>
      </c>
      <c r="N15" s="14">
        <f ca="1">DATEDIF(L15,M15,"M") +1</f>
        <v>72</v>
      </c>
      <c r="O15" s="39"/>
      <c r="P15" s="14"/>
      <c r="Q15" s="14"/>
      <c r="R15" s="12">
        <f t="shared" ca="1" si="1"/>
        <v>72</v>
      </c>
      <c r="S15" s="25">
        <v>45538</v>
      </c>
      <c r="T15" s="12" t="s">
        <v>38</v>
      </c>
      <c r="U15" s="56">
        <f t="shared" si="2"/>
        <v>55</v>
      </c>
      <c r="V15" s="49" t="str">
        <f t="shared" si="3"/>
        <v>Completed:Delayed</v>
      </c>
      <c r="W15" s="52">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46058</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46058</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46058</v>
      </c>
      <c r="N18" s="13"/>
      <c r="O18" s="13"/>
      <c r="P18" s="13"/>
      <c r="Q18" s="12"/>
      <c r="R18" s="12">
        <f t="shared" si="1"/>
        <v>82</v>
      </c>
      <c r="S18" s="25">
        <v>43819</v>
      </c>
      <c r="T18" s="12" t="s">
        <v>38</v>
      </c>
      <c r="U18" s="56">
        <f t="shared" si="2"/>
        <v>82</v>
      </c>
      <c r="V18" s="49" t="str">
        <f t="shared" si="3"/>
        <v>Completed:Delayed</v>
      </c>
      <c r="W18" s="52">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46058</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46058</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46058</v>
      </c>
      <c r="N21" s="14"/>
      <c r="O21" s="39"/>
      <c r="P21" s="14"/>
      <c r="Q21" s="14"/>
      <c r="R21" s="12">
        <f t="shared" si="1"/>
        <v>58</v>
      </c>
      <c r="S21" s="25">
        <v>44900</v>
      </c>
      <c r="T21" s="12" t="s">
        <v>38</v>
      </c>
      <c r="U21" s="56">
        <f t="shared" si="2"/>
        <v>58</v>
      </c>
      <c r="V21" s="49" t="str">
        <f t="shared" si="3"/>
        <v>Completed:Delayed</v>
      </c>
      <c r="W21" s="52">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46058</v>
      </c>
      <c r="N22" s="13"/>
      <c r="O22" s="13"/>
      <c r="P22" s="13"/>
      <c r="Q22" s="12"/>
      <c r="R22" s="12">
        <f t="shared" si="1"/>
        <v>57</v>
      </c>
      <c r="S22" s="25">
        <v>42704</v>
      </c>
      <c r="T22" s="12" t="s">
        <v>38</v>
      </c>
      <c r="U22" s="56">
        <f t="shared" si="2"/>
        <v>57</v>
      </c>
      <c r="V22" s="49" t="str">
        <f t="shared" si="3"/>
        <v>Completed:Delayed</v>
      </c>
      <c r="W22" s="52">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46058</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46058</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46058</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46058</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46058</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46058</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46058</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hidden="1"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46058</v>
      </c>
      <c r="N30" s="14">
        <f ca="1">DATEDIF(L30,M30,"M") +1</f>
        <v>168</v>
      </c>
      <c r="O30" s="39"/>
      <c r="P30" s="14"/>
      <c r="Q30" s="14"/>
      <c r="R30" s="12">
        <f t="shared" ca="1" si="1"/>
        <v>168</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46058</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46058</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46058</v>
      </c>
      <c r="N33" s="14"/>
      <c r="O33" s="39"/>
      <c r="P33" s="14"/>
      <c r="Q33" s="14"/>
      <c r="R33" s="12">
        <f t="shared" si="1"/>
        <v>91</v>
      </c>
      <c r="S33" s="26">
        <v>44442</v>
      </c>
      <c r="T33" s="12" t="s">
        <v>38</v>
      </c>
      <c r="U33" s="56">
        <f t="shared" si="5"/>
        <v>91</v>
      </c>
      <c r="V33" s="49" t="str">
        <f t="shared" si="6"/>
        <v>Completed:Delayed</v>
      </c>
      <c r="W33" s="52">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46058</v>
      </c>
      <c r="N34" s="14"/>
      <c r="O34" s="39"/>
      <c r="P34" s="14"/>
      <c r="Q34" s="14"/>
      <c r="R34" s="12">
        <f t="shared" si="1"/>
        <v>55</v>
      </c>
      <c r="S34" s="25">
        <v>44468</v>
      </c>
      <c r="T34" s="12" t="s">
        <v>38</v>
      </c>
      <c r="U34" s="56">
        <f t="shared" si="5"/>
        <v>55</v>
      </c>
      <c r="V34" s="49" t="str">
        <f t="shared" si="6"/>
        <v>Completed:Delayed</v>
      </c>
      <c r="W34" s="52">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46058</v>
      </c>
      <c r="N35" s="13"/>
      <c r="O35" s="13"/>
      <c r="P35" s="13"/>
      <c r="Q35" s="12"/>
      <c r="R35" s="12">
        <f t="shared" si="1"/>
        <v>58</v>
      </c>
      <c r="S35" s="25">
        <v>43830</v>
      </c>
      <c r="T35" s="12" t="s">
        <v>38</v>
      </c>
      <c r="U35" s="56">
        <f t="shared" si="5"/>
        <v>58</v>
      </c>
      <c r="V35" s="49" t="str">
        <f t="shared" si="6"/>
        <v>Completed:Delayed</v>
      </c>
      <c r="W35" s="52">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46058</v>
      </c>
      <c r="N36" s="14"/>
      <c r="O36" s="39"/>
      <c r="P36" s="14"/>
      <c r="Q36" s="14"/>
      <c r="R36" s="12">
        <f t="shared" si="1"/>
        <v>82</v>
      </c>
      <c r="S36" s="25">
        <v>45273</v>
      </c>
      <c r="T36" s="12" t="s">
        <v>38</v>
      </c>
      <c r="U36" s="56">
        <f t="shared" si="5"/>
        <v>82</v>
      </c>
      <c r="V36" s="49" t="str">
        <f t="shared" si="6"/>
        <v>Completed:Delayed</v>
      </c>
      <c r="W36" s="52">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46058</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46058</v>
      </c>
      <c r="N38" s="13"/>
      <c r="O38" s="13"/>
      <c r="P38" s="13"/>
      <c r="Q38" s="12"/>
      <c r="R38" s="12">
        <f t="shared" si="1"/>
        <v>57</v>
      </c>
      <c r="S38" s="25">
        <v>43069</v>
      </c>
      <c r="T38" s="12" t="s">
        <v>38</v>
      </c>
      <c r="U38" s="56">
        <f t="shared" si="8"/>
        <v>57</v>
      </c>
      <c r="V38" s="49" t="str">
        <f t="shared" si="9"/>
        <v>Completed:Delayed</v>
      </c>
      <c r="W38" s="52">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46058</v>
      </c>
      <c r="N39" s="14"/>
      <c r="O39" s="39"/>
      <c r="P39" s="14"/>
      <c r="Q39" s="14"/>
      <c r="R39" s="12">
        <f t="shared" si="1"/>
        <v>55</v>
      </c>
      <c r="S39" s="25">
        <v>45174</v>
      </c>
      <c r="T39" s="12" t="s">
        <v>38</v>
      </c>
      <c r="U39" s="56">
        <f t="shared" si="8"/>
        <v>55</v>
      </c>
      <c r="V39" s="49" t="str">
        <f t="shared" si="9"/>
        <v>Completed:Delayed</v>
      </c>
      <c r="W39" s="52">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46058</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46058</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46058</v>
      </c>
      <c r="N42" s="14"/>
      <c r="O42" s="39"/>
      <c r="P42" s="14"/>
      <c r="Q42" s="14"/>
      <c r="R42" s="12">
        <f t="shared" si="1"/>
        <v>89</v>
      </c>
      <c r="S42" s="25">
        <v>44392</v>
      </c>
      <c r="T42" s="12" t="s">
        <v>38</v>
      </c>
      <c r="U42" s="56">
        <f t="shared" si="8"/>
        <v>89</v>
      </c>
      <c r="V42" s="49" t="str">
        <f t="shared" si="9"/>
        <v>Completed:Delayed</v>
      </c>
      <c r="W42" s="52">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46058</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46058</v>
      </c>
      <c r="N44" s="13"/>
      <c r="O44" s="13"/>
      <c r="P44" s="13"/>
      <c r="Q44" s="12"/>
      <c r="R44" s="12">
        <f t="shared" si="1"/>
        <v>57</v>
      </c>
      <c r="S44" s="25">
        <v>42704</v>
      </c>
      <c r="T44" s="12" t="s">
        <v>38</v>
      </c>
      <c r="U44" s="56">
        <f t="shared" si="8"/>
        <v>57</v>
      </c>
      <c r="V44" s="49" t="str">
        <f t="shared" si="9"/>
        <v>Completed:Delayed</v>
      </c>
      <c r="W44" s="52">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46058</v>
      </c>
      <c r="N45" s="14"/>
      <c r="O45" s="39"/>
      <c r="P45" s="14"/>
      <c r="Q45" s="14"/>
      <c r="R45" s="12">
        <f t="shared" si="1"/>
        <v>101</v>
      </c>
      <c r="S45" s="25">
        <v>44746</v>
      </c>
      <c r="T45" s="12" t="s">
        <v>38</v>
      </c>
      <c r="U45" s="56">
        <f t="shared" si="8"/>
        <v>101</v>
      </c>
      <c r="V45" s="49" t="str">
        <f t="shared" si="9"/>
        <v>Completed:Delayed</v>
      </c>
      <c r="W45" s="52">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46058</v>
      </c>
      <c r="N46" s="14">
        <f ca="1">DATEDIF(L46,M46,"M") +1</f>
        <v>156</v>
      </c>
      <c r="O46" s="39"/>
      <c r="P46" s="14"/>
      <c r="Q46" s="14"/>
      <c r="R46" s="12">
        <f t="shared" ca="1" si="1"/>
        <v>156</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46058</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hidden="1"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46058</v>
      </c>
      <c r="N48" s="14">
        <f ca="1">DATEDIF(L48,M48,"M") +1</f>
        <v>156</v>
      </c>
      <c r="O48" s="39"/>
      <c r="P48" s="14"/>
      <c r="Q48" s="14"/>
      <c r="R48" s="12">
        <f t="shared" ca="1" si="1"/>
        <v>156</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46058</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46058</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46058</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46058</v>
      </c>
      <c r="N52" s="14"/>
      <c r="O52" s="39"/>
      <c r="P52" s="14"/>
      <c r="Q52" s="14"/>
      <c r="R52" s="12">
        <f t="shared" si="1"/>
        <v>60</v>
      </c>
      <c r="S52" s="25">
        <v>45337</v>
      </c>
      <c r="T52" s="12" t="s">
        <v>38</v>
      </c>
      <c r="U52" s="56">
        <f t="shared" si="11"/>
        <v>60</v>
      </c>
      <c r="V52" s="49" t="str">
        <f t="shared" si="12"/>
        <v>Completed:Delayed</v>
      </c>
      <c r="W52" s="52">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46058</v>
      </c>
      <c r="N53" s="13"/>
      <c r="O53" s="13"/>
      <c r="P53" s="13"/>
      <c r="Q53" s="12"/>
      <c r="R53" s="12">
        <f t="shared" si="1"/>
        <v>67</v>
      </c>
      <c r="S53" s="25">
        <v>42674</v>
      </c>
      <c r="T53" s="12" t="s">
        <v>38</v>
      </c>
      <c r="U53" s="56">
        <f t="shared" si="11"/>
        <v>67</v>
      </c>
      <c r="V53" s="49" t="str">
        <f t="shared" si="12"/>
        <v>Completed:Delayed</v>
      </c>
      <c r="W53" s="52">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46058</v>
      </c>
      <c r="N54" s="13"/>
      <c r="O54" s="13"/>
      <c r="P54" s="13"/>
      <c r="Q54" s="12"/>
      <c r="R54" s="12">
        <f t="shared" si="1"/>
        <v>101</v>
      </c>
      <c r="S54" s="25">
        <v>43699</v>
      </c>
      <c r="T54" s="12" t="s">
        <v>38</v>
      </c>
      <c r="U54" s="56">
        <f t="shared" si="11"/>
        <v>101</v>
      </c>
      <c r="V54" s="49" t="str">
        <f t="shared" si="12"/>
        <v>Completed:Delayed</v>
      </c>
      <c r="W54" s="52">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46058</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46058</v>
      </c>
      <c r="N56" s="13"/>
      <c r="O56" s="13"/>
      <c r="P56" s="13"/>
      <c r="Q56" s="12"/>
      <c r="R56" s="12">
        <f t="shared" si="1"/>
        <v>58</v>
      </c>
      <c r="S56" s="25">
        <v>42735</v>
      </c>
      <c r="T56" s="12" t="s">
        <v>38</v>
      </c>
      <c r="U56" s="56">
        <f t="shared" si="11"/>
        <v>58</v>
      </c>
      <c r="V56" s="49" t="str">
        <f t="shared" si="12"/>
        <v>Completed:Delayed</v>
      </c>
      <c r="W56" s="52">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46058</v>
      </c>
      <c r="N57" s="14">
        <f ca="1">DATEDIF(L57,M57,"M") +1</f>
        <v>156</v>
      </c>
      <c r="O57" s="39"/>
      <c r="P57" s="14"/>
      <c r="Q57" s="14"/>
      <c r="R57" s="12">
        <f t="shared" ca="1" si="1"/>
        <v>156</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46058</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46058</v>
      </c>
      <c r="N59" s="14">
        <f ca="1">DATEDIF(L59,M59,"M") +1</f>
        <v>96</v>
      </c>
      <c r="O59" s="39"/>
      <c r="P59" s="14"/>
      <c r="Q59" s="14"/>
      <c r="R59" s="12">
        <f t="shared" ca="1" si="1"/>
        <v>96</v>
      </c>
      <c r="S59" s="25">
        <v>45247</v>
      </c>
      <c r="T59" s="12" t="s">
        <v>38</v>
      </c>
      <c r="U59" s="56">
        <f t="shared" si="14"/>
        <v>69</v>
      </c>
      <c r="V59" s="49" t="str">
        <f t="shared" si="15"/>
        <v>Completed:Delayed</v>
      </c>
      <c r="W59" s="52">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46058</v>
      </c>
      <c r="N60" s="14"/>
      <c r="O60" s="39"/>
      <c r="P60" s="14"/>
      <c r="Q60" s="14"/>
      <c r="R60" s="12">
        <f t="shared" si="1"/>
        <v>69</v>
      </c>
      <c r="S60" s="25">
        <v>44879</v>
      </c>
      <c r="T60" s="12" t="s">
        <v>38</v>
      </c>
      <c r="U60" s="56">
        <f t="shared" si="14"/>
        <v>69</v>
      </c>
      <c r="V60" s="49" t="str">
        <f t="shared" si="15"/>
        <v>Completed:Delayed</v>
      </c>
      <c r="W60" s="52">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46058</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46058</v>
      </c>
      <c r="N62" s="14"/>
      <c r="O62" s="39"/>
      <c r="P62" s="14"/>
      <c r="Q62" s="14"/>
      <c r="R62" s="12">
        <f t="shared" si="1"/>
        <v>93</v>
      </c>
      <c r="S62" s="25">
        <v>44508</v>
      </c>
      <c r="T62" s="12" t="s">
        <v>38</v>
      </c>
      <c r="U62" s="56">
        <f t="shared" si="14"/>
        <v>93</v>
      </c>
      <c r="V62" s="49" t="str">
        <f t="shared" si="15"/>
        <v>Completed:Delayed</v>
      </c>
      <c r="W62" s="52">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46058</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46058</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46058</v>
      </c>
      <c r="N65" s="13"/>
      <c r="O65" s="13"/>
      <c r="P65" s="13"/>
      <c r="Q65" s="12"/>
      <c r="R65" s="12">
        <f t="shared" si="18"/>
        <v>59</v>
      </c>
      <c r="S65" s="25">
        <v>43832</v>
      </c>
      <c r="T65" s="12" t="s">
        <v>38</v>
      </c>
      <c r="U65" s="56">
        <f t="shared" si="14"/>
        <v>59</v>
      </c>
      <c r="V65" s="49" t="str">
        <f t="shared" si="15"/>
        <v>Completed:Delayed</v>
      </c>
      <c r="W65" s="52">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46058</v>
      </c>
      <c r="N66" s="14">
        <f ca="1">DATEDIF(L66,M66,"M") +1</f>
        <v>96</v>
      </c>
      <c r="O66" s="39"/>
      <c r="P66" s="14"/>
      <c r="Q66" s="14"/>
      <c r="R66" s="12">
        <f t="shared" ca="1" si="18"/>
        <v>96</v>
      </c>
      <c r="S66" s="25">
        <v>45498</v>
      </c>
      <c r="T66" s="12" t="s">
        <v>38</v>
      </c>
      <c r="U66" s="56">
        <f t="shared" si="14"/>
        <v>77</v>
      </c>
      <c r="V66" s="49" t="str">
        <f t="shared" si="15"/>
        <v>Completed:Delayed</v>
      </c>
      <c r="W66" s="52">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46058</v>
      </c>
      <c r="N67" s="13"/>
      <c r="O67" s="13"/>
      <c r="P67" s="13"/>
      <c r="Q67" s="12"/>
      <c r="R67" s="12">
        <f t="shared" si="18"/>
        <v>76</v>
      </c>
      <c r="S67" s="25">
        <v>42947</v>
      </c>
      <c r="T67" s="12" t="s">
        <v>38</v>
      </c>
      <c r="U67" s="56">
        <f t="shared" si="14"/>
        <v>76</v>
      </c>
      <c r="V67" s="49" t="str">
        <f t="shared" si="15"/>
        <v>Completed:Delayed</v>
      </c>
      <c r="W67" s="52">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46058</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46058</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46058</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46058</v>
      </c>
      <c r="N71" s="13"/>
      <c r="O71" s="13"/>
      <c r="P71" s="13"/>
      <c r="Q71" s="12"/>
      <c r="R71" s="12">
        <f t="shared" si="18"/>
        <v>65</v>
      </c>
      <c r="S71" s="25">
        <v>42613</v>
      </c>
      <c r="T71" s="12" t="s">
        <v>38</v>
      </c>
      <c r="U71" s="56">
        <f t="shared" si="14"/>
        <v>65</v>
      </c>
      <c r="V71" s="49" t="str">
        <f t="shared" si="15"/>
        <v>Completed:Delayed</v>
      </c>
      <c r="W71" s="52">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46058</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46058</v>
      </c>
      <c r="N73" s="14">
        <f ca="1">DATEDIF(L73,M73,"M") +1</f>
        <v>144</v>
      </c>
      <c r="O73" s="39"/>
      <c r="P73" s="14"/>
      <c r="Q73" s="14"/>
      <c r="R73" s="12">
        <f t="shared" ca="1" si="18"/>
        <v>144</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46058</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46058</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46058</v>
      </c>
      <c r="N76" s="14"/>
      <c r="O76" s="39"/>
      <c r="P76" s="14"/>
      <c r="Q76" s="14"/>
      <c r="R76" s="12">
        <f t="shared" si="18"/>
        <v>70</v>
      </c>
      <c r="S76" s="25">
        <v>44539</v>
      </c>
      <c r="T76" s="12" t="s">
        <v>38</v>
      </c>
      <c r="U76" s="56">
        <f t="shared" si="19"/>
        <v>70</v>
      </c>
      <c r="V76" s="49" t="str">
        <f t="shared" si="20"/>
        <v>Completed:Delayed</v>
      </c>
      <c r="W76" s="52">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46058</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46058</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46058</v>
      </c>
      <c r="N79" s="13"/>
      <c r="O79" s="13"/>
      <c r="P79" s="13"/>
      <c r="Q79" s="12"/>
      <c r="R79" s="12">
        <f t="shared" si="18"/>
        <v>56</v>
      </c>
      <c r="S79" s="25">
        <v>43399</v>
      </c>
      <c r="T79" s="12" t="s">
        <v>38</v>
      </c>
      <c r="U79" s="56">
        <f t="shared" si="19"/>
        <v>56</v>
      </c>
      <c r="V79" s="49" t="str">
        <f t="shared" si="20"/>
        <v>Completed:Delayed</v>
      </c>
      <c r="W79" s="52">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46058</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46058</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46058</v>
      </c>
      <c r="N82" s="13"/>
      <c r="O82" s="13"/>
      <c r="P82" s="13"/>
      <c r="Q82" s="12"/>
      <c r="R82" s="12">
        <f t="shared" si="18"/>
        <v>70</v>
      </c>
      <c r="S82" s="25">
        <v>43830</v>
      </c>
      <c r="T82" s="12" t="s">
        <v>38</v>
      </c>
      <c r="U82" s="56">
        <f t="shared" si="19"/>
        <v>70</v>
      </c>
      <c r="V82" s="49" t="str">
        <f t="shared" si="20"/>
        <v>Completed:Delayed</v>
      </c>
      <c r="W82" s="52">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46058</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46058</v>
      </c>
      <c r="N84" s="14">
        <f ca="1">DATEDIF(L84,M84,"M") +1</f>
        <v>72</v>
      </c>
      <c r="O84" s="39"/>
      <c r="P84" s="14"/>
      <c r="Q84" s="14"/>
      <c r="R84" s="12">
        <f t="shared" ca="1" si="18"/>
        <v>72</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46058</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46058</v>
      </c>
      <c r="N86" s="14">
        <f ca="1">DATEDIF(L86,M86,"M") +1</f>
        <v>72</v>
      </c>
      <c r="O86" s="39"/>
      <c r="P86" s="14"/>
      <c r="Q86" s="14"/>
      <c r="R86" s="12">
        <f t="shared" ca="1" si="18"/>
        <v>72</v>
      </c>
      <c r="S86" s="25">
        <v>45590</v>
      </c>
      <c r="T86" s="12" t="s">
        <v>38</v>
      </c>
      <c r="U86" s="56">
        <f t="shared" si="19"/>
        <v>56</v>
      </c>
      <c r="V86" s="49" t="str">
        <f t="shared" si="20"/>
        <v>Completed:Delayed</v>
      </c>
      <c r="W86" s="52">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46058</v>
      </c>
      <c r="N87" s="13"/>
      <c r="O87" s="13"/>
      <c r="P87" s="13"/>
      <c r="Q87" s="12"/>
      <c r="R87" s="12">
        <f t="shared" si="18"/>
        <v>69</v>
      </c>
      <c r="S87" s="25">
        <v>44160</v>
      </c>
      <c r="T87" s="12" t="s">
        <v>38</v>
      </c>
      <c r="U87" s="56">
        <f t="shared" si="19"/>
        <v>69</v>
      </c>
      <c r="V87" s="49" t="str">
        <f t="shared" si="20"/>
        <v>Completed:Delayed</v>
      </c>
      <c r="W87" s="52">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46058</v>
      </c>
      <c r="N88" s="13"/>
      <c r="O88" s="13"/>
      <c r="P88" s="13"/>
      <c r="Q88" s="12"/>
      <c r="R88" s="12">
        <f t="shared" si="18"/>
        <v>56</v>
      </c>
      <c r="S88" s="25">
        <v>43769</v>
      </c>
      <c r="T88" s="12" t="s">
        <v>38</v>
      </c>
      <c r="U88" s="56">
        <f t="shared" si="19"/>
        <v>56</v>
      </c>
      <c r="V88" s="49" t="str">
        <f t="shared" si="20"/>
        <v>Completed:Delayed</v>
      </c>
      <c r="W88" s="52">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46058</v>
      </c>
      <c r="N89" s="14"/>
      <c r="O89" s="39"/>
      <c r="P89" s="14"/>
      <c r="Q89" s="14"/>
      <c r="R89" s="12">
        <f t="shared" si="18"/>
        <v>72</v>
      </c>
      <c r="S89" s="25">
        <v>44607</v>
      </c>
      <c r="T89" s="12" t="s">
        <v>38</v>
      </c>
      <c r="U89" s="56">
        <f t="shared" si="19"/>
        <v>72</v>
      </c>
      <c r="V89" s="49" t="str">
        <f t="shared" si="20"/>
        <v>Completed:Delayed</v>
      </c>
      <c r="W89" s="52">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46058</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46058</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46058</v>
      </c>
      <c r="N92" s="14">
        <f ca="1">DATEDIF(L92,M92,"M") +1</f>
        <v>132</v>
      </c>
      <c r="O92" s="39"/>
      <c r="P92" s="14"/>
      <c r="Q92" s="14"/>
      <c r="R92" s="12">
        <f t="shared" ca="1" si="18"/>
        <v>132</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46058</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46058</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46058</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hidden="1"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46058</v>
      </c>
      <c r="N96" s="14">
        <f ca="1">DATEDIF(L96,M96,"M") +1</f>
        <v>132</v>
      </c>
      <c r="O96" s="39"/>
      <c r="P96" s="14"/>
      <c r="Q96" s="14"/>
      <c r="R96" s="12">
        <f t="shared" ca="1" si="18"/>
        <v>132</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46058</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46058</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46058</v>
      </c>
      <c r="N99" s="14">
        <f ca="1">DATEDIF(L99,M99,"M") +1</f>
        <v>120</v>
      </c>
      <c r="O99" s="39"/>
      <c r="P99" s="14"/>
      <c r="Q99" s="14"/>
      <c r="R99" s="12">
        <f t="shared" ca="1" si="18"/>
        <v>120</v>
      </c>
      <c r="S99" s="25">
        <v>45610</v>
      </c>
      <c r="T99" s="12" t="s">
        <v>38</v>
      </c>
      <c r="U99" s="56">
        <f>DATEDIF(L99,S99,"M")+1-Q99</f>
        <v>105</v>
      </c>
      <c r="V99" s="49" t="str">
        <f>IF(U99&gt;51,"Completed:Delayed"," Completed:On time")</f>
        <v>Completed:Delayed</v>
      </c>
      <c r="W99" s="52">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46058</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46058</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46058</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46058</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46058</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46058</v>
      </c>
      <c r="N105" s="14">
        <f ca="1">DATEDIF(L105,M105,"M") +1</f>
        <v>72</v>
      </c>
      <c r="O105" s="39"/>
      <c r="P105" s="14"/>
      <c r="Q105" s="14"/>
      <c r="R105" s="12">
        <f t="shared" ca="1" si="18"/>
        <v>72</v>
      </c>
      <c r="S105" s="25">
        <v>45596</v>
      </c>
      <c r="T105" s="12" t="s">
        <v>38</v>
      </c>
      <c r="U105" s="56">
        <f t="shared" si="22"/>
        <v>56</v>
      </c>
      <c r="V105" s="49" t="str">
        <f t="shared" si="23"/>
        <v>Completed:Delayed</v>
      </c>
      <c r="W105" s="52">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46058</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46058</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46058</v>
      </c>
      <c r="N108" s="14">
        <f ca="1">DATEDIF(L108,M108,"M") +1</f>
        <v>84</v>
      </c>
      <c r="O108" s="39"/>
      <c r="P108" s="14"/>
      <c r="Q108" s="14"/>
      <c r="R108" s="12">
        <f t="shared" ca="1" si="18"/>
        <v>84</v>
      </c>
      <c r="S108" s="25">
        <v>45443</v>
      </c>
      <c r="T108" s="12" t="s">
        <v>38</v>
      </c>
      <c r="U108" s="56">
        <f t="shared" si="22"/>
        <v>63</v>
      </c>
      <c r="V108" s="49" t="str">
        <f t="shared" si="23"/>
        <v>Completed:Delayed</v>
      </c>
      <c r="W108" s="52">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46058</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46058</v>
      </c>
      <c r="N110" s="14">
        <f ca="1">DATEDIF(L110,M110,"M") +1</f>
        <v>96</v>
      </c>
      <c r="O110" s="39"/>
      <c r="P110" s="14"/>
      <c r="Q110" s="14"/>
      <c r="R110" s="12">
        <f t="shared" ca="1" si="18"/>
        <v>96</v>
      </c>
      <c r="S110" s="25">
        <v>45610</v>
      </c>
      <c r="T110" s="12" t="s">
        <v>38</v>
      </c>
      <c r="U110" s="56">
        <f t="shared" si="22"/>
        <v>81</v>
      </c>
      <c r="V110" s="49" t="str">
        <f t="shared" si="23"/>
        <v>Completed:Delayed</v>
      </c>
      <c r="W110" s="52">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46058</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46058</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46058</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46058</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46058</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46058</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46058</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46058</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46058</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46058</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46058</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46058</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46058</v>
      </c>
      <c r="N123" s="14">
        <f ca="1">DATEDIF(L123,M123,"M") +1</f>
        <v>108</v>
      </c>
      <c r="O123" s="39"/>
      <c r="P123" s="14"/>
      <c r="Q123" s="14"/>
      <c r="R123" s="12">
        <f t="shared" ca="1" si="18"/>
        <v>108</v>
      </c>
      <c r="S123" s="25">
        <v>45595</v>
      </c>
      <c r="T123" s="12" t="s">
        <v>38</v>
      </c>
      <c r="U123" s="56">
        <f t="shared" si="22"/>
        <v>92</v>
      </c>
      <c r="V123" s="49" t="str">
        <f t="shared" si="23"/>
        <v>Completed:Delayed</v>
      </c>
      <c r="W123" s="52">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46058</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46058</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46058</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46058</v>
      </c>
      <c r="N127" s="14">
        <f ca="1">DATEDIF(L127,M127,"M") +1</f>
        <v>120</v>
      </c>
      <c r="O127" s="39"/>
      <c r="P127" s="14"/>
      <c r="Q127" s="14"/>
      <c r="R127" s="12">
        <f t="shared" ca="1" si="26"/>
        <v>120</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46058</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46058</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46058</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46058</v>
      </c>
      <c r="N131" s="14">
        <f ca="1">DATEDIF(L131,M131,"M") +1</f>
        <v>108</v>
      </c>
      <c r="O131" s="39"/>
      <c r="P131" s="14"/>
      <c r="Q131" s="14"/>
      <c r="R131" s="12">
        <f t="shared" ca="1" si="26"/>
        <v>108</v>
      </c>
      <c r="S131" s="25">
        <v>45852</v>
      </c>
      <c r="T131" s="12" t="s">
        <v>38</v>
      </c>
      <c r="U131" s="56">
        <f>DATEDIF(L131,S131,"M")+1-Q131</f>
        <v>101</v>
      </c>
      <c r="V131" s="49" t="str">
        <f>IF(U131&gt;51,"Completed:Delayed"," Completed:On time")</f>
        <v>Completed:Delayed</v>
      </c>
      <c r="W131" s="52">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46058</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46058</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46058</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46058</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46058</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46058</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46058</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46058</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46058</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46058</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46058</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46058</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46058</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46058</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46058</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46058</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46058</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46058</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46058</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46058</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46058</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46058</v>
      </c>
      <c r="N153" s="14">
        <f ca="1">DATEDIF(L153,M153,"M") +1</f>
        <v>96</v>
      </c>
      <c r="O153" s="39"/>
      <c r="P153" s="14"/>
      <c r="Q153" s="14"/>
      <c r="R153" s="12">
        <f t="shared" ca="1" si="26"/>
        <v>96</v>
      </c>
      <c r="S153" s="25">
        <v>45776</v>
      </c>
      <c r="T153" s="12" t="s">
        <v>38</v>
      </c>
      <c r="U153" s="56">
        <f t="shared" si="29"/>
        <v>86</v>
      </c>
      <c r="V153" s="49" t="str">
        <f t="shared" si="30"/>
        <v>Completed:Delayed</v>
      </c>
      <c r="W153" s="52">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46058</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hidden="1"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46058</v>
      </c>
      <c r="N155" s="14">
        <f ca="1">DATEDIF(L155,M155,"M") +1</f>
        <v>96</v>
      </c>
      <c r="O155" s="39"/>
      <c r="P155" s="14"/>
      <c r="Q155" s="14"/>
      <c r="R155" s="12">
        <f t="shared" ca="1" si="26"/>
        <v>96</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46058</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46058</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46058</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46058</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46058</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46058</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46058</v>
      </c>
      <c r="N162" s="14">
        <f ca="1">DATEDIF(L162,M162,"M") +1</f>
        <v>96</v>
      </c>
      <c r="O162" s="39"/>
      <c r="P162" s="14"/>
      <c r="Q162" s="14"/>
      <c r="R162" s="12">
        <f t="shared" ca="1" si="26"/>
        <v>96</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hidden="1"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46058</v>
      </c>
      <c r="N163" s="14">
        <f ca="1">DATEDIF(L163,M163,"M") +1</f>
        <v>96</v>
      </c>
      <c r="O163" s="39"/>
      <c r="P163" s="14"/>
      <c r="Q163" s="14"/>
      <c r="R163" s="12">
        <f t="shared" ca="1" si="26"/>
        <v>96</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46058</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46058</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46058</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46058</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46058</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46058</v>
      </c>
      <c r="N169" s="14">
        <f ca="1">DATEDIF(L169,M169,"M") +1</f>
        <v>96</v>
      </c>
      <c r="O169" s="39"/>
      <c r="P169" s="14"/>
      <c r="Q169" s="14"/>
      <c r="R169" s="12">
        <f t="shared" ca="1" si="26"/>
        <v>96</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46058</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46058</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46058</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hidden="1"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46058</v>
      </c>
      <c r="N173" s="14">
        <f ca="1">DATEDIF(L173,M173,"M") +1</f>
        <v>96</v>
      </c>
      <c r="O173" s="39"/>
      <c r="P173" s="14"/>
      <c r="Q173" s="14"/>
      <c r="R173" s="12">
        <f t="shared" ca="1" si="26"/>
        <v>96</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46058</v>
      </c>
      <c r="N174" s="14">
        <f ca="1">DATEDIF(L174,M174,"M") +1</f>
        <v>96</v>
      </c>
      <c r="O174" s="39"/>
      <c r="P174" s="14"/>
      <c r="Q174" s="14"/>
      <c r="R174" s="12">
        <f t="shared" ca="1" si="26"/>
        <v>96</v>
      </c>
      <c r="S174" s="25">
        <v>45701</v>
      </c>
      <c r="T174" s="12" t="s">
        <v>38</v>
      </c>
      <c r="U174" s="56">
        <f>DATEDIF(L174,S174,"M")+1-Q174</f>
        <v>84</v>
      </c>
      <c r="V174" s="49" t="str">
        <f>IF(U174&gt;51,"Completed:Delayed"," Completed:On time")</f>
        <v>Completed:Delayed</v>
      </c>
      <c r="W174" s="52">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46058</v>
      </c>
      <c r="N175" s="14">
        <f ca="1">DATEDIF(L175,M175,"M") +1</f>
        <v>96</v>
      </c>
      <c r="O175" s="39"/>
      <c r="P175" s="14"/>
      <c r="Q175" s="14"/>
      <c r="R175" s="12">
        <f t="shared" ca="1" si="26"/>
        <v>96</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46058</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46058</v>
      </c>
      <c r="N177" s="14">
        <f ca="1">DATEDIF(L177,M177,"M") +1</f>
        <v>72</v>
      </c>
      <c r="O177" s="25">
        <v>45413</v>
      </c>
      <c r="P177" s="25">
        <v>45535</v>
      </c>
      <c r="Q177" s="14">
        <v>4</v>
      </c>
      <c r="R177" s="12">
        <f t="shared" ca="1" si="26"/>
        <v>72</v>
      </c>
      <c r="S177" s="25">
        <v>45568</v>
      </c>
      <c r="T177" s="12" t="s">
        <v>38</v>
      </c>
      <c r="U177" s="56">
        <f>DATEDIF(L177,S177,"M")+1-Q177</f>
        <v>52</v>
      </c>
      <c r="V177" s="49" t="str">
        <f>IF(U177&gt;51,"Completed:Delayed"," Completed:On time")</f>
        <v>Completed:Delayed</v>
      </c>
      <c r="W177" s="52">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46058</v>
      </c>
      <c r="N178" s="14">
        <f ca="1">DATEDIF(L178,M178,"M") +1</f>
        <v>96</v>
      </c>
      <c r="O178" s="39"/>
      <c r="P178" s="14"/>
      <c r="Q178" s="14"/>
      <c r="R178" s="12">
        <f t="shared" ca="1" si="26"/>
        <v>96</v>
      </c>
      <c r="S178" s="25">
        <v>45610</v>
      </c>
      <c r="T178" s="12" t="s">
        <v>38</v>
      </c>
      <c r="U178" s="56">
        <f>DATEDIF(L178,S178,"M")+1-Q178</f>
        <v>81</v>
      </c>
      <c r="V178" s="49" t="str">
        <f>IF(U178&gt;51,"Completed:Delayed"," Completed:On time")</f>
        <v>Completed:Delayed</v>
      </c>
      <c r="W178" s="52">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46058</v>
      </c>
      <c r="N179" s="14">
        <f ca="1">DATEDIF(L179,M179,"M") +1</f>
        <v>84</v>
      </c>
      <c r="O179" s="39"/>
      <c r="P179" s="14"/>
      <c r="Q179" s="14"/>
      <c r="R179" s="12">
        <f t="shared" ca="1" si="26"/>
        <v>84</v>
      </c>
      <c r="S179" s="25">
        <v>45889</v>
      </c>
      <c r="T179" s="12" t="s">
        <v>38</v>
      </c>
      <c r="U179" s="56">
        <f>DATEDIF(L179,S179,"M")+1-Q179</f>
        <v>78</v>
      </c>
      <c r="V179" s="49" t="str">
        <f>IF(U179&gt;51,"Completed:Delayed"," Completed:On time")</f>
        <v>Completed:Delayed</v>
      </c>
      <c r="W179" s="52">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46058</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46058</v>
      </c>
      <c r="N181" s="14">
        <f ca="1">DATEDIF(L181,M181,"M") +1</f>
        <v>84</v>
      </c>
      <c r="O181" s="25">
        <v>45170</v>
      </c>
      <c r="P181" s="25">
        <v>45473</v>
      </c>
      <c r="Q181" s="14">
        <v>10</v>
      </c>
      <c r="R181" s="12">
        <f t="shared" ca="1" si="26"/>
        <v>84</v>
      </c>
      <c r="S181" s="25">
        <v>45640</v>
      </c>
      <c r="T181" s="12" t="s">
        <v>38</v>
      </c>
      <c r="U181" s="56">
        <f>DATEDIF(L181,S181,"M")+1-Q181</f>
        <v>60</v>
      </c>
      <c r="V181" s="49" t="str">
        <f>IF(U181&gt;51,"Completed:Delayed"," Completed:On time")</f>
        <v>Completed:Delayed</v>
      </c>
      <c r="W181" s="52"/>
    </row>
    <row r="182" spans="1:23" ht="25.35" hidden="1"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46058</v>
      </c>
      <c r="N182" s="14">
        <f ca="1">DATEDIF(L182,M182,"M") +1</f>
        <v>84</v>
      </c>
      <c r="O182" s="39"/>
      <c r="P182" s="14"/>
      <c r="Q182" s="14"/>
      <c r="R182" s="12">
        <f t="shared" ca="1" si="26"/>
        <v>84</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46058</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hidden="1"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46058</v>
      </c>
      <c r="N184" s="14">
        <f ca="1">DATEDIF(L184,M184,"M") +1</f>
        <v>84</v>
      </c>
      <c r="O184" s="39"/>
      <c r="P184" s="14"/>
      <c r="Q184" s="14"/>
      <c r="R184" s="12">
        <f t="shared" ca="1" si="26"/>
        <v>84</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46058</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46058</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46058</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hidden="1"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46058</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46058</v>
      </c>
      <c r="N189" s="14">
        <f ca="1">DATEDIF(L189,M189,"M") +1</f>
        <v>84</v>
      </c>
      <c r="O189" s="39"/>
      <c r="P189" s="14"/>
      <c r="Q189" s="14"/>
      <c r="R189" s="12">
        <f t="shared" ca="1" si="26"/>
        <v>84</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46058</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46058</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46058</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hidden="1"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46058</v>
      </c>
      <c r="N193" s="14">
        <f ca="1">DATEDIF(L193,M193,"M") +1</f>
        <v>84</v>
      </c>
      <c r="O193" s="39"/>
      <c r="P193" s="14"/>
      <c r="Q193" s="14"/>
      <c r="R193" s="12">
        <f t="shared" ca="1" si="36"/>
        <v>84</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46058</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46058</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46058</v>
      </c>
      <c r="N196" s="14">
        <f ca="1">DATEDIF(L196,M196,"M") +1</f>
        <v>84</v>
      </c>
      <c r="O196" s="25">
        <v>45078</v>
      </c>
      <c r="P196" s="25">
        <v>45443</v>
      </c>
      <c r="Q196" s="14">
        <v>12</v>
      </c>
      <c r="R196" s="12">
        <f t="shared" ca="1" si="36"/>
        <v>84</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46058</v>
      </c>
      <c r="N197" s="14">
        <f ca="1">DATEDIF(L197,M197,"M") +1</f>
        <v>84</v>
      </c>
      <c r="O197" s="39"/>
      <c r="P197" s="14"/>
      <c r="Q197" s="14"/>
      <c r="R197" s="12">
        <f t="shared" ca="1" si="36"/>
        <v>84</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46058</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46058</v>
      </c>
      <c r="N199" s="14">
        <f ca="1">DATEDIF(L199,M199,"M") +1</f>
        <v>72</v>
      </c>
      <c r="O199" s="39"/>
      <c r="P199" s="14"/>
      <c r="Q199" s="14"/>
      <c r="R199" s="12">
        <f t="shared" ca="1" si="36"/>
        <v>72</v>
      </c>
      <c r="S199" s="25">
        <v>45936</v>
      </c>
      <c r="T199" s="12" t="s">
        <v>38</v>
      </c>
      <c r="U199" s="56">
        <f>DATEDIF(L199,S199,"M")+1-Q199</f>
        <v>68</v>
      </c>
      <c r="V199" s="49" t="str">
        <f>IF(U199&gt;51,"Completed:Delayed"," Completed:On time")</f>
        <v>Completed:Delayed</v>
      </c>
      <c r="W199" s="52">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46058</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46058</v>
      </c>
      <c r="N201" s="14">
        <f ca="1">DATEDIF(L201,M201,"M") +1</f>
        <v>72</v>
      </c>
      <c r="O201" s="39"/>
      <c r="P201" s="14"/>
      <c r="Q201" s="14"/>
      <c r="R201" s="12">
        <f t="shared" ca="1" si="36"/>
        <v>72</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46058</v>
      </c>
      <c r="N202" s="14">
        <f ca="1">DATEDIF(L202,M202,"M") +1</f>
        <v>72</v>
      </c>
      <c r="O202" s="39"/>
      <c r="P202" s="14"/>
      <c r="Q202" s="14"/>
      <c r="R202" s="12">
        <f t="shared" ca="1" si="36"/>
        <v>72</v>
      </c>
      <c r="S202" s="25">
        <v>45950</v>
      </c>
      <c r="T202" s="12" t="s">
        <v>38</v>
      </c>
      <c r="U202" s="56">
        <f>DATEDIF(L202,S202,"M")+1-Q202</f>
        <v>68</v>
      </c>
      <c r="V202" s="49" t="str">
        <f>IF(U202&gt;51,"Completed:Delayed"," Completed:On time")</f>
        <v>Completed:Delayed</v>
      </c>
      <c r="W202" s="52">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46058</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46058</v>
      </c>
      <c r="N204" s="14">
        <f ca="1">DATEDIF(L204,M204,"M") +1</f>
        <v>120</v>
      </c>
      <c r="O204" s="39"/>
      <c r="P204" s="14"/>
      <c r="Q204" s="14"/>
      <c r="R204" s="12">
        <f t="shared" ca="1" si="36"/>
        <v>120</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46058</v>
      </c>
      <c r="N205" s="14">
        <f ca="1">DATEDIF(L205,M205,"M") +1</f>
        <v>72</v>
      </c>
      <c r="O205" s="39"/>
      <c r="P205" s="14"/>
      <c r="Q205" s="14"/>
      <c r="R205" s="12">
        <f t="shared" ca="1" si="36"/>
        <v>72</v>
      </c>
      <c r="S205" s="25">
        <v>45648</v>
      </c>
      <c r="T205" s="12" t="s">
        <v>38</v>
      </c>
      <c r="U205" s="56">
        <f t="shared" si="37"/>
        <v>58</v>
      </c>
      <c r="V205" s="49" t="str">
        <f t="shared" si="38"/>
        <v>Completed:Delayed</v>
      </c>
      <c r="W205" s="52">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46058</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46058</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46058</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46058</v>
      </c>
      <c r="N209" s="14">
        <f ca="1">DATEDIF(L209,M209,"M") +1</f>
        <v>84</v>
      </c>
      <c r="O209" s="39"/>
      <c r="P209" s="14"/>
      <c r="Q209" s="14"/>
      <c r="R209" s="12">
        <f t="shared" ca="1" si="36"/>
        <v>84</v>
      </c>
      <c r="S209" s="25">
        <v>45483</v>
      </c>
      <c r="T209" s="12" t="s">
        <v>38</v>
      </c>
      <c r="U209" s="56">
        <f t="shared" si="37"/>
        <v>65</v>
      </c>
      <c r="V209" s="49" t="str">
        <f t="shared" si="38"/>
        <v>Completed:Delayed</v>
      </c>
      <c r="W209" s="52">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46058</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46058</v>
      </c>
      <c r="N211" s="14">
        <f t="shared" ref="N211:N216" ca="1" si="40">DATEDIF(L211,M211,"M") +1</f>
        <v>72</v>
      </c>
      <c r="O211" s="39"/>
      <c r="P211" s="14"/>
      <c r="Q211" s="14"/>
      <c r="R211" s="12">
        <f t="shared" ca="1" si="36"/>
        <v>72</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46058</v>
      </c>
      <c r="N212" s="14">
        <f t="shared" ca="1" si="40"/>
        <v>72</v>
      </c>
      <c r="O212" s="39"/>
      <c r="P212" s="14"/>
      <c r="Q212" s="14"/>
      <c r="R212" s="12">
        <f t="shared" ca="1" si="36"/>
        <v>72</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46058</v>
      </c>
      <c r="N213" s="14">
        <f t="shared" ca="1" si="40"/>
        <v>72</v>
      </c>
      <c r="O213" s="39"/>
      <c r="P213" s="14"/>
      <c r="Q213" s="14"/>
      <c r="R213" s="12">
        <f t="shared" ca="1" si="36"/>
        <v>72</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46058</v>
      </c>
      <c r="N214" s="14">
        <f t="shared" ca="1" si="40"/>
        <v>72</v>
      </c>
      <c r="O214" s="39"/>
      <c r="P214" s="14"/>
      <c r="Q214" s="14"/>
      <c r="R214" s="12">
        <f t="shared" ca="1" si="36"/>
        <v>72</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46058</v>
      </c>
      <c r="N215" s="14">
        <f t="shared" ca="1" si="40"/>
        <v>72</v>
      </c>
      <c r="O215" s="39"/>
      <c r="P215" s="14"/>
      <c r="Q215" s="14"/>
      <c r="R215" s="12">
        <f t="shared" ca="1" si="36"/>
        <v>72</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46058</v>
      </c>
      <c r="N216" s="14">
        <f t="shared" ca="1" si="40"/>
        <v>72</v>
      </c>
      <c r="O216" s="39"/>
      <c r="P216" s="14"/>
      <c r="Q216" s="14"/>
      <c r="R216" s="12">
        <f t="shared" ca="1" si="36"/>
        <v>72</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46058</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46058</v>
      </c>
      <c r="N218" s="14">
        <f ca="1">DATEDIF(L218,M218,"M") +1</f>
        <v>72</v>
      </c>
      <c r="O218" s="39"/>
      <c r="P218" s="14"/>
      <c r="Q218" s="14"/>
      <c r="R218" s="12">
        <f t="shared" ca="1" si="36"/>
        <v>72</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46058</v>
      </c>
      <c r="N219" s="14">
        <f ca="1">DATEDIF(L219,M219,"M") +1</f>
        <v>72</v>
      </c>
      <c r="O219" s="39"/>
      <c r="P219" s="14"/>
      <c r="Q219" s="14"/>
      <c r="R219" s="12">
        <f t="shared" ca="1" si="36"/>
        <v>72</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46058</v>
      </c>
      <c r="N220" s="14">
        <f ca="1">DATEDIF(L220,M220,"M") +1</f>
        <v>72</v>
      </c>
      <c r="O220" s="39"/>
      <c r="P220" s="14"/>
      <c r="Q220" s="14"/>
      <c r="R220" s="12">
        <f t="shared" ca="1" si="36"/>
        <v>72</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46058</v>
      </c>
      <c r="N221" s="14">
        <f ca="1">DATEDIF(L221,M221,"M") +1</f>
        <v>72</v>
      </c>
      <c r="O221" s="39"/>
      <c r="P221" s="14"/>
      <c r="Q221" s="14"/>
      <c r="R221" s="12">
        <f t="shared" ca="1" si="36"/>
        <v>72</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46058</v>
      </c>
      <c r="N222" s="14">
        <f ca="1">DATEDIF(L222,M222,"M") +1</f>
        <v>12</v>
      </c>
      <c r="O222" s="39"/>
      <c r="P222" s="14"/>
      <c r="Q222" s="14"/>
      <c r="R222" s="12">
        <f t="shared" ca="1" si="36"/>
        <v>12</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hidden="1">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46058</v>
      </c>
      <c r="N223" s="14">
        <f t="shared" ref="N223:N241" ca="1" si="49">DATEDIF(L223,M223,"M") +1</f>
        <v>12</v>
      </c>
      <c r="O223" s="61"/>
      <c r="P223" s="61"/>
      <c r="Q223" s="59"/>
      <c r="R223" s="12">
        <f t="shared" ca="1" si="36"/>
        <v>12</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hidden="1">
      <c r="A224" s="59">
        <v>223</v>
      </c>
      <c r="B224" s="59" t="s">
        <v>858</v>
      </c>
      <c r="C224" s="59" t="s">
        <v>859</v>
      </c>
      <c r="D224" s="59"/>
      <c r="E224" s="59" t="s">
        <v>860</v>
      </c>
      <c r="F224" s="59" t="s">
        <v>41</v>
      </c>
      <c r="G224" s="59">
        <v>11</v>
      </c>
      <c r="H224" s="59" t="s">
        <v>117</v>
      </c>
      <c r="I224" s="59" t="s">
        <v>11</v>
      </c>
      <c r="J224" s="59" t="s">
        <v>11</v>
      </c>
      <c r="K224" s="61"/>
      <c r="L224" s="61">
        <v>45717</v>
      </c>
      <c r="M224" s="15">
        <f t="shared" ca="1" si="35"/>
        <v>46058</v>
      </c>
      <c r="N224" s="14">
        <f t="shared" ca="1" si="49"/>
        <v>12</v>
      </c>
      <c r="O224" s="61"/>
      <c r="P224" s="61"/>
      <c r="Q224" s="59"/>
      <c r="R224" s="12">
        <f t="shared" ca="1" si="36"/>
        <v>12</v>
      </c>
      <c r="S224" s="61"/>
      <c r="T224" s="59" t="s">
        <v>44</v>
      </c>
      <c r="U224" s="60" t="str">
        <f t="shared" ca="1" si="50"/>
        <v>In progress: Below 60 Months</v>
      </c>
      <c r="V224" s="60" t="str">
        <f t="shared" ca="1" si="51"/>
        <v>In progress: Below 60 Months</v>
      </c>
      <c r="W224" s="53"/>
    </row>
    <row r="225" spans="1:22" ht="15.95" hidden="1">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46058</v>
      </c>
      <c r="N225" s="14">
        <f t="shared" ca="1" si="49"/>
        <v>12</v>
      </c>
      <c r="O225" s="61"/>
      <c r="P225" s="61"/>
      <c r="Q225" s="59"/>
      <c r="R225" s="12">
        <f t="shared" ca="1" si="36"/>
        <v>12</v>
      </c>
      <c r="S225" s="61"/>
      <c r="T225" s="59" t="s">
        <v>44</v>
      </c>
      <c r="U225" s="60" t="str">
        <f t="shared" ca="1" si="50"/>
        <v>In progress: Below 60 Months</v>
      </c>
      <c r="V225" s="60" t="str">
        <f t="shared" ca="1" si="51"/>
        <v>In progress: Below 60 Months</v>
      </c>
    </row>
    <row r="226" spans="1:22" ht="15.95" hidden="1">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46058</v>
      </c>
      <c r="N226" s="14">
        <f t="shared" ca="1" si="49"/>
        <v>12</v>
      </c>
      <c r="O226" s="61"/>
      <c r="P226" s="61"/>
      <c r="Q226" s="59"/>
      <c r="R226" s="12">
        <f t="shared" ca="1" si="36"/>
        <v>12</v>
      </c>
      <c r="S226" s="61"/>
      <c r="T226" s="59" t="s">
        <v>44</v>
      </c>
      <c r="U226" s="60" t="str">
        <f t="shared" ca="1" si="50"/>
        <v>In progress: Below 60 Months</v>
      </c>
      <c r="V226" s="60" t="str">
        <f t="shared" ca="1" si="51"/>
        <v>In progress: Below 60 Months</v>
      </c>
    </row>
    <row r="227" spans="1:22" ht="15.95" hidden="1">
      <c r="A227" s="59">
        <v>226</v>
      </c>
      <c r="B227" s="59" t="s">
        <v>866</v>
      </c>
      <c r="C227" s="59" t="s">
        <v>867</v>
      </c>
      <c r="D227" s="59" t="s">
        <v>868</v>
      </c>
      <c r="E227" s="59" t="s">
        <v>869</v>
      </c>
      <c r="F227" s="59" t="s">
        <v>42</v>
      </c>
      <c r="G227" s="59">
        <v>11</v>
      </c>
      <c r="H227" s="59" t="s">
        <v>125</v>
      </c>
      <c r="I227" s="59" t="s">
        <v>16</v>
      </c>
      <c r="J227" s="59"/>
      <c r="K227" s="61"/>
      <c r="L227" s="61">
        <v>45717</v>
      </c>
      <c r="M227" s="15">
        <f t="shared" ca="1" si="35"/>
        <v>46058</v>
      </c>
      <c r="N227" s="14">
        <f t="shared" ca="1" si="49"/>
        <v>12</v>
      </c>
      <c r="O227" s="61"/>
      <c r="P227" s="61"/>
      <c r="Q227" s="59"/>
      <c r="R227" s="12">
        <f t="shared" ca="1" si="36"/>
        <v>12</v>
      </c>
      <c r="S227" s="61"/>
      <c r="T227" s="59" t="s">
        <v>44</v>
      </c>
      <c r="U227" s="60" t="str">
        <f t="shared" ca="1" si="50"/>
        <v>In progress: Below 60 Months</v>
      </c>
      <c r="V227" s="60" t="str">
        <f t="shared" ca="1" si="51"/>
        <v>In progress: Below 60 Months</v>
      </c>
    </row>
    <row r="228" spans="1:22" ht="15.95" hidden="1">
      <c r="A228" s="59">
        <v>227</v>
      </c>
      <c r="B228" s="59" t="s">
        <v>870</v>
      </c>
      <c r="C228" s="59" t="s">
        <v>325</v>
      </c>
      <c r="D228" s="59" t="s">
        <v>871</v>
      </c>
      <c r="E228" s="59" t="s">
        <v>872</v>
      </c>
      <c r="F228" s="59" t="s">
        <v>41</v>
      </c>
      <c r="G228" s="59">
        <v>11</v>
      </c>
      <c r="H228" s="59" t="s">
        <v>68</v>
      </c>
      <c r="I228" s="59" t="s">
        <v>13</v>
      </c>
      <c r="J228" s="59"/>
      <c r="K228" s="61"/>
      <c r="L228" s="61">
        <v>45717</v>
      </c>
      <c r="M228" s="15">
        <f t="shared" ca="1" si="35"/>
        <v>46058</v>
      </c>
      <c r="N228" s="14">
        <f t="shared" ca="1" si="49"/>
        <v>12</v>
      </c>
      <c r="O228" s="61"/>
      <c r="P228" s="61"/>
      <c r="Q228" s="59"/>
      <c r="R228" s="12">
        <f t="shared" ca="1" si="36"/>
        <v>12</v>
      </c>
      <c r="S228" s="61"/>
      <c r="T228" s="59" t="s">
        <v>44</v>
      </c>
      <c r="U228" s="60" t="str">
        <f t="shared" ca="1" si="50"/>
        <v>In progress: Below 60 Months</v>
      </c>
      <c r="V228" s="60" t="str">
        <f t="shared" ca="1" si="51"/>
        <v>In progress: Below 60 Months</v>
      </c>
    </row>
    <row r="229" spans="1:22" ht="15.95" hidden="1">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46058</v>
      </c>
      <c r="N229" s="14">
        <f t="shared" ca="1" si="49"/>
        <v>12</v>
      </c>
      <c r="O229" s="61"/>
      <c r="P229" s="61"/>
      <c r="Q229" s="59"/>
      <c r="R229" s="12">
        <f t="shared" ca="1" si="36"/>
        <v>12</v>
      </c>
      <c r="S229" s="61"/>
      <c r="T229" s="59" t="s">
        <v>44</v>
      </c>
      <c r="U229" s="60" t="str">
        <f t="shared" ca="1" si="50"/>
        <v>In progress: Below 60 Months</v>
      </c>
      <c r="V229" s="60" t="str">
        <f t="shared" ca="1" si="51"/>
        <v>In progress: Below 60 Months</v>
      </c>
    </row>
    <row r="230" spans="1:22" ht="15.95" hidden="1">
      <c r="A230" s="59">
        <v>229</v>
      </c>
      <c r="B230" s="59" t="s">
        <v>876</v>
      </c>
      <c r="C230" s="59" t="s">
        <v>877</v>
      </c>
      <c r="D230" s="59"/>
      <c r="E230" s="59" t="s">
        <v>878</v>
      </c>
      <c r="F230" s="59" t="s">
        <v>42</v>
      </c>
      <c r="G230" s="59">
        <v>11</v>
      </c>
      <c r="H230" s="59" t="s">
        <v>117</v>
      </c>
      <c r="I230" s="59" t="s">
        <v>11</v>
      </c>
      <c r="J230" s="59" t="s">
        <v>11</v>
      </c>
      <c r="K230" s="61"/>
      <c r="L230" s="61">
        <v>45717</v>
      </c>
      <c r="M230" s="15">
        <f t="shared" ca="1" si="35"/>
        <v>46058</v>
      </c>
      <c r="N230" s="14">
        <f t="shared" ca="1" si="49"/>
        <v>12</v>
      </c>
      <c r="O230" s="61"/>
      <c r="P230" s="61"/>
      <c r="Q230" s="59"/>
      <c r="R230" s="12">
        <f t="shared" ca="1" si="36"/>
        <v>12</v>
      </c>
      <c r="S230" s="61"/>
      <c r="T230" s="59" t="s">
        <v>44</v>
      </c>
      <c r="U230" s="60" t="str">
        <f t="shared" ca="1" si="50"/>
        <v>In progress: Below 60 Months</v>
      </c>
      <c r="V230" s="60" t="str">
        <f t="shared" ca="1" si="51"/>
        <v>In progress: Below 60 Months</v>
      </c>
    </row>
    <row r="231" spans="1:22" ht="15.95" hidden="1">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46058</v>
      </c>
      <c r="N231" s="14">
        <f t="shared" ca="1" si="49"/>
        <v>12</v>
      </c>
      <c r="O231" s="61"/>
      <c r="P231" s="61"/>
      <c r="Q231" s="59"/>
      <c r="R231" s="12">
        <f t="shared" ca="1" si="36"/>
        <v>12</v>
      </c>
      <c r="S231" s="61"/>
      <c r="T231" s="59" t="s">
        <v>44</v>
      </c>
      <c r="U231" s="60" t="str">
        <f t="shared" ca="1" si="50"/>
        <v>In progress: Below 60 Months</v>
      </c>
      <c r="V231" s="60" t="str">
        <f t="shared" ca="1" si="51"/>
        <v>In progress: Below 60 Months</v>
      </c>
    </row>
    <row r="232" spans="1:22" ht="15.95" hidden="1">
      <c r="A232" s="59">
        <v>231</v>
      </c>
      <c r="B232" s="59" t="s">
        <v>883</v>
      </c>
      <c r="C232" s="59" t="s">
        <v>508</v>
      </c>
      <c r="D232" s="59" t="s">
        <v>884</v>
      </c>
      <c r="E232" s="59" t="s">
        <v>885</v>
      </c>
      <c r="F232" s="59" t="s">
        <v>41</v>
      </c>
      <c r="G232" s="59">
        <v>11</v>
      </c>
      <c r="H232" s="59" t="s">
        <v>132</v>
      </c>
      <c r="I232" s="59" t="s">
        <v>17</v>
      </c>
      <c r="J232" s="59"/>
      <c r="K232" s="61"/>
      <c r="L232" s="61">
        <v>45717</v>
      </c>
      <c r="M232" s="15">
        <f t="shared" ca="1" si="35"/>
        <v>46058</v>
      </c>
      <c r="N232" s="14">
        <f t="shared" ca="1" si="49"/>
        <v>12</v>
      </c>
      <c r="O232" s="61"/>
      <c r="P232" s="61"/>
      <c r="Q232" s="59"/>
      <c r="R232" s="12">
        <f t="shared" ca="1" si="36"/>
        <v>12</v>
      </c>
      <c r="S232" s="61"/>
      <c r="T232" s="59" t="s">
        <v>44</v>
      </c>
      <c r="U232" s="60" t="str">
        <f t="shared" ca="1" si="50"/>
        <v>In progress: Below 60 Months</v>
      </c>
      <c r="V232" s="60" t="str">
        <f t="shared" ca="1" si="51"/>
        <v>In progress: Below 60 Months</v>
      </c>
    </row>
    <row r="233" spans="1:22" ht="15.95" hidden="1">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46058</v>
      </c>
      <c r="N233" s="14">
        <f t="shared" ca="1" si="49"/>
        <v>12</v>
      </c>
      <c r="O233" s="61"/>
      <c r="P233" s="61"/>
      <c r="Q233" s="59"/>
      <c r="R233" s="12">
        <f t="shared" ca="1" si="36"/>
        <v>12</v>
      </c>
      <c r="S233" s="61"/>
      <c r="T233" s="59" t="s">
        <v>44</v>
      </c>
      <c r="U233" s="60" t="str">
        <f t="shared" ca="1" si="50"/>
        <v>In progress: Below 60 Months</v>
      </c>
      <c r="V233" s="60" t="str">
        <f t="shared" ca="1" si="51"/>
        <v>In progress: Below 60 Months</v>
      </c>
    </row>
    <row r="234" spans="1:22" ht="15.95" hidden="1">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46058</v>
      </c>
      <c r="N234" s="14">
        <f t="shared" ca="1" si="49"/>
        <v>12</v>
      </c>
      <c r="O234" s="61"/>
      <c r="P234" s="61"/>
      <c r="Q234" s="59"/>
      <c r="R234" s="12">
        <f t="shared" ca="1" si="36"/>
        <v>12</v>
      </c>
      <c r="S234" s="61"/>
      <c r="T234" s="59" t="s">
        <v>44</v>
      </c>
      <c r="U234" s="60" t="str">
        <f t="shared" ca="1" si="50"/>
        <v>In progress: Below 60 Months</v>
      </c>
      <c r="V234" s="60" t="str">
        <f t="shared" ca="1" si="51"/>
        <v>In progress: Below 60 Months</v>
      </c>
    </row>
    <row r="235" spans="1:22" ht="15.95" hidden="1">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46058</v>
      </c>
      <c r="N235" s="14">
        <f t="shared" ca="1" si="49"/>
        <v>12</v>
      </c>
      <c r="O235" s="61"/>
      <c r="P235" s="61"/>
      <c r="Q235" s="59"/>
      <c r="R235" s="12">
        <f t="shared" ca="1" si="36"/>
        <v>12</v>
      </c>
      <c r="S235" s="61"/>
      <c r="T235" s="59" t="s">
        <v>44</v>
      </c>
      <c r="U235" s="60" t="str">
        <f t="shared" ca="1" si="50"/>
        <v>In progress: Below 60 Months</v>
      </c>
      <c r="V235" s="60" t="str">
        <f t="shared" ca="1" si="51"/>
        <v>In progress: Below 60 Months</v>
      </c>
    </row>
    <row r="236" spans="1:22" ht="15.95" hidden="1">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46058</v>
      </c>
      <c r="N236" s="14">
        <f t="shared" ca="1" si="49"/>
        <v>12</v>
      </c>
      <c r="O236" s="61"/>
      <c r="P236" s="61"/>
      <c r="Q236" s="59"/>
      <c r="R236" s="12">
        <f t="shared" ca="1" si="36"/>
        <v>12</v>
      </c>
      <c r="S236" s="61"/>
      <c r="T236" s="59" t="s">
        <v>44</v>
      </c>
      <c r="U236" s="60" t="str">
        <f t="shared" ca="1" si="50"/>
        <v>In progress: Below 60 Months</v>
      </c>
      <c r="V236" s="60" t="str">
        <f t="shared" ca="1" si="51"/>
        <v>In progress: Below 60 Months</v>
      </c>
    </row>
    <row r="237" spans="1:22" ht="15.95" hidden="1">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46058</v>
      </c>
      <c r="N237" s="14">
        <f t="shared" ca="1" si="49"/>
        <v>12</v>
      </c>
      <c r="O237" s="61"/>
      <c r="P237" s="61"/>
      <c r="Q237" s="59"/>
      <c r="R237" s="12">
        <f t="shared" ca="1" si="36"/>
        <v>12</v>
      </c>
      <c r="S237" s="61"/>
      <c r="T237" s="59" t="s">
        <v>44</v>
      </c>
      <c r="U237" s="60" t="str">
        <f t="shared" ca="1" si="50"/>
        <v>In progress: Below 60 Months</v>
      </c>
      <c r="V237" s="60" t="str">
        <f t="shared" ca="1" si="51"/>
        <v>In progress: Below 60 Months</v>
      </c>
    </row>
    <row r="238" spans="1:22" ht="15.95" hidden="1">
      <c r="A238" s="59">
        <v>237</v>
      </c>
      <c r="B238" s="59" t="s">
        <v>906</v>
      </c>
      <c r="C238" s="59" t="s">
        <v>907</v>
      </c>
      <c r="D238" s="59" t="s">
        <v>908</v>
      </c>
      <c r="E238" s="59" t="s">
        <v>909</v>
      </c>
      <c r="F238" s="59" t="s">
        <v>42</v>
      </c>
      <c r="G238" s="59">
        <v>11</v>
      </c>
      <c r="H238" s="59" t="s">
        <v>125</v>
      </c>
      <c r="I238" s="59" t="s">
        <v>16</v>
      </c>
      <c r="J238" s="59"/>
      <c r="K238" s="61"/>
      <c r="L238" s="61">
        <v>45717</v>
      </c>
      <c r="M238" s="15">
        <f t="shared" ca="1" si="35"/>
        <v>46058</v>
      </c>
      <c r="N238" s="14">
        <f t="shared" ca="1" si="49"/>
        <v>12</v>
      </c>
      <c r="O238" s="61"/>
      <c r="P238" s="61"/>
      <c r="Q238" s="59"/>
      <c r="R238" s="12">
        <f t="shared" ca="1" si="36"/>
        <v>12</v>
      </c>
      <c r="S238" s="61"/>
      <c r="T238" s="59" t="s">
        <v>44</v>
      </c>
      <c r="U238" s="60" t="str">
        <f t="shared" ca="1" si="50"/>
        <v>In progress: Below 60 Months</v>
      </c>
      <c r="V238" s="60" t="str">
        <f t="shared" ca="1" si="51"/>
        <v>In progress: Below 60 Months</v>
      </c>
    </row>
    <row r="239" spans="1:22" ht="15.95" hidden="1">
      <c r="A239" s="59">
        <v>238</v>
      </c>
      <c r="B239" s="59" t="s">
        <v>910</v>
      </c>
      <c r="C239" s="59" t="s">
        <v>911</v>
      </c>
      <c r="D239" s="59"/>
      <c r="E239" s="59" t="s">
        <v>912</v>
      </c>
      <c r="F239" s="59" t="s">
        <v>42</v>
      </c>
      <c r="G239" s="59">
        <v>11</v>
      </c>
      <c r="H239" s="59" t="s">
        <v>121</v>
      </c>
      <c r="I239" s="59" t="s">
        <v>18</v>
      </c>
      <c r="J239" s="59"/>
      <c r="K239" s="61"/>
      <c r="L239" s="61">
        <v>45717</v>
      </c>
      <c r="M239" s="15">
        <f t="shared" ca="1" si="35"/>
        <v>46058</v>
      </c>
      <c r="N239" s="14">
        <f t="shared" ca="1" si="49"/>
        <v>12</v>
      </c>
      <c r="O239" s="61"/>
      <c r="P239" s="61"/>
      <c r="Q239" s="59"/>
      <c r="R239" s="12">
        <f t="shared" ca="1" si="36"/>
        <v>12</v>
      </c>
      <c r="S239" s="61"/>
      <c r="T239" s="59" t="s">
        <v>44</v>
      </c>
      <c r="U239" s="60" t="str">
        <f t="shared" ca="1" si="50"/>
        <v>In progress: Below 60 Months</v>
      </c>
      <c r="V239" s="60" t="str">
        <f t="shared" ca="1" si="51"/>
        <v>In progress: Below 60 Months</v>
      </c>
    </row>
    <row r="240" spans="1:22" ht="15.95" hidden="1">
      <c r="A240" s="59">
        <v>239</v>
      </c>
      <c r="B240" s="59" t="s">
        <v>913</v>
      </c>
      <c r="C240" s="59" t="s">
        <v>914</v>
      </c>
      <c r="D240" s="59"/>
      <c r="E240" s="59" t="s">
        <v>915</v>
      </c>
      <c r="F240" s="59" t="s">
        <v>41</v>
      </c>
      <c r="G240" s="59">
        <v>11</v>
      </c>
      <c r="H240" s="59" t="s">
        <v>121</v>
      </c>
      <c r="I240" s="59" t="s">
        <v>18</v>
      </c>
      <c r="J240" s="59"/>
      <c r="K240" s="61"/>
      <c r="L240" s="61">
        <v>45717</v>
      </c>
      <c r="M240" s="15">
        <f t="shared" ca="1" si="35"/>
        <v>46058</v>
      </c>
      <c r="N240" s="14">
        <f t="shared" ca="1" si="49"/>
        <v>12</v>
      </c>
      <c r="O240" s="61"/>
      <c r="P240" s="61"/>
      <c r="Q240" s="59"/>
      <c r="R240" s="12">
        <f t="shared" ca="1" si="36"/>
        <v>12</v>
      </c>
      <c r="S240" s="61"/>
      <c r="T240" s="59" t="s">
        <v>44</v>
      </c>
      <c r="U240" s="60" t="str">
        <f t="shared" ca="1" si="50"/>
        <v>In progress: Below 60 Months</v>
      </c>
      <c r="V240" s="60" t="str">
        <f t="shared" ca="1" si="51"/>
        <v>In progress: Below 60 Months</v>
      </c>
    </row>
    <row r="241" spans="1:22" ht="15.95" hidden="1">
      <c r="A241" s="59">
        <v>240</v>
      </c>
      <c r="B241" s="59" t="s">
        <v>916</v>
      </c>
      <c r="C241" s="59" t="s">
        <v>917</v>
      </c>
      <c r="D241" s="59" t="s">
        <v>918</v>
      </c>
      <c r="E241" s="59" t="s">
        <v>919</v>
      </c>
      <c r="F241" s="59" t="s">
        <v>41</v>
      </c>
      <c r="G241" s="59">
        <v>11</v>
      </c>
      <c r="H241" s="59" t="s">
        <v>112</v>
      </c>
      <c r="I241" s="59" t="s">
        <v>10</v>
      </c>
      <c r="J241" s="59"/>
      <c r="K241" s="61"/>
      <c r="L241" s="61">
        <v>45717</v>
      </c>
      <c r="M241" s="15">
        <f t="shared" ca="1" si="35"/>
        <v>46058</v>
      </c>
      <c r="N241" s="14">
        <f t="shared" ca="1" si="49"/>
        <v>12</v>
      </c>
      <c r="O241" s="61"/>
      <c r="P241" s="61"/>
      <c r="Q241" s="59"/>
      <c r="R241" s="12">
        <f t="shared" ca="1" si="36"/>
        <v>12</v>
      </c>
      <c r="S241" s="61"/>
      <c r="T241" s="59" t="s">
        <v>44</v>
      </c>
      <c r="U241" s="60" t="str">
        <f t="shared" ca="1" si="50"/>
        <v>In progress: Below 60 Months</v>
      </c>
      <c r="V241" s="60" t="str">
        <f t="shared" ca="1" si="51"/>
        <v>In progress: Below 60 Months</v>
      </c>
    </row>
  </sheetData>
  <autoFilter ref="A1:Y241" xr:uid="{00000000-0001-0000-0100-000000000000}">
    <filterColumn colId="6">
      <filters>
        <filter val="10"/>
      </filters>
    </filterColumn>
    <filterColumn colId="18">
      <filters>
        <dateGroupItem year="2025" dateTimeGrouping="year"/>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s="76">
        <v>6</v>
      </c>
      <c r="C5" s="76">
        <v>6</v>
      </c>
      <c r="D5" s="76">
        <v>10</v>
      </c>
      <c r="E5" s="76">
        <v>6</v>
      </c>
      <c r="F5" s="76">
        <v>3</v>
      </c>
      <c r="G5" s="76">
        <v>12</v>
      </c>
      <c r="H5" s="76">
        <v>11</v>
      </c>
      <c r="I5" s="76">
        <v>6</v>
      </c>
      <c r="J5" s="76">
        <v>3</v>
      </c>
      <c r="K5" s="76">
        <v>5</v>
      </c>
      <c r="L5" s="76">
        <v>68</v>
      </c>
    </row>
    <row r="6" spans="1:12">
      <c r="A6" t="s">
        <v>5</v>
      </c>
      <c r="B6" s="76">
        <v>14</v>
      </c>
      <c r="C6" s="76">
        <v>9</v>
      </c>
      <c r="D6" s="76">
        <v>8</v>
      </c>
      <c r="E6" s="76">
        <v>19</v>
      </c>
      <c r="F6" s="76">
        <v>15</v>
      </c>
      <c r="G6" s="76">
        <v>12</v>
      </c>
      <c r="H6" s="76">
        <v>13</v>
      </c>
      <c r="I6" s="76">
        <v>11</v>
      </c>
      <c r="J6" s="76">
        <v>13</v>
      </c>
      <c r="K6" s="76">
        <v>13</v>
      </c>
      <c r="L6" s="76">
        <v>127</v>
      </c>
    </row>
    <row r="7" spans="1:12">
      <c r="A7" t="s">
        <v>7</v>
      </c>
      <c r="B7" s="76">
        <v>20</v>
      </c>
      <c r="C7" s="76">
        <v>15</v>
      </c>
      <c r="D7" s="76">
        <v>18</v>
      </c>
      <c r="E7" s="76">
        <v>25</v>
      </c>
      <c r="F7" s="76">
        <v>18</v>
      </c>
      <c r="G7" s="76">
        <v>24</v>
      </c>
      <c r="H7" s="76">
        <v>24</v>
      </c>
      <c r="I7" s="76">
        <v>17</v>
      </c>
      <c r="J7" s="76">
        <v>16</v>
      </c>
      <c r="K7" s="76">
        <v>18</v>
      </c>
      <c r="L7" s="76">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s="76">
        <v>38</v>
      </c>
      <c r="J5" s="76">
        <v>30</v>
      </c>
      <c r="K5" s="76">
        <v>68</v>
      </c>
    </row>
    <row r="6" spans="1:11">
      <c r="A6">
        <v>2</v>
      </c>
      <c r="B6">
        <v>6</v>
      </c>
      <c r="C6">
        <v>9</v>
      </c>
      <c r="D6">
        <v>1</v>
      </c>
      <c r="F6">
        <v>16</v>
      </c>
      <c r="H6" t="s">
        <v>5</v>
      </c>
      <c r="I6" s="76">
        <v>71</v>
      </c>
      <c r="J6" s="76">
        <v>56</v>
      </c>
      <c r="K6" s="76">
        <v>127</v>
      </c>
    </row>
    <row r="7" spans="1:11">
      <c r="A7">
        <v>3</v>
      </c>
      <c r="B7">
        <v>10</v>
      </c>
      <c r="C7">
        <v>8</v>
      </c>
      <c r="D7">
        <v>3</v>
      </c>
      <c r="F7">
        <v>21</v>
      </c>
      <c r="H7" t="s">
        <v>4</v>
      </c>
      <c r="I7" s="76">
        <v>15</v>
      </c>
      <c r="J7" s="76">
        <v>10</v>
      </c>
      <c r="K7" s="76">
        <v>25</v>
      </c>
    </row>
    <row r="8" spans="1:11">
      <c r="A8">
        <v>4</v>
      </c>
      <c r="B8">
        <v>6</v>
      </c>
      <c r="C8">
        <v>19</v>
      </c>
      <c r="D8">
        <v>1</v>
      </c>
      <c r="F8">
        <v>26</v>
      </c>
      <c r="H8" t="s">
        <v>7</v>
      </c>
      <c r="I8" s="76">
        <v>124</v>
      </c>
      <c r="J8" s="76">
        <v>96</v>
      </c>
      <c r="K8" s="76">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936</v>
      </c>
    </row>
    <row r="5" spans="1:15" ht="15">
      <c r="B5" t="s">
        <v>38</v>
      </c>
      <c r="D5" t="s">
        <v>44</v>
      </c>
      <c r="F5" t="s">
        <v>937</v>
      </c>
      <c r="G5" t="s">
        <v>938</v>
      </c>
      <c r="J5" s="2" t="s">
        <v>939</v>
      </c>
      <c r="K5" s="2" t="s">
        <v>2</v>
      </c>
    </row>
    <row r="6" spans="1:15" ht="15">
      <c r="A6" s="2" t="s">
        <v>3</v>
      </c>
      <c r="B6" t="s">
        <v>939</v>
      </c>
      <c r="C6" t="s">
        <v>940</v>
      </c>
      <c r="D6" t="s">
        <v>939</v>
      </c>
      <c r="E6" t="s">
        <v>940</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939</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s="76">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45.75">
      <c r="A4" s="4" t="s">
        <v>51</v>
      </c>
      <c r="B4" s="6" t="s">
        <v>4</v>
      </c>
      <c r="C4" s="6" t="s">
        <v>5</v>
      </c>
      <c r="D4" s="6" t="s">
        <v>6</v>
      </c>
      <c r="E4" s="6" t="s">
        <v>7</v>
      </c>
      <c r="F4"/>
      <c r="G4"/>
      <c r="K4" s="4" t="s">
        <v>51</v>
      </c>
      <c r="L4" s="6" t="s">
        <v>4</v>
      </c>
      <c r="M4" s="6" t="s">
        <v>5</v>
      </c>
      <c r="N4" s="6" t="s">
        <v>6</v>
      </c>
      <c r="O4" s="6" t="s">
        <v>7</v>
      </c>
      <c r="P4"/>
      <c r="Q4"/>
    </row>
    <row r="5" spans="1:21">
      <c r="A5">
        <v>1</v>
      </c>
      <c r="B5" s="76"/>
      <c r="C5" s="76">
        <v>14</v>
      </c>
      <c r="D5" s="76">
        <v>6</v>
      </c>
      <c r="E5" s="76">
        <v>20</v>
      </c>
      <c r="K5">
        <v>1</v>
      </c>
      <c r="L5" s="76"/>
      <c r="M5" s="76">
        <v>14</v>
      </c>
      <c r="N5" s="76">
        <v>6</v>
      </c>
      <c r="O5" s="76">
        <v>20</v>
      </c>
    </row>
    <row r="6" spans="1:21">
      <c r="A6">
        <v>2</v>
      </c>
      <c r="B6" s="76">
        <v>1</v>
      </c>
      <c r="C6" s="76">
        <v>9</v>
      </c>
      <c r="D6" s="76">
        <v>6</v>
      </c>
      <c r="E6" s="76">
        <v>16</v>
      </c>
      <c r="K6">
        <v>2</v>
      </c>
      <c r="L6" s="76">
        <v>1</v>
      </c>
      <c r="M6" s="76">
        <v>9</v>
      </c>
      <c r="N6" s="76">
        <v>6</v>
      </c>
      <c r="O6" s="76">
        <v>16</v>
      </c>
    </row>
    <row r="7" spans="1:21">
      <c r="A7">
        <v>3</v>
      </c>
      <c r="B7" s="76">
        <v>3</v>
      </c>
      <c r="C7" s="76">
        <v>8</v>
      </c>
      <c r="D7" s="76">
        <v>10</v>
      </c>
      <c r="E7" s="76">
        <v>21</v>
      </c>
      <c r="K7">
        <v>3</v>
      </c>
      <c r="L7" s="76">
        <v>3</v>
      </c>
      <c r="M7" s="76">
        <v>8</v>
      </c>
      <c r="N7" s="76">
        <v>10</v>
      </c>
      <c r="O7" s="76">
        <v>21</v>
      </c>
    </row>
    <row r="8" spans="1:21">
      <c r="A8">
        <v>4</v>
      </c>
      <c r="B8" s="76">
        <v>1</v>
      </c>
      <c r="C8" s="76">
        <v>19</v>
      </c>
      <c r="D8" s="76">
        <v>6</v>
      </c>
      <c r="E8" s="76">
        <v>26</v>
      </c>
      <c r="K8">
        <v>4</v>
      </c>
      <c r="L8" s="76">
        <v>1</v>
      </c>
      <c r="M8" s="76">
        <v>19</v>
      </c>
      <c r="N8" s="76">
        <v>6</v>
      </c>
      <c r="O8" s="76">
        <v>26</v>
      </c>
    </row>
    <row r="9" spans="1:21">
      <c r="A9">
        <v>5</v>
      </c>
      <c r="B9" s="76">
        <v>2</v>
      </c>
      <c r="C9" s="76">
        <v>15</v>
      </c>
      <c r="D9" s="76">
        <v>3</v>
      </c>
      <c r="E9" s="76">
        <v>20</v>
      </c>
      <c r="K9">
        <v>5</v>
      </c>
      <c r="L9" s="76">
        <v>2</v>
      </c>
      <c r="M9" s="76">
        <v>15</v>
      </c>
      <c r="N9" s="76">
        <v>3</v>
      </c>
      <c r="O9" s="76">
        <v>20</v>
      </c>
    </row>
    <row r="10" spans="1:21">
      <c r="A10">
        <v>6</v>
      </c>
      <c r="B10" s="76"/>
      <c r="C10" s="76">
        <v>12</v>
      </c>
      <c r="D10" s="76">
        <v>12</v>
      </c>
      <c r="E10" s="76">
        <v>24</v>
      </c>
      <c r="K10">
        <v>6</v>
      </c>
      <c r="L10" s="76"/>
      <c r="M10" s="76">
        <v>12</v>
      </c>
      <c r="N10" s="76">
        <v>12</v>
      </c>
      <c r="O10" s="76">
        <v>24</v>
      </c>
    </row>
    <row r="11" spans="1:21">
      <c r="A11">
        <v>7</v>
      </c>
      <c r="B11" s="76"/>
      <c r="C11" s="76">
        <v>13</v>
      </c>
      <c r="D11" s="76">
        <v>11</v>
      </c>
      <c r="E11" s="76">
        <v>24</v>
      </c>
      <c r="K11">
        <v>7</v>
      </c>
      <c r="L11" s="76"/>
      <c r="M11" s="76">
        <v>13</v>
      </c>
      <c r="N11" s="76">
        <v>11</v>
      </c>
      <c r="O11" s="76">
        <v>24</v>
      </c>
    </row>
    <row r="12" spans="1:21">
      <c r="A12">
        <v>8</v>
      </c>
      <c r="B12" s="76">
        <v>6</v>
      </c>
      <c r="C12" s="76">
        <v>11</v>
      </c>
      <c r="D12" s="76">
        <v>6</v>
      </c>
      <c r="E12" s="76">
        <v>23</v>
      </c>
      <c r="K12">
        <v>8</v>
      </c>
      <c r="L12" s="76">
        <v>6</v>
      </c>
      <c r="M12" s="76">
        <v>11</v>
      </c>
      <c r="N12" s="76">
        <v>6</v>
      </c>
      <c r="O12" s="76">
        <v>23</v>
      </c>
    </row>
    <row r="13" spans="1:21">
      <c r="A13">
        <v>9</v>
      </c>
      <c r="B13" s="76">
        <v>6</v>
      </c>
      <c r="C13" s="76">
        <v>13</v>
      </c>
      <c r="D13" s="76">
        <v>3</v>
      </c>
      <c r="E13" s="76">
        <v>22</v>
      </c>
      <c r="K13">
        <v>9</v>
      </c>
      <c r="L13" s="76">
        <v>6</v>
      </c>
      <c r="M13" s="76">
        <v>13</v>
      </c>
      <c r="N13" s="76">
        <v>3</v>
      </c>
      <c r="O13" s="76">
        <v>22</v>
      </c>
    </row>
    <row r="14" spans="1:21">
      <c r="A14">
        <v>10</v>
      </c>
      <c r="B14" s="76">
        <v>6</v>
      </c>
      <c r="C14" s="76">
        <v>13</v>
      </c>
      <c r="D14" s="76">
        <v>5</v>
      </c>
      <c r="E14" s="76">
        <v>24</v>
      </c>
      <c r="K14">
        <v>10</v>
      </c>
      <c r="L14" s="76">
        <v>6</v>
      </c>
      <c r="M14" s="76">
        <v>13</v>
      </c>
      <c r="N14" s="76">
        <v>5</v>
      </c>
      <c r="O14" s="76">
        <v>24</v>
      </c>
    </row>
    <row r="15" spans="1:21">
      <c r="A15" t="s">
        <v>7</v>
      </c>
      <c r="B15" s="76">
        <v>25</v>
      </c>
      <c r="C15" s="76">
        <v>127</v>
      </c>
      <c r="D15" s="76">
        <v>68</v>
      </c>
      <c r="E15" s="76">
        <v>220</v>
      </c>
      <c r="K15" t="s">
        <v>7</v>
      </c>
      <c r="L15" s="76">
        <v>25</v>
      </c>
      <c r="M15" s="76">
        <v>127</v>
      </c>
      <c r="N15" s="76">
        <v>68</v>
      </c>
      <c r="O15" s="76">
        <v>220</v>
      </c>
    </row>
    <row r="21" spans="1:5">
      <c r="A21" s="2" t="s">
        <v>1</v>
      </c>
      <c r="B21" s="2" t="s">
        <v>2</v>
      </c>
    </row>
    <row r="22" spans="1:5" ht="45.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s="76">
        <v>15</v>
      </c>
      <c r="C39" s="76">
        <v>71</v>
      </c>
      <c r="D39" s="76">
        <v>38</v>
      </c>
      <c r="E39" s="76">
        <v>124</v>
      </c>
    </row>
    <row r="40" spans="1:5">
      <c r="A40" t="s">
        <v>42</v>
      </c>
      <c r="B40" s="76">
        <v>10</v>
      </c>
      <c r="C40" s="76">
        <v>56</v>
      </c>
      <c r="D40" s="76">
        <v>30</v>
      </c>
      <c r="E40" s="76">
        <v>96</v>
      </c>
    </row>
    <row r="41" spans="1:5">
      <c r="A41" t="s">
        <v>7</v>
      </c>
      <c r="B41" s="76">
        <v>25</v>
      </c>
      <c r="C41" s="76">
        <v>127</v>
      </c>
      <c r="D41" s="76">
        <v>68</v>
      </c>
      <c r="E41" s="76">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8</v>
      </c>
      <c r="C52">
        <v>7</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9</v>
      </c>
      <c r="C60">
        <v>3</v>
      </c>
      <c r="D60">
        <v>12</v>
      </c>
    </row>
    <row r="61" spans="1:4">
      <c r="A61" t="s">
        <v>7</v>
      </c>
      <c r="B61">
        <v>109</v>
      </c>
      <c r="C61">
        <v>86</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s="76">
        <v>1</v>
      </c>
      <c r="C4" s="76">
        <v>12</v>
      </c>
      <c r="D4" s="76">
        <v>5</v>
      </c>
      <c r="E4" s="76">
        <v>18</v>
      </c>
    </row>
    <row r="5" spans="1:5">
      <c r="A5" t="s">
        <v>12</v>
      </c>
      <c r="B5" s="76">
        <v>4</v>
      </c>
      <c r="C5" s="76">
        <v>5</v>
      </c>
      <c r="D5" s="76">
        <v>2</v>
      </c>
      <c r="E5" s="76">
        <v>11</v>
      </c>
    </row>
    <row r="6" spans="1:5">
      <c r="A6" t="s">
        <v>13</v>
      </c>
      <c r="B6" s="76"/>
      <c r="C6" s="76">
        <v>3</v>
      </c>
      <c r="D6" s="76">
        <v>17</v>
      </c>
      <c r="E6" s="76">
        <v>20</v>
      </c>
    </row>
    <row r="7" spans="1:5">
      <c r="A7" t="s">
        <v>14</v>
      </c>
      <c r="B7" s="76"/>
      <c r="C7" s="76">
        <v>4</v>
      </c>
      <c r="D7" s="76">
        <v>2</v>
      </c>
      <c r="E7" s="76">
        <v>6</v>
      </c>
    </row>
    <row r="8" spans="1:5">
      <c r="A8" t="s">
        <v>15</v>
      </c>
      <c r="B8" s="76">
        <v>4</v>
      </c>
      <c r="C8" s="76">
        <v>16</v>
      </c>
      <c r="D8" s="76">
        <v>12</v>
      </c>
      <c r="E8" s="76">
        <v>32</v>
      </c>
    </row>
    <row r="9" spans="1:5">
      <c r="A9" t="s">
        <v>17</v>
      </c>
      <c r="B9" s="76">
        <v>5</v>
      </c>
      <c r="C9" s="76">
        <v>14</v>
      </c>
      <c r="D9" s="76">
        <v>8</v>
      </c>
      <c r="E9" s="76">
        <v>27</v>
      </c>
    </row>
    <row r="10" spans="1:5">
      <c r="A10" t="s">
        <v>18</v>
      </c>
      <c r="B10" s="76">
        <v>2</v>
      </c>
      <c r="C10" s="76">
        <v>6</v>
      </c>
      <c r="D10" s="76"/>
      <c r="E10" s="76">
        <v>8</v>
      </c>
    </row>
    <row r="11" spans="1:5">
      <c r="A11" t="s">
        <v>19</v>
      </c>
      <c r="B11" s="76">
        <v>7</v>
      </c>
      <c r="C11" s="76">
        <v>58</v>
      </c>
      <c r="D11" s="76">
        <v>15</v>
      </c>
      <c r="E11" s="76">
        <v>80</v>
      </c>
    </row>
    <row r="12" spans="1:5">
      <c r="A12" t="s">
        <v>16</v>
      </c>
      <c r="B12" s="76">
        <v>2</v>
      </c>
      <c r="C12" s="76">
        <v>9</v>
      </c>
      <c r="D12" s="76">
        <v>7</v>
      </c>
      <c r="E12" s="76">
        <v>18</v>
      </c>
    </row>
    <row r="13" spans="1:5">
      <c r="A13" t="s">
        <v>7</v>
      </c>
      <c r="B13" s="76">
        <v>25</v>
      </c>
      <c r="C13" s="76">
        <v>127</v>
      </c>
      <c r="D13" s="76">
        <v>68</v>
      </c>
      <c r="E13" s="76">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2026-02-05T13:29:07Z</dcterms:modified>
  <cp:category/>
  <cp:contentStatus/>
</cp:coreProperties>
</file>
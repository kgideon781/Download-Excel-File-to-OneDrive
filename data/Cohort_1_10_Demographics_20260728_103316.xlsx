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1.xml" ContentType="application/vnd.openxmlformats-officedocument.themeOverrid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7.xml" ContentType="application/vnd.openxmlformats-officedocument.spreadsheetml.pivotTable+xml"/>
  <Override PartName="/xl/pivotTables/pivotTable18.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1497" documentId="13_ncr:1_{4D0E5611-347A-4675-B69B-D50AC6A875FD}" xr6:coauthVersionLast="47" xr6:coauthVersionMax="47" xr10:uidLastSave="{3FDC1006-28C9-426C-A15D-196DE421D6A7}"/>
  <bookViews>
    <workbookView xWindow="-110" yWindow="-110" windowWidth="19420" windowHeight="10300" activeTab="3" xr2:uid="{00000000-000D-0000-FFFF-FFFF00000000}"/>
  </bookViews>
  <sheets>
    <sheet name="Dashboard" sheetId="16" r:id="rId1"/>
    <sheet name="Sheet2" sheetId="21" state="hidden" r:id="rId2"/>
    <sheet name="Pivot Analysis" sheetId="4" r:id="rId3"/>
    <sheet name="Fellows" sheetId="1" r:id="rId4"/>
    <sheet name="Terminations" sheetId="19" r:id="rId5"/>
    <sheet name="Promotions" sheetId="22" r:id="rId6"/>
    <sheet name="Sheet1" sheetId="23" state="hidden" r:id="rId7"/>
  </sheets>
  <definedNames>
    <definedName name="_xlnm._FilterDatabase" localSheetId="3" hidden="1">Fellows!$A$1:$CX$288</definedName>
  </definedNames>
  <calcPr calcId="191028"/>
  <pivotCaches>
    <pivotCache cacheId="69" r:id="rId8"/>
    <pivotCache cacheId="75" r:id="rId9"/>
    <pivotCache cacheId="95" r:id="rId10"/>
    <pivotCache cacheId="104"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P226" i="1" l="1"/>
  <c r="BP225" i="1"/>
  <c r="BO226" i="1"/>
  <c r="BP222" i="1" l="1"/>
  <c r="BO222" i="1"/>
  <c r="BO232" i="1"/>
  <c r="BP234" i="1"/>
  <c r="BO234" i="1"/>
  <c r="BO245" i="1"/>
  <c r="F41" i="4"/>
  <c r="F31" i="4"/>
  <c r="T5" i="16" s="1"/>
  <c r="F32" i="4"/>
  <c r="T6" i="16" s="1"/>
  <c r="F33" i="4"/>
  <c r="T7" i="16" s="1"/>
  <c r="F34" i="4"/>
  <c r="T8" i="16" s="1"/>
  <c r="F35" i="4"/>
  <c r="T9" i="16" s="1"/>
  <c r="F36" i="4"/>
  <c r="T10" i="16" s="1"/>
  <c r="F37" i="4"/>
  <c r="T11" i="16" s="1"/>
  <c r="F38" i="4"/>
  <c r="T12" i="16" s="1"/>
  <c r="F39" i="4"/>
  <c r="T13" i="16" s="1"/>
  <c r="F40" i="4"/>
  <c r="F30" i="4"/>
  <c r="T4" i="16" s="1"/>
  <c r="BO210" i="1"/>
  <c r="BP241" i="1"/>
  <c r="BO241" i="1"/>
  <c r="BP201" i="1"/>
  <c r="BO201" i="1"/>
  <c r="BP223" i="1"/>
  <c r="BO223" i="1"/>
  <c r="BP122" i="1"/>
  <c r="BO122" i="1"/>
  <c r="S43" i="16"/>
  <c r="T2" i="16" l="1"/>
  <c r="T3" i="16"/>
  <c r="BO225" i="1"/>
  <c r="BP230" i="1" l="1"/>
  <c r="BP172" i="1"/>
  <c r="BP145" i="1"/>
  <c r="BO145" i="1"/>
  <c r="BO172" i="1"/>
  <c r="BO230" i="1" l="1"/>
  <c r="BO242" i="1"/>
  <c r="BO203" i="1"/>
  <c r="BP203" i="1"/>
  <c r="BP208" i="1"/>
  <c r="BO208" i="1"/>
  <c r="BO243" i="1"/>
  <c r="BP188" i="1"/>
  <c r="BO188" i="1"/>
  <c r="BO129" i="1"/>
  <c r="BP129" i="1"/>
  <c r="BO180" i="1"/>
  <c r="BP180" i="1"/>
  <c r="BO162" i="1"/>
  <c r="BP162" i="1"/>
  <c r="BP124" i="1"/>
  <c r="BO124" i="1"/>
  <c r="BO244" i="1"/>
  <c r="BP244" i="1"/>
  <c r="BP233" i="1"/>
  <c r="BP236" i="1"/>
  <c r="BO236" i="1"/>
  <c r="BP240" i="1"/>
  <c r="BO240" i="1"/>
  <c r="BP235" i="1"/>
  <c r="BP227" i="1"/>
  <c r="BP231" i="1"/>
  <c r="BP228" i="1"/>
  <c r="BP218" i="1"/>
  <c r="BP217" i="1"/>
  <c r="BP215" i="1"/>
  <c r="BP213" i="1"/>
  <c r="BP212" i="1"/>
  <c r="BP210" i="1"/>
  <c r="BP209" i="1"/>
  <c r="BP207" i="1"/>
  <c r="BP205" i="1"/>
  <c r="BP202" i="1"/>
  <c r="BP200" i="1"/>
  <c r="BP199" i="1"/>
  <c r="BP198" i="1"/>
  <c r="BP192" i="1"/>
  <c r="BP190" i="1"/>
  <c r="BP187" i="1"/>
  <c r="BP186" i="1"/>
  <c r="BP185" i="1"/>
  <c r="BP184" i="1"/>
  <c r="BP181" i="1"/>
  <c r="BP179" i="1"/>
  <c r="BP178" i="1"/>
  <c r="BP176" i="1"/>
  <c r="BP175" i="1"/>
  <c r="BP173" i="1"/>
  <c r="BP170" i="1"/>
  <c r="BP169" i="1"/>
  <c r="BP168" i="1"/>
  <c r="BP167" i="1"/>
  <c r="BP166" i="1"/>
  <c r="BP165" i="1"/>
  <c r="BP164" i="1"/>
  <c r="BP163" i="1"/>
  <c r="BP161" i="1"/>
  <c r="BP160" i="1"/>
  <c r="BP159" i="1"/>
  <c r="BP157" i="1"/>
  <c r="BP156" i="1"/>
  <c r="BP155" i="1"/>
  <c r="BP153" i="1"/>
  <c r="BP152" i="1"/>
  <c r="BP151" i="1"/>
  <c r="BP150" i="1"/>
  <c r="BP149" i="1"/>
  <c r="BP148" i="1"/>
  <c r="BP147" i="1"/>
  <c r="BP146" i="1"/>
  <c r="BP143" i="1"/>
  <c r="BP142" i="1"/>
  <c r="BP141" i="1"/>
  <c r="BP140" i="1"/>
  <c r="BP139" i="1"/>
  <c r="BP138" i="1"/>
  <c r="BP137" i="1"/>
  <c r="BP136" i="1"/>
  <c r="BP135" i="1"/>
  <c r="BP134" i="1"/>
  <c r="BP133" i="1"/>
  <c r="BP132" i="1"/>
  <c r="BP131" i="1"/>
  <c r="BP130" i="1"/>
  <c r="BP128" i="1"/>
  <c r="BP127" i="1"/>
  <c r="BP126" i="1"/>
  <c r="BP125" i="1"/>
  <c r="BP123" i="1"/>
  <c r="BP121" i="1"/>
  <c r="BP120" i="1"/>
  <c r="BP115" i="1"/>
  <c r="BP113" i="1"/>
  <c r="BP112" i="1"/>
  <c r="BP111" i="1"/>
  <c r="BP110" i="1"/>
  <c r="BP109" i="1"/>
  <c r="BP108" i="1"/>
  <c r="BP107" i="1"/>
  <c r="BP105" i="1"/>
  <c r="BP104" i="1"/>
  <c r="BP103" i="1"/>
  <c r="BP102" i="1"/>
  <c r="BP100" i="1"/>
  <c r="BP99" i="1"/>
  <c r="BP98" i="1"/>
  <c r="BP97" i="1"/>
  <c r="BP96" i="1"/>
  <c r="BP95" i="1"/>
  <c r="BP94" i="1"/>
  <c r="BP93" i="1"/>
  <c r="BP92" i="1"/>
  <c r="BP91" i="1"/>
  <c r="BP90" i="1"/>
  <c r="BP89" i="1"/>
  <c r="BP88" i="1"/>
  <c r="BP87" i="1"/>
  <c r="BP86" i="1"/>
  <c r="BP84" i="1"/>
  <c r="BP82" i="1"/>
  <c r="BP81" i="1"/>
  <c r="BP80" i="1"/>
  <c r="BP79" i="1"/>
  <c r="BP78" i="1"/>
  <c r="BP77" i="1"/>
  <c r="BP76" i="1"/>
  <c r="BP75" i="1"/>
  <c r="BP74" i="1"/>
  <c r="BP73" i="1"/>
  <c r="BP72" i="1"/>
  <c r="BP71" i="1"/>
  <c r="BP70" i="1"/>
  <c r="BP69" i="1"/>
  <c r="BP68" i="1"/>
  <c r="BP66" i="1"/>
  <c r="BP64" i="1"/>
  <c r="BP63" i="1"/>
  <c r="BP62" i="1"/>
  <c r="BP60" i="1"/>
  <c r="BP59" i="1"/>
  <c r="BP58" i="1"/>
  <c r="BP57" i="1"/>
  <c r="BP56" i="1"/>
  <c r="BP54" i="1"/>
  <c r="BP52" i="1"/>
  <c r="BP51" i="1"/>
  <c r="BP50" i="1"/>
  <c r="BP49" i="1"/>
  <c r="BP48" i="1"/>
  <c r="BP47" i="1"/>
  <c r="BP46" i="1"/>
  <c r="BP45" i="1"/>
  <c r="BP41" i="1"/>
  <c r="BP40" i="1"/>
  <c r="BP38" i="1"/>
  <c r="BP37" i="1"/>
  <c r="BP36" i="1"/>
  <c r="BP35" i="1"/>
  <c r="BP34" i="1"/>
  <c r="BP33" i="1"/>
  <c r="BP31" i="1"/>
  <c r="BP30" i="1"/>
  <c r="BP29" i="1"/>
  <c r="BP28" i="1"/>
  <c r="BP27" i="1"/>
  <c r="BP26" i="1"/>
  <c r="BP25" i="1"/>
  <c r="BP21" i="1"/>
  <c r="BP20" i="1"/>
  <c r="BP19" i="1"/>
  <c r="BP18" i="1"/>
  <c r="BP17" i="1"/>
  <c r="BP16" i="1"/>
  <c r="BP15" i="1"/>
  <c r="BP14" i="1"/>
  <c r="BP13" i="1"/>
  <c r="BP12" i="1"/>
  <c r="BP11" i="1"/>
  <c r="BP10" i="1"/>
  <c r="BP9" i="1"/>
  <c r="BP8" i="1"/>
  <c r="BP7" i="1"/>
  <c r="BP6" i="1"/>
  <c r="BP5" i="1"/>
  <c r="BP4" i="1"/>
  <c r="BP3" i="1"/>
  <c r="BP2" i="1"/>
  <c r="P58" i="4"/>
  <c r="P57" i="4"/>
  <c r="BO192" i="1"/>
  <c r="BO25" i="1"/>
  <c r="BO143" i="1"/>
  <c r="BO213" i="1"/>
  <c r="AH74" i="1"/>
  <c r="BO209" i="1"/>
  <c r="BO175" i="1"/>
  <c r="BO218" i="1"/>
  <c r="BO212" i="1"/>
  <c r="BO198" i="1"/>
  <c r="BO141" i="1"/>
  <c r="BO115" i="1"/>
  <c r="BP249" i="1" l="1"/>
  <c r="BO233" i="1"/>
  <c r="BO215" i="1"/>
  <c r="BO202" i="1" l="1"/>
  <c r="BO152" i="1" l="1"/>
  <c r="BO231" i="1" l="1"/>
  <c r="BO199" i="1" l="1"/>
  <c r="BO160" i="1"/>
  <c r="BO207" i="1"/>
  <c r="BO235" i="1" l="1"/>
  <c r="BO227" i="1" l="1"/>
  <c r="BO76" i="1" l="1"/>
  <c r="BO205" i="1" l="1"/>
  <c r="BO163" i="1" l="1"/>
  <c r="BO176" i="1"/>
  <c r="BO217" i="1" l="1"/>
  <c r="BO190" i="1"/>
  <c r="BO181" i="1"/>
  <c r="BO179" i="1"/>
  <c r="BO173" i="1"/>
  <c r="BO166" i="1"/>
  <c r="BO161" i="1"/>
  <c r="BO151" i="1"/>
  <c r="BO130" i="1"/>
  <c r="BO127" i="1"/>
  <c r="BO125" i="1"/>
  <c r="BO107" i="1"/>
  <c r="BO77" i="1"/>
  <c r="C33" i="21" l="1"/>
  <c r="BO228" i="1" l="1"/>
  <c r="BO200" i="1"/>
  <c r="BO187" i="1"/>
  <c r="BO186" i="1"/>
  <c r="BO185" i="1"/>
  <c r="BO184" i="1"/>
  <c r="BO178" i="1"/>
  <c r="BO170" i="1"/>
  <c r="BO169" i="1"/>
  <c r="BO168" i="1"/>
  <c r="BO167" i="1"/>
  <c r="BO165" i="1"/>
  <c r="BO164" i="1"/>
  <c r="BO157" i="1"/>
  <c r="BO156" i="1"/>
  <c r="BO155" i="1"/>
  <c r="BO153" i="1"/>
  <c r="BO150" i="1"/>
  <c r="BO148" i="1"/>
  <c r="BO147" i="1"/>
  <c r="BO146" i="1"/>
  <c r="BO142" i="1"/>
  <c r="BO140" i="1"/>
  <c r="BO139" i="1"/>
  <c r="BO138" i="1"/>
  <c r="BO137" i="1"/>
  <c r="BO136" i="1"/>
  <c r="BO135" i="1"/>
  <c r="BO134" i="1"/>
  <c r="BO133" i="1"/>
  <c r="BO132" i="1"/>
  <c r="BO131" i="1"/>
  <c r="BO128" i="1"/>
  <c r="BO126" i="1"/>
  <c r="BO123" i="1"/>
  <c r="BO121" i="1"/>
  <c r="BO120" i="1"/>
  <c r="BO113" i="1"/>
  <c r="BO112" i="1"/>
  <c r="BO111" i="1"/>
  <c r="BO110" i="1"/>
  <c r="BO109" i="1"/>
  <c r="BO108" i="1"/>
  <c r="BO105" i="1"/>
  <c r="BO104" i="1"/>
  <c r="BO103" i="1"/>
  <c r="BO102" i="1"/>
  <c r="BO100" i="1"/>
  <c r="BO99" i="1"/>
  <c r="BO98" i="1"/>
  <c r="BO97" i="1"/>
  <c r="BO96" i="1"/>
  <c r="BO95" i="1"/>
  <c r="BO94" i="1"/>
  <c r="BO93" i="1"/>
  <c r="BO92" i="1"/>
  <c r="BO91" i="1"/>
  <c r="BO90" i="1"/>
  <c r="BO89" i="1"/>
  <c r="BO88" i="1"/>
  <c r="BO87" i="1"/>
  <c r="BO86" i="1"/>
  <c r="BO84" i="1"/>
  <c r="BO82" i="1"/>
  <c r="BO81" i="1"/>
  <c r="BO80" i="1"/>
  <c r="BO79" i="1"/>
  <c r="BO78" i="1"/>
  <c r="BO75" i="1"/>
  <c r="BO74" i="1"/>
  <c r="BO73" i="1"/>
  <c r="BO72" i="1"/>
  <c r="BO71" i="1"/>
  <c r="BO70" i="1"/>
  <c r="BO69" i="1"/>
  <c r="BO68" i="1"/>
  <c r="BO66" i="1"/>
  <c r="BO64" i="1"/>
  <c r="BO63" i="1"/>
  <c r="BO62" i="1"/>
  <c r="BO60" i="1"/>
  <c r="BO59" i="1"/>
  <c r="BO58" i="1"/>
  <c r="BO57" i="1"/>
  <c r="BO56" i="1"/>
  <c r="BO54" i="1"/>
  <c r="BO52" i="1"/>
  <c r="BO51" i="1"/>
  <c r="BO50" i="1"/>
  <c r="BO49" i="1"/>
  <c r="BO48" i="1"/>
  <c r="BO47" i="1"/>
  <c r="BO46" i="1"/>
  <c r="BO45" i="1"/>
  <c r="BO37" i="1"/>
  <c r="BO41" i="1"/>
  <c r="BO40" i="1"/>
  <c r="BO38" i="1"/>
  <c r="BO36" i="1"/>
  <c r="BO35" i="1"/>
  <c r="BO34" i="1"/>
  <c r="BO33" i="1"/>
  <c r="BO31" i="1"/>
  <c r="BO30" i="1"/>
  <c r="BO29" i="1"/>
  <c r="BO28" i="1"/>
  <c r="BO27" i="1"/>
  <c r="BO26" i="1"/>
  <c r="BO21" i="1"/>
  <c r="BO20" i="1"/>
  <c r="BO19" i="1"/>
  <c r="BO18" i="1"/>
  <c r="BO17" i="1"/>
  <c r="BO16" i="1"/>
  <c r="BO15" i="1"/>
  <c r="BO14" i="1"/>
  <c r="BO13" i="1"/>
  <c r="BO12" i="1"/>
  <c r="BO11" i="1"/>
  <c r="BO10" i="1"/>
  <c r="BO9" i="1"/>
  <c r="BO8" i="1"/>
  <c r="BO7" i="1"/>
  <c r="BO6" i="1"/>
  <c r="BO5" i="1"/>
  <c r="BO4" i="1"/>
  <c r="BO3" i="1"/>
  <c r="BO2" i="1"/>
  <c r="AH241" i="1" l="1"/>
  <c r="AH227" i="1"/>
  <c r="AH228" i="1"/>
  <c r="AH229" i="1"/>
  <c r="AH242" i="1"/>
  <c r="AH231" i="1"/>
  <c r="AH243" i="1"/>
  <c r="AH233" i="1"/>
  <c r="AH244" i="1"/>
  <c r="AH235" i="1"/>
  <c r="AH225" i="1"/>
  <c r="AH226" i="1"/>
  <c r="AH245" i="1"/>
  <c r="AH230" i="1"/>
  <c r="AH232" i="1"/>
  <c r="AH234" i="1"/>
  <c r="AH236" i="1"/>
  <c r="AH237" i="1"/>
  <c r="AH238" i="1"/>
  <c r="AH246" i="1"/>
  <c r="AH239" i="1"/>
  <c r="AH240" i="1"/>
  <c r="AH224" i="1"/>
  <c r="AH223" i="1"/>
  <c r="AH222" i="1"/>
  <c r="AH221" i="1" l="1"/>
  <c r="AH220" i="1"/>
  <c r="AH219" i="1"/>
  <c r="AH218" i="1"/>
  <c r="AH217" i="1"/>
  <c r="AH216" i="1"/>
  <c r="AH215" i="1"/>
  <c r="AH214" i="1"/>
  <c r="AH213" i="1"/>
  <c r="AH212" i="1"/>
  <c r="AH211" i="1"/>
  <c r="AH210" i="1"/>
  <c r="AH209" i="1"/>
  <c r="AH208" i="1"/>
  <c r="AH207" i="1"/>
  <c r="AH206" i="1"/>
  <c r="AH205" i="1"/>
  <c r="AH204" i="1"/>
  <c r="AH203" i="1"/>
  <c r="AH202" i="1"/>
  <c r="AH201" i="1"/>
  <c r="AH200" i="1"/>
  <c r="AH199" i="1"/>
  <c r="AH198" i="1"/>
  <c r="AH197" i="1"/>
  <c r="AH196" i="1"/>
  <c r="AH195" i="1"/>
  <c r="AH194" i="1"/>
  <c r="AH193" i="1"/>
  <c r="AH192" i="1"/>
  <c r="AH191" i="1"/>
  <c r="AH190" i="1"/>
  <c r="AH189" i="1"/>
  <c r="AH188" i="1"/>
  <c r="AH187" i="1"/>
  <c r="AH186" i="1"/>
  <c r="AH185" i="1"/>
  <c r="AH184" i="1"/>
  <c r="AH183" i="1"/>
  <c r="AH182" i="1"/>
  <c r="AH181" i="1"/>
  <c r="AH180" i="1"/>
  <c r="AH179" i="1"/>
  <c r="AH178" i="1"/>
  <c r="AH177" i="1"/>
  <c r="AH176" i="1"/>
  <c r="AH175" i="1"/>
  <c r="AH174" i="1"/>
  <c r="AH173" i="1"/>
  <c r="AH172" i="1"/>
  <c r="AH171" i="1"/>
  <c r="AH170" i="1"/>
  <c r="AH169" i="1"/>
  <c r="AH168" i="1"/>
  <c r="AH167" i="1"/>
  <c r="AH166" i="1"/>
  <c r="AH165" i="1"/>
  <c r="AH164" i="1"/>
  <c r="AH163" i="1"/>
  <c r="AH162" i="1"/>
  <c r="AH161" i="1"/>
  <c r="AH160" i="1"/>
  <c r="AH159" i="1"/>
  <c r="AH158" i="1"/>
  <c r="AH157" i="1"/>
  <c r="AH156" i="1"/>
  <c r="AH155" i="1"/>
  <c r="AH154" i="1"/>
  <c r="AH153" i="1"/>
  <c r="AH152" i="1"/>
  <c r="AH151" i="1"/>
  <c r="AH150" i="1"/>
  <c r="AH149" i="1"/>
  <c r="AH148" i="1"/>
  <c r="AH147" i="1"/>
  <c r="AH146" i="1"/>
  <c r="AH145" i="1"/>
  <c r="AH144" i="1"/>
  <c r="AH143" i="1"/>
  <c r="AH142" i="1"/>
  <c r="AH141" i="1"/>
  <c r="AH140" i="1"/>
  <c r="AH139" i="1"/>
  <c r="AH138" i="1"/>
  <c r="AH137" i="1"/>
  <c r="AH136" i="1"/>
  <c r="AH135" i="1"/>
  <c r="AH134" i="1"/>
  <c r="AH133" i="1"/>
  <c r="AH132" i="1"/>
  <c r="AH131" i="1"/>
  <c r="AH130" i="1"/>
  <c r="AH129" i="1"/>
  <c r="AH128" i="1"/>
  <c r="AH127" i="1"/>
  <c r="AH126" i="1"/>
  <c r="AH125" i="1"/>
  <c r="AH124" i="1"/>
  <c r="AH123" i="1"/>
  <c r="AH122" i="1"/>
  <c r="AH121" i="1"/>
  <c r="AH120" i="1"/>
  <c r="AH119" i="1"/>
  <c r="AH118" i="1"/>
  <c r="AH117" i="1"/>
  <c r="AH116" i="1"/>
  <c r="AH115" i="1"/>
  <c r="AH114" i="1"/>
  <c r="AH113" i="1"/>
  <c r="AH112" i="1"/>
  <c r="AH111" i="1"/>
  <c r="AH110" i="1"/>
  <c r="AH109" i="1"/>
  <c r="AH108" i="1"/>
  <c r="AH107" i="1"/>
  <c r="AH106" i="1"/>
  <c r="AH105" i="1"/>
  <c r="AH104" i="1"/>
  <c r="AH103" i="1"/>
  <c r="AH102" i="1"/>
  <c r="AH101" i="1"/>
  <c r="AH100" i="1"/>
  <c r="AH99" i="1"/>
  <c r="AH98" i="1"/>
  <c r="AH97" i="1"/>
  <c r="AH96" i="1"/>
  <c r="AH95" i="1"/>
  <c r="AH94" i="1"/>
  <c r="AH93" i="1"/>
  <c r="AH92" i="1"/>
  <c r="AH91" i="1"/>
  <c r="AH90" i="1"/>
  <c r="AH89" i="1"/>
  <c r="AH88" i="1"/>
  <c r="AH87" i="1"/>
  <c r="AH86" i="1"/>
  <c r="AH85" i="1"/>
  <c r="AH84" i="1"/>
  <c r="AH83" i="1"/>
  <c r="AH82" i="1"/>
  <c r="AH81" i="1"/>
  <c r="AH80" i="1"/>
  <c r="AH79" i="1"/>
  <c r="AH78" i="1"/>
  <c r="AH77" i="1"/>
  <c r="AH76" i="1"/>
  <c r="AH75" i="1"/>
  <c r="AH73" i="1"/>
  <c r="AH72" i="1"/>
  <c r="AH71" i="1"/>
  <c r="AH70" i="1"/>
  <c r="AH69" i="1"/>
  <c r="AH68" i="1"/>
  <c r="AH67" i="1"/>
  <c r="AH66" i="1"/>
  <c r="AH65" i="1"/>
  <c r="AH64" i="1"/>
  <c r="AH63" i="1"/>
  <c r="AH62" i="1"/>
  <c r="AH61" i="1"/>
  <c r="AH60" i="1"/>
  <c r="AH59" i="1"/>
  <c r="AH58" i="1"/>
  <c r="AH57" i="1"/>
  <c r="AH56" i="1"/>
  <c r="AH55" i="1"/>
  <c r="AH54" i="1"/>
  <c r="AH53" i="1"/>
  <c r="AH52" i="1"/>
  <c r="AH51" i="1"/>
  <c r="AH50" i="1"/>
  <c r="AH49" i="1"/>
  <c r="AH48" i="1"/>
  <c r="AH47" i="1"/>
  <c r="AH46" i="1"/>
  <c r="AH45" i="1"/>
  <c r="AH44" i="1"/>
  <c r="AH43" i="1"/>
  <c r="AH42" i="1"/>
  <c r="AH41" i="1"/>
  <c r="AH40" i="1"/>
  <c r="AH39" i="1"/>
  <c r="AH38" i="1"/>
  <c r="AH37" i="1"/>
  <c r="AH36" i="1"/>
  <c r="AH35" i="1"/>
  <c r="AH34" i="1"/>
  <c r="AH33" i="1"/>
  <c r="AH32" i="1"/>
  <c r="AH31" i="1"/>
  <c r="AH30" i="1"/>
  <c r="AH29" i="1"/>
  <c r="AH28" i="1"/>
  <c r="AH27" i="1"/>
  <c r="AH26" i="1"/>
  <c r="AH25" i="1"/>
  <c r="AH24" i="1"/>
  <c r="AH23" i="1"/>
  <c r="AH22" i="1"/>
  <c r="AH21" i="1"/>
  <c r="AH20" i="1"/>
  <c r="AH19" i="1"/>
  <c r="AH18" i="1"/>
  <c r="AH17" i="1"/>
  <c r="AH16" i="1"/>
  <c r="AH15" i="1"/>
  <c r="AH14" i="1"/>
  <c r="AH13" i="1"/>
  <c r="AH12" i="1"/>
  <c r="AH11" i="1"/>
  <c r="AH10" i="1"/>
  <c r="AH9" i="1"/>
  <c r="AH8" i="1"/>
  <c r="AH7" i="1"/>
  <c r="AH6" i="1"/>
  <c r="AH5" i="1"/>
  <c r="AH4" i="1"/>
  <c r="AH3" i="1"/>
  <c r="AH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tc={7DD8992D-8495-4295-A874-D8F3974A26EB}</author>
  </authors>
  <commentList>
    <comment ref="A307" authorId="0" shapeId="0" xr:uid="{7DD8992D-8495-4295-A874-D8F3974A26EB}">
      <text>
        <t>[Threaded comment]
Your version of Excel allows you to read this threaded comment; however, any edits to it will get removed if the file is opened in a newer version of Excel. Learn more: https://go.microsoft.com/fwlink/?linkid=870924
Comment:
    C11 color?
and C12 color, rows? remember to update the name of the files to be true to their content</t>
      </text>
    </comment>
  </commentList>
</comments>
</file>

<file path=xl/sharedStrings.xml><?xml version="1.0" encoding="utf-8"?>
<sst xmlns="http://schemas.openxmlformats.org/spreadsheetml/2006/main" count="10746" uniqueCount="4141">
  <si>
    <t>Overall retention rate</t>
  </si>
  <si>
    <t>Retention rate</t>
  </si>
  <si>
    <t>Cohort 1</t>
  </si>
  <si>
    <t>Cohort 2</t>
  </si>
  <si>
    <t>Cohort 3</t>
  </si>
  <si>
    <t>Cohort 4</t>
  </si>
  <si>
    <t>Cohort 5</t>
  </si>
  <si>
    <t>Cohort 6</t>
  </si>
  <si>
    <t>Cohort 7</t>
  </si>
  <si>
    <t>Cohort 8</t>
  </si>
  <si>
    <t>Cohort 9</t>
  </si>
  <si>
    <t>Cohort 10</t>
  </si>
  <si>
    <t>Distribution active fellows by Cohort</t>
  </si>
  <si>
    <t>Count of Unique ID</t>
  </si>
  <si>
    <t>Current PhD Status ( Completed/Defended/In Progress)</t>
  </si>
  <si>
    <t>Cohort</t>
  </si>
  <si>
    <t>Completed</t>
  </si>
  <si>
    <t>In progress</t>
  </si>
  <si>
    <t>Terminated</t>
  </si>
  <si>
    <t>Grand Total</t>
  </si>
  <si>
    <t>-</t>
  </si>
  <si>
    <t>Count of S.No.</t>
  </si>
  <si>
    <t>Column Labels</t>
  </si>
  <si>
    <t>Row Labels</t>
  </si>
  <si>
    <t>Female</t>
  </si>
  <si>
    <t>Male</t>
  </si>
  <si>
    <t>Active fellows by institution of registration</t>
  </si>
  <si>
    <t>Active fellows by institution of employment</t>
  </si>
  <si>
    <t>Total</t>
  </si>
  <si>
    <t>Gender</t>
  </si>
  <si>
    <t>(All)</t>
  </si>
  <si>
    <t>University of Ibadan</t>
  </si>
  <si>
    <t>Institution of registration</t>
  </si>
  <si>
    <t>(blank)</t>
  </si>
  <si>
    <t>Institution of employment at registration</t>
  </si>
  <si>
    <t>Makerere University</t>
  </si>
  <si>
    <t>AGINCOURT</t>
  </si>
  <si>
    <t>Moi University</t>
  </si>
  <si>
    <t>APHRC</t>
  </si>
  <si>
    <t>Obafemi Awolowo University</t>
  </si>
  <si>
    <t>Ifakara Health Institute</t>
  </si>
  <si>
    <t>University of Dar es Salaam</t>
  </si>
  <si>
    <t>University of Nairobi</t>
  </si>
  <si>
    <t>University of Rwanda</t>
  </si>
  <si>
    <t>University of the Witwatersrand</t>
  </si>
  <si>
    <t>University of Malawi</t>
  </si>
  <si>
    <t>Somali National University</t>
  </si>
  <si>
    <t>Retention Rate</t>
  </si>
  <si>
    <t>Nationality</t>
  </si>
  <si>
    <t>Cohort 1-10 Demographics.xlsx]Fellows!A1:CJ266</t>
  </si>
  <si>
    <t>Kenya</t>
  </si>
  <si>
    <t>Malawi</t>
  </si>
  <si>
    <t>Nigeria</t>
  </si>
  <si>
    <t>Rwanda</t>
  </si>
  <si>
    <t>Senegal</t>
  </si>
  <si>
    <t>Somalia</t>
  </si>
  <si>
    <t>South Africa</t>
  </si>
  <si>
    <t>Tanzania</t>
  </si>
  <si>
    <t>Uganda</t>
  </si>
  <si>
    <t>Zimbabwe</t>
  </si>
  <si>
    <t>S.No.</t>
  </si>
  <si>
    <t>Unique ID</t>
  </si>
  <si>
    <t>First Name</t>
  </si>
  <si>
    <t>Middle Name</t>
  </si>
  <si>
    <t>Surname</t>
  </si>
  <si>
    <t>Discipline</t>
  </si>
  <si>
    <t>Department</t>
  </si>
  <si>
    <t>Registered at Home</t>
  </si>
  <si>
    <t>PhD Student Number at Host Institution</t>
  </si>
  <si>
    <t>Marital Status at enrolment</t>
  </si>
  <si>
    <t>Current Marital Status</t>
  </si>
  <si>
    <t>Marital Status at Completion</t>
  </si>
  <si>
    <t>Email</t>
  </si>
  <si>
    <t>Alternative e-mail</t>
  </si>
  <si>
    <t>Phone</t>
  </si>
  <si>
    <t>Masters Degree</t>
  </si>
  <si>
    <t>DOB</t>
  </si>
  <si>
    <t>Proposed Research Title</t>
  </si>
  <si>
    <t>Type of study</t>
  </si>
  <si>
    <t>Laboratory work?</t>
  </si>
  <si>
    <t>Type of data</t>
  </si>
  <si>
    <t>Ranking</t>
  </si>
  <si>
    <t>Date of PhD registration</t>
  </si>
  <si>
    <t>Year of admission into CARTA</t>
  </si>
  <si>
    <t>1st Supervisors</t>
  </si>
  <si>
    <t>2nd Supervisor</t>
  </si>
  <si>
    <t>3rd Supervisor</t>
  </si>
  <si>
    <t>Number of supervisors</t>
  </si>
  <si>
    <t>Institution for 1st Supervisor</t>
  </si>
  <si>
    <t>Institution for 2nd Supervisor</t>
  </si>
  <si>
    <t>Institution for 3rd Supervisor</t>
  </si>
  <si>
    <t>1st Supervisors workshop Attendance</t>
  </si>
  <si>
    <t>2nd Supervisors workshop Attendance</t>
  </si>
  <si>
    <t>3rd Supervisors workshop Attendance</t>
  </si>
  <si>
    <t>Type of employment</t>
  </si>
  <si>
    <t>Position at Enrollment</t>
  </si>
  <si>
    <t xml:space="preserve">Current Position </t>
  </si>
  <si>
    <t>Promotion event</t>
  </si>
  <si>
    <t>Other responsibilities</t>
  </si>
  <si>
    <t>Current Institution (Year of change in ())</t>
  </si>
  <si>
    <t>ORCID</t>
  </si>
  <si>
    <t>Suspensions</t>
  </si>
  <si>
    <t>Month/ Year JAS1</t>
  </si>
  <si>
    <t>Month/ Year JAS2</t>
  </si>
  <si>
    <t>Attended JAS 2 on time</t>
  </si>
  <si>
    <t>Date of protocol submission to PG</t>
  </si>
  <si>
    <t>Date of protocol submission to IRB</t>
  </si>
  <si>
    <t>Date of Ethics approval</t>
  </si>
  <si>
    <t>Review body</t>
  </si>
  <si>
    <t>Ethiical reference number</t>
  </si>
  <si>
    <t>Approcved research topic</t>
  </si>
  <si>
    <t>Month/ Year JAS3</t>
  </si>
  <si>
    <t>Attended JAS 3 on time</t>
  </si>
  <si>
    <t>Month/ Year JAS4</t>
  </si>
  <si>
    <t>Attended JAS 4 on time</t>
  </si>
  <si>
    <t>Date of submission of dissertation for examination</t>
  </si>
  <si>
    <t>Date of defense</t>
  </si>
  <si>
    <t>Date of submission of corrections</t>
  </si>
  <si>
    <t>Date of completion(Defended/Graduated)</t>
  </si>
  <si>
    <t xml:space="preserve">Time to completion since enrolling CARTA (Months) </t>
  </si>
  <si>
    <t xml:space="preserve">Time to completion since PhD registration (Months) </t>
  </si>
  <si>
    <t>Thesis title</t>
  </si>
  <si>
    <t>No of Publications at Enrollment</t>
  </si>
  <si>
    <t xml:space="preserve">No of Publications During PhD </t>
  </si>
  <si>
    <t>No of Publications after PhD</t>
  </si>
  <si>
    <t>1st Author PhD  Publications</t>
  </si>
  <si>
    <t>Last Author PhD Publications</t>
  </si>
  <si>
    <t>1st Author Graduate  Publications</t>
  </si>
  <si>
    <t>Last Author  Graduate Publications</t>
  </si>
  <si>
    <t>Baby Minder (Event, Year)</t>
  </si>
  <si>
    <t>Taken on leave of absence (Yes/No)</t>
  </si>
  <si>
    <t>Reason for taking leave of absence</t>
  </si>
  <si>
    <t>Leave start Date</t>
  </si>
  <si>
    <t>Leave end Date</t>
  </si>
  <si>
    <t>Time taken on leave (months)</t>
  </si>
  <si>
    <t>Teacher Replacement</t>
  </si>
  <si>
    <t>Teacher replacement start Date</t>
  </si>
  <si>
    <t>Teacher replacement end Date</t>
  </si>
  <si>
    <t>No. of Children at Entry in CARTA</t>
  </si>
  <si>
    <t>No. of children at graduation</t>
  </si>
  <si>
    <t>No of Publications for Graduation</t>
  </si>
  <si>
    <t>Fellow Funder</t>
  </si>
  <si>
    <t>C1/001</t>
  </si>
  <si>
    <t>Babatunde</t>
  </si>
  <si>
    <t>Olubayo</t>
  </si>
  <si>
    <t>Adedokun</t>
  </si>
  <si>
    <t>Epidemiology &amp; Medical Biostatistics</t>
  </si>
  <si>
    <t>Epidemiology and Medical Statistics</t>
  </si>
  <si>
    <t>Yes</t>
  </si>
  <si>
    <t>Married</t>
  </si>
  <si>
    <t>badedokun@cartafrica.org</t>
  </si>
  <si>
    <t>tukankar@yahoo.co.uk</t>
  </si>
  <si>
    <t>M.Sc Epidemiology &amp; Medical Statistics</t>
  </si>
  <si>
    <t>Joint modelling of CD4 counts and time to loss to follow up among HIV patients attending antiretroviral clinics in Nigeria</t>
  </si>
  <si>
    <t>Clinical research</t>
  </si>
  <si>
    <t>yes</t>
  </si>
  <si>
    <t>Primary</t>
  </si>
  <si>
    <t>Prof Afolabi Bamgboye</t>
  </si>
  <si>
    <t>Prof. Olusola Ayeni</t>
  </si>
  <si>
    <t>Home</t>
  </si>
  <si>
    <t>Host</t>
  </si>
  <si>
    <t>No</t>
  </si>
  <si>
    <t>Academic</t>
  </si>
  <si>
    <t xml:space="preserve">Lecturer </t>
  </si>
  <si>
    <t>UNIVERSITY OF CHICAGO, UNITED STATES</t>
  </si>
  <si>
    <t>0000-0002-6893-6468</t>
  </si>
  <si>
    <t>NF</t>
  </si>
  <si>
    <t>C1/002</t>
  </si>
  <si>
    <t>Celine</t>
  </si>
  <si>
    <t>Niwemahoro</t>
  </si>
  <si>
    <t>Demography &amp; Population Studies</t>
  </si>
  <si>
    <t>Applied Statistics</t>
  </si>
  <si>
    <t>cniwemahoro@cartafrica.org</t>
  </si>
  <si>
    <t>ncmahoro2000@yahoo.fr</t>
  </si>
  <si>
    <t>+250788350522/254723489604</t>
  </si>
  <si>
    <t>Masters in Demography and Population Studies (online)</t>
  </si>
  <si>
    <t>Premarital Fertility and Use Of Health Care: Effect On HIV And Prevention Mother-To-Child Transmission (PMTCT) In Rwanda</t>
  </si>
  <si>
    <t>Field</t>
  </si>
  <si>
    <t>Dr. Julius Kivelia</t>
  </si>
  <si>
    <t>Assistant Lecturer</t>
  </si>
  <si>
    <t>Researcher</t>
  </si>
  <si>
    <t>SCUB - CONSULTANCY FIRM NAIROBI</t>
  </si>
  <si>
    <t>0000-0003-2008-3061</t>
  </si>
  <si>
    <t>Premarital pregnancies and experiences in antenatal care health seeking behavior in Huye District, Rwanda</t>
  </si>
  <si>
    <t>C1/003</t>
  </si>
  <si>
    <t>Caroline</t>
  </si>
  <si>
    <t>Sultan</t>
  </si>
  <si>
    <t>Sambai</t>
  </si>
  <si>
    <t>Literature</t>
  </si>
  <si>
    <t>LITERATURE THEATRE AND FILM STUDIES</t>
  </si>
  <si>
    <t>SASS/DPHIL/LIT/07/11</t>
  </si>
  <si>
    <t/>
  </si>
  <si>
    <t>csambai@cartafrica.org</t>
  </si>
  <si>
    <t>carolsambai11@gmail.com</t>
  </si>
  <si>
    <t>+254722433561</t>
  </si>
  <si>
    <t>MA in Africa Literature</t>
  </si>
  <si>
    <t>Television Drama as in Kenya and the Framing of Issues of HIV/AIDS and sexuality</t>
  </si>
  <si>
    <t>Prof Christopher Joseph Odhiambo</t>
  </si>
  <si>
    <t>Prof. Peter Tirop Simatei</t>
  </si>
  <si>
    <t>Caroline Kabiru</t>
  </si>
  <si>
    <t>Other</t>
  </si>
  <si>
    <t>Lecturer</t>
  </si>
  <si>
    <t>MOI UNIVERSITY</t>
  </si>
  <si>
    <t>0000-0002-5122-3621</t>
  </si>
  <si>
    <t>JAS 2, 2011</t>
  </si>
  <si>
    <t>C1/004</t>
  </si>
  <si>
    <t>Dieudonne</t>
  </si>
  <si>
    <t>Uwizeye</t>
  </si>
  <si>
    <t>Sustainable Development</t>
  </si>
  <si>
    <t>duwizeye@cartafrica.org</t>
  </si>
  <si>
    <t>dr.uwizeye@gmail.com</t>
  </si>
  <si>
    <t>(+250) 0788 457 397</t>
  </si>
  <si>
    <t>MA English and MA in Development Studies</t>
  </si>
  <si>
    <t>Review Of Environmental And Population Health Challenges In The Rwandan Towns And Innovative Mitigation Strategies For Improved And Sustainble life</t>
  </si>
  <si>
    <t>Dr. Sokoni Cosmas Hassan</t>
  </si>
  <si>
    <t>Associate Professor</t>
  </si>
  <si>
    <t>Head of Department
 Deputy Team Leader of a Research Subprogram in Peace, Conflict and Security Studies at the Center for Conflict Management, University of Rwanda.</t>
  </si>
  <si>
    <t>UNIVERSITY OF RWANDA</t>
  </si>
  <si>
    <t>0000-0002-9733-8969</t>
  </si>
  <si>
    <t>C1/005</t>
  </si>
  <si>
    <t>Wells</t>
  </si>
  <si>
    <t>Utembe</t>
  </si>
  <si>
    <t>Environmental Sciences</t>
  </si>
  <si>
    <t>Physics and Biochemical Sciences</t>
  </si>
  <si>
    <t>wutembe@cartafrica.org</t>
  </si>
  <si>
    <t>wutembe@poly.ac.mw</t>
  </si>
  <si>
    <t>Msc Environemntal (online)</t>
  </si>
  <si>
    <t>Assessment of occurrence, profile, distribution and exposure to polycyclic aromatic hydrocarbons (PAHs) in Malawi</t>
  </si>
  <si>
    <t>Prof Mary Gulumian</t>
  </si>
  <si>
    <t>Dr. Louisa Alfazema</t>
  </si>
  <si>
    <t xml:space="preserve">Senior Medical Epidemiologist 
</t>
  </si>
  <si>
    <t>NATIONAL INSTITUTE FOR OCCUPATIONAL HEALTH, SOUTH AFRICA (2012)</t>
  </si>
  <si>
    <t>0000-0001-6547-7692</t>
  </si>
  <si>
    <t>C1/006</t>
  </si>
  <si>
    <t>Victoria</t>
  </si>
  <si>
    <t>Mathew</t>
  </si>
  <si>
    <t>Mwakalinga Chuma</t>
  </si>
  <si>
    <t>Biomedical and environmental sciences</t>
  </si>
  <si>
    <t>married</t>
  </si>
  <si>
    <t>vmwakalinga@cartafrica.org</t>
  </si>
  <si>
    <t xml:space="preserve">vmwakalinga@ihi.or.tz </t>
  </si>
  <si>
    <t>+255 738 357315; +255 767 366 539</t>
  </si>
  <si>
    <t>Msc Urban Planing and Management</t>
  </si>
  <si>
    <t>Integrated geographical tools can enable targeted urban planning interventions to control malaria and lymphatic filariasis</t>
  </si>
  <si>
    <t>Dr. Maureen Coetzee</t>
  </si>
  <si>
    <t>Dr. Gerry Killeen</t>
  </si>
  <si>
    <t>Dr. Stefan Dongus</t>
  </si>
  <si>
    <t>Assistant lecturer</t>
  </si>
  <si>
    <t>Senior Lecturer</t>
  </si>
  <si>
    <t>ARTHI UNIVERSITY</t>
  </si>
  <si>
    <t>JAS 1, 2011</t>
  </si>
  <si>
    <t>C1/007</t>
  </si>
  <si>
    <t>Esnat</t>
  </si>
  <si>
    <t>Dorothy</t>
  </si>
  <si>
    <t>Chirwa</t>
  </si>
  <si>
    <t>Mathematical Sciences</t>
  </si>
  <si>
    <t>DPHRU Wits</t>
  </si>
  <si>
    <t>echirwa@cartafrica.org</t>
  </si>
  <si>
    <t>echirwa@chanco.unima.mw
 edkwalira@yahoo.com,</t>
  </si>
  <si>
    <t>Masters in Biometry (online)</t>
  </si>
  <si>
    <t>Modelling longitudinal child growth within the Birth to Twenty (Soweto) and Lungwena (Mangochi, Malawi) cohorts</t>
  </si>
  <si>
    <t>Prof Shane Norris</t>
  </si>
  <si>
    <t>Dr. Paula Griffiths</t>
  </si>
  <si>
    <t>Assoc Prof. Ken Maleta</t>
  </si>
  <si>
    <t>Senior Biostatistician</t>
  </si>
  <si>
    <t xml:space="preserve">SOUTH AFRICA MEDICAL RESEARCH COUNCIL </t>
  </si>
  <si>
    <t>0000-0003-0471-4978</t>
  </si>
  <si>
    <t>C1/008</t>
  </si>
  <si>
    <t>Taofeek</t>
  </si>
  <si>
    <t>Oluwole</t>
  </si>
  <si>
    <t>Awotidebe</t>
  </si>
  <si>
    <t>Exercise Physiology</t>
  </si>
  <si>
    <t>Human Kinetics and Health Education</t>
  </si>
  <si>
    <t>tawotidebe@cartafrica.org</t>
  </si>
  <si>
    <t>tidebet@yahoo.com</t>
  </si>
  <si>
    <t>+2348037196021</t>
  </si>
  <si>
    <t>M.SC Physiotherapy</t>
  </si>
  <si>
    <t>Cardiovascular Risk Profile And Physical Activity Level of Residents of a Semi – Urban Community  In Nigeria</t>
  </si>
  <si>
    <t>Professor Babalola Joseph Folorunso</t>
  </si>
  <si>
    <t>Professor Lateef Babatunde Salako</t>
  </si>
  <si>
    <t xml:space="preserve">Other </t>
  </si>
  <si>
    <t xml:space="preserve">Lecturer II </t>
  </si>
  <si>
    <t>Vice Dean of the  Faculty of Basic Medical Sciences, College of Health Sciences</t>
  </si>
  <si>
    <t>OBAFEMI AWOLOWO UNIVERSITY</t>
  </si>
  <si>
    <t>0000-0002-8583-9467</t>
  </si>
  <si>
    <t>C1/009</t>
  </si>
  <si>
    <t>Fresier</t>
  </si>
  <si>
    <t>Maseko</t>
  </si>
  <si>
    <t>Community Health</t>
  </si>
  <si>
    <t>Department of Community Health</t>
  </si>
  <si>
    <t>fmaseko@cartafrica.org</t>
  </si>
  <si>
    <t xml:space="preserve">fcmaseko@yahoo.com
 fmaseko@medcol.mw </t>
  </si>
  <si>
    <t>Master of Public Health(online)</t>
  </si>
  <si>
    <t>Maximizing utilization of cervical cancer prevention services in South East Health Zone of Malawi. What would it take?</t>
  </si>
  <si>
    <t>Dr. Maureen Leah Chirwa</t>
  </si>
  <si>
    <t>Dr. Adamson Muula</t>
  </si>
  <si>
    <t>UNIVERSITY OF MALAWI</t>
  </si>
  <si>
    <t>0000-0002-0996-4207</t>
  </si>
  <si>
    <t>C1/010</t>
  </si>
  <si>
    <t>François</t>
  </si>
  <si>
    <t>Niragire</t>
  </si>
  <si>
    <t>Statistics</t>
  </si>
  <si>
    <t>fniragire@cartafrica.org</t>
  </si>
  <si>
    <t xml:space="preserve"> fniragire@ur.ac.rw; fniragiree@gmail.com; fniragire@gmail.com</t>
  </si>
  <si>
    <t>+250 78 8273787/+250787427688</t>
  </si>
  <si>
    <t>MSc. In Social Statistics</t>
  </si>
  <si>
    <t>Spatial modeling of the relationship between HIV prevalence and socioeconomic determinants of child mortality in Rwanda.</t>
  </si>
  <si>
    <t>Secondary</t>
  </si>
  <si>
    <t>Dr. Thomas N. O. Achia</t>
  </si>
  <si>
    <t>Dr. Lyambabaje Alexandre</t>
  </si>
  <si>
    <t>Joseph Ntaganira</t>
  </si>
  <si>
    <t xml:space="preserve">Professor </t>
  </si>
  <si>
    <t>Director of Teaching and Learning,
Director of Research and Innovation at he College of Business and Economics (2022)</t>
  </si>
  <si>
    <t>0000-0003-0473-387</t>
  </si>
  <si>
    <t>Spatial modelling of the relationship between HIV prevalence and determinants of child
mortality in Rwanda</t>
  </si>
  <si>
    <t>C1/011</t>
  </si>
  <si>
    <t>Joshua</t>
  </si>
  <si>
    <t>Odunayo</t>
  </si>
  <si>
    <t>Akinyemi</t>
  </si>
  <si>
    <t>Epidemiology &amp; Medical Statistics</t>
  </si>
  <si>
    <t>Single</t>
  </si>
  <si>
    <t>jakinyemi@cartafrica.org</t>
  </si>
  <si>
    <t>odunjoshua@yahoo.com
 joakinyemi@com.ui.edu.ng</t>
  </si>
  <si>
    <t>+234-8077677427</t>
  </si>
  <si>
    <t>MSc (Medical Statistics)</t>
  </si>
  <si>
    <t>Levels, Trends and Differentials of Infant and Child Mortality in Nigeria: 1990 - 2008</t>
  </si>
  <si>
    <t>UNIVERSITY OF IBADAN</t>
  </si>
  <si>
    <t>0000-0002-0675-2110</t>
  </si>
  <si>
    <t>Levels, Trends and Differentials in Under-five Mortality in 
Nigeria (1990-2008)</t>
  </si>
  <si>
    <t>C1/012</t>
  </si>
  <si>
    <t>Mphatso</t>
  </si>
  <si>
    <t>Steve Wilbes</t>
  </si>
  <si>
    <t>Kamndaya</t>
  </si>
  <si>
    <t>Mathematics and Statistics</t>
  </si>
  <si>
    <t>mkamndaya@cartafrica.org</t>
  </si>
  <si>
    <t>kamndayam@yahoo.com</t>
  </si>
  <si>
    <t>+265999851477</t>
  </si>
  <si>
    <t>MSc Mathematical Statistics</t>
  </si>
  <si>
    <t xml:space="preserve">Modeling indoor air pollution to improve health delivery systems and public health in Malawi </t>
  </si>
  <si>
    <t>Lawrence N.M. Kazembe</t>
  </si>
  <si>
    <t>Dr. Liz Thomas</t>
  </si>
  <si>
    <t xml:space="preserve">Associate Professor </t>
  </si>
  <si>
    <t>0000-0002-7597-3339</t>
  </si>
  <si>
    <t>Multilevel analysis of determinants of HIV- related sexual risks-taking and decision making among youths in urban informal settlements in Malawi and South Africa</t>
  </si>
  <si>
    <t>C1/013</t>
  </si>
  <si>
    <t>Esther</t>
  </si>
  <si>
    <t>Clyde</t>
  </si>
  <si>
    <t>Nabakwe</t>
  </si>
  <si>
    <t>Pediatrics &amp; Child health</t>
  </si>
  <si>
    <t>nabakwe@cartafrica.org</t>
  </si>
  <si>
    <t>echirwa@chanco.unima.mw
edkwalira@yahoo.com</t>
  </si>
  <si>
    <t>M.Med Paediatrics</t>
  </si>
  <si>
    <t>Socio-cultural and economic determinants of HIV mothers' knowledge, attitude and practise of current WHO infant feeding policy and the impact on infants' outcome</t>
  </si>
  <si>
    <t>Prof Joshua Akong’a</t>
  </si>
  <si>
    <t>Dr. Grace Ettyang</t>
  </si>
  <si>
    <t>0000-0002-0401-3373</t>
  </si>
  <si>
    <t>Sex and young people in urban slums: Exploring the material
deprivation and sexual risk nexus in
Malawi and South Africa</t>
  </si>
  <si>
    <t>C1/014</t>
  </si>
  <si>
    <t>Nicole</t>
  </si>
  <si>
    <t>De Wet</t>
  </si>
  <si>
    <t>Demography</t>
  </si>
  <si>
    <t>Demography and Population Studies</t>
  </si>
  <si>
    <t>0211542Y</t>
  </si>
  <si>
    <t>ndewet@cartafrica.org</t>
  </si>
  <si>
    <t>nicole.dewet@wits.ac.za
Nic_dewet@yahoo.com</t>
  </si>
  <si>
    <t>Master of Arts Demography and Population Studies</t>
  </si>
  <si>
    <t>Domestic Violence and child health outcomes: An investigation into the relationship between frequency of abuse and negative child health outcomes in two African countries.</t>
  </si>
  <si>
    <t>Prof Clifford Odimegwu</t>
  </si>
  <si>
    <t>Tutor</t>
  </si>
  <si>
    <t>Assistant Dean for Postgraduate Studies, Faculty of Humanities</t>
  </si>
  <si>
    <t>UNIVERSITY OF THE WITWATERSRAND</t>
  </si>
  <si>
    <t>0000-0001-5750-2851</t>
  </si>
  <si>
    <t>C1/015</t>
  </si>
  <si>
    <t>Kennedy</t>
  </si>
  <si>
    <t>S.Naviava</t>
  </si>
  <si>
    <t>Otwombe</t>
  </si>
  <si>
    <t> Epidemiology &amp; Medical Biostatistics</t>
  </si>
  <si>
    <t>Perinatal HIV Research Unit, Dept. Data and Statistics</t>
  </si>
  <si>
    <t>otwombek@phru.co.za</t>
  </si>
  <si>
    <t>M.Sc Mathematical statistics</t>
  </si>
  <si>
    <t>Use of frailty modeling with arbitrary censoring in determining predictors of mortality for a Clinical researchized HIV positive population in South Africa</t>
  </si>
  <si>
    <t>Dr. Tobias Chirwa</t>
  </si>
  <si>
    <t>Dr. Guy de Bruyn</t>
  </si>
  <si>
    <t>Senior Statistician</t>
  </si>
  <si>
    <t>0000-0002-7433-4383</t>
  </si>
  <si>
    <t>C1/016</t>
  </si>
  <si>
    <t>Peter</t>
  </si>
  <si>
    <t>Suriwakenda</t>
  </si>
  <si>
    <t>Nyasulu</t>
  </si>
  <si>
    <t>Division of Epidemiology &amp; Medical Biostatistics</t>
  </si>
  <si>
    <t>pnyasulu@cartafrica.org</t>
  </si>
  <si>
    <t>Peter.Nyasulu@wits.ac.za</t>
  </si>
  <si>
    <t>M.Sc (Medicine)</t>
  </si>
  <si>
    <t>Surveillance of antimicrobial susceptibility patterns among pathogens isolated in public sector Clinical researchs associated with academic institutions, South Africa during a 5 year period 2005-2009</t>
  </si>
  <si>
    <t>Clinical research - Retrospective</t>
  </si>
  <si>
    <t>Prof Jill Murray</t>
  </si>
  <si>
    <t>Prof. Hendrik J. Koornhof</t>
  </si>
  <si>
    <t>Dr. Olga Perovic</t>
  </si>
  <si>
    <t>STELLENBOSCH UNIVERSITY</t>
  </si>
  <si>
    <t>0000-0003-2757-0663</t>
  </si>
  <si>
    <t>C1/017</t>
  </si>
  <si>
    <t>Rose</t>
  </si>
  <si>
    <t>Okoyo</t>
  </si>
  <si>
    <t>Opiyo</t>
  </si>
  <si>
    <t>Nutrition</t>
  </si>
  <si>
    <t>Food Science, Nutrition and Technology</t>
  </si>
  <si>
    <t>A80/82301/2011</t>
  </si>
  <si>
    <t>ropiyo@cartafrica.org</t>
  </si>
  <si>
    <t>roseopiyo@uonbi.ac.ke
 roseopiyo04@yahoo.co.uk</t>
  </si>
  <si>
    <t>+254 722473122</t>
  </si>
  <si>
    <t>Msc Applied Human Nutrition</t>
  </si>
  <si>
    <t>Effect of Omega-3 Fatty Acids (Fish Oil) Supplementation along with Diet on Depression and Nutrition Status of HIV-Seropositive and HIV-Seronegative Pregnant Mothers among Low-income Urban Population in Nairobi</t>
  </si>
  <si>
    <t>Clinical research - RCT</t>
  </si>
  <si>
    <t>Prof. Wambui Kogi-Makau</t>
  </si>
  <si>
    <t>Prof. Koigi R. Kamau</t>
  </si>
  <si>
    <t>Dr. Anne Obondo</t>
  </si>
  <si>
    <t xml:space="preserve"> Lecturer</t>
  </si>
  <si>
    <t>Member of  College of Health Sciences, University of Nairobi Committee on Guidelines for PhD Equivalent Qualifications for Clinicians.</t>
  </si>
  <si>
    <t>UNIVERSITY OF NAIROBI</t>
  </si>
  <si>
    <t>0000-0003-1885-9991</t>
  </si>
  <si>
    <t>Effect of fish oil Omega- 3 fatty acids on reduction of depressive symptoms among HIV - seropositive pregnant women</t>
  </si>
  <si>
    <t>C1/018</t>
  </si>
  <si>
    <t>Sunday</t>
  </si>
  <si>
    <t>Adepoju</t>
  </si>
  <si>
    <t>Adedini</t>
  </si>
  <si>
    <t>sadedini@cartafrica.org</t>
  </si>
  <si>
    <t>sunday.adedini@gmail.com
adedinisunday@yahoo.com</t>
  </si>
  <si>
    <t>+234-803 397 7498</t>
  </si>
  <si>
    <t xml:space="preserve">M.Sc Demography and Social Statistics </t>
  </si>
  <si>
    <t>Multilevel Analysis of Determinants of Infant and Child Mortality in West Africa</t>
  </si>
  <si>
    <t>Dr. Samson Bamiwuye</t>
  </si>
  <si>
    <t>Head Demographer; Head of Demography and Social Statistics (2021)</t>
  </si>
  <si>
    <t>FEDERAL UNIVERSITY, OYE-EKITI (2020)</t>
  </si>
  <si>
    <t>0000-0003-0378-1941</t>
  </si>
  <si>
    <t>C1/019</t>
  </si>
  <si>
    <t>Sulaimon</t>
  </si>
  <si>
    <t>Taiwo</t>
  </si>
  <si>
    <t>Demography and Social Statistics</t>
  </si>
  <si>
    <t>sadedokun@cartafrica.org</t>
  </si>
  <si>
    <t>adedokunsulait@gmail.com</t>
  </si>
  <si>
    <t>+2348051398276</t>
  </si>
  <si>
    <t>Maternal and Socio-demographic Correlates of Under-five Mortality in Yobe State, Nigeria</t>
  </si>
  <si>
    <t>Ogunjuyigbe Peter Olasupo</t>
  </si>
  <si>
    <t>Lecturer II</t>
  </si>
  <si>
    <t>0000-0003-0021-8045</t>
  </si>
  <si>
    <t>Comparative analysis of the factors accounting for under-five mortality differentials in North East and South West of Nigeria</t>
  </si>
  <si>
    <t>C1/020</t>
  </si>
  <si>
    <t>Atolagbe</t>
  </si>
  <si>
    <t>Afolabi</t>
  </si>
  <si>
    <t>0607789e</t>
  </si>
  <si>
    <t>safolabi@cartafrica.org</t>
  </si>
  <si>
    <t>afolaborn@gmail.com</t>
  </si>
  <si>
    <t>+2771718311</t>
  </si>
  <si>
    <t>MA in Demography and Population studies</t>
  </si>
  <si>
    <t>License to move: a longitudinal study of migration and its relation to HIV and TB in high mortality post-apartheid South Africa.</t>
  </si>
  <si>
    <t>Dr. Mark Collinson</t>
  </si>
  <si>
    <t>Prof. Philippe Bocquier</t>
  </si>
  <si>
    <t>Lead Data Scientist</t>
  </si>
  <si>
    <t>0000-0001-9382-6386</t>
  </si>
  <si>
    <t>Deceased 15/02/2021</t>
  </si>
  <si>
    <t>C1/022</t>
  </si>
  <si>
    <t>Theresa</t>
  </si>
  <si>
    <t>Njeri</t>
  </si>
  <si>
    <t>Kinyari</t>
  </si>
  <si>
    <t>C1/023</t>
  </si>
  <si>
    <t xml:space="preserve">Peter </t>
  </si>
  <si>
    <t xml:space="preserve">Mwamba </t>
  </si>
  <si>
    <t>Maturi</t>
  </si>
  <si>
    <t>C1/024</t>
  </si>
  <si>
    <t>Jaclkline</t>
  </si>
  <si>
    <t>Halima</t>
  </si>
  <si>
    <t>Mgumia</t>
  </si>
  <si>
    <t>C2/001</t>
  </si>
  <si>
    <t>Adebolajo</t>
  </si>
  <si>
    <t>Adeyemo</t>
  </si>
  <si>
    <t>Epidemiology</t>
  </si>
  <si>
    <t>aadeyemo@cartafrica.org</t>
  </si>
  <si>
    <t>adebolajo@hotmail.com</t>
  </si>
  <si>
    <t>M.Sc Immunology</t>
  </si>
  <si>
    <t>Genetic epidemiology in Nigeria</t>
  </si>
  <si>
    <t>Prof. Odunayo Moronfoluwa Oluwatosin</t>
  </si>
  <si>
    <t>Prof. Omotade Olayemi Olufemi-Julius</t>
  </si>
  <si>
    <t>Senior Medical Research Fellow</t>
  </si>
  <si>
    <t>0000-0002-7486-5758</t>
  </si>
  <si>
    <t>C2/002</t>
  </si>
  <si>
    <t>Alinane Linda</t>
  </si>
  <si>
    <t>Nyondo-Mipando</t>
  </si>
  <si>
    <t>Health Systems and Policy</t>
  </si>
  <si>
    <t>alinda@cartafrica.org</t>
  </si>
  <si>
    <t>lindaalinane@gmail.com</t>
  </si>
  <si>
    <t>+265 999 44 1212</t>
  </si>
  <si>
    <t>Master of Nursing (Community Health) Online</t>
  </si>
  <si>
    <t>The feasibility of male involvement in Prevention of Mother to Child Transmission of HIV services in Malawi.</t>
  </si>
  <si>
    <t>Dr. Angela Chimwaza</t>
  </si>
  <si>
    <t>Project Coordinator</t>
  </si>
  <si>
    <t>Deputy Dean, SPH and coordinator of Postgraduate Programs, School of Governance</t>
  </si>
  <si>
    <t xml:space="preserve">
UNIVERSITY OF LIVERPOOL, DEPARTMENT OF WOMEN'S AND CHILDREN'S HEALTH (2022)</t>
  </si>
  <si>
    <t> 0000-0002-3572-3810</t>
  </si>
  <si>
    <t>FF</t>
  </si>
  <si>
    <t>C2/003</t>
  </si>
  <si>
    <t>Austin</t>
  </si>
  <si>
    <t>Henderson</t>
  </si>
  <si>
    <t>Mtethiwa</t>
  </si>
  <si>
    <t>amtethiwa@cartafrica.org</t>
  </si>
  <si>
    <t>+265888316331</t>
  </si>
  <si>
    <t>M. Sc Limnology &amp; Wetland Ecosystems</t>
  </si>
  <si>
    <t>Contribution of domestic waste water treatment plants to proliferation of schistosomiasis and pollution of aquatic resources and ability herbaceous plants for waste water treatment</t>
  </si>
  <si>
    <t>Wilson Mandala</t>
  </si>
  <si>
    <t>Dr. Lucy Namkinga</t>
  </si>
  <si>
    <t>0000-0003-0793-5186</t>
  </si>
  <si>
    <t>CARNEGIE 2</t>
  </si>
  <si>
    <t>C2/004</t>
  </si>
  <si>
    <t>Diana</t>
  </si>
  <si>
    <t>Menya</t>
  </si>
  <si>
    <t>Medical Epidemiology</t>
  </si>
  <si>
    <t>Library</t>
  </si>
  <si>
    <t>dmenya@cartafrica.org</t>
  </si>
  <si>
    <t>dianamenya@gmail.com</t>
  </si>
  <si>
    <t>+254 720352579/+254 733777500</t>
  </si>
  <si>
    <t>MSc. Clinical Epidemiology</t>
  </si>
  <si>
    <t>unkown</t>
  </si>
  <si>
    <t>Prof. Odipo Osano</t>
  </si>
  <si>
    <t>Prof Rafael Carel</t>
  </si>
  <si>
    <t>000 0000337081871</t>
  </si>
  <si>
    <t>Behavioral, Nutritional and Environmental Factors
associated with Esophageal Cancer in western Kenya</t>
  </si>
  <si>
    <t>C2/005</t>
  </si>
  <si>
    <t>Evaline</t>
  </si>
  <si>
    <t>Mcharo</t>
  </si>
  <si>
    <t>Geography</t>
  </si>
  <si>
    <t>emcharo@cartafrica.org</t>
  </si>
  <si>
    <t>mcharoevaline@gmail.com;
evalinemcharo@yahoo.co.uk</t>
  </si>
  <si>
    <t>MA in demography (online)</t>
  </si>
  <si>
    <t>Socioeconomic determinants of unsafe abortion and its implication to women in Tanzania.</t>
  </si>
  <si>
    <t>Dr. Lawrence Ikamari</t>
  </si>
  <si>
    <t>Dr. Alfred Agwanda Otieno</t>
  </si>
  <si>
    <t>UNIVERSITY OF DAR ES SALAAM</t>
  </si>
  <si>
    <t>WT</t>
  </si>
  <si>
    <t>C2/006</t>
  </si>
  <si>
    <t>Stephen</t>
  </si>
  <si>
    <t>Ojiambo</t>
  </si>
  <si>
    <t>Wandera</t>
  </si>
  <si>
    <t>Department of Population Studies</t>
  </si>
  <si>
    <t>swandera@cartafrica.org</t>
  </si>
  <si>
    <t>swandera@gmail.com</t>
  </si>
  <si>
    <t>+256774976879</t>
  </si>
  <si>
    <t>M.Sc Population &amp; Reproductive Health</t>
  </si>
  <si>
    <t>Intergenerational Support and Health of the Ageing Population In Rural Uganda</t>
  </si>
  <si>
    <t>Dr. James Ntozi</t>
  </si>
  <si>
    <t>Dr. Betty Kwagala</t>
  </si>
  <si>
    <t>Head of Department</t>
  </si>
  <si>
    <t>MAKERERE UNIVERISTY</t>
  </si>
  <si>
    <t>0000-0002-5617-0274</t>
  </si>
  <si>
    <t>Disaparities in health and access to healthcare among older persons in Uganda</t>
  </si>
  <si>
    <t>C2/007</t>
  </si>
  <si>
    <t>Adeniyi</t>
  </si>
  <si>
    <t>Francis</t>
  </si>
  <si>
    <t>Fagbamigbe</t>
  </si>
  <si>
    <t>BIOSTATISTICS</t>
  </si>
  <si>
    <t>EPIDEMIOLOGY AND MEDICAL STATISTICS</t>
  </si>
  <si>
    <t>fadeniyi@cartafrica.org</t>
  </si>
  <si>
    <t>franstel74@yahoo.com</t>
  </si>
  <si>
    <t>+2348061348165</t>
  </si>
  <si>
    <t>Masters in medical statistics</t>
  </si>
  <si>
    <t>Modeling association between bivariate censored outcomes: a case study of bipolar disorder</t>
  </si>
  <si>
    <t>Prof. Elijah Afolabi Bamgboye</t>
  </si>
  <si>
    <t>0000-0001-9184-8258</t>
  </si>
  <si>
    <t>MAC</t>
  </si>
  <si>
    <t>C2/008</t>
  </si>
  <si>
    <t>Tumwine</t>
  </si>
  <si>
    <t>Gabriel</t>
  </si>
  <si>
    <t>gtumwine@cartafrica.org</t>
  </si>
  <si>
    <t xml:space="preserve">gtumwine@vetmed.mak.ac.ug; tumwinegabriel@gmail.com 
</t>
  </si>
  <si>
    <t>+256782194819</t>
  </si>
  <si>
    <t>M.Sc Molecular Biology</t>
  </si>
  <si>
    <t>Malaria and filariasis co-infection during pregnancy in high malaria transmission areas of Uganda: Impacts on pregnancy outcomes, immune response and antifolates effects</t>
  </si>
  <si>
    <t>Dr. Enock Matovu</t>
  </si>
  <si>
    <t>Dr. Jean Langhorne</t>
  </si>
  <si>
    <t>Teaching Assistant</t>
  </si>
  <si>
    <t>MAKERERE UNIVERSITY</t>
  </si>
  <si>
    <t>0000-0003-3338-5333</t>
  </si>
  <si>
    <t>C2/009</t>
  </si>
  <si>
    <t>Herbert</t>
  </si>
  <si>
    <t>Hudson</t>
  </si>
  <si>
    <t>Longwe</t>
  </si>
  <si>
    <t>hlongwe@cartafrica.org</t>
  </si>
  <si>
    <t>Herbert.longwe@gmail.com,  hlongwe@medcol.mw </t>
  </si>
  <si>
    <t>Master of Philosophy (Tropical Medicine).</t>
  </si>
  <si>
    <t xml:space="preserve">Investigating the effect of daily cotrimoxazole prophylaxis on the acquisition of malaria specific immunity in HIV exposed children and HIV infected children </t>
  </si>
  <si>
    <t>Dr. Wilson Mandala</t>
  </si>
  <si>
    <t>Dr. Adam Cunningham</t>
  </si>
  <si>
    <t>Cal MacLennan</t>
  </si>
  <si>
    <t>Research Scientist</t>
  </si>
  <si>
    <t>Deputy Director Laboratory Support, ICAP at Columbia University</t>
  </si>
  <si>
    <t>COLUMBIA UNIVERSITY, SOUTH AFRICA</t>
  </si>
  <si>
    <t>0000-0002-2496-896X</t>
  </si>
  <si>
    <t>Efect of daily contrimoxazole prophylaxis on naturally acquired plasmodium falciparum -Specific Immune Responses in HIV - exposed uninfected Malawian Children</t>
  </si>
  <si>
    <t>C2/010</t>
  </si>
  <si>
    <t>Joseph</t>
  </si>
  <si>
    <t>Maurice</t>
  </si>
  <si>
    <t>Mutisya</t>
  </si>
  <si>
    <t>Public Health</t>
  </si>
  <si>
    <t>Education Research Program</t>
  </si>
  <si>
    <t>jmutisya@cartafrica.org</t>
  </si>
  <si>
    <t xml:space="preserve">mmutisya@aphrc.org
mmutisya@ymail.com </t>
  </si>
  <si>
    <t>+25421987850</t>
  </si>
  <si>
    <t>MSC (Population Based Epidemiology)</t>
  </si>
  <si>
    <t>Knowledge, Attitude and Beliefs on Stigma and Discrimination among people living with HIV &amp; AIDS in Kenya: Individual and Community Level Effects</t>
  </si>
  <si>
    <t>Dr. Moses Ngware</t>
  </si>
  <si>
    <t>Dr. Caroline Kabiru</t>
  </si>
  <si>
    <t>Dr. Kandala Ngianga</t>
  </si>
  <si>
    <t>Data Analyst</t>
  </si>
  <si>
    <t xml:space="preserve">Director Research at Zizi Afrique
</t>
  </si>
  <si>
    <t>ZIZI AFRIQUE FOUNDATION, KENYA (2022)</t>
  </si>
  <si>
    <t>0000-0001-5981-6344</t>
  </si>
  <si>
    <t>Household food security, child Nutrition, and education: A longitudinal Analysis in Two urban informal Settlements in Kenya</t>
  </si>
  <si>
    <t>C2/011</t>
  </si>
  <si>
    <t>Njuguna</t>
  </si>
  <si>
    <t>John</t>
  </si>
  <si>
    <t>Njenga</t>
  </si>
  <si>
    <t>Demography &amp; Social statistics</t>
  </si>
  <si>
    <t>Population Studies and Research Institute (PSRI</t>
  </si>
  <si>
    <t>jnjega@cartafrica.org</t>
  </si>
  <si>
    <t>+254721473921</t>
  </si>
  <si>
    <t>Determinants of Active Life Expectancy among Adult HIV/AIDS Patients in Kenya</t>
  </si>
  <si>
    <t>Dr. Murungaru Kimani</t>
  </si>
  <si>
    <t>0000-0001-7130-1626</t>
  </si>
  <si>
    <t>C2/012</t>
  </si>
  <si>
    <t>Mary</t>
  </si>
  <si>
    <t>Oluwafunke</t>
  </si>
  <si>
    <t>Obiyan</t>
  </si>
  <si>
    <t>mobiyan@cartafrica.org</t>
  </si>
  <si>
    <t>maryobiyan@gmail.com</t>
  </si>
  <si>
    <t>+2348038161303</t>
  </si>
  <si>
    <t>Wealth Quintile and Fertility Differentials among Households in Nigeria</t>
  </si>
  <si>
    <t>Prof. Peter O. Ogunjuyigbe</t>
  </si>
  <si>
    <t>Ambrose Akinlo</t>
  </si>
  <si>
    <t>0000-0003-3583-0138</t>
  </si>
  <si>
    <t>GW, 2016</t>
  </si>
  <si>
    <t>C2/013</t>
  </si>
  <si>
    <t>Abiodun</t>
  </si>
  <si>
    <t>Olufunke</t>
  </si>
  <si>
    <t>Oluwatoba</t>
  </si>
  <si>
    <t>ooluwatoba@cartafrica.org</t>
  </si>
  <si>
    <t>oluwatobang@yahoo.com</t>
  </si>
  <si>
    <t>+2348023451103</t>
  </si>
  <si>
    <t>M.Sc. Cellular Parasitology, M.Sc Epidemiology</t>
  </si>
  <si>
    <t>Impact of environmental pollution on the prevalence of soil transmitted helminthes infection among primary school children in Ibadan</t>
  </si>
  <si>
    <t>Dr. Roseangela Nwuba</t>
  </si>
  <si>
    <t>0000-0003-1781-2550</t>
  </si>
  <si>
    <t>Deceased 10/02/2023</t>
  </si>
  <si>
    <t>C2/014</t>
  </si>
  <si>
    <t>Mpasho</t>
  </si>
  <si>
    <t>Mwamtobe</t>
  </si>
  <si>
    <t>Disease Epidemiology</t>
  </si>
  <si>
    <t>MATHEMATICS AND STATISTICS</t>
  </si>
  <si>
    <t>pmwamtobe@cartafrica.org</t>
  </si>
  <si>
    <t>pmwamtobe@gmail.com,  pmwamtobe@poly.ac.mw </t>
  </si>
  <si>
    <t>265999458069/265888626168</t>
  </si>
  <si>
    <t>MSc in Mathematical Epidemiology (online)</t>
  </si>
  <si>
    <t>Optimal (control of) intervention strategies for malaria – TB co-infection</t>
  </si>
  <si>
    <t>Prof. Ebrahim Momoniat</t>
  </si>
  <si>
    <t>Prof. Shirley Abelman</t>
  </si>
  <si>
    <t>Prof. Jean M. Tchuenche</t>
  </si>
  <si>
    <t>Senior Lecturer, Head of Applied Studies Dept</t>
  </si>
  <si>
    <t>0000-0003-1861-3377</t>
  </si>
  <si>
    <t>C2/015</t>
  </si>
  <si>
    <t>Siphesihle</t>
  </si>
  <si>
    <t>Primrose Theodora</t>
  </si>
  <si>
    <t>Mtshali</t>
  </si>
  <si>
    <t>Kinesiology</t>
  </si>
  <si>
    <t>Department of Physiotherapy</t>
  </si>
  <si>
    <t>pmtshali@cartafrica.org</t>
  </si>
  <si>
    <t>Siphe.mtshali@wits.ac.za</t>
  </si>
  <si>
    <t>+27723106078</t>
  </si>
  <si>
    <t>M.Sc Physiotherapy</t>
  </si>
  <si>
    <t>Impact of an education programme on coaches’ knowledge, attitudes and practices on injury prevention amongst football players.</t>
  </si>
  <si>
    <t>Prof. Mbambo-Kekana Nonceba Priscilla</t>
  </si>
  <si>
    <t>Dr. Hellen Myezwa</t>
  </si>
  <si>
    <t>Dr. Kerith Aginsky</t>
  </si>
  <si>
    <t>Home/ Host</t>
  </si>
  <si>
    <t>0000-0002-8343-0342</t>
  </si>
  <si>
    <t>C2/016</t>
  </si>
  <si>
    <t>Nalugo</t>
  </si>
  <si>
    <t>Scovia</t>
  </si>
  <si>
    <t>Mbalinda</t>
  </si>
  <si>
    <t>Dept of Nursing</t>
  </si>
  <si>
    <t>smbalinda@cartafrica.org</t>
  </si>
  <si>
    <t>snmbalinda@gmail.com,  snmbalinda@chs.mak.ac.ug</t>
  </si>
  <si>
    <t>+256782212151</t>
  </si>
  <si>
    <t>MSc. Population and Reproductive Health (online)</t>
  </si>
  <si>
    <t>Assessment of rural Ugandan HIV+ young adults women’s reproductive needs and rights to design a positive prevention service framework</t>
  </si>
  <si>
    <t>Dr. Daniel Kabonge Kaye</t>
  </si>
  <si>
    <t>Dr. Noah Kiwanuka</t>
  </si>
  <si>
    <t>Prof. Fred Wabwire-Mangen</t>
  </si>
  <si>
    <t>Makerere Univeristy</t>
  </si>
  <si>
    <t>0000-0002-4945-130X</t>
  </si>
  <si>
    <t>JAS 2, 2012</t>
  </si>
  <si>
    <t>C2/017</t>
  </si>
  <si>
    <t>Nakubulwa</t>
  </si>
  <si>
    <t>Sarah</t>
  </si>
  <si>
    <t>Obstertrics and reproductive health nursing</t>
  </si>
  <si>
    <t>snakubulwa@cartafrica.org</t>
  </si>
  <si>
    <t>sarahug@gmail.com</t>
  </si>
  <si>
    <t>+256772443416</t>
  </si>
  <si>
    <t>M.Mc Obstetrics &amp; Gynaecology</t>
  </si>
  <si>
    <t>Herpes Simplex Virus type 2 in pregnancy: Assessing the burden and associated factors in women with pre-labour rupture of membranes and exploring the effect of acyclovir on obstetric outcomes in this population in Mulago Clinical research.</t>
  </si>
  <si>
    <t>Dr. Nazarius Mbona Tumwesigye</t>
  </si>
  <si>
    <t>Dr. Florence Mirembe</t>
  </si>
  <si>
    <t> 000 0002 1433 7312</t>
  </si>
  <si>
    <t>C2/018</t>
  </si>
  <si>
    <t>Simbaharshe</t>
  </si>
  <si>
    <t>Takuva</t>
  </si>
  <si>
    <t>stakuva@cartafrica.org</t>
  </si>
  <si>
    <t>27727577369</t>
  </si>
  <si>
    <t>M.Sc Epidiomology</t>
  </si>
  <si>
    <t>Epidemiological Studies of Impact of Vitamin D Status and Vitamin D Gene Polymorphisms on HIV Disease Progression and Tuberculosis Susceptibility among HIV-infected Patients</t>
  </si>
  <si>
    <t>Dr. Patrick MacPhail</t>
  </si>
  <si>
    <t>Prof. Ian M. Sanne</t>
  </si>
  <si>
    <t>Joint Faculty</t>
  </si>
  <si>
    <t>0000-0001-6030-2359</t>
  </si>
  <si>
    <t>Not attended</t>
  </si>
  <si>
    <t>C2/019</t>
  </si>
  <si>
    <t>Gloria</t>
  </si>
  <si>
    <t>Susan</t>
  </si>
  <si>
    <t>Omosa - Momanyi</t>
  </si>
  <si>
    <t>C2/020</t>
  </si>
  <si>
    <t>Phanuel</t>
  </si>
  <si>
    <t>Humphrey Jacob</t>
  </si>
  <si>
    <t>Shao</t>
  </si>
  <si>
    <t>TB Clinic</t>
  </si>
  <si>
    <t>hshao@cartafrica.org</t>
  </si>
  <si>
    <t>humphreyshao@gmail.com</t>
  </si>
  <si>
    <t>C3/001</t>
  </si>
  <si>
    <t>Adefolarin</t>
  </si>
  <si>
    <t>Olufolake</t>
  </si>
  <si>
    <t>Adeyinka</t>
  </si>
  <si>
    <t>Health Promotion Professional</t>
  </si>
  <si>
    <t>Health Promotion and Education</t>
  </si>
  <si>
    <t>PGX12112012314129</t>
  </si>
  <si>
    <t>aadefolarin@cartafrica.org</t>
  </si>
  <si>
    <t>yinkuss2000@yahoo.com</t>
  </si>
  <si>
    <t>+2348033915930</t>
  </si>
  <si>
    <t>Masters of Public Health (Health Promotion), Master of Social Work</t>
  </si>
  <si>
    <t>Maternal Mental Health and Fetal Outcome Among Pregnant Women Attending University College Clinical research Antenatal Clinic, Ibadan, Nigeria</t>
  </si>
  <si>
    <t>Oyedunni Arulogun</t>
  </si>
  <si>
    <t>PROF Oye Gureje</t>
  </si>
  <si>
    <t>Principal Social Worker 1</t>
  </si>
  <si>
    <t>Secretary of Ibadan Public Health Conference</t>
  </si>
  <si>
    <t>0000-0001-7238-2413</t>
  </si>
  <si>
    <t>Effect of training and supervision on health talk delivery on maternal depression among primary health care workers in Ibadan, Nigeria</t>
  </si>
  <si>
    <t>C3/002</t>
  </si>
  <si>
    <t>Angeline</t>
  </si>
  <si>
    <t>Chepchirchir</t>
  </si>
  <si>
    <t>achepchirchir@cartafrica.org</t>
  </si>
  <si>
    <t>chepchirchir@uonbi.ac.ke</t>
  </si>
  <si>
    <t>254720440665</t>
  </si>
  <si>
    <t>Determination of the Pathogen burden and individual variability in immune response: a comparative study of non-hypertensive and hypertensive subjects at Kenyatta National Clinical research.</t>
  </si>
  <si>
    <t>Prof. Nyagol Akelo Joshua</t>
  </si>
  <si>
    <t>Prof. Jaoko Walter</t>
  </si>
  <si>
    <t>0000-0002-4033-7869</t>
  </si>
  <si>
    <t>C3/003</t>
  </si>
  <si>
    <t>Anne</t>
  </si>
  <si>
    <t>Majuma</t>
  </si>
  <si>
    <t>Khisa</t>
  </si>
  <si>
    <t>Reseach Capacity Strengtheniing Division</t>
  </si>
  <si>
    <t>H80/83881/2012</t>
  </si>
  <si>
    <t>akhisa@cartafrica.org</t>
  </si>
  <si>
    <t>annekhisa@gmail.com</t>
  </si>
  <si>
    <t>+254 724 348 661</t>
  </si>
  <si>
    <t>MA in Gender and Development Studies</t>
  </si>
  <si>
    <t xml:space="preserve">Health Seeking Behaviour and Reintegration of Patients with Obstetric Fistula in Kenya </t>
  </si>
  <si>
    <t>Grace Omoni</t>
  </si>
  <si>
    <t>Prof Isaac Nyamongo</t>
  </si>
  <si>
    <t>Dr Sabina Wakasiaka</t>
  </si>
  <si>
    <t>Part Time Lecturer</t>
  </si>
  <si>
    <t>Post Doc Research Fellow</t>
  </si>
  <si>
    <t>0000-0001-6110-0118</t>
  </si>
  <si>
    <t>A grounded theory of regaining normalcy: Health seeking behaviour and reintegration of patients with obstetric fistula in Kenya</t>
  </si>
  <si>
    <t>C3/004</t>
  </si>
  <si>
    <t>Adesola</t>
  </si>
  <si>
    <t>Oluwafunmilola</t>
  </si>
  <si>
    <t>Olumide</t>
  </si>
  <si>
    <t>Adolescent health</t>
  </si>
  <si>
    <t>Institute of Child health</t>
  </si>
  <si>
    <t>asangowawa@cartafrica.org</t>
  </si>
  <si>
    <t>daisyolu@yahoo.com</t>
  </si>
  <si>
    <t>+2348033265796</t>
  </si>
  <si>
    <t>MPH</t>
  </si>
  <si>
    <t>Epidemiology and Costs of Injuries Among Adolescents in Ibadan, South-Western Nigeria</t>
  </si>
  <si>
    <t>Olayemi Omotade</t>
  </si>
  <si>
    <t>Senior Research Fellow</t>
  </si>
  <si>
    <t>Head and Actg director Institute of Child Health</t>
  </si>
  <si>
    <t>0000-0003-4372-9822</t>
  </si>
  <si>
    <t>C3/005</t>
  </si>
  <si>
    <t>Kato</t>
  </si>
  <si>
    <t>Charles</t>
  </si>
  <si>
    <t xml:space="preserve">Drago </t>
  </si>
  <si>
    <t>Immunity and Infection</t>
  </si>
  <si>
    <t>ckato@cartafrica.org</t>
  </si>
  <si>
    <t>katodrago@yahoo.com</t>
  </si>
  <si>
    <t>+256712959954</t>
  </si>
  <si>
    <t>MSc. Structural Molecular Biology</t>
  </si>
  <si>
    <t>Cytokine responses &amp; parasite genotypes associated with the pathogenesis of human African trypanosomiasis (HAT) in north-eastern Uganda</t>
  </si>
  <si>
    <t>Experimental model</t>
  </si>
  <si>
    <t>Prof. Matovu Enock</t>
  </si>
  <si>
    <t>Dr. Vincent Pius Alibu</t>
  </si>
  <si>
    <t>0000-0003-3160-6657</t>
  </si>
  <si>
    <t>SIDA</t>
  </si>
  <si>
    <t>C3/006</t>
  </si>
  <si>
    <t xml:space="preserve">Charles </t>
  </si>
  <si>
    <t>Masulani</t>
  </si>
  <si>
    <t>Mwale</t>
  </si>
  <si>
    <t>cmwale@cartafrica.org</t>
  </si>
  <si>
    <t>cmmwale@hotmail.com</t>
  </si>
  <si>
    <t>+265999927938</t>
  </si>
  <si>
    <t>Master of Public Health</t>
  </si>
  <si>
    <t>A cross-sectional study on the mental health service delivery for people living with AIDS (PLWAs) in Malawi</t>
  </si>
  <si>
    <t>Pascal Mathanga</t>
  </si>
  <si>
    <t>Part Time Senior Lecturer</t>
  </si>
  <si>
    <t>0000-0001-8676-1713</t>
  </si>
  <si>
    <t>A mixed methods study on designing and testing effectiveness of a psychosocial training intervention (Titukulane) in improving psychological wellbeing of parents for intellectually disabled children in Malawi</t>
  </si>
  <si>
    <t>C3/007</t>
  </si>
  <si>
    <t>Olusegun</t>
  </si>
  <si>
    <t>Emmanuel</t>
  </si>
  <si>
    <t>Thomas</t>
  </si>
  <si>
    <t>Pharmaceutical Sciences</t>
  </si>
  <si>
    <t>Pharmaceutical Chemistry</t>
  </si>
  <si>
    <t>tolusegun@cartafrica.org</t>
  </si>
  <si>
    <t>seguntom@yahoo.com</t>
  </si>
  <si>
    <t>+2348034198737</t>
  </si>
  <si>
    <t>MSc. Pharmaceutical Chemistry and Drug Analysis</t>
  </si>
  <si>
    <t>Design, synthesis and genotoxicity evaluation of non-toxic azo dyes based on tetracyclic structures</t>
  </si>
  <si>
    <t>Prof. Adegoke Aremu Olajire</t>
  </si>
  <si>
    <t>0000-0001-8519-2125</t>
  </si>
  <si>
    <t>C3/008</t>
  </si>
  <si>
    <t>Tonney</t>
  </si>
  <si>
    <t>Stophen</t>
  </si>
  <si>
    <t>Nyirenda</t>
  </si>
  <si>
    <t>Pathology</t>
  </si>
  <si>
    <t>tnyirenda@cartafrica.org</t>
  </si>
  <si>
    <t>tnyirenda@medcol.mw</t>
  </si>
  <si>
    <t>+265995573845</t>
  </si>
  <si>
    <t>MSc. Immunology</t>
  </si>
  <si>
    <t xml:space="preserve">Development of adaptive immunity to non-typhoidal Salmonella in Children </t>
  </si>
  <si>
    <t>PhD Student</t>
  </si>
  <si>
    <t>0000-0002-4874-9518</t>
  </si>
  <si>
    <t>C3/009</t>
  </si>
  <si>
    <t>Evangeline</t>
  </si>
  <si>
    <t>Wawira</t>
  </si>
  <si>
    <t>Njiru</t>
  </si>
  <si>
    <t>MEDICAL ANTHROPOLOGY</t>
  </si>
  <si>
    <t>ANTHROPOLOGY AND HUMAN ECOLOGY</t>
  </si>
  <si>
    <t>SASS/DPHIL/ANT/02/12</t>
  </si>
  <si>
    <t>Separated</t>
  </si>
  <si>
    <t>enjiru@cartafrica.org</t>
  </si>
  <si>
    <t>oyungueva@yahoo.com</t>
  </si>
  <si>
    <t>+254-722-624-353</t>
  </si>
  <si>
    <t>Masters in Medicine</t>
  </si>
  <si>
    <t>Situational analysis of cancer care in the Western Kenya population</t>
  </si>
  <si>
    <t>Jamin Masinde</t>
  </si>
  <si>
    <t>Dr. Harrison Maithya</t>
  </si>
  <si>
    <t>0000-0002-0064-8777</t>
  </si>
  <si>
    <t>C3/010</t>
  </si>
  <si>
    <t>Samanta</t>
  </si>
  <si>
    <t>Tresha</t>
  </si>
  <si>
    <t>Lalla-Edward</t>
  </si>
  <si>
    <t>Wits Reproductive Health and HIV Institute</t>
  </si>
  <si>
    <t>esamanta@cartafrica.org</t>
  </si>
  <si>
    <t>slallaedward@ezintsha.org;</t>
  </si>
  <si>
    <t>Masters in Social Behaviour Studies in HIV/AIDS</t>
  </si>
  <si>
    <t>The effect of combination HIV prevention interventions: a comparison between men who have sex with men (MSM) sex workers and MSM non-sex workers</t>
  </si>
  <si>
    <t>Maria Elizabeth Rabe</t>
  </si>
  <si>
    <t>M&amp;E Technical Specialist - Wits</t>
  </si>
  <si>
    <t>Program Manager</t>
  </si>
  <si>
    <t>EZINTSHA, SOUTH AFRICA (2021)</t>
  </si>
  <si>
    <t>0000-0003-3597-1643</t>
  </si>
  <si>
    <t>A process evaluation of newly implementing South African Roadside wellness clinics for truck drivers</t>
  </si>
  <si>
    <t>C3/011</t>
  </si>
  <si>
    <t>Shema</t>
  </si>
  <si>
    <t>EDU/D.Phil/CM/1010/16</t>
  </si>
  <si>
    <t>esebahutu@cartafrica.org</t>
  </si>
  <si>
    <t>esebahutu@nur.ac.rw
 sebem01@yahoo.fr</t>
  </si>
  <si>
    <t>250788647761</t>
  </si>
  <si>
    <t>Masters in Social Educational research Methods</t>
  </si>
  <si>
    <t>Building Awareness of both Men and Women through Formal Education with regard to Women’s Sexual and Reproductive Rights towards the Reduction of Fertility Rates in Rwanda: Challenges and Future Trends.</t>
  </si>
  <si>
    <t>Prof Mukwa Wekesa Christopher</t>
  </si>
  <si>
    <t>Dr. Wanyonyi Wamamili David</t>
  </si>
  <si>
    <t>Factors Associated with the Integration of Internet in Teaching Comprehensive Sexuality Education in Southern Province, Rwanda</t>
  </si>
  <si>
    <t>C3/012</t>
  </si>
  <si>
    <t>Fredrick</t>
  </si>
  <si>
    <t>Okoth</t>
  </si>
  <si>
    <t>Okaka</t>
  </si>
  <si>
    <t>Human Geography</t>
  </si>
  <si>
    <t>SASS/GEO/DPHIL/01/12</t>
  </si>
  <si>
    <t>fokaka@cartafrica.org</t>
  </si>
  <si>
    <t>fredrickokaka@yaoo.com
fredrickokaka@gmail.com</t>
  </si>
  <si>
    <t>+254 722 260034</t>
  </si>
  <si>
    <t>Masters of Art (Settlement Geography)</t>
  </si>
  <si>
    <t>Urban Residents’ Perception of Climate Change as a Human Health Risk in Kenya: The Case of Kisumu and Mombasa Urban Centers</t>
  </si>
  <si>
    <t>Prof. Paul Omondi</t>
  </si>
  <si>
    <t>Prof. Beneah D. O. Odhiambo</t>
  </si>
  <si>
    <t>0000-0002-7140-0306</t>
  </si>
  <si>
    <t>Urban residents' perception and adaptive capacity and behaviour to the health risks of climate change in Mombasa city, Kenya</t>
  </si>
  <si>
    <t>C3/013</t>
  </si>
  <si>
    <t>Joel</t>
  </si>
  <si>
    <t>Olayiwola</t>
  </si>
  <si>
    <t>Faronbi</t>
  </si>
  <si>
    <t>jfaronbi@cartafrica.org</t>
  </si>
  <si>
    <t>faronbiy2k@yahoh.co.uk</t>
  </si>
  <si>
    <t>+2348033383018</t>
  </si>
  <si>
    <t>MSC Nursing</t>
  </si>
  <si>
    <t>Impact of Nurse Moderated Intervention on the Quality of Life, Burden and Coping Strategies of Caregivers of the Elderly with Chronic Illness.</t>
  </si>
  <si>
    <t>Olaogun Adenike Ayobola</t>
  </si>
  <si>
    <t>Department Postgraduate programme cordinator</t>
  </si>
  <si>
    <t>0000-0003-3392-4472</t>
  </si>
  <si>
    <t>Burden, coping strategies and health related quality of life of caregivers of elderly with chronic illness in Osun State, Nigeria</t>
  </si>
  <si>
    <t>C3/014</t>
  </si>
  <si>
    <t>Judith</t>
  </si>
  <si>
    <t>Nekesa</t>
  </si>
  <si>
    <t>Mangeni</t>
  </si>
  <si>
    <t>Epidemiology and Biostatistics</t>
  </si>
  <si>
    <t>H80/92321/2013</t>
  </si>
  <si>
    <t>jmangeni@cartafrica.org</t>
  </si>
  <si>
    <t>nakholi2001@yahoo.com</t>
  </si>
  <si>
    <t>+254-722-647-415</t>
  </si>
  <si>
    <t>MPH (Epidemiology and Disease control tract</t>
  </si>
  <si>
    <t>Motivational Interventions in community hypertension screening in western Kenya</t>
  </si>
  <si>
    <t>Anne Wanjiru Mwangi</t>
  </si>
  <si>
    <t>Head ISO Quality Management system</t>
  </si>
  <si>
    <t>0000-0001-7333-9329</t>
  </si>
  <si>
    <t>C3/015</t>
  </si>
  <si>
    <t>Ojo</t>
  </si>
  <si>
    <t>Melvin</t>
  </si>
  <si>
    <t>Agunbiade</t>
  </si>
  <si>
    <t>Sociology</t>
  </si>
  <si>
    <t>magunbiade@cartafrica.org</t>
  </si>
  <si>
    <t>ojomelvin@yahoo.com
ojomelvin@gmail.com</t>
  </si>
  <si>
    <t>+2348059221715</t>
  </si>
  <si>
    <t>MSC Sociology and Anthropology (Medical Sociology option)</t>
  </si>
  <si>
    <t>Attitudes towards Sexuality in Later Life among Yoruba People in Southwestern Nigeria</t>
  </si>
  <si>
    <t>Emeritus Professor Gilbert Leah</t>
  </si>
  <si>
    <t>Professor</t>
  </si>
  <si>
    <t>Co-ordinator the University wide research methodology for all doctoral candidates at OAU</t>
  </si>
  <si>
    <t>0000-0001-8566-0662</t>
  </si>
  <si>
    <t>Socio-cultural constructions of Sexuality and help-seeking behaviour among eldeerly Yoruba people in Urban Ibadan, SouthWest Nigeria</t>
  </si>
  <si>
    <t>C3/016</t>
  </si>
  <si>
    <t>Marjorie</t>
  </si>
  <si>
    <t>Kyomuhendo</t>
  </si>
  <si>
    <t>Niyitegeka</t>
  </si>
  <si>
    <t>Department of Journalism and Communication</t>
  </si>
  <si>
    <t>mkyomuhendo@cartafrica.org</t>
  </si>
  <si>
    <t>marjorie@masscom.mak.ac.ug
 marjkyom@gmail.com</t>
  </si>
  <si>
    <t>+256776672000/256772672300</t>
  </si>
  <si>
    <t>Master of Philosophy (media studies)</t>
  </si>
  <si>
    <t>Awareness to practice: Improving the Effectiveness of Family Planning Communication in Uganda</t>
  </si>
  <si>
    <t>Monica Chibita</t>
  </si>
  <si>
    <t>Fred Ntoni Nuwaha</t>
  </si>
  <si>
    <t>Administrative</t>
  </si>
  <si>
    <t>Family planning communication in Uganda: An interrogation of media reporting, communication campaigns and audience perspectives</t>
  </si>
  <si>
    <t>C3/017</t>
  </si>
  <si>
    <t>Nicolette</t>
  </si>
  <si>
    <t>Prea</t>
  </si>
  <si>
    <t>Naidoo</t>
  </si>
  <si>
    <t>nnaidoo@cartafrica.org</t>
  </si>
  <si>
    <t>nnaidoo@wrhi.ac.za</t>
  </si>
  <si>
    <t>0824901214</t>
  </si>
  <si>
    <t>MPH (Health Management)</t>
  </si>
  <si>
    <t xml:space="preserve">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t>
  </si>
  <si>
    <t>Sinead-Delany Moretlwe</t>
  </si>
  <si>
    <t>Prof Alain Labrique</t>
  </si>
  <si>
    <t>0000-0002-7197-9426</t>
  </si>
  <si>
    <t>C3/018</t>
  </si>
  <si>
    <t>Olufunmilayo</t>
  </si>
  <si>
    <t>Olufunmilola</t>
  </si>
  <si>
    <t>Banjo</t>
  </si>
  <si>
    <t>Demography &amp; Social Statistics</t>
  </si>
  <si>
    <t>SSP/08/09/H/1290</t>
  </si>
  <si>
    <t>obanjo@cartafrica.org</t>
  </si>
  <si>
    <t>banjoolufunmilayo@gmail.com</t>
  </si>
  <si>
    <t>+2348034962623</t>
  </si>
  <si>
    <t>MSc. Demography and Social Statistics</t>
  </si>
  <si>
    <t xml:space="preserve">Women status and fertility in sub Saharan Africa. </t>
  </si>
  <si>
    <t>Bisiriyu Adeleke Luqman</t>
  </si>
  <si>
    <t xml:space="preserve">Dr. BAMIWUYE, Samson Olusina </t>
  </si>
  <si>
    <t>Acting Director, Centre for Gender and Social policy</t>
  </si>
  <si>
    <t>0000-0001-6433-9300</t>
  </si>
  <si>
    <t>JAS 1, 2013</t>
  </si>
  <si>
    <t>C3/019</t>
  </si>
  <si>
    <t>Obasola</t>
  </si>
  <si>
    <t>Ireti</t>
  </si>
  <si>
    <t>Oluwaseun</t>
  </si>
  <si>
    <t>oobasola@cartafrica.org</t>
  </si>
  <si>
    <t>olaseun@yahoo.com</t>
  </si>
  <si>
    <t>+2348033517020</t>
  </si>
  <si>
    <t>Master of Library Science, Archival and information Studies</t>
  </si>
  <si>
    <t>Impact of ICT Utilization in the Provision of Health Information on Maternal and Child Health in Nigeria.</t>
  </si>
  <si>
    <t>Iyabo Mabawonku</t>
  </si>
  <si>
    <t>Librarian II</t>
  </si>
  <si>
    <t xml:space="preserve">Senior Librarian
</t>
  </si>
  <si>
    <t>UNIVERSITY OF IBADAN TO 2020
INTERNATIONAL ATOMIC ENERGY AGENCY</t>
  </si>
  <si>
    <t>0000-0001-8164-3953</t>
  </si>
  <si>
    <t>27/5/2015</t>
  </si>
  <si>
    <t>Mothers’ Perception of ICT use by Health Workers and Disseminated Information on
Maternal Health Practices in Nigeria</t>
  </si>
  <si>
    <t>C3/020</t>
  </si>
  <si>
    <t>Anitha</t>
  </si>
  <si>
    <t>Philbert</t>
  </si>
  <si>
    <t>Zoology/Ecology</t>
  </si>
  <si>
    <t>Zoology and Wildlife Conservation</t>
  </si>
  <si>
    <t>2012-04-00184</t>
  </si>
  <si>
    <t>panitha@cartafrica.org</t>
  </si>
  <si>
    <t>annybyabato@yahoo.com</t>
  </si>
  <si>
    <t>+255784454541</t>
  </si>
  <si>
    <t>MSC. Applied Zoology</t>
  </si>
  <si>
    <t>Causes and Consequences of Insecticide Resistance in Malaria Vectors.  A Case Study of Dar es Salaam, Tanzania</t>
  </si>
  <si>
    <t>Nkwengulila Gamba</t>
  </si>
  <si>
    <t>DR SYLVESTER LYANTAGAYE</t>
  </si>
  <si>
    <t>0000-0002-0301-2272</t>
  </si>
  <si>
    <t>Insecticide resistance in malaria vectors: seasonal susceptibility mechanisms and relationships to agricultural practices in Magu and Sengerema Agro-Ecosystem Zone</t>
  </si>
  <si>
    <t>1 by thesis</t>
  </si>
  <si>
    <t>C3/021</t>
  </si>
  <si>
    <t>Providence</t>
  </si>
  <si>
    <t>Jechirchir</t>
  </si>
  <si>
    <t>Kiptoo</t>
  </si>
  <si>
    <t>ENVIRONMENTAL HEALTH</t>
  </si>
  <si>
    <t>ENVIRONMENTAL HEALTH AND BIOLOGY</t>
  </si>
  <si>
    <t>SES/DPHIL/05/12</t>
  </si>
  <si>
    <t>pkiptoo@cartafrica.org</t>
  </si>
  <si>
    <t>providencechiri@gmail.com</t>
  </si>
  <si>
    <t>+254722421678</t>
  </si>
  <si>
    <t>MOH (Epidemiology &amp; Disease Control)</t>
  </si>
  <si>
    <t>Maternal pesticide exposures and birth outcomes among flower farm workers in Kenya-A case control study.</t>
  </si>
  <si>
    <t>Peter M. Gatongi</t>
  </si>
  <si>
    <t>Prof Odipo Osano</t>
  </si>
  <si>
    <t>0000-0001-6975-5434</t>
  </si>
  <si>
    <t>JAS 4, 2017</t>
  </si>
  <si>
    <t>C3/022</t>
  </si>
  <si>
    <t>Save</t>
  </si>
  <si>
    <t>Kumwenda</t>
  </si>
  <si>
    <t>201380012518</t>
  </si>
  <si>
    <t>skumwenda@cartafrica.org</t>
  </si>
  <si>
    <t>skumwenda@gmail.com</t>
  </si>
  <si>
    <t>+265888389452</t>
  </si>
  <si>
    <t>Comparative analysis of determinants of access to good maternal health care services</t>
  </si>
  <si>
    <t>Dr. Chisomo Msefula</t>
  </si>
  <si>
    <t>Dr. Bagrey Ngwira</t>
  </si>
  <si>
    <t>0000-0002-3329-5875</t>
  </si>
  <si>
    <t>Pathogen survival in Ecosan latrines and the associated health risks</t>
  </si>
  <si>
    <t>C3/024</t>
  </si>
  <si>
    <t>Steven</t>
  </si>
  <si>
    <t>Pentz</t>
  </si>
  <si>
    <t>C4/001</t>
  </si>
  <si>
    <t>Ayodele</t>
  </si>
  <si>
    <t>Alonge</t>
  </si>
  <si>
    <t>Communication and Information</t>
  </si>
  <si>
    <t>School of Journalism and Mass Communication</t>
  </si>
  <si>
    <t>K90/97550/2015</t>
  </si>
  <si>
    <t>aalonge@cartafrica.org</t>
  </si>
  <si>
    <t>ayoalonge@gmail.com</t>
  </si>
  <si>
    <t>+2348023594427</t>
  </si>
  <si>
    <t>Master of Publishing and Copyright Studies</t>
  </si>
  <si>
    <t>Efficacy of Social Media and Mobile Technology Use for HIV/AIDS Knowledge and Prevention among Teenagers in South-West Nigeria</t>
  </si>
  <si>
    <t>Prof wanbii Kiai</t>
  </si>
  <si>
    <t>Dr  Ndei Ndati</t>
  </si>
  <si>
    <t> 0000-0001-6014-3271</t>
  </si>
  <si>
    <t>The use of social media for HIV and AIDS communication among university undergraduatres in South - West Nigeria</t>
  </si>
  <si>
    <t>C4/002</t>
  </si>
  <si>
    <t>Admire</t>
  </si>
  <si>
    <t>Takuranhamo</t>
  </si>
  <si>
    <t>Chikandiwa</t>
  </si>
  <si>
    <t>EPIDEMIOLOGY</t>
  </si>
  <si>
    <t>WITS  Reproductive and HIV Research Institute</t>
  </si>
  <si>
    <t>achikandiwa@cartafrica.org</t>
  </si>
  <si>
    <t>achikandiwa@gmail.com</t>
  </si>
  <si>
    <t>27717388187</t>
  </si>
  <si>
    <t>The effects of HIV infection and treatment on the epidemiology of sexually transmitted infections in men in South Africa</t>
  </si>
  <si>
    <t>Sinead Delany - Moretlwe</t>
  </si>
  <si>
    <t>Epidemiologist</t>
  </si>
  <si>
    <t>0000-0003-4954-2225</t>
  </si>
  <si>
    <t>Epidemiology of HPV infection and related diseases among HIV positive men in South Africa</t>
  </si>
  <si>
    <t>C4/003</t>
  </si>
  <si>
    <t>Andrew</t>
  </si>
  <si>
    <t>Tamale</t>
  </si>
  <si>
    <t>Wild life and Aquatic Animal Resources</t>
  </si>
  <si>
    <t>2011/HD17/18372U</t>
  </si>
  <si>
    <t>atamale@cartafrica.org</t>
  </si>
  <si>
    <t>andietam@gmail.com</t>
  </si>
  <si>
    <t>+256752330207/256788671192</t>
  </si>
  <si>
    <t>Risk Assessment of mercury and lead along the fish value chain in the lake Victoria Basin</t>
  </si>
  <si>
    <t>Assoc. Prof. Francis Ejobi</t>
  </si>
  <si>
    <t>Prof MUYANJA Charles</t>
  </si>
  <si>
    <t>Dr. Naigaga Irene</t>
  </si>
  <si>
    <t>0000-0002-9742-1172</t>
  </si>
  <si>
    <t>C4/004</t>
  </si>
  <si>
    <t>Boladale</t>
  </si>
  <si>
    <t>Moyosore</t>
  </si>
  <si>
    <t>Mapayi</t>
  </si>
  <si>
    <t>Psychology</t>
  </si>
  <si>
    <t>Mental Health</t>
  </si>
  <si>
    <t>CLI/12/13/H/2219</t>
  </si>
  <si>
    <t>bmapayi@cartafrica.org</t>
  </si>
  <si>
    <t>daledosu@yahoo.com</t>
  </si>
  <si>
    <t>+2348033930096</t>
  </si>
  <si>
    <t>Msc Clinical Psychology</t>
  </si>
  <si>
    <t>Integration of FP Services into Mental Health services: An Assessment of Psychosocial Correlates of uptake and continuance of mentally ill females at the Psychiatric Clinic of OAU Teaching Clinical research</t>
  </si>
  <si>
    <t>Ukpong Morenike</t>
  </si>
  <si>
    <t>Harrison Abigail</t>
  </si>
  <si>
    <t>Vice Dean, Faculty of clinical Sciences</t>
  </si>
  <si>
    <t>0000-0002-0596-2132</t>
  </si>
  <si>
    <t>Integratining family planning into mental helath services for women attending the psychiatric outpatient clinic of Obafemi Awolowo University Teaching Clinical researchs Complex, Ile-Ife</t>
  </si>
  <si>
    <t>C4/005</t>
  </si>
  <si>
    <t>Bolutife</t>
  </si>
  <si>
    <t>Ayokunnu</t>
  </si>
  <si>
    <t>Olusanya</t>
  </si>
  <si>
    <t>Medicine</t>
  </si>
  <si>
    <t>bolusanya@cartafrica.org</t>
  </si>
  <si>
    <t>bolutifeo@yahoo.com</t>
  </si>
  <si>
    <t>+2348034051563</t>
  </si>
  <si>
    <t>Assessment of the magnitude, causes and risk factors of childhood blindness in Oyo state, Nigeria</t>
  </si>
  <si>
    <t>Prof. Ajayi Ikeoluwapo</t>
  </si>
  <si>
    <t>Prof Baiyeroju Aderonke</t>
  </si>
  <si>
    <t>Associate professor</t>
  </si>
  <si>
    <t>0000-0002-8027-2844</t>
  </si>
  <si>
    <t xml:space="preserve">Development and validation of a screening tool for the early detection of blinding eye diseases among infants attending immunization centres in Ibadan, Nigeria </t>
  </si>
  <si>
    <t>C4/006</t>
  </si>
  <si>
    <t>Chrispus</t>
  </si>
  <si>
    <t>Mayora</t>
  </si>
  <si>
    <t>Public health</t>
  </si>
  <si>
    <t>School of public health</t>
  </si>
  <si>
    <t>cmayora@cartafrica.org</t>
  </si>
  <si>
    <t>cmayora@musph.ac.ug</t>
  </si>
  <si>
    <t>+256773313016</t>
  </si>
  <si>
    <t>Master of Health Economics</t>
  </si>
  <si>
    <t>Scaling up Community Health workers (CHWs) program in Uganda: Implications for Human Resources for Health Management (HRHM)</t>
  </si>
  <si>
    <t>Prof. Ngianga Kandala Bakwin</t>
  </si>
  <si>
    <t>Dr. Henry Wamani</t>
  </si>
  <si>
    <t>Dr. Elizabeth Ekirapa-Kiracho</t>
  </si>
  <si>
    <t>0000-0002-6640-6519</t>
  </si>
  <si>
    <t>Retail drug shops market in Uganda: Incentives, effect on health care system, and implications care system, and implications for child health</t>
  </si>
  <si>
    <t>C4/007</t>
  </si>
  <si>
    <t>Jepkoech</t>
  </si>
  <si>
    <t>Sawe</t>
  </si>
  <si>
    <t>Applied Human Nutrition</t>
  </si>
  <si>
    <t>Department of Food Science, Nutrition and Technology</t>
  </si>
  <si>
    <t>A80/96627/2014</t>
  </si>
  <si>
    <t>csawe@cartafrica.org</t>
  </si>
  <si>
    <t>carolsawej@yahoo.com</t>
  </si>
  <si>
    <t>+254721540248</t>
  </si>
  <si>
    <t>Assess the Impact of Community strategy program in Nutritional Status of children under five years in Uasin Gishu County</t>
  </si>
  <si>
    <t>Prof W Kogi-Makau</t>
  </si>
  <si>
    <t xml:space="preserve">Prof Grace A. Ettyang </t>
  </si>
  <si>
    <t>Dr Charkes O Kimamo</t>
  </si>
  <si>
    <t>Administrator</t>
  </si>
  <si>
    <t>0000-0002-9808-4091</t>
  </si>
  <si>
    <t>Impact of community health workers on nutritional status and cognitive development of children aged less than two years in Kisumu County, Kenya</t>
  </si>
  <si>
    <t>JAS 3, 2016</t>
  </si>
  <si>
    <t>C4/008</t>
  </si>
  <si>
    <t>Dieter</t>
  </si>
  <si>
    <t>Hartmann</t>
  </si>
  <si>
    <t>Civil Engineering</t>
  </si>
  <si>
    <t>School of Mechanical, Industrial and Aeronautical Engineering</t>
  </si>
  <si>
    <t>dhartmann@cartafrica.org</t>
  </si>
  <si>
    <t>Dieter.Hartmann@wits.ac.za</t>
  </si>
  <si>
    <t>M.Sc Industrial Enginnering</t>
  </si>
  <si>
    <t xml:space="preserve">Determining a framework of benchmarks for efficient healthcare delivery in South Africa. </t>
  </si>
  <si>
    <t>Prof. Alex van den Heever</t>
  </si>
  <si>
    <t>0000-0001-9641-0095</t>
  </si>
  <si>
    <t>Demand management in South African Public Healthcare: The case for failure demand</t>
  </si>
  <si>
    <t>Demand management in healthcare service delivery: The case for failure demand</t>
  </si>
  <si>
    <t>C4/009</t>
  </si>
  <si>
    <t>Winnie</t>
  </si>
  <si>
    <t>Chepkurui</t>
  </si>
  <si>
    <t>Mutai</t>
  </si>
  <si>
    <t>Medical Bacteriology</t>
  </si>
  <si>
    <t>Medical Microbiology</t>
  </si>
  <si>
    <t>H80/99967/2015</t>
  </si>
  <si>
    <t>wmutai@cartafrica.org</t>
  </si>
  <si>
    <t>vynnmutai@gmail.com; vynnemutai@yahoo.com</t>
  </si>
  <si>
    <t>+254724886584</t>
  </si>
  <si>
    <t>Master in medical microbiology</t>
  </si>
  <si>
    <t>Molecular epidemiology of Clostridium difficile among patients in Kenyatta National Clinical research</t>
  </si>
  <si>
    <t>Prof. Omu Anzala</t>
  </si>
  <si>
    <t>Tutorial Fellow</t>
  </si>
  <si>
    <t>0000-0003-0612-9430</t>
  </si>
  <si>
    <t>Molecular Epidemiology of Clostridiodes Difficile Among Inpatients Presenting with Diarrhea in Selected Clinical researchs in Nairobi, Kenya.’</t>
  </si>
  <si>
    <t>C4/010</t>
  </si>
  <si>
    <t>Tumaini</t>
  </si>
  <si>
    <t>Chiseko</t>
  </si>
  <si>
    <t>Malenga</t>
  </si>
  <si>
    <t>Medical Athropology</t>
  </si>
  <si>
    <t>Health Systems and Policy Development</t>
  </si>
  <si>
    <t>201380012572</t>
  </si>
  <si>
    <t>tmalenga@cartafrica.org</t>
  </si>
  <si>
    <t>tmalenga@gmail.com</t>
  </si>
  <si>
    <t>+265999544544</t>
  </si>
  <si>
    <t>M.Sc International Development</t>
  </si>
  <si>
    <t xml:space="preserve">Determining the predominant motivations that promote transactional sex in densely populated areas in Malawi. </t>
  </si>
  <si>
    <t xml:space="preserve">Prof  Umar Eric </t>
  </si>
  <si>
    <t>Prof Griffiths Frances</t>
  </si>
  <si>
    <t>Prof Van den Berg  Marrit</t>
  </si>
  <si>
    <t>Research Administrator</t>
  </si>
  <si>
    <t>Research and Policy Analyst</t>
  </si>
  <si>
    <t>African Institute For Development Policy (AFIDEP)</t>
  </si>
  <si>
    <t>0000-0002-7269-0405</t>
  </si>
  <si>
    <t>C4/011</t>
  </si>
  <si>
    <t>Flavia</t>
  </si>
  <si>
    <t>Kiweewa</t>
  </si>
  <si>
    <t>Matovu</t>
  </si>
  <si>
    <t>PUBLIC HEALTH</t>
  </si>
  <si>
    <t>fmatovu@cartafrica.org</t>
  </si>
  <si>
    <t>fmatovu@mujhu.org</t>
  </si>
  <si>
    <t>+256772544759/256702544759</t>
  </si>
  <si>
    <t>M.Sc Epidemiology</t>
  </si>
  <si>
    <t>Bone Mineral Density Study in Young Adult Women on Depot-medroxyprogesterone  at the Mulago FP Clinic, Uganda</t>
  </si>
  <si>
    <t>Dr. Mags Beksinska</t>
  </si>
  <si>
    <t>Director of Research</t>
  </si>
  <si>
    <t>0000-0002-0046-4353</t>
  </si>
  <si>
    <t>Bone mineral density in a cohort of young women using Tenofovir and Depo-Provera</t>
  </si>
  <si>
    <t>C4/012</t>
  </si>
  <si>
    <t>Grace</t>
  </si>
  <si>
    <t>Wambura</t>
  </si>
  <si>
    <t>Mbuthia</t>
  </si>
  <si>
    <t>Anthropology</t>
  </si>
  <si>
    <t>Medical anthropology</t>
  </si>
  <si>
    <t>N79/94988/14</t>
  </si>
  <si>
    <t>gmbuthia@cartafrica.org</t>
  </si>
  <si>
    <t>gmbuthia2002@yahoo.co.uk</t>
  </si>
  <si>
    <t>+254 722 287 196</t>
  </si>
  <si>
    <t>MPH-Epidemiology and disease control</t>
  </si>
  <si>
    <t xml:space="preserve">Assessment of the impact of community health workers programme in the control of tuberculosis in remote pastoralists communities -Kenya  </t>
  </si>
  <si>
    <t>Prof. Charles Owour Olungah</t>
  </si>
  <si>
    <t>Dr. Tom Ondicho</t>
  </si>
  <si>
    <t>JKUAT</t>
  </si>
  <si>
    <t>0000-0003-0994-5249</t>
  </si>
  <si>
    <t>Perceptions, stigma and treatment pathways among Tuberclosis patients in West Pokot County, Kenya</t>
  </si>
  <si>
    <t>Treatment pathways perceptions and stigma among tuberculosis 
patients in West- Pokot County Kenya</t>
  </si>
  <si>
    <t>C4/013</t>
  </si>
  <si>
    <t>Henry</t>
  </si>
  <si>
    <t>Zakumumpa</t>
  </si>
  <si>
    <t>Health Policy, Planning and Management</t>
  </si>
  <si>
    <t>hzakumpa@cartafrica.org</t>
  </si>
  <si>
    <t>zakumumpa@yahoo.com</t>
  </si>
  <si>
    <t>+256772 520519</t>
  </si>
  <si>
    <t>Master of Arts (Social Sector Planning)</t>
  </si>
  <si>
    <t>Characterizing the sustainability of donor-funded ART  programs in Uganda:</t>
  </si>
  <si>
    <t>Prof. Freddie Ssemgooba</t>
  </si>
  <si>
    <t>Prof Sara Bennett</t>
  </si>
  <si>
    <t>Assistant Registrar</t>
  </si>
  <si>
    <t>0000-0002-8169-1151</t>
  </si>
  <si>
    <t>Examining the sustainability of anti - retroviral therapy  (ART) scale - up implementation in health facilities in Uganda</t>
  </si>
  <si>
    <t>C4/014</t>
  </si>
  <si>
    <t>Irene</t>
  </si>
  <si>
    <t>Richard</t>
  </si>
  <si>
    <t>Moshi</t>
  </si>
  <si>
    <t>Social Sciences/Medical Athropology</t>
  </si>
  <si>
    <t>Centre for Health Policy</t>
  </si>
  <si>
    <t>imoshi@cartafrica.org</t>
  </si>
  <si>
    <t>imoshi@ihi.or.tz</t>
  </si>
  <si>
    <t>+255 712498879</t>
  </si>
  <si>
    <t>MA Demography</t>
  </si>
  <si>
    <t>Exploring relationships between outdoor human activities and persistent malaria transmission in rural Tanzanian populations</t>
  </si>
  <si>
    <t>Distinguished Proffesor, Lenore Manderson</t>
  </si>
  <si>
    <t>Associated Prof. Ladislaus Mnyone</t>
  </si>
  <si>
    <t>Distinguished Professor. Moureen Coetzee</t>
  </si>
  <si>
    <t>Research Officer</t>
  </si>
  <si>
    <t>IFAKARA HEALTH INSTITUTE</t>
  </si>
  <si>
    <t>0000-0002-9516-6657</t>
  </si>
  <si>
    <t>Outdoor Malaria Transmission: Human activities and the risks of acquiring malaria infection in rural communities of Morogoro Region, Tanzania</t>
  </si>
  <si>
    <t>C4/015</t>
  </si>
  <si>
    <t>Magutah</t>
  </si>
  <si>
    <t>Karani</t>
  </si>
  <si>
    <t>Medical physiology</t>
  </si>
  <si>
    <t>H80/95068/2014</t>
  </si>
  <si>
    <t>jkarani@cartafrica.org</t>
  </si>
  <si>
    <t>kmagutah@gmail.com</t>
  </si>
  <si>
    <t>+254721545063</t>
  </si>
  <si>
    <t>Master of Science. Medical Physiology</t>
  </si>
  <si>
    <t>Cardio-respiratory fitness trends in physically healthy Kenyan Populace from rural and Urban set-ups</t>
  </si>
  <si>
    <t>Prof. Nilesh B. Patel</t>
  </si>
  <si>
    <t>Prof. Kihumbu Thairu</t>
  </si>
  <si>
    <t>Graduate Assistant</t>
  </si>
  <si>
    <t>0000-0003-3105-2981</t>
  </si>
  <si>
    <t>The effect of short and long bouts of Home based moderate intensity exercises on cardiorespiratory fitness among sedentary Western Kenya Adults Aged at least 50 Years.</t>
  </si>
  <si>
    <t>The Effect of Short and Long Bouts of Home-based Moderate Intensity Exercises on Cardiorespiratory Fitness among Sedentary Western-Kenya Adults Aged at least 50 Years.</t>
  </si>
  <si>
    <t>C4/016</t>
  </si>
  <si>
    <t>Jackline</t>
  </si>
  <si>
    <t>Sitienei</t>
  </si>
  <si>
    <t>Center of Health Policy</t>
  </si>
  <si>
    <t>jsitienei@cartafrica.org</t>
  </si>
  <si>
    <t>sitieneij@yahoo.com</t>
  </si>
  <si>
    <t>+254722926800</t>
  </si>
  <si>
    <t>Master of International Research Ethics</t>
  </si>
  <si>
    <t>Multilevel Community Participation in Health Facilities, Western Kenya</t>
  </si>
  <si>
    <t>Mabel Nangami</t>
  </si>
  <si>
    <t>0000-0001-6182-2209</t>
  </si>
  <si>
    <t>CARNEGIE</t>
  </si>
  <si>
    <t>C4/017</t>
  </si>
  <si>
    <t>Kaitesi</t>
  </si>
  <si>
    <t>Batamuliza</t>
  </si>
  <si>
    <t>Mukara</t>
  </si>
  <si>
    <t>Health Policy</t>
  </si>
  <si>
    <t>2014/HD07/18709X</t>
  </si>
  <si>
    <t>Divorced</t>
  </si>
  <si>
    <t>kmukara@cartafrica.org</t>
  </si>
  <si>
    <t>kaibat@hotmail.com</t>
  </si>
  <si>
    <t>+250 788467587</t>
  </si>
  <si>
    <t>M.Sc Audiology</t>
  </si>
  <si>
    <t>Audiology: Planning and policies for improved care in resource limited settings – the case of Rwanda</t>
  </si>
  <si>
    <t>Dr. Peter Waiswa</t>
  </si>
  <si>
    <t>CEO</t>
  </si>
  <si>
    <t>HEARING HEALTH RWANDA (2019)</t>
  </si>
  <si>
    <t>0000-0003-0585-2846</t>
  </si>
  <si>
    <t>Prevalence of ear infections and care seeking practices in children under five in a dsitrict of Kigali city, Rwanda</t>
  </si>
  <si>
    <t>SIDA/DAAD</t>
  </si>
  <si>
    <t>C4/018</t>
  </si>
  <si>
    <t>Harrison</t>
  </si>
  <si>
    <t>Lackson</t>
  </si>
  <si>
    <t>Tembo</t>
  </si>
  <si>
    <t>Basic Medical Sciences</t>
  </si>
  <si>
    <t>2013-07-00251</t>
  </si>
  <si>
    <t>ltembo@cartafrica.org</t>
  </si>
  <si>
    <t>ltembo@medcol.mw</t>
  </si>
  <si>
    <t>+265997723601</t>
  </si>
  <si>
    <t>M.Sc Human Anatomy</t>
  </si>
  <si>
    <t>Assessing the effect of HIV/AIDS on bone microstructure and composition on bone tissue.</t>
  </si>
  <si>
    <t xml:space="preserve">Professor Amadi O. Ihunwo </t>
  </si>
  <si>
    <t>C4/019</t>
  </si>
  <si>
    <t>Mohamed</t>
  </si>
  <si>
    <t>Kassim</t>
  </si>
  <si>
    <t>Ally</t>
  </si>
  <si>
    <t>Library Science</t>
  </si>
  <si>
    <t>Information Studies</t>
  </si>
  <si>
    <t>mkassim@cartafrica.org</t>
  </si>
  <si>
    <t>mohdie2@yahoo.com</t>
  </si>
  <si>
    <t>+255 713 742 525</t>
  </si>
  <si>
    <t>M.A Information Studies</t>
  </si>
  <si>
    <t>Maternal Health Information Needs and Information Seeking Behavior of Women of Reproductive Age in Rural Tanzania</t>
  </si>
  <si>
    <t>Prof. Jangawe Msuya</t>
  </si>
  <si>
    <t>0000-0002-3016-9283</t>
  </si>
  <si>
    <t>Maternal health information needs and seeking behaviour of
women of reproductive age in rural Tanzania: a case of
Mpwapwa district, Dodoma region</t>
  </si>
  <si>
    <t>C4/020</t>
  </si>
  <si>
    <t>Mbithi</t>
  </si>
  <si>
    <t>Michael</t>
  </si>
  <si>
    <t>Mutua</t>
  </si>
  <si>
    <t>Research</t>
  </si>
  <si>
    <t>SSP11/12/H/2901</t>
  </si>
  <si>
    <t>mmutua@cartafrica.org</t>
  </si>
  <si>
    <t xml:space="preserve">mutua_mike@yahoo.com;mmutua@bristolpark.or.ke; mutuamike@gmail.com
</t>
  </si>
  <si>
    <t>+25422365431</t>
  </si>
  <si>
    <t xml:space="preserve">Master of Social Statistics </t>
  </si>
  <si>
    <t>Abortion and Post Abortion Care in Kenya</t>
  </si>
  <si>
    <t>Prof Manderson Lenore</t>
  </si>
  <si>
    <t>Prof Musenge Eustasius</t>
  </si>
  <si>
    <t>Dr Achia Thomas</t>
  </si>
  <si>
    <t>Statistical Data Analyst</t>
  </si>
  <si>
    <t>Consultant</t>
  </si>
  <si>
    <t>SELF EMPLOYED (2019)</t>
  </si>
  <si>
    <t>0000-0002-7326-3886</t>
  </si>
  <si>
    <t>Quality of post abortion Care in Kenya</t>
  </si>
  <si>
    <t>C4/021</t>
  </si>
  <si>
    <t>Modupe</t>
  </si>
  <si>
    <t>Oladunni</t>
  </si>
  <si>
    <t>Health Psychology</t>
  </si>
  <si>
    <t>Center for Gender and Social Policy Studies</t>
  </si>
  <si>
    <t>0702658H</t>
  </si>
  <si>
    <t>mtaiwo@cartafrica.org</t>
  </si>
  <si>
    <t>oladunnitaiwo@gmail.com</t>
  </si>
  <si>
    <t>+234(0)8062234960</t>
  </si>
  <si>
    <t xml:space="preserve">MPA-   Reproductive Health </t>
  </si>
  <si>
    <t>Relationship between Psychological well-being and HAART adherence among HIV/AIDS infected persons in three nationally designated treatment centers in Southwest Nigeria</t>
  </si>
  <si>
    <t>Professor Funmi Togonu-Bickersteth</t>
  </si>
  <si>
    <t>Junior Research Fellow</t>
  </si>
  <si>
    <t>0000-0002-1377-3470</t>
  </si>
  <si>
    <t>C4/022</t>
  </si>
  <si>
    <t>Nkosiyazi</t>
  </si>
  <si>
    <t>Dube</t>
  </si>
  <si>
    <t>Social Development</t>
  </si>
  <si>
    <t>Social Work</t>
  </si>
  <si>
    <t>U803/98508/2015</t>
  </si>
  <si>
    <t>ndube@cartafrica.org</t>
  </si>
  <si>
    <t>dubenkosipnj@gmail.com</t>
  </si>
  <si>
    <t>+27730933485</t>
  </si>
  <si>
    <t>Master of Arts (Social Work – Social Development)</t>
  </si>
  <si>
    <t>Exploring the experiences and social complexity associated with non/disclosure of HIV status to children born HIV positive living at Child and Youth Care Centres in South Africa</t>
  </si>
  <si>
    <t>Professor Edwell Kaseke</t>
  </si>
  <si>
    <t>Professor Edmarie Pretorius</t>
  </si>
  <si>
    <t>Deputy Head of Department and course Cordinator (2021 Jan)</t>
  </si>
  <si>
    <t>0000-0002-3036-2008</t>
  </si>
  <si>
    <t>Informal social security and its contributions towards meeting the needs of the poor: The case of stokvels in Soweto, Johannesburg</t>
  </si>
  <si>
    <t>C4/023</t>
  </si>
  <si>
    <t>Nilian</t>
  </si>
  <si>
    <t>Ayuma</t>
  </si>
  <si>
    <t>Mukungu</t>
  </si>
  <si>
    <t>Pharmacognosy</t>
  </si>
  <si>
    <t>Pharmacology and Pharmacognosy</t>
  </si>
  <si>
    <t>2013-07-00246</t>
  </si>
  <si>
    <t>nmukungu@cartafrica.org</t>
  </si>
  <si>
    <t>nillyanne2004@yahoo.com</t>
  </si>
  <si>
    <t>+254 721291660</t>
  </si>
  <si>
    <t>M.Sc Pharmacognosy</t>
  </si>
  <si>
    <t>Antimalarial activity of plants used for treating malaria in rural western Kenya</t>
  </si>
  <si>
    <t xml:space="preserve">Prof. Mwangi Julius </t>
  </si>
  <si>
    <t>0000-0002-7510-247X</t>
  </si>
  <si>
    <t>C4/024</t>
  </si>
  <si>
    <t>Respicius</t>
  </si>
  <si>
    <t>Shombusho</t>
  </si>
  <si>
    <t>Damian</t>
  </si>
  <si>
    <t>Political Science and Public Administration</t>
  </si>
  <si>
    <t>BMSP13/14/H/1471</t>
  </si>
  <si>
    <t>rdamian@cartafrica.org</t>
  </si>
  <si>
    <t>shumbusho35@gmail.com</t>
  </si>
  <si>
    <t>+255713428318/ 255738679039</t>
  </si>
  <si>
    <t>M.A (Political Science and Public Administration</t>
  </si>
  <si>
    <t>Financial Accountability in Rural Public Health: The Case of Maternal Health in Kigoma and Rukwa Regions</t>
  </si>
  <si>
    <t>Dr Benson Alfred Bana</t>
  </si>
  <si>
    <t>Professor/Kessy/Thebald/Ambrose</t>
  </si>
  <si>
    <t>0000-0001-9761-2270</t>
  </si>
  <si>
    <t>Community empowerment and accountability in Rural Primary Health Care: The case of Kasulu District in Tanzania</t>
  </si>
  <si>
    <t>C4/025</t>
  </si>
  <si>
    <t>Ayamolowo</t>
  </si>
  <si>
    <t>Nursing</t>
  </si>
  <si>
    <t>Learners’ Support Services, Centre for Distance Learning</t>
  </si>
  <si>
    <t>sayamolowo@cartafrica.org</t>
  </si>
  <si>
    <t>olowoyamolowo@yahoo.com</t>
  </si>
  <si>
    <t>+2347038761908</t>
  </si>
  <si>
    <t>Master of Science (MSc) in Nursing.</t>
  </si>
  <si>
    <t>Burden and coping pattern of pregnant teenagers and teenage mothers in selected primary health care centres in Ekiti state, Nigeria</t>
  </si>
  <si>
    <t>Prof Irinoye  Oladunni Omolola</t>
  </si>
  <si>
    <t>0000-0003-3307-6485</t>
  </si>
  <si>
    <t>Effect of Technology-moderated Intervention on Family Childbirth Experiences, Maternal and Newborn  outcomes
in Home and Clinical research Deliveries in Ekiti State</t>
  </si>
  <si>
    <t>C4/026</t>
  </si>
  <si>
    <t>Oladapo</t>
  </si>
  <si>
    <t>Health Policy and Management</t>
  </si>
  <si>
    <t>aoladapo@cartafrica.org</t>
  </si>
  <si>
    <t>seunakinyemi@hotmail.com</t>
  </si>
  <si>
    <t>2348035020136</t>
  </si>
  <si>
    <t>M.Sc International Public Health</t>
  </si>
  <si>
    <t>Analysis of Maternal Health Policies in Nigeria: Challenges and Lessons</t>
  </si>
  <si>
    <t>Mary Kawonga</t>
  </si>
  <si>
    <t>Lecturer I</t>
  </si>
  <si>
    <t>0000-0003-4135-1459</t>
  </si>
  <si>
    <t>Scale up of community-based injectable contraceptives in Gombe state, Nigeria</t>
  </si>
  <si>
    <t>Scale up of community-based injectable contaceptives in Gombe, Nigeria</t>
  </si>
  <si>
    <t>C4/027</t>
  </si>
  <si>
    <t>Sara</t>
  </si>
  <si>
    <t>Jewett</t>
  </si>
  <si>
    <t>Nieuwoudt</t>
  </si>
  <si>
    <t>Division of Social &amp; Behaviour Change Communication</t>
  </si>
  <si>
    <t>snieuwoudt@cartafrica.org</t>
  </si>
  <si>
    <t>sara.nieuwoudt@gmail.com or sara.nieuwoudt@wits.ac.z</t>
  </si>
  <si>
    <t>+27834284392</t>
  </si>
  <si>
    <t xml:space="preserve">MPH (Behavioral Sciences &amp; Health Education) </t>
  </si>
  <si>
    <t xml:space="preserve">The role of social capital in health seeking and maternal and child health outcomes of urban migrants in Johannesburg, South Africa </t>
  </si>
  <si>
    <t>Prof. Lenore Manderson</t>
  </si>
  <si>
    <t xml:space="preserve"> &amp; Social and Behaviour Change Communication Coordinator</t>
  </si>
  <si>
    <t> 0000-0002-6658-2061</t>
  </si>
  <si>
    <t>C5/001</t>
  </si>
  <si>
    <t>Cheikh Mbacké</t>
  </si>
  <si>
    <t>Faye</t>
  </si>
  <si>
    <t>Research Division</t>
  </si>
  <si>
    <t>cfaye@cartafrica.org</t>
  </si>
  <si>
    <t>cmfaye@hotmail.com</t>
  </si>
  <si>
    <t>+254739211509</t>
  </si>
  <si>
    <t>Masters in Statistics</t>
  </si>
  <si>
    <t>Maternal characteristics,reproductive behaviors, breastfeeding practices and nutritional outcomes among children under five years in Nairobi’s informal settlements.</t>
  </si>
  <si>
    <t>DonatienBeguy, PhD</t>
  </si>
  <si>
    <t>Elizabeth Kimani, PhD</t>
  </si>
  <si>
    <t>Sharon Fonn</t>
  </si>
  <si>
    <t>Senior Research Officer</t>
  </si>
  <si>
    <t>Head, APHRC West Africa Region Office</t>
  </si>
  <si>
    <t>APHRC West Africa Regional Office - Senegal</t>
  </si>
  <si>
    <t>0000-0002-4028-0575</t>
  </si>
  <si>
    <t>Factors associated with stunting and recovery from stunting among under-five children in Nairobi informal settlements</t>
  </si>
  <si>
    <t>C5/002</t>
  </si>
  <si>
    <t>Celestin</t>
  </si>
  <si>
    <t>Ndikumana</t>
  </si>
  <si>
    <t>Human Resource Management</t>
  </si>
  <si>
    <t>Development Studies</t>
  </si>
  <si>
    <t>SHRD/PhDH/03/15</t>
  </si>
  <si>
    <t>cndikumana@cartafrica.org</t>
  </si>
  <si>
    <t>cndikumana@hotmail.com</t>
  </si>
  <si>
    <t>+250 788833975</t>
  </si>
  <si>
    <t>M. BA International Business</t>
  </si>
  <si>
    <t>The interface of environmental management in the Clinical researchity industry in Rwanda: A practical approach to sustainable health.</t>
  </si>
  <si>
    <t>Dr. Ruth J. Tubey</t>
  </si>
  <si>
    <t>Dr. Alice Kurgat</t>
  </si>
  <si>
    <t>Head of Department: Governance and Public Science and International Relations Administration; Political</t>
  </si>
  <si>
    <t>0000-0002-5726-6921</t>
  </si>
  <si>
    <t>Effect of Human Resource Managenment Practices on the retention of professional health workers in the Public District Clinical researchs in Kigali, Rwanda</t>
  </si>
  <si>
    <t>C5/003</t>
  </si>
  <si>
    <t>Kikelomo</t>
  </si>
  <si>
    <t>Nursing Science</t>
  </si>
  <si>
    <t>BMSP13/14/H/0859</t>
  </si>
  <si>
    <t>eafolabi@cartafrica.org</t>
  </si>
  <si>
    <t>eafolabi16@gmail.com</t>
  </si>
  <si>
    <t>+234 803 801 3115</t>
  </si>
  <si>
    <t>M.Sc Nursing</t>
  </si>
  <si>
    <t>Correlation of cervical cancer risk factors with cervical smear and histopathological diagnosis among reproductive age women in Ile- Ife, Osun State.</t>
  </si>
  <si>
    <t>Prof. Oluwafemi N. Mimiko</t>
  </si>
  <si>
    <t>Dr. A. A. E Olaogun</t>
  </si>
  <si>
    <t>ARDEN UNIVERSITY (2023)</t>
  </si>
  <si>
    <t>0000-0002-0381-737X.</t>
  </si>
  <si>
    <t>C5/004</t>
  </si>
  <si>
    <t>Yolanda</t>
  </si>
  <si>
    <t>Malele</t>
  </si>
  <si>
    <t>Kolisa</t>
  </si>
  <si>
    <t>Community Dentistry</t>
  </si>
  <si>
    <t>8803014E</t>
  </si>
  <si>
    <t>ykolisa@cartafrica.org</t>
  </si>
  <si>
    <t>yolanda.kolisa@wits.ac.za</t>
  </si>
  <si>
    <t>837800907</t>
  </si>
  <si>
    <t>MPH, M.Dental</t>
  </si>
  <si>
    <t>Measurement of oral health related quality of life(OHRQoL) in HIV-infected and non-infected children: Investigation of socio- cultural influences in a South African context.</t>
  </si>
  <si>
    <t>Dr. Jude Igumbor</t>
  </si>
  <si>
    <t>Prof. Magnus Hakeburg</t>
  </si>
  <si>
    <t>0000-0003-3368-9193</t>
  </si>
  <si>
    <t>Oral Health needs and Oral Health related Quality of Life of Adolescents Living with HIV in Johannesburg, South Africa</t>
  </si>
  <si>
    <t>C5/005</t>
  </si>
  <si>
    <t>Akinyode</t>
  </si>
  <si>
    <t>Obembe</t>
  </si>
  <si>
    <t>tobembe@cartafrica.org</t>
  </si>
  <si>
    <t>tobems@yahoo.com</t>
  </si>
  <si>
    <t>+234 805 840 9495</t>
  </si>
  <si>
    <t>Coping with out of pocket payment among urban poor: Findings from South Western Nigeria.</t>
  </si>
  <si>
    <t>Dr. Oyediran Oyewole</t>
  </si>
  <si>
    <t>0000-0001-9610-1137</t>
  </si>
  <si>
    <t>Patterns of expenditure, coping mechanisms among urban slum dwellers admitted for emergency surgeries in Ibadan, Nigeria</t>
  </si>
  <si>
    <t>C5/006</t>
  </si>
  <si>
    <t>Wilson</t>
  </si>
  <si>
    <t>Kaindoa</t>
  </si>
  <si>
    <t>Medical Entomology</t>
  </si>
  <si>
    <t>Environmental Health and Ecological Science</t>
  </si>
  <si>
    <t>ekaindoa@cartafrica.org</t>
  </si>
  <si>
    <t>ekaindoa@ihi.or.tz</t>
  </si>
  <si>
    <t>+255787430307</t>
  </si>
  <si>
    <t>Masters of Science in Biology and Control of Parasites and Disease Vectors</t>
  </si>
  <si>
    <t>Assessing the impact of settlement patterns and distances between households on malaria transmission in rural Tanzanian populations.</t>
  </si>
  <si>
    <t>Fredros Okumu</t>
  </si>
  <si>
    <t>Research scientist</t>
  </si>
  <si>
    <t>Deputy Head, Environmental Health Dept</t>
  </si>
  <si>
    <t>0000-0001-6170-5694</t>
  </si>
  <si>
    <t>Assessing Relationship between Human Settlement Patterns and
Malaria Risk in a Residual Transmission Setting in South-Eastern
Tanzania</t>
  </si>
  <si>
    <t>C5/007</t>
  </si>
  <si>
    <t>Wamuyu</t>
  </si>
  <si>
    <t>Karumi</t>
  </si>
  <si>
    <t>Pharmacy</t>
  </si>
  <si>
    <t>U803/98509/2015</t>
  </si>
  <si>
    <t>ekarumi@cartafrica.org</t>
  </si>
  <si>
    <t>e_karumi@yahoo.com</t>
  </si>
  <si>
    <t>+254721293354</t>
  </si>
  <si>
    <t>Antioxidant, antidiabetic and hypolipidemic activities of selected medicinal plants used by the Maasai</t>
  </si>
  <si>
    <t>Prof. Julius Wanjohi Mwangi</t>
  </si>
  <si>
    <t>Dr. Kennedy Omondi Abuga</t>
  </si>
  <si>
    <t> 0000-0001-6367-1010</t>
  </si>
  <si>
    <t>A study of antioxidant, hypoglycemic and hypolipidemic activities of plants used in food by the Maasai community</t>
  </si>
  <si>
    <t>C5/008</t>
  </si>
  <si>
    <t>Folusho</t>
  </si>
  <si>
    <t>Mubowale</t>
  </si>
  <si>
    <t>Balogun</t>
  </si>
  <si>
    <t>Pediatrics</t>
  </si>
  <si>
    <t>Institute of Child Health</t>
  </si>
  <si>
    <t>fbalogun@cartafrica.org</t>
  </si>
  <si>
    <t>folushom@yahoo.com</t>
  </si>
  <si>
    <t>+234 812 8797 778</t>
  </si>
  <si>
    <t>The state of adolescent immunization in Ibadan, Nigeria.</t>
  </si>
  <si>
    <t>Prof. Olayemi Olufemi  Omotade</t>
  </si>
  <si>
    <t>Prof.  Mikael  Svensson</t>
  </si>
  <si>
    <t>0000-0002-2645-9106</t>
  </si>
  <si>
    <t>Understanding and acceptability of HPV vaccine for adolescents by stakeholders in selected communities in Ibadan, Nigeria</t>
  </si>
  <si>
    <t>JAS 1 &amp;2, 2015</t>
  </si>
  <si>
    <t>C5/009</t>
  </si>
  <si>
    <t>Felix</t>
  </si>
  <si>
    <t>Khuluza</t>
  </si>
  <si>
    <t>Pharmaceutical Analysis</t>
  </si>
  <si>
    <t>201580013236</t>
  </si>
  <si>
    <t>fkhuluza@cartafrica.org</t>
  </si>
  <si>
    <t>fkhuluza@medcol.mw</t>
  </si>
  <si>
    <t>+265(0)999 289874</t>
  </si>
  <si>
    <t>Master of Health Economics,</t>
  </si>
  <si>
    <t>Quality and content of live-saving medicines in the formal and informal sector in Malawi, and assessment of the economic or financial costs of counterfeit and sub standard medicines to the healthcare provider.</t>
  </si>
  <si>
    <t>Professor Lutz Heide</t>
  </si>
  <si>
    <t>Prof. Dr. Ulrike Holzgrabe</t>
  </si>
  <si>
    <t> 0000-0002-8334-0160</t>
  </si>
  <si>
    <t>Quality, availability and affordability of antimalarial and antibiotic medicines in Malawi</t>
  </si>
  <si>
    <t>C5/010</t>
  </si>
  <si>
    <t>Fred</t>
  </si>
  <si>
    <t>Maniragba</t>
  </si>
  <si>
    <t>Population Studies</t>
  </si>
  <si>
    <t>203001135.   Reg No. 2014/HD06/18709U</t>
  </si>
  <si>
    <t>fmaniragaba@cartafrica.org</t>
  </si>
  <si>
    <t>fmaniragaba@gmail.com</t>
  </si>
  <si>
    <t>+256 777 821673</t>
  </si>
  <si>
    <t>M.Sc Population Studies</t>
  </si>
  <si>
    <t>Intimate partner violence and fertility outcomes in Uganda.</t>
  </si>
  <si>
    <t>Prof. James Ntozi</t>
  </si>
  <si>
    <t>0000-0001-5977-1924</t>
  </si>
  <si>
    <t>Determinants of quality of life of older persons in rural Uganda</t>
  </si>
  <si>
    <t>C5/011</t>
  </si>
  <si>
    <t>Hellen</t>
  </si>
  <si>
    <t>Jepngetich</t>
  </si>
  <si>
    <t>Medical education</t>
  </si>
  <si>
    <t>SM/PhDME/05/15</t>
  </si>
  <si>
    <t>hjepngetich@cartafrica.org</t>
  </si>
  <si>
    <t>jepngetichkeny@gmail.com and kenyhellen@yahoo.com</t>
  </si>
  <si>
    <t>+254721271337</t>
  </si>
  <si>
    <t>Determinants of male involvement in sexual andreproductive health services in Kenya.</t>
  </si>
  <si>
    <t>Prof  Mabel Nangami</t>
  </si>
  <si>
    <t>Prof  Joyce Baliddawa</t>
  </si>
  <si>
    <t>Dr. Caleb Isaboke Nyamwange</t>
  </si>
  <si>
    <t>Head of Department of Environmental Health and Disaster Risk Management at the School of Public Health, College of Health Sciences</t>
  </si>
  <si>
    <t>Bachelor of science environmental health graduates academic competences and public health work expectations in Kenya: Graduate and emplyers perspectives</t>
  </si>
  <si>
    <t>JAS 1, 2015</t>
  </si>
  <si>
    <t>C5/012</t>
  </si>
  <si>
    <t>Hillary</t>
  </si>
  <si>
    <t>Kipruto</t>
  </si>
  <si>
    <t>Sang</t>
  </si>
  <si>
    <t>LINGUISTICS</t>
  </si>
  <si>
    <t>LINGUISTICS AND FOREIGN LANGUAGES</t>
  </si>
  <si>
    <t>SASS/DPHIL/LIN/06/14</t>
  </si>
  <si>
    <t>hsang@cartafrica.org</t>
  </si>
  <si>
    <t>hillarysang@yahoo.com</t>
  </si>
  <si>
    <t>+254 724 017107</t>
  </si>
  <si>
    <t>Communication disorders in school children identified with psychiatric disorders</t>
  </si>
  <si>
    <t>Dr. Tom Abuom</t>
  </si>
  <si>
    <t>C5/013</t>
  </si>
  <si>
    <t>Ikeola</t>
  </si>
  <si>
    <t>Adejoke</t>
  </si>
  <si>
    <t>Adeoye</t>
  </si>
  <si>
    <t>MATERNAL HEALTH</t>
  </si>
  <si>
    <t>iadeoye@cartafrica.org</t>
  </si>
  <si>
    <t>adeoyeikeola@yahoo.com</t>
  </si>
  <si>
    <t>+234-8052153252</t>
  </si>
  <si>
    <t>Master in Public Health</t>
  </si>
  <si>
    <t>Maternal obesity and associated maternal, periantal and neo natal outcomes among women in Ibadan, Nigeria</t>
  </si>
  <si>
    <t>Prof. Afolabi Bamigboye</t>
  </si>
  <si>
    <t>0000-0003-3085-0965</t>
  </si>
  <si>
    <t xml:space="preserve">The prevalence, determinants, preganancy and neonatal outcomes of Maternal obesity and its associated metabolic Dysfunction in Ibadan, Nigeria </t>
  </si>
  <si>
    <t>C5/014</t>
  </si>
  <si>
    <t>Justine</t>
  </si>
  <si>
    <t>Nnakate</t>
  </si>
  <si>
    <t>Bukenya</t>
  </si>
  <si>
    <t>Community Health &amp; Behavioural Sciencess</t>
  </si>
  <si>
    <t>jbukenya@cartafrica.org</t>
  </si>
  <si>
    <t>jbukenya@musph.ac.ug</t>
  </si>
  <si>
    <t>+256772446355</t>
  </si>
  <si>
    <t>Pregnancy experiences and reproductive health outcome among adolescents in Uganda.</t>
  </si>
  <si>
    <t>Christopher Garimoi Orach, PhD</t>
  </si>
  <si>
    <t>David Guwatudde, PhD</t>
  </si>
  <si>
    <t>0000-0001-9139-6183</t>
  </si>
  <si>
    <t>Pregnancy Planning and utilization of Maternal Health Services by Female Sex workers in Uganda</t>
  </si>
  <si>
    <t>C5/015</t>
  </si>
  <si>
    <t>Jeanette</t>
  </si>
  <si>
    <t>Dawa</t>
  </si>
  <si>
    <t>KAVI - Institute of Clinical Reasearch</t>
  </si>
  <si>
    <t>H84/50941/2016</t>
  </si>
  <si>
    <t>jdawa@cartafrica.org</t>
  </si>
  <si>
    <t>jandawa@cartafrica.org</t>
  </si>
  <si>
    <t>+254722653696</t>
  </si>
  <si>
    <t>M.Sc Public Health</t>
  </si>
  <si>
    <t>An assessment of breast cancer risk factors among urban black Kenyan females.</t>
  </si>
  <si>
    <t>Prof.Omu Anzala</t>
  </si>
  <si>
    <t>Medical Epidemiologist</t>
  </si>
  <si>
    <t>Medical Epidemiologist and Center Director</t>
  </si>
  <si>
    <t>WASHINGTON STATE UNIVERSITY, KENYA OFFICE (GLOBAL HEALTH PROG)</t>
  </si>
  <si>
    <t>0000-0001-9405-148X</t>
  </si>
  <si>
    <t>Modelling the health and economic impact of the influenza vaccine in Kenya</t>
  </si>
  <si>
    <t>CARNEGIE/DAAD</t>
  </si>
  <si>
    <t>C5/016</t>
  </si>
  <si>
    <t>Jepchirchir</t>
  </si>
  <si>
    <t>Kiplagat</t>
  </si>
  <si>
    <t>jkiplagat@cartafrica.org</t>
  </si>
  <si>
    <t>chiri2809@gmail.com</t>
  </si>
  <si>
    <t>+254722288653</t>
  </si>
  <si>
    <t>Masters Epidemiology &amp; Disease Control</t>
  </si>
  <si>
    <t>HIV among adults aged 50years and older in East Africa.</t>
  </si>
  <si>
    <t>Clinical research - Retrospective and prospective</t>
  </si>
  <si>
    <t>Primary and secondary</t>
  </si>
  <si>
    <t>Ann Mwangi, PhD</t>
  </si>
  <si>
    <t>Charles Chasela, PhD</t>
  </si>
  <si>
    <t>AMPATH Associate Director of Research</t>
  </si>
  <si>
    <t>MOI UNIVERSITY - AMPATH</t>
  </si>
  <si>
    <t>0000-0002-7836-2138</t>
  </si>
  <si>
    <t>Characteristics, outcomes and experiences of HIV infected adults aged 50 years and older in Western kenya</t>
  </si>
  <si>
    <t>C5/017</t>
  </si>
  <si>
    <t>Abayowa</t>
  </si>
  <si>
    <t>Mbada</t>
  </si>
  <si>
    <t>Political Science</t>
  </si>
  <si>
    <t>SSP/13/14/H/0871</t>
  </si>
  <si>
    <t>kmbada@cartafrica.org</t>
  </si>
  <si>
    <t>menteekas@yahoo.com</t>
  </si>
  <si>
    <t>2348137729864</t>
  </si>
  <si>
    <t>M.Sc Political Science</t>
  </si>
  <si>
    <t>Political economy of poverty and health in Ghana and Nigeria: A comparative policy analysis of the Millennium Development Goals.</t>
  </si>
  <si>
    <t>Policy analysis</t>
  </si>
  <si>
    <t>0000-0002-2157-1940</t>
  </si>
  <si>
    <t>JAS 1, 2015 &amp; JAS 4, 2019</t>
  </si>
  <si>
    <t>C5/018</t>
  </si>
  <si>
    <t>Lester</t>
  </si>
  <si>
    <t>Kapanda</t>
  </si>
  <si>
    <t>Epidemeology and Public Health</t>
  </si>
  <si>
    <t>201580013245</t>
  </si>
  <si>
    <t>lkapanda@cartafrica.org</t>
  </si>
  <si>
    <t>lrphiri@medcol.mw</t>
  </si>
  <si>
    <t>+265 994 958 249</t>
  </si>
  <si>
    <t>Exploring the potential drivers of demand and supply for transactional sex and sex work among female sex workers and their clients in Malawi.</t>
  </si>
  <si>
    <t>Prof. Adamson Muula</t>
  </si>
  <si>
    <t>Dr. Chima Izgubara</t>
  </si>
  <si>
    <t xml:space="preserve">Dr. Nicola Desmond </t>
  </si>
  <si>
    <t>0000-0003-2887-2954</t>
  </si>
  <si>
    <t>C5/019</t>
  </si>
  <si>
    <t>Maria</t>
  </si>
  <si>
    <t>Chifuniro</t>
  </si>
  <si>
    <t>Chikalipo</t>
  </si>
  <si>
    <t>Nursing and Midwifery</t>
  </si>
  <si>
    <t>201580013238</t>
  </si>
  <si>
    <t>mchikalipo@cartafrica.org</t>
  </si>
  <si>
    <t>mchikalipo@kcn.unima.mw</t>
  </si>
  <si>
    <t>+ 265 888309781</t>
  </si>
  <si>
    <t>MA Social Development</t>
  </si>
  <si>
    <t>Centering pregnancy: Astrategy in improving maternal and neonatal outcomes among adolescents.</t>
  </si>
  <si>
    <t>Prof. Ellen Chirwa</t>
  </si>
  <si>
    <t>0000-0001-7062-9785</t>
  </si>
  <si>
    <t>Feasibility, acceptability and effectiveness of couple antenatal education in Blantyre, Malawi</t>
  </si>
  <si>
    <t>C5/020</t>
  </si>
  <si>
    <t>Nomathemba</t>
  </si>
  <si>
    <t>Chiwoneso</t>
  </si>
  <si>
    <t>Chandiwana</t>
  </si>
  <si>
    <t>Child and Adolescent Health</t>
  </si>
  <si>
    <t>0403769G</t>
  </si>
  <si>
    <t>nchandiwana@cartafrica.org</t>
  </si>
  <si>
    <t>nomathemba.chandiwana@gmail.com</t>
  </si>
  <si>
    <t>MPH Epidiomology &amp; Biostatistics</t>
  </si>
  <si>
    <t>Impact of strengthening the continuum of care of HIV-infected pregnant and post-natal women and infantsin primary care clinics of South Africa.</t>
  </si>
  <si>
    <t>Prof. Charles S. Chasela</t>
  </si>
  <si>
    <t>Dr. Lee Fairlie</t>
  </si>
  <si>
    <t>Technical advisor</t>
  </si>
  <si>
    <t>WITS RHI</t>
  </si>
  <si>
    <t>0000-0001-7866-2651</t>
  </si>
  <si>
    <t>JAS 4, 2018</t>
  </si>
  <si>
    <t>C5/021</t>
  </si>
  <si>
    <t>Oyewale</t>
  </si>
  <si>
    <t>Mayowa</t>
  </si>
  <si>
    <t>Morakinyo</t>
  </si>
  <si>
    <t>Environmental Health</t>
  </si>
  <si>
    <t>Environmental Health Sciences</t>
  </si>
  <si>
    <t>omorakinyo@cartafrica.org</t>
  </si>
  <si>
    <t>wahlemirax@gmail.com</t>
  </si>
  <si>
    <t>+2348034626106</t>
  </si>
  <si>
    <t>MPH Environmental Health</t>
  </si>
  <si>
    <t>Molecular characterization of bio aerosols associated with sick building syndrome and related health risks in secondary schools in Ibadan,Nigeria.</t>
  </si>
  <si>
    <t>Prof. Ana Godson Rowland</t>
  </si>
  <si>
    <t>0000-0001-5289-9378</t>
  </si>
  <si>
    <t xml:space="preserve">Indoor school building characteristics and molecular profiling of Bioaerosols as predictors of respiratory morbidities among primary school children in Ibadan, Nigeria </t>
  </si>
  <si>
    <t>Indoor Air Quality and Bioaerosols’ Size Distribution as Predictors of Respiratory Morbidities among Pupils in Ibadan North Local Government Area, Oyo State.</t>
  </si>
  <si>
    <t>C5/022</t>
  </si>
  <si>
    <t>Raymond</t>
  </si>
  <si>
    <t>Odokonyero</t>
  </si>
  <si>
    <t>Psychiatry</t>
  </si>
  <si>
    <t>rodokonyero@cartafrica.org</t>
  </si>
  <si>
    <t>rayhaddock@yahoo.com</t>
  </si>
  <si>
    <t>+256701547646</t>
  </si>
  <si>
    <t>Investigating the relationship between parenting styles and coping techniques among parents with their adolescents’problem behavior in post conflict Northern Uganda</t>
  </si>
  <si>
    <t>Prof. Wilson Winston Muhwezi</t>
  </si>
  <si>
    <t>Prof. Seggane Musisi</t>
  </si>
  <si>
    <t>Dr.Akena Dickens Howard</t>
  </si>
  <si>
    <t>C5/023</t>
  </si>
  <si>
    <t>Gift</t>
  </si>
  <si>
    <t>Khangamwa</t>
  </si>
  <si>
    <t>C5/024</t>
  </si>
  <si>
    <t>Masoud</t>
  </si>
  <si>
    <t>Hussein</t>
  </si>
  <si>
    <t>Mahundi</t>
  </si>
  <si>
    <t>C5/025</t>
  </si>
  <si>
    <t>Callen</t>
  </si>
  <si>
    <t>Kwamboka</t>
  </si>
  <si>
    <t>Onyambu</t>
  </si>
  <si>
    <t>C6/001</t>
  </si>
  <si>
    <t>Beatrice</t>
  </si>
  <si>
    <t>Waitherero</t>
  </si>
  <si>
    <t>Maina</t>
  </si>
  <si>
    <t>School of Public Health</t>
  </si>
  <si>
    <t>bmaina@cartafrica.org</t>
  </si>
  <si>
    <t>waithereromaina@yahoo.com; bmaina@aphrc.org</t>
  </si>
  <si>
    <t>+254 (20) 4001000; +254 721 456679</t>
  </si>
  <si>
    <t>MA Population Studies</t>
  </si>
  <si>
    <t>Investigating the social co-construction of masculinity(ies) and sexual development among very young male adolescents in urban slums in Nairobi, Kenya</t>
  </si>
  <si>
    <t>Dr Yandisa Sikweyiya</t>
  </si>
  <si>
    <t>Associate Research Scientist</t>
  </si>
  <si>
    <t>0000-0001-6205-3296</t>
  </si>
  <si>
    <t>C6/002</t>
  </si>
  <si>
    <t>Betty</t>
  </si>
  <si>
    <t>Karimi</t>
  </si>
  <si>
    <t>Mwiti</t>
  </si>
  <si>
    <t>Design</t>
  </si>
  <si>
    <t>School of the Arts and Design</t>
  </si>
  <si>
    <t>B80/51242/2016</t>
  </si>
  <si>
    <t>bmwiti@cartafrica.org</t>
  </si>
  <si>
    <t>mwiti.bk@gmail.com</t>
  </si>
  <si>
    <t>+254 722 694853</t>
  </si>
  <si>
    <t>MA Design</t>
  </si>
  <si>
    <t>ACTION TO HEALTH:  DECREASING THE INCIDENCE OF LIFESTYLE DISEASES  IN  INFORMAL SETTLEMENTS IN NAIROBI, KENYA THROUGH A POPULATION-LED COMMUNICATION STRATEGY</t>
  </si>
  <si>
    <t>Dr. Lilac A. Osanjo</t>
  </si>
  <si>
    <t>Dr. Ambole Amollo Lorraine</t>
  </si>
  <si>
    <t>0000-0001-7064-8003</t>
  </si>
  <si>
    <t>Action to health: Decreasing the incidence of lifestyle diseases in informal settlement in Nairobi through a population led communication strategy</t>
  </si>
  <si>
    <t>Bottom-Up Approach: A community-Led Intervention in fighting lifestyle diseases in Urban informal settlements in Nairobi, Kenya</t>
  </si>
  <si>
    <t>C6/003</t>
  </si>
  <si>
    <t>Chimwemwe</t>
  </si>
  <si>
    <t>Chikoko</t>
  </si>
  <si>
    <t>Kwanjo-Banda</t>
  </si>
  <si>
    <t>Medical and Surgical Nursing</t>
  </si>
  <si>
    <t>201680013682</t>
  </si>
  <si>
    <t>cbanda@cartafrica.org</t>
  </si>
  <si>
    <t>joychikoko@yahoo.co.uk</t>
  </si>
  <si>
    <t>+265884711313</t>
  </si>
  <si>
    <t>Personal, behavioural and environmental factors associated with self-management among diabetic patients attending Queen Elizabeth Central Clinical research diabetes clinic in Malawi: a mixed methods study</t>
  </si>
  <si>
    <t>Prof. Moffat Nyirenda</t>
  </si>
  <si>
    <t>Dr. Belinda Gombachika</t>
  </si>
  <si>
    <t>MALAWI LIVERPOOL WELCOME TRUST CLINICAL RESEARCH PROGRAM (2021)</t>
  </si>
  <si>
    <t>0000-0001-9337-3583</t>
  </si>
  <si>
    <t xml:space="preserve">A mixed methods study on diabetes self management and social cognitive constructs at Queen Elizabeth Cantral Clinical research, Blantyre </t>
  </si>
  <si>
    <t>WT-DELTAS</t>
  </si>
  <si>
    <t>C6/004</t>
  </si>
  <si>
    <t>Oluwaseyi</t>
  </si>
  <si>
    <t>Dolapo</t>
  </si>
  <si>
    <t>Somefun</t>
  </si>
  <si>
    <t>Dept of Demography and Population studies</t>
  </si>
  <si>
    <t>single</t>
  </si>
  <si>
    <t>dsomefun@cartafrica.org</t>
  </si>
  <si>
    <t>seyi.somefun@gmail.com</t>
  </si>
  <si>
    <t>+27788552595</t>
  </si>
  <si>
    <t>Master Demography &amp; Population Studies</t>
  </si>
  <si>
    <t xml:space="preserve">Beyond Risk: Understanding a Framework for Improving Adolescents' Sexual Health in Nigeria </t>
  </si>
  <si>
    <t>Prof. Clifford Odimegwu</t>
  </si>
  <si>
    <t>Research Associate</t>
  </si>
  <si>
    <t>UNIVERSITY OF WESTERN CAPE, SOUTH AFRICA</t>
  </si>
  <si>
    <t>0000-0002-3842-2685</t>
  </si>
  <si>
    <t>Beyond Risk: Understanding a framework for improving adolescents's sexual health in Nigeria</t>
  </si>
  <si>
    <t>C6/005</t>
  </si>
  <si>
    <t>Valens</t>
  </si>
  <si>
    <t>Mbarushimana</t>
  </si>
  <si>
    <t>vmbarushimana@cartafrica.org</t>
  </si>
  <si>
    <t>mbavalens@gmail.com; vmbarushimana@ur.ac.rw; mbavalens@yahoo.fr; vmbarushimana@nursph.org</t>
  </si>
  <si>
    <t>+250788490718</t>
  </si>
  <si>
    <t>Early adolescents' knowledge, beliefs and behaviors regarding gender and sexuality in Rwanda: implications for their sexual experiences and health outcomes.</t>
  </si>
  <si>
    <t>Daphney Conco</t>
  </si>
  <si>
    <t>Dr. Laetitia Nyirazinyoye</t>
  </si>
  <si>
    <t>0000-0002-9700-0343</t>
  </si>
  <si>
    <t>Early adolescents' knoledge, beliefs and behaviors regarding gender and sexuality in Rwanda: implications for their sexual experiences and health outcomes</t>
  </si>
  <si>
    <t>C6/006</t>
  </si>
  <si>
    <t>Eniola</t>
  </si>
  <si>
    <t>Bamgboye</t>
  </si>
  <si>
    <t>ebamgboye@cartafrica.org</t>
  </si>
  <si>
    <t>dr_enip@yahoo.co.uk</t>
  </si>
  <si>
    <t>+234 8029537711</t>
  </si>
  <si>
    <t>M.Sc Epidemiology &amp; Bio Statistics</t>
  </si>
  <si>
    <t>Modeling the effect of HIV on the survival of multi drug resistant tuberculosis co infected patients in Oyo State, South Western Nigeria.</t>
  </si>
  <si>
    <t>Dr. Ikeoluwapo  Ajayi</t>
  </si>
  <si>
    <t>Lecturer 1</t>
  </si>
  <si>
    <t>0000-0003-0500-8557</t>
  </si>
  <si>
    <t>Modelling the effect of HIV Co-infection on the survival of patients with multidrugs resistant Tuberculosis in Oyo State, Southern Western, Nigeria</t>
  </si>
  <si>
    <t>WT -DELTAS</t>
  </si>
  <si>
    <t>C6/007</t>
  </si>
  <si>
    <t>Nomfundo</t>
  </si>
  <si>
    <t>Nzuza</t>
  </si>
  <si>
    <t>Moroe</t>
  </si>
  <si>
    <t>Audiology</t>
  </si>
  <si>
    <t>Speech Pathology and Audiology</t>
  </si>
  <si>
    <t>0103374D</t>
  </si>
  <si>
    <t xml:space="preserve">fmoroe@cartafrica.org </t>
  </si>
  <si>
    <t>nomfundo.moroe7@gmail.com</t>
  </si>
  <si>
    <t>+27823178862</t>
  </si>
  <si>
    <t>MA Audiology</t>
  </si>
  <si>
    <t>Occupational Noise-Induced Hearing Loss in South African Large Scale Mines: From policy formulation to implementation and monitoring</t>
  </si>
  <si>
    <t>Prof. KatijahKhoza-Shangase</t>
  </si>
  <si>
    <t>0000-0001-7186-5632</t>
  </si>
  <si>
    <t xml:space="preserve">Occupational Noise-induced hearing loss in South African Large Scale Mines: From policy formulation to implementation and monitoring </t>
  </si>
  <si>
    <t>Occupational Noise-Induced Hearing Loss in South African Large Scale Mines: From policy
formulation to implementation and monitoring</t>
  </si>
  <si>
    <t>C6/008</t>
  </si>
  <si>
    <t>Godwin</t>
  </si>
  <si>
    <t>Anywar</t>
  </si>
  <si>
    <t>Botany</t>
  </si>
  <si>
    <t>Plant Sciences, Microbiology &amp; Biotechnology</t>
  </si>
  <si>
    <t>2015/HD13/18793U</t>
  </si>
  <si>
    <t>ganywar@cartafrica.org</t>
  </si>
  <si>
    <t>godwinanywar@gmail.com</t>
  </si>
  <si>
    <t>+256 702983410</t>
  </si>
  <si>
    <t>M.Sc Botany</t>
  </si>
  <si>
    <t>Antiviral, immunomodulatory and phytochemical profiles of medicinal plants used by traditional medicine practitioners for the treatment of HIV/AIDS in Uganda</t>
  </si>
  <si>
    <t>Ass. Prof. Kakudidi Eseszah</t>
  </si>
  <si>
    <t>Ass. Prof. Byamukama Robert</t>
  </si>
  <si>
    <t xml:space="preserve">Prof. Dr. Emmrich Frank, Fraunhofer </t>
  </si>
  <si>
    <t>other</t>
  </si>
  <si>
    <t xml:space="preserve"> Appointed as a Review editor in the Journal Frontiers in Pharmacology-Ethnopharmacology Section.</t>
  </si>
  <si>
    <t>0000-0003-0926-1832</t>
  </si>
  <si>
    <t>Ethnopharmacogology, cytotoxicity, antiviral and immunodulatory profiles of medical plant species used by herbalists in treating people living with HIV/AIDS in Uganda</t>
  </si>
  <si>
    <t>WT -DELTAS/DAAD</t>
  </si>
  <si>
    <t>C6/009</t>
  </si>
  <si>
    <t>Olugbenga</t>
  </si>
  <si>
    <t>Abe</t>
  </si>
  <si>
    <t>DEMOGRAPHY AND SOCIAL STATISTICS</t>
  </si>
  <si>
    <t>SSP15/16/R/0003</t>
  </si>
  <si>
    <t>jabe@cartafrica.org</t>
  </si>
  <si>
    <t>abegbenga7@gmail.com</t>
  </si>
  <si>
    <t>+2348034460713</t>
  </si>
  <si>
    <t>Masters in Demography and Social Statistics</t>
  </si>
  <si>
    <t>Labour Force Disengagement Transitions and Quality of Life of Older Persons in Formal Organisations in Osun State, Nigeria</t>
  </si>
  <si>
    <t>Prof. Akinyemi Ibukun Akanni</t>
  </si>
  <si>
    <t>Dr. Oyedokun Olugbenga Amos</t>
  </si>
  <si>
    <t xml:space="preserve">AQUATECH COLLEGE OF AGRICULTURE </t>
  </si>
  <si>
    <t>0000-0002-6312-0195</t>
  </si>
  <si>
    <t>Labour force disengagement transitions and quality of life of older persons in formal organisations in Osun State, Nigeria</t>
  </si>
  <si>
    <t>C6/010</t>
  </si>
  <si>
    <t>Justin</t>
  </si>
  <si>
    <t>Kumala</t>
  </si>
  <si>
    <t>Biomedical research</t>
  </si>
  <si>
    <t>Wits Research institute for Malaria (WRIM)</t>
  </si>
  <si>
    <t>jkumala@cartafrica.org</t>
  </si>
  <si>
    <t>justinkumala@yahoo.com</t>
  </si>
  <si>
    <t>+27711374112</t>
  </si>
  <si>
    <t>The impact of insecticide resistance on malaria vector control in Chikwawa, Southern Malawi</t>
  </si>
  <si>
    <t>Prof. Maureen Coetzee</t>
  </si>
  <si>
    <t>Dr. Themba Mzilahowa</t>
  </si>
  <si>
    <t>Research Assistant</t>
  </si>
  <si>
    <t>0000-0001-6357-9441</t>
  </si>
  <si>
    <t>The efect of insecticide resistance on malaria vector control in Chikwawa, Southern Malawi</t>
  </si>
  <si>
    <t>The effect of insecticide resistance on Malaria vector control in Chikwawa, Southern Malawi</t>
  </si>
  <si>
    <t>C6/011</t>
  </si>
  <si>
    <t>Joan</t>
  </si>
  <si>
    <t>Nankya</t>
  </si>
  <si>
    <t>Mutyoba</t>
  </si>
  <si>
    <t>Epidemiology &amp; Biostatistics</t>
  </si>
  <si>
    <t>2014/HD07/18654U</t>
  </si>
  <si>
    <t>jmutyoba@cartafrica.org</t>
  </si>
  <si>
    <t>eron.jm@hotmail.com</t>
  </si>
  <si>
    <t>+256 772 324 309</t>
  </si>
  <si>
    <t>MS Epidemiology &amp; Biostatistics</t>
  </si>
  <si>
    <t>Hepatitis B Among Pregnant Women:Epidemiology, Knowledge, perceptions and behavioral intentions</t>
  </si>
  <si>
    <t>Professor Ponsiano Ocama</t>
  </si>
  <si>
    <t>Assoc. Professor Frederick Makumbi</t>
  </si>
  <si>
    <t>0000-0002-0661-5933</t>
  </si>
  <si>
    <t>Hepatitis B among pregnant women: Epidemiology, knowledge, perceptions and behavioral intentions</t>
  </si>
  <si>
    <t>Hepatitis B among Ugandan pregnant women: Studies on Epidemiology, Knowledge, Perceptions and Behavioural Intentions</t>
  </si>
  <si>
    <t>C6/012</t>
  </si>
  <si>
    <t>Kudus</t>
  </si>
  <si>
    <t>Oluwatoyin</t>
  </si>
  <si>
    <t>Adebayo</t>
  </si>
  <si>
    <t>kadebayo@cartafrica.org</t>
  </si>
  <si>
    <t>oluwatoyinkudus@gmail.com</t>
  </si>
  <si>
    <t>+2348029516738</t>
  </si>
  <si>
    <t>M.Sc Sociology</t>
  </si>
  <si>
    <t>Migration and settlement experiences of Nigerians in Guangzhou, China</t>
  </si>
  <si>
    <t>Prof Omololu O. Femi</t>
  </si>
  <si>
    <t>Tutorial Assistant</t>
  </si>
  <si>
    <t>Research Fellow I</t>
  </si>
  <si>
    <t>0000-0002-3746-4963</t>
  </si>
  <si>
    <t>International migration and settlement experiences of Nigerians in Guangzhou, China</t>
  </si>
  <si>
    <t>C6/013</t>
  </si>
  <si>
    <t>Kolawole</t>
  </si>
  <si>
    <t>Aliyu</t>
  </si>
  <si>
    <t>Sociology and Anthropology</t>
  </si>
  <si>
    <t>SSP15/16/R/0083</t>
  </si>
  <si>
    <t>kaliyu@cartafrica.org</t>
  </si>
  <si>
    <t>aliyukola@gmail.com</t>
  </si>
  <si>
    <t>+2348060100021</t>
  </si>
  <si>
    <t>M.Sc Sociology &amp; Anthropology</t>
  </si>
  <si>
    <t>Socio-ecological Factors Influencing Parent-adolescent Communication on Sexual and Reproductive Health Issues in Selected Slum Communities of Ibadan, Southwest, Nigeria</t>
  </si>
  <si>
    <t>Prof. Anna Baranowska-Rataj</t>
  </si>
  <si>
    <t xml:space="preserve">Senior Lecturer </t>
  </si>
  <si>
    <t>0000-0001-7896-1061</t>
  </si>
  <si>
    <t>Socio -ecological factors influencing parent -adolescent Communication on sexual and reproductive Health issues in selected slum cCommunities of Ibadan, Southwest, Nigeria</t>
  </si>
  <si>
    <t>C6/014</t>
  </si>
  <si>
    <t>Khumbo</t>
  </si>
  <si>
    <t>Kalulu</t>
  </si>
  <si>
    <t>Engineering</t>
  </si>
  <si>
    <t>PhD/13/MPL/001</t>
  </si>
  <si>
    <t>kkalulu@cartafrica.org</t>
  </si>
  <si>
    <t>kmkalulu@gmail.com</t>
  </si>
  <si>
    <t>+265 999 691 961</t>
  </si>
  <si>
    <t>M.BA, Masters in Integrated Water Resources</t>
  </si>
  <si>
    <t>Improving resource efficiency in treatment of faecal sludge from unplanned settlements of in the cities of Malawi</t>
  </si>
  <si>
    <t>Asso. Prof. Bernard Thole (PhD)</t>
  </si>
  <si>
    <t xml:space="preserve">Ass. Prof. Theresa Mkandawire (PhD) </t>
  </si>
  <si>
    <t xml:space="preserve">Prof. Grant Kululanga (PhD) </t>
  </si>
  <si>
    <t>0000-0001-9841-9173</t>
  </si>
  <si>
    <t>C6/015</t>
  </si>
  <si>
    <t>Mumuni</t>
  </si>
  <si>
    <t>Adejumo</t>
  </si>
  <si>
    <t>madejumo@cartafrica.org</t>
  </si>
  <si>
    <t>adejumo_mumuni@yahoo.com</t>
  </si>
  <si>
    <t>+234 8050821482</t>
  </si>
  <si>
    <t>Improving greywater quality and Harnessing Water Resources through Algae Based Technology in a Low to Middle-Income Community in South-West Nigeria</t>
  </si>
  <si>
    <t>Dr. Elizabeth O. OLORUNTOBA</t>
  </si>
  <si>
    <t>Prof. M.K.C. SRIDHAR</t>
  </si>
  <si>
    <t>0000-0003-4797-7508</t>
  </si>
  <si>
    <t>Improving greywater quality and harnessing water resources through algae based technology in Low to Middle income community in South West Nigeria</t>
  </si>
  <si>
    <t>C6/016</t>
  </si>
  <si>
    <t>Macellina</t>
  </si>
  <si>
    <t>Yinyinade</t>
  </si>
  <si>
    <t>Ijadunola</t>
  </si>
  <si>
    <t>CLP/13/14/H/2482</t>
  </si>
  <si>
    <t>mijadunola@cartafrica.org</t>
  </si>
  <si>
    <t>yijadun@yahoo.com</t>
  </si>
  <si>
    <t>+234 803 706 2008</t>
  </si>
  <si>
    <t>CHARACTERISTICS OF SKIPPED GENERATION HOUSEHOLDS AND HEALTH OF ADOLESCENTS IN IFE-IJESA ZONE, OSUN STATE, NIGERIA.</t>
  </si>
  <si>
    <t>Prof. Adesegun O. Fatusi</t>
  </si>
  <si>
    <t>Dr. Olapeju A. Esimai</t>
  </si>
  <si>
    <t>0000-0002-4838-0431</t>
  </si>
  <si>
    <t>Characteristics of skipped generation houseolds and health of adolescents in Ife-Ijesa Nigeria: Implications for grandparents and adolescent Health</t>
  </si>
  <si>
    <t>C6/017</t>
  </si>
  <si>
    <t>Marie Chantal</t>
  </si>
  <si>
    <t>Uwimana</t>
  </si>
  <si>
    <t>Midwifery</t>
  </si>
  <si>
    <t>Nursing Education</t>
  </si>
  <si>
    <t>muwimana@cartafrica.org</t>
  </si>
  <si>
    <t>uwimac@yahoo.fr</t>
  </si>
  <si>
    <t>+250(0) 788 527 435</t>
  </si>
  <si>
    <t>Master of Nursing Management</t>
  </si>
  <si>
    <t>DEVELOPING AND PILOT TESTING OF A LABOUR SUPPORT INTERVENTION BY NURSES AND MIDWIVES AT PUBLIC HEALTH FACILITIES IN RWANDA</t>
  </si>
  <si>
    <t>Dr. Gorrette Nalwadda K</t>
  </si>
  <si>
    <t>Prof. Nazarius Mbona T</t>
  </si>
  <si>
    <t>Head of Midwifery</t>
  </si>
  <si>
    <t>0000-0001-6105-2611</t>
  </si>
  <si>
    <t>Measuring the importance of labour support practice for mothers and nurses and midwives at public health facilities in Rwanda</t>
  </si>
  <si>
    <t>C6/018</t>
  </si>
  <si>
    <t>Wanjira</t>
  </si>
  <si>
    <t>Njue-Kamau</t>
  </si>
  <si>
    <t>COMMUNITY HEALTH</t>
  </si>
  <si>
    <t>COMMUNITY HEALTH NURSING</t>
  </si>
  <si>
    <t>H80/50154/2015</t>
  </si>
  <si>
    <t>mwanjira@cartafrica.org</t>
  </si>
  <si>
    <t>mwkamau@gmail.com</t>
  </si>
  <si>
    <t>+254 727 736810</t>
  </si>
  <si>
    <t>Msc. Public Health</t>
  </si>
  <si>
    <t>Iron and Folic Acid Supplementation (IFAS) among pregnant women: A community based approach in Kiambu County</t>
  </si>
  <si>
    <t>Dr. Waithira Mirie</t>
  </si>
  <si>
    <t xml:space="preserve">Dr. Samuel T. Kimani  </t>
  </si>
  <si>
    <t> 0000-0002-4167-3549</t>
  </si>
  <si>
    <t>Iron and folic acid supplementation (IFAS) among pregnant women: A community based approach in Kiambu County</t>
  </si>
  <si>
    <t>C6/019</t>
  </si>
  <si>
    <t>Makhosazane</t>
  </si>
  <si>
    <t>Nomhle</t>
  </si>
  <si>
    <t>Khoza</t>
  </si>
  <si>
    <t>Clinical Medicine</t>
  </si>
  <si>
    <t>Wits Reproductive Health &amp; HIV Institute</t>
  </si>
  <si>
    <t>nkhoza@cartafrica.org</t>
  </si>
  <si>
    <t>nomhle@tuks.co.za; u21128716@tuks.co.za</t>
  </si>
  <si>
    <t>+27765125071</t>
  </si>
  <si>
    <t>MA Research Psychology</t>
  </si>
  <si>
    <t>The use of cash transfers for cash outcomes: exploring the influence of gender</t>
  </si>
  <si>
    <t>Catherine MacPhail</t>
  </si>
  <si>
    <t>Prof. Delany-Moretlwe</t>
  </si>
  <si>
    <t>Honorary Researcher</t>
  </si>
  <si>
    <t>0000-0003-1312-7783</t>
  </si>
  <si>
    <t>The social consequences of cash transfers on adolescent recipients and their relationships</t>
  </si>
  <si>
    <t>Exploring the social consequences of cash transfers on adolescent recipients and their relationships</t>
  </si>
  <si>
    <t>C6/020</t>
  </si>
  <si>
    <t>Aanuoluwapo</t>
  </si>
  <si>
    <t>Omobolanle</t>
  </si>
  <si>
    <t>Olajubu</t>
  </si>
  <si>
    <t>Bmsp13/14/H/0861</t>
  </si>
  <si>
    <t>oolajubu@cartafrica.org</t>
  </si>
  <si>
    <t>bolajubu@gmail.com</t>
  </si>
  <si>
    <t>+234 8062784468</t>
  </si>
  <si>
    <t>M.Sc Community Health</t>
  </si>
  <si>
    <t>Impact of a Mobile Health Intervention on Uptake of Postnatal Care Services and Related Outcomes among Mothers in Osun State, Nigeria</t>
  </si>
  <si>
    <t>Prof. R. B. Fajemilehin</t>
  </si>
  <si>
    <t>Prof. B. S. Afolabi</t>
  </si>
  <si>
    <t>0000-0001-9617-8660</t>
  </si>
  <si>
    <t>Impact Of A Mobile Health Intervention On Uptake Of Postnatal Care Services And Related Outcomes Among Mothers In Osun State, Nigeria.</t>
  </si>
  <si>
    <t>C6/021</t>
  </si>
  <si>
    <t>Olivia</t>
  </si>
  <si>
    <t>Millicent Awino</t>
  </si>
  <si>
    <t>Osiro</t>
  </si>
  <si>
    <t>Restorative and Preventive dentistry</t>
  </si>
  <si>
    <t>Conservative and Prosthetic Dentistry</t>
  </si>
  <si>
    <t>V91/51081/2016</t>
  </si>
  <si>
    <t>oosiro@cartafrica.org</t>
  </si>
  <si>
    <t>oaosiro@uonbi.ac.ke</t>
  </si>
  <si>
    <t>+254 722 861488</t>
  </si>
  <si>
    <t>M.Sc Dental Materials</t>
  </si>
  <si>
    <t>Development of a glass ionomer cement using fluorspar from Kerio Valley and other raw materials in Kenya</t>
  </si>
  <si>
    <t>experimental model</t>
  </si>
  <si>
    <t>Prof. David Kinuthia Kariuki</t>
  </si>
  <si>
    <t>Dr. Elizabeth Dimba</t>
  </si>
  <si>
    <t>Prof. Loice Gathece</t>
  </si>
  <si>
    <t>Chairman of Department of Conservative and Prosthetic Dentistry  (Sep, 2020)</t>
  </si>
  <si>
    <t>0000-0002-0095-4694</t>
  </si>
  <si>
    <t>Development of a prototype for a restorative dental cement in Kenya</t>
  </si>
  <si>
    <t>JAS 1, 2016</t>
  </si>
  <si>
    <t>C6/022</t>
  </si>
  <si>
    <t>Olutoyin</t>
  </si>
  <si>
    <t>Olubunmi</t>
  </si>
  <si>
    <t>Sekoni</t>
  </si>
  <si>
    <t>Not yet available</t>
  </si>
  <si>
    <t>osekoni@cartafrica.org</t>
  </si>
  <si>
    <t>t1toyin@yahoo.com</t>
  </si>
  <si>
    <t>+234-803-357-9048</t>
  </si>
  <si>
    <t>Structural factors associated with sexual risk behaviour among Out-of-School adolescents in an Urban slum in South West Nigeria</t>
  </si>
  <si>
    <t>Prof. Christofides Nicola</t>
  </si>
  <si>
    <t>Prof. Mall Sumaya</t>
  </si>
  <si>
    <t>0000-0001-6993-1100</t>
  </si>
  <si>
    <t>C6/023</t>
  </si>
  <si>
    <t>Mpho</t>
  </si>
  <si>
    <t>Primrose</t>
  </si>
  <si>
    <t>Molete</t>
  </si>
  <si>
    <t>Oral Health</t>
  </si>
  <si>
    <t>9200430H</t>
  </si>
  <si>
    <t>pmpho@cartafrica.org</t>
  </si>
  <si>
    <t>mpho.molete@wits.ac.za</t>
  </si>
  <si>
    <t>0027 647523860</t>
  </si>
  <si>
    <t>Master in Dentistry, M.Sc Dental Public health</t>
  </si>
  <si>
    <t>Extent of oral health service integration into the school health program in the Tshwane District.</t>
  </si>
  <si>
    <t>Prof. Aimee Stewart</t>
  </si>
  <si>
    <t>Specialist in Community Dentistry</t>
  </si>
  <si>
    <t>0000-0001-9227-3927</t>
  </si>
  <si>
    <t>Schoolbased oral health programmes in Tshwane District of Gauteng: Scope, implemntation and outcomes</t>
  </si>
  <si>
    <t>School-based oral health programmes in the Tshwane District of Gauteng: scope, implementation and outcomes.'</t>
  </si>
  <si>
    <t>C6/024</t>
  </si>
  <si>
    <t>Tutu</t>
  </si>
  <si>
    <t>Said</t>
  </si>
  <si>
    <t>Mzee</t>
  </si>
  <si>
    <t>Molecular genetics</t>
  </si>
  <si>
    <t>Molecular biology and biotechnology</t>
  </si>
  <si>
    <t>2016-07-00173</t>
  </si>
  <si>
    <t>stutu@cartafrica.org</t>
  </si>
  <si>
    <t>tmzee@ihi.or.tz</t>
  </si>
  <si>
    <t>+255713869915</t>
  </si>
  <si>
    <t>M.SC Biotechnology</t>
  </si>
  <si>
    <t xml:space="preserve">Molecular epidemiology of antibiotic resistant bacteria and their interaction mechanisms in human, livestock and environment.  </t>
  </si>
  <si>
    <t>Dr. Rose J Masalu</t>
  </si>
  <si>
    <t>Quality Assurance Officer</t>
  </si>
  <si>
    <t>0000-0002-5918-0574</t>
  </si>
  <si>
    <t>Molecular epidemiology of Antibiotic resistant S.aureaus in Livestock and their human contacts</t>
  </si>
  <si>
    <t>C6/025</t>
  </si>
  <si>
    <t>Edwin</t>
  </si>
  <si>
    <t>Kipkosgei</t>
  </si>
  <si>
    <t>Cheruiyot Sang</t>
  </si>
  <si>
    <t>Biostatistics</t>
  </si>
  <si>
    <t>Public and Population Health</t>
  </si>
  <si>
    <t>esang@cartafrica.org</t>
  </si>
  <si>
    <t>edwin.ampath@gmail.com</t>
  </si>
  <si>
    <t>+254711531441</t>
  </si>
  <si>
    <t>C7/001</t>
  </si>
  <si>
    <t>Abigail</t>
  </si>
  <si>
    <t>Ruth</t>
  </si>
  <si>
    <t>Dreyer</t>
  </si>
  <si>
    <t>Medical Education</t>
  </si>
  <si>
    <t>adreyer@cartafrica.org</t>
  </si>
  <si>
    <t>abigaildreyer@gmail.com</t>
  </si>
  <si>
    <t>+27 116152976</t>
  </si>
  <si>
    <t>Masters of Public Health</t>
  </si>
  <si>
    <t>Comparative analysis of decentralised training platforms in undergraduate medical education at four South African universities</t>
  </si>
  <si>
    <t xml:space="preserve">Prof. Laetitia Rispel  </t>
  </si>
  <si>
    <t>Head of Learning, Influence and Networking at PATA</t>
  </si>
  <si>
    <t>PATA Cape Town</t>
  </si>
  <si>
    <t>0000-0002-0499-0094</t>
  </si>
  <si>
    <t>A comparative study of decentralized training platforms in undergraduate medical education at four South African Universities</t>
  </si>
  <si>
    <t>A comparative study of decentralised training platforms in undergraduate medical education at four South African universities</t>
  </si>
  <si>
    <t>C7/002</t>
  </si>
  <si>
    <t>Alexander</t>
  </si>
  <si>
    <t>Kagaha</t>
  </si>
  <si>
    <t>Sociology and Social Anthropology</t>
  </si>
  <si>
    <t>akagaha@cartafrica.org</t>
  </si>
  <si>
    <t>akagaha@gmail.com</t>
  </si>
  <si>
    <t>+256772419211</t>
  </si>
  <si>
    <t>MA Sociology; Msc. Development Management</t>
  </si>
  <si>
    <t>The Power Discourse in Health Services Uptake: A case of Maternal and Child Health services uptake in Eastern Uganda</t>
  </si>
  <si>
    <t>Prof. Eleanor Manderson</t>
  </si>
  <si>
    <t xml:space="preserve">Assistant Lecturer </t>
  </si>
  <si>
    <t>0000-0002-7787-8597</t>
  </si>
  <si>
    <t>Policy and Practice of Abortion Care in Eastern Uganda</t>
  </si>
  <si>
    <t>Policy and Practice of Abortion care in Eastern Uganda</t>
  </si>
  <si>
    <t xml:space="preserve">PhD Research and dissertation writing </t>
  </si>
  <si>
    <t>C7/003</t>
  </si>
  <si>
    <t>Abiola</t>
  </si>
  <si>
    <t>Olubusola</t>
  </si>
  <si>
    <t>Komolafe</t>
  </si>
  <si>
    <t>Department of Nursing Science</t>
  </si>
  <si>
    <t>BMSP15/16/H/0919</t>
  </si>
  <si>
    <t>akomolafe@cartafrica.org</t>
  </si>
  <si>
    <t>abiolakomolafe2016@gmail.com</t>
  </si>
  <si>
    <t>XESC</t>
  </si>
  <si>
    <t>MSc. (Nursing), OAU</t>
  </si>
  <si>
    <t>Digital Enabled Intervention for Improved Data Capture among Nurses in Perinatal Care in Selected Health Care Facilities in Osun State</t>
  </si>
  <si>
    <t xml:space="preserve">Prof. Irinoye Oladunni Omolola </t>
  </si>
  <si>
    <t>Instructor</t>
  </si>
  <si>
    <t>0000-0002-2123-7782</t>
  </si>
  <si>
    <t>Determinants of Implementation Success of Emergency Obstetric and Neonatal Care in Selected Health Facilities in Osun State, Nigeria</t>
  </si>
  <si>
    <t>C7/004</t>
  </si>
  <si>
    <t>Blessings</t>
  </si>
  <si>
    <t>Nyasilia Kaunda</t>
  </si>
  <si>
    <t>Kaunda-Khangamwa</t>
  </si>
  <si>
    <t>Medical Anthropology</t>
  </si>
  <si>
    <t>bkaunda@cartafrica.org</t>
  </si>
  <si>
    <t>b.n.kaunda@gmail.com</t>
  </si>
  <si>
    <t>+ 265 888 554052</t>
  </si>
  <si>
    <t>Master of Science in Medical Anthropology</t>
  </si>
  <si>
    <t>Sexuality and reproductive health needs of adolescents living with HIV in Malawi: An anthropological study of teen club members and non-members</t>
  </si>
  <si>
    <t>Prof. Munthali, Alister</t>
  </si>
  <si>
    <t>Dr. Chipeta, Effie</t>
  </si>
  <si>
    <t>Research Fellow</t>
  </si>
  <si>
    <t>0000-0001-7345-9427</t>
  </si>
  <si>
    <t>Sexual and reproductive health, service use and resilience among adolescents in urban Blantyre</t>
  </si>
  <si>
    <t>I work as a research scientist in a research institution and they cannot afford to employ me while studying for the PhD.</t>
  </si>
  <si>
    <t>C7/005</t>
  </si>
  <si>
    <t>Banamwana</t>
  </si>
  <si>
    <t>Environmental Studies</t>
  </si>
  <si>
    <t>cbanamwana@cartafrica.org</t>
  </si>
  <si>
    <t>banacele@yahoo.fr</t>
  </si>
  <si>
    <t>+250785160088</t>
  </si>
  <si>
    <t>Biodiversity Concervation Sciences</t>
  </si>
  <si>
    <t xml:space="preserve">The use of Ecological Sanitation (EcoSan) latrines towards sustainable economics in Rwanda </t>
  </si>
  <si>
    <t xml:space="preserve">Dr. David Musoke, PhD </t>
  </si>
  <si>
    <t xml:space="preserve"> Assoc. Prof. Nazarius Mbona Tumwesigye</t>
  </si>
  <si>
    <t>Assoc.Prof.Theoneste Ntakirutimana</t>
  </si>
  <si>
    <t xml:space="preserve">0000-0002-2817-2926 </t>
  </si>
  <si>
    <t>Ecological sanitation technology uptake and health risks among users of its products in Burera District, Rwanda</t>
  </si>
  <si>
    <t>WT-DELTAS/DAAD</t>
  </si>
  <si>
    <t>C7/006</t>
  </si>
  <si>
    <t>Catherine</t>
  </si>
  <si>
    <t>Mawia</t>
  </si>
  <si>
    <t>Musyoka</t>
  </si>
  <si>
    <t>Clinical Psychology</t>
  </si>
  <si>
    <t>Department of Psychiatry</t>
  </si>
  <si>
    <t>cmusyoka@cartafrica.org</t>
  </si>
  <si>
    <t>camulundu2011@gmail.com</t>
  </si>
  <si>
    <t>+254 721 723514, +254 720 326 306</t>
  </si>
  <si>
    <t>Master of Science Clinical Psychology</t>
  </si>
  <si>
    <t>Evaluating the Effectiveness of Peer Mentorship Programs in the Prevention of Alcohol and Drug Abuse among Students at the University of Nairobi</t>
  </si>
  <si>
    <t>Dr. Muthoni Mathai</t>
  </si>
  <si>
    <t>Dr William Byansi</t>
  </si>
  <si>
    <t>Dr Thomas Crea</t>
  </si>
  <si>
    <t>Clinical Psychologist</t>
  </si>
  <si>
    <t>Clinical Psychologist &amp; ADAP Program Coordinator</t>
  </si>
  <si>
    <t>0000-0001-6669-9860</t>
  </si>
  <si>
    <t>Prevention of Alcohol and Substance Abuse: mHealth Technology Based Peer Mentoring Among University of Nairobi Students</t>
  </si>
  <si>
    <t>C7/007</t>
  </si>
  <si>
    <t>Olubukola</t>
  </si>
  <si>
    <t>Cadmus</t>
  </si>
  <si>
    <t>Community Medicine</t>
  </si>
  <si>
    <t>colubukola@cartafrica.org</t>
  </si>
  <si>
    <t>eniyolacadmus@gmail.com</t>
  </si>
  <si>
    <t>+234802360510</t>
  </si>
  <si>
    <t>Feasibility and preferences of older persons in Oyo State Nigeria regarding ageing in place: A Rural-Urban Comparison</t>
  </si>
  <si>
    <t>Prof. Eme Owoaje Theodara</t>
  </si>
  <si>
    <t>Dr Adebusoye Adekunle Lawrence</t>
  </si>
  <si>
    <t>0000-0002-0201-1462</t>
  </si>
  <si>
    <t>An exploration of models for community care and desire to Age in Place among older persons in Oyo State, South Western Nigeria</t>
  </si>
  <si>
    <t>Unmet Needs for Informal Support and Their Health Implications for Older Adults in Oyo State, Nigeria</t>
  </si>
  <si>
    <t>C7/008</t>
  </si>
  <si>
    <t>Wanangwa</t>
  </si>
  <si>
    <t>Chimwaza</t>
  </si>
  <si>
    <t>Manda</t>
  </si>
  <si>
    <t>wmanda@cartafrica.org</t>
  </si>
  <si>
    <t>wchimwaza@medcol.mw</t>
  </si>
  <si>
    <t>+265999445465</t>
  </si>
  <si>
    <t>Lived Experiences of Couple Adopters of Modern Contraceptive Methods: Husbands’ Perspectives</t>
  </si>
  <si>
    <t>Associate Professor Yandisa Sikweyiya</t>
  </si>
  <si>
    <t>Associate Professor Mphatso Kamndaya</t>
  </si>
  <si>
    <t>Research Coordinator</t>
  </si>
  <si>
    <t>Research coordinator</t>
  </si>
  <si>
    <t>0000-0001-8061-8457</t>
  </si>
  <si>
    <t>Social Support and Sexual Health among Very Young adolescent girls in two Districts in Malawi: A Narrative Inquiry</t>
  </si>
  <si>
    <t>Social support and sexual health among very young adolescent girls in two districts in Malawi: A narrative inquiry</t>
  </si>
  <si>
    <t>JAS 1&amp;2, 2017</t>
  </si>
  <si>
    <t>C7/009</t>
  </si>
  <si>
    <t>Madalitso</t>
  </si>
  <si>
    <t>Enock</t>
  </si>
  <si>
    <t>Chisati</t>
  </si>
  <si>
    <t>Exercise Science</t>
  </si>
  <si>
    <t>Physiotherapy</t>
  </si>
  <si>
    <t>201580013286</t>
  </si>
  <si>
    <t>echisati@cartafrica.org</t>
  </si>
  <si>
    <t>echisati@medcol.mw</t>
  </si>
  <si>
    <t>+265888168284</t>
  </si>
  <si>
    <t>MSc in Exercise Physiology and Sports Sciences</t>
  </si>
  <si>
    <t>Lipodystrophy and physical fitness surveillance of people living with HIV while on antiretroviral therapy in Malawi</t>
  </si>
  <si>
    <t>Professor Lampiao Fanuel</t>
  </si>
  <si>
    <t>Professor Demitri Constantino</t>
  </si>
  <si>
    <t>Head of department of Physiotherapy; Country Contact |Global Observatory for Physical Activity (GoPA); Part Time Lecturer|Health &amp; Fitness Professionals Academy (HFPA) International; Chairperson |College of Medicine HPC Sports Science Committee; (Oct 22020)</t>
  </si>
  <si>
    <t>0000-0001-5596-9386</t>
  </si>
  <si>
    <t>Physical fitness and bone mineral density in people living with HIV and receiving antiretroviral therapy in Blantyre, Malawi</t>
  </si>
  <si>
    <t>Reduced bone mineral density among people living wih HIV and receiving ant-retroviral therapy in Blantyre, Malawi: Pharmacological challenges, prevalence and the role of exercise</t>
  </si>
  <si>
    <t>C7/010</t>
  </si>
  <si>
    <t>Edna</t>
  </si>
  <si>
    <t>Wairimu</t>
  </si>
  <si>
    <t>Kamau</t>
  </si>
  <si>
    <t>Internal Medicine</t>
  </si>
  <si>
    <t>Clinical Medicine and Therapeutics</t>
  </si>
  <si>
    <t>ekamau@cartafrica.org</t>
  </si>
  <si>
    <t>dr.ednakamau@gmail.com</t>
  </si>
  <si>
    <t>+254 722-649187</t>
  </si>
  <si>
    <t>Detection of esophageal squamous cell dysplasia and early squamous cell carcinoma in high risk populations</t>
  </si>
  <si>
    <t>Professor Lucy Muchiri</t>
  </si>
  <si>
    <t>Non-Alcoholic Steatohepatitis and Advanced Fibrosis in Patients with Non-Alcoholic Fatty Liver Disease at the Kenyatta National Clinical research - The Diagnostic Utility of Non-Invasive Tests</t>
  </si>
  <si>
    <t>C7/011</t>
  </si>
  <si>
    <t>Felishana</t>
  </si>
  <si>
    <t>Jepkosgei</t>
  </si>
  <si>
    <t>Cherop</t>
  </si>
  <si>
    <t>Management Science</t>
  </si>
  <si>
    <t>Management Science, School of Business and Economics</t>
  </si>
  <si>
    <t>SBE/DPHIL/BM/18/15</t>
  </si>
  <si>
    <t>fcherop@cartafrica.org</t>
  </si>
  <si>
    <t>fcherop@gmail.com</t>
  </si>
  <si>
    <t>+254720296334</t>
  </si>
  <si>
    <t xml:space="preserve">MBA, Strategic Management, MSc. International Health Research Ethics </t>
  </si>
  <si>
    <t>Entrepreneurial Orientation and Self-Concept Traits on Health Outcomes of People Living With HIV/Aids in Western Kenya</t>
  </si>
  <si>
    <t>Prof. Michael Korir</t>
  </si>
  <si>
    <t>Dr. Juddy Wachira</t>
  </si>
  <si>
    <t>0000-0001-5599-0839</t>
  </si>
  <si>
    <t>Strategic Leadership, Relational Dynamics and Patient Loyalty to HIV Care in a Public Clinical research in Eldoret, Western Kenya</t>
  </si>
  <si>
    <t>Strategic Clinical Leader Attributes and Health System Factors Associated with Patient Loyalty to HIV Care in Moi Teaching and Referral Clinical research, Eldoret, Kenya</t>
  </si>
  <si>
    <t>JAS 3&amp;4, 2021</t>
  </si>
  <si>
    <t>C7/012</t>
  </si>
  <si>
    <t>Folake</t>
  </si>
  <si>
    <t>Barakat</t>
  </si>
  <si>
    <t>Lawal</t>
  </si>
  <si>
    <t>Dentistry</t>
  </si>
  <si>
    <t>Department of Periodontology and Community Dentistry</t>
  </si>
  <si>
    <t>flawal@cartafrica.org</t>
  </si>
  <si>
    <t>folakemilawal@yahoo.com</t>
  </si>
  <si>
    <t>+2348023658988</t>
  </si>
  <si>
    <t>MDS</t>
  </si>
  <si>
    <t>Evaluation and comparison of oral health education delivery strategies in the promotion of oral health among adolescents in Ibadan</t>
  </si>
  <si>
    <t>Professor Oke Aderemi Gbemisola</t>
  </si>
  <si>
    <t>Coordinator Community oral health programme</t>
  </si>
  <si>
    <t>0000-0002-3193-387X</t>
  </si>
  <si>
    <t>Comparison of school based oral health promotion strategies among adolescents in Ibadan, Nigeria</t>
  </si>
  <si>
    <t>C7/013</t>
  </si>
  <si>
    <t>Funmilola</t>
  </si>
  <si>
    <t>Folasade</t>
  </si>
  <si>
    <t>Oyinlola</t>
  </si>
  <si>
    <t>SSP15/16/R/0001</t>
  </si>
  <si>
    <t>foyinlola@cartafrica.org</t>
  </si>
  <si>
    <t>funmibek1@yahoo.com</t>
  </si>
  <si>
    <t>+2347037847020</t>
  </si>
  <si>
    <t>M.sc Demography and Social Statistics</t>
  </si>
  <si>
    <t>Childbearing Choices and Intentions among Married Women in Nigeria</t>
  </si>
  <si>
    <t>Prof. Bamiwuye Olusina</t>
  </si>
  <si>
    <t xml:space="preserve">Dr. Adedokun Sulaimon </t>
  </si>
  <si>
    <t>0000-0002-9630-963X</t>
  </si>
  <si>
    <t>Individual, Household and Neighbourhood Factors Influencing Women's Reproductive Choices in Nigeria</t>
  </si>
  <si>
    <t>JAS1, 2017</t>
  </si>
  <si>
    <t>C7/014</t>
  </si>
  <si>
    <t>Justus</t>
  </si>
  <si>
    <t>Khashmottoh</t>
  </si>
  <si>
    <t>Musasiah</t>
  </si>
  <si>
    <t>Social Sciences</t>
  </si>
  <si>
    <t>Research Capacity Strengthening Division</t>
  </si>
  <si>
    <t>jmusasiah@cartafrica.org</t>
  </si>
  <si>
    <t>musasiahjustus@yahoo.com; justus.musasiah.ke@gmail.com</t>
  </si>
  <si>
    <t>+254720970716</t>
  </si>
  <si>
    <t>Assessing the importance of private providers in Maternal Health Services in Nairobi Slums</t>
  </si>
  <si>
    <t>Dr. Caryn Abrahams</t>
  </si>
  <si>
    <t>Prof. Alex Van Den Heever</t>
  </si>
  <si>
    <t>0000-0001-8586-186X</t>
  </si>
  <si>
    <t>C7/015</t>
  </si>
  <si>
    <t>Reegan Mulubwa</t>
  </si>
  <si>
    <t>Mwansa-Kambafwile</t>
  </si>
  <si>
    <t>jmwansa@cartafrica.org</t>
  </si>
  <si>
    <t>judy.mwansa@gmail.com</t>
  </si>
  <si>
    <t>+27739217403</t>
  </si>
  <si>
    <t>Initial Lost to follow-up and Contact Tracing among Tuberculosis patients: The Role of Ward-based Outreach Teams and SMS Technology</t>
  </si>
  <si>
    <t xml:space="preserve">Prof. Colin Menezes  </t>
  </si>
  <si>
    <t>Senior Epidemiologist</t>
  </si>
  <si>
    <t>0000-0001-8552-2366</t>
  </si>
  <si>
    <t>Initial lost to follow up and contact tracing amongst tuberclosis patients: the role of ward based outreach teams (WBOT'S) and short message services (SMS) technology</t>
  </si>
  <si>
    <t>JAS 2, 2017</t>
  </si>
  <si>
    <t>C7/016</t>
  </si>
  <si>
    <t>Kellen</t>
  </si>
  <si>
    <t>Joyce</t>
  </si>
  <si>
    <t>EPIDEMIOLOGY/ BIOSTATISTICS</t>
  </si>
  <si>
    <t>SCHOOL OF PUBLIC HEALTH</t>
  </si>
  <si>
    <t>kkarimi@cartafrica.org</t>
  </si>
  <si>
    <t>karimikellen@gmail.com</t>
  </si>
  <si>
    <t>+254(0)721263316</t>
  </si>
  <si>
    <t>Prevalence and Risk factors of non-communicable diseases related to urban ground water among households in informal settlements, Kisumu City, Kenya</t>
  </si>
  <si>
    <t>Laboratory</t>
  </si>
  <si>
    <t>Prof. Mutuku A. Mwanthi</t>
  </si>
  <si>
    <t>Investigation of Contamination of Community Groundwater Sources with Antibiotics in Informal Settlements in Kisumu, Kenya</t>
  </si>
  <si>
    <t>Investigation of contamination of community groundwater sources with antibiotics in informal settlements in Kisumu, Kenya</t>
  </si>
  <si>
    <t>C7/017</t>
  </si>
  <si>
    <t>Marceline</t>
  </si>
  <si>
    <t>Finda</t>
  </si>
  <si>
    <t>Carta-17-17</t>
  </si>
  <si>
    <t>mfinda@cartafrica.org</t>
  </si>
  <si>
    <t>marcelinefinda@gmail.com</t>
  </si>
  <si>
    <t>+255684967440</t>
  </si>
  <si>
    <t xml:space="preserve">Effective outbreak Communication to urban and rural communities in Tanzania, using Zika as an example </t>
  </si>
  <si>
    <t>Dr. Fredros Okumu</t>
  </si>
  <si>
    <t>Senior Research Scientist</t>
  </si>
  <si>
    <t>0000-0003-4460-4415</t>
  </si>
  <si>
    <t>Awareness and acceptance of alternative technologies for malaria control among stakeholders in Tanzania: A community engagement processs</t>
  </si>
  <si>
    <t>C7/018</t>
  </si>
  <si>
    <t>Martha</t>
  </si>
  <si>
    <t>Kabudula</t>
  </si>
  <si>
    <t>Makwero</t>
  </si>
  <si>
    <t>Family Medicine</t>
  </si>
  <si>
    <t>mmakwero@cartafrica.org</t>
  </si>
  <si>
    <t>marthamakwero@gmail.com</t>
  </si>
  <si>
    <t>+265 884111312</t>
  </si>
  <si>
    <t>Masters in Medicine ( Family Medicine)</t>
  </si>
  <si>
    <t>Assessment of chronic care patients’ perspectives on core attributes of patient centered care in Malawi</t>
  </si>
  <si>
    <t>Jude Igumbor</t>
  </si>
  <si>
    <t>Clinical Lecturer</t>
  </si>
  <si>
    <t>Clinical Lecturer &amp; Senior advisor</t>
  </si>
  <si>
    <t>Head of Department, Family Medicine department</t>
  </si>
  <si>
    <t>0000-0002-8396-5056</t>
  </si>
  <si>
    <t>STAKEHOLDERS' UNDERSTANDING AND EXPERIENCES OF PATIENT CENTRED CARE: A CASE STUDY OF DIABETES MELLITUS MANAGEMENT IN BLANTYRE, MALAWI.</t>
  </si>
  <si>
    <t>The Assessment of Patient-centered Care among diabetic patients in Southern Malawi</t>
  </si>
  <si>
    <t>C7/019</t>
  </si>
  <si>
    <t>Marie Claire</t>
  </si>
  <si>
    <t>Uwamahoro</t>
  </si>
  <si>
    <t>muwamahoro@cartafrica.org</t>
  </si>
  <si>
    <t>clairuwa073@gmail.com</t>
  </si>
  <si>
    <t>+250788402547</t>
  </si>
  <si>
    <t>Developing intervention strategies to improve health literacy and quality of life for diabetic patients in Rwanda</t>
  </si>
  <si>
    <t>Dr. Nokuthula Mafutha</t>
  </si>
  <si>
    <t>Professor Daleen Casteleijn</t>
  </si>
  <si>
    <t>Post-Doctoral Associate</t>
  </si>
  <si>
    <t>UNIVERSITY OF CALGARY (2022)</t>
  </si>
  <si>
    <t>0000-0002-0750-3992</t>
  </si>
  <si>
    <t>Development and pilot testing of an instrument to assess self management barriers among patients diagonised with type 2 diabetes patients in Rwanda.</t>
  </si>
  <si>
    <t>C7/020</t>
  </si>
  <si>
    <t>Nishimwe</t>
  </si>
  <si>
    <t>Aurore</t>
  </si>
  <si>
    <t>naurore@cartafrica.org</t>
  </si>
  <si>
    <t>aurorehirwa@gmail.com</t>
  </si>
  <si>
    <t>+250788814121</t>
  </si>
  <si>
    <t>Master of Science in Health Informatics</t>
  </si>
  <si>
    <t>M-Health To Battle Maternal Death In Sub - Saharan Africa. Case Of Rwanda</t>
  </si>
  <si>
    <t xml:space="preserve">Dr. Daphney Nozizwe Conco </t>
  </si>
  <si>
    <t>Senior lecturer</t>
  </si>
  <si>
    <t>Deputy team leader/ digital health</t>
  </si>
  <si>
    <t>0000-0002-8019-2561</t>
  </si>
  <si>
    <t>Safe delivery mhealth application and clinical decision making among nurses and midwives on basic emergency obstetric and newborn carein district Clinical researchs in Rwanda</t>
  </si>
  <si>
    <t>I am on 4-year study leave for Ph.D. (20% contract) since March 2018 which implies that I am implementing 20% of my workload at my work Institution.</t>
  </si>
  <si>
    <t>C7/021</t>
  </si>
  <si>
    <t>Olufemi</t>
  </si>
  <si>
    <t>Adetutu</t>
  </si>
  <si>
    <t>DEPARTMENT OF DEMOGRAPHY AND SOCIAL STATISTICS</t>
  </si>
  <si>
    <t>SSP15/16/R/0002</t>
  </si>
  <si>
    <t>oadetutu@cartafrica.org</t>
  </si>
  <si>
    <t>femzhor2006@yahoo.com</t>
  </si>
  <si>
    <t>+2347038065386</t>
  </si>
  <si>
    <t>Individual and Social Contexts of  Risky Sexual Behaviour of Emerging Adults in Nigeria</t>
  </si>
  <si>
    <t>Dr. Sola Asa</t>
  </si>
  <si>
    <t>0000-0001-5699-7055</t>
  </si>
  <si>
    <t>Contextual Determinants of Sexual Behaviour of Emerging Adults in Nigeria</t>
  </si>
  <si>
    <t>C7/022</t>
  </si>
  <si>
    <t>Onabanjo</t>
  </si>
  <si>
    <t>Ogun</t>
  </si>
  <si>
    <t>PGX16121713024003</t>
  </si>
  <si>
    <t>oogun@cartafrica.org</t>
  </si>
  <si>
    <t>olufunmiogun@gmail.com</t>
  </si>
  <si>
    <t>+2348032137984</t>
  </si>
  <si>
    <t>Usefulness of immunohistochemistry in the characterization of malignant potential in pterygium specimens following excision</t>
  </si>
  <si>
    <t>Prof. Charles O. Bekibele</t>
  </si>
  <si>
    <t>Health related quality of life, mental health status and lived experiences of visually impaired adolescents in selected institutions in Oyo state, Nigeria</t>
  </si>
  <si>
    <t>C7/023</t>
  </si>
  <si>
    <t>Oluseye</t>
  </si>
  <si>
    <t>Ademola</t>
  </si>
  <si>
    <t>Okunola</t>
  </si>
  <si>
    <t>SOCIOLOGY</t>
  </si>
  <si>
    <t>SOCIOLOGY AND ANTHROPOLOGY</t>
  </si>
  <si>
    <t>ookunola@cartafrica.org</t>
  </si>
  <si>
    <t>spancho2001@yahoo.com</t>
  </si>
  <si>
    <t>+2347039086791</t>
  </si>
  <si>
    <t>Socio-Cultural Determinants of Healthcare Utilisation among Caregivers for Under-Five Children in South Western Nigeria</t>
  </si>
  <si>
    <t>Prof. M.A.O Aluko</t>
  </si>
  <si>
    <t>0000-0003-4138-0233</t>
  </si>
  <si>
    <t>Sociological Analysis of Self-medication practices in the care of Under-five Children by Caregivers in South western Nigeria</t>
  </si>
  <si>
    <t>Sociological Analysis of Self-medication practices in the care of Under-five Children by Caregivers in Southwestern Nigeria.</t>
  </si>
  <si>
    <t>C7/024</t>
  </si>
  <si>
    <t>Olusola</t>
  </si>
  <si>
    <t>Oluyinka</t>
  </si>
  <si>
    <t>Olawoye</t>
  </si>
  <si>
    <t>Ophthalmologist</t>
  </si>
  <si>
    <t>Department of Ophthalmology</t>
  </si>
  <si>
    <t>oolawoye@cartafrica.org</t>
  </si>
  <si>
    <t>solaolawoye@yahoo.com</t>
  </si>
  <si>
    <t>+2348023890063</t>
  </si>
  <si>
    <t>Prevalence and Determinants of Primary Open Angle Glaucoma in a sub-urban population in South West Nigeria</t>
  </si>
  <si>
    <t>Prof. Olufunmilayo Fawole</t>
  </si>
  <si>
    <t>Prof. Ashaye</t>
  </si>
  <si>
    <t>0000-0003-2357-8924</t>
  </si>
  <si>
    <t>Pathways to care and Clinical research retention of glaucoma patients in South West Nigeria</t>
  </si>
  <si>
    <t>C7/025</t>
  </si>
  <si>
    <t>Stevens</t>
  </si>
  <si>
    <t>M.B</t>
  </si>
  <si>
    <t>Kisaka</t>
  </si>
  <si>
    <t>W80/52986/2018</t>
  </si>
  <si>
    <t>skisaka@cartafrica.org</t>
  </si>
  <si>
    <t>bmks@dr.com</t>
  </si>
  <si>
    <t>+256 392 945 160</t>
  </si>
  <si>
    <t>HIV - Brucellosis co-infections in Uganda: Epidemiology, clinical profiles, antimicrobial susceptibility patterns and molecular characterization of Brucella species</t>
  </si>
  <si>
    <t>Field and Laboratory</t>
  </si>
  <si>
    <t>Prof. Fredrick Edward Makumbi</t>
  </si>
  <si>
    <t>NATIONAL AGRICULTURAL RESEARCH ORGANOZATION (NARO) - 2023</t>
  </si>
  <si>
    <t>0000-0001-7848-316X</t>
  </si>
  <si>
    <t>PRE-CLINICAL CARE, CLINICAL MANAGEMENT AND OUTCOMES OF DOG BITE INJURIES IN HIGH RABIES BURDEN DISTRICTS OF WAKISO AND KAMPALA, UGANDA</t>
  </si>
  <si>
    <t>Preclinical care, clinical management and outcomes of dog bites injuries in high Rabies burden districts of Wakiso and Kampala, Uganda</t>
  </si>
  <si>
    <t>I study out of my home country and home institution.</t>
  </si>
  <si>
    <t>C7/026</t>
  </si>
  <si>
    <t>Sonti</t>
  </si>
  <si>
    <t>Imogene</t>
  </si>
  <si>
    <t>Pilusa</t>
  </si>
  <si>
    <t>PHYSIOTHERAPY</t>
  </si>
  <si>
    <t>9311506K</t>
  </si>
  <si>
    <t>spilusa@cartafrica.org</t>
  </si>
  <si>
    <t>sonti.pilusa@wits.ac.za</t>
  </si>
  <si>
    <t>082 053 6190</t>
  </si>
  <si>
    <t xml:space="preserve">Prevalence of Secondary and Co-Morbidities in People with Physical Disabilities  </t>
  </si>
  <si>
    <t>Hellen Myezwa</t>
  </si>
  <si>
    <t xml:space="preserve">Prof. Joanne Potterton </t>
  </si>
  <si>
    <t>0000-0003-0606-9669</t>
  </si>
  <si>
    <t>Prevention care for secondary health conditions amongst people living with spinal cord iinjuries in the Tshwane Metropolitan area</t>
  </si>
  <si>
    <t>Prevention care of secondary health conditions among people living with spinal cord injuries in the Tshwane Metropolitan area</t>
  </si>
  <si>
    <t>C7/027</t>
  </si>
  <si>
    <t>Gad</t>
  </si>
  <si>
    <t>Rutayisire</t>
  </si>
  <si>
    <t>Immunology and Clinical microbiology</t>
  </si>
  <si>
    <t>Microbiology</t>
  </si>
  <si>
    <t>grutayisire@cartafrica.org</t>
  </si>
  <si>
    <t>gadrutal@yahoo.co.uk</t>
  </si>
  <si>
    <t>+25078886881</t>
  </si>
  <si>
    <t>Molecular and social behaviour factors associated with mother to child transmission of drug resistant HIV-1 strains in District Clinical research’s PMTCT Clinic, Rwanda</t>
  </si>
  <si>
    <t>C8/001</t>
  </si>
  <si>
    <t>Lindiwe</t>
  </si>
  <si>
    <t>Farlane</t>
  </si>
  <si>
    <t>Monitoring &amp; Evaluation</t>
  </si>
  <si>
    <t>lfarlane@cartafrica.org</t>
  </si>
  <si>
    <t>lindiwefarlane@gmail.com</t>
  </si>
  <si>
    <t>+27113585324</t>
  </si>
  <si>
    <t>MA HEALTH PROMOTION</t>
  </si>
  <si>
    <t>Systematic review and cohort analysis of at risk children tracked and managed through the 90-90-90 HIV treatment cascade in the City of Johannesburg District, South Africa</t>
  </si>
  <si>
    <t>Lee Fairlie</t>
  </si>
  <si>
    <t>Saiqa Mullick</t>
  </si>
  <si>
    <t>Nancy Yinger</t>
  </si>
  <si>
    <t>TECHNICAL HEAD: MONITORING &amp; EVALUATION</t>
  </si>
  <si>
    <t>Consultant - Social &amp; Behavior Change</t>
  </si>
  <si>
    <t>0000-0002-2051-0118</t>
  </si>
  <si>
    <t>Improving 90-90-90 HIV coverage for children and adolescents in the inner city of Johannesburg, South Africa: an outcome evaluation</t>
  </si>
  <si>
    <t>Implementation evaluation of the Paediatric and Adolescent Scale-up Plan for 90-90-90 HIV outcomes in the inner City of Johannesburg, South Africa</t>
  </si>
  <si>
    <t>C8/002</t>
  </si>
  <si>
    <t>Adeleye</t>
  </si>
  <si>
    <t>Adeomi</t>
  </si>
  <si>
    <t>aadeomi@cartafrica.org</t>
  </si>
  <si>
    <t>leyeadeomi@yahoo.com</t>
  </si>
  <si>
    <t>+234 803 653 5077</t>
  </si>
  <si>
    <t>Pattern and determinants of the nutritional status of school-aged children and adolescents in Nigeria; using multi-level modeling</t>
  </si>
  <si>
    <t xml:space="preserve">Dr Kerstin Klipstein-Grobusch </t>
  </si>
  <si>
    <t>0000-0002-6645-7295</t>
  </si>
  <si>
    <t>THE DOUBLE BURDEN OF MALNUTRITION AMONG SCHOOL-AGED CHILDREN AND ADOLESCENTS; THE NIGERIAN EXPERIENCE</t>
  </si>
  <si>
    <t>C8/003</t>
  </si>
  <si>
    <t>Jean de Dieu</t>
  </si>
  <si>
    <t>Habimana</t>
  </si>
  <si>
    <t>jhabimana@cartafrica.org</t>
  </si>
  <si>
    <t>kajado7@gmail.com</t>
  </si>
  <si>
    <t>+250788446024</t>
  </si>
  <si>
    <t>MSc of applied Human Nutrition</t>
  </si>
  <si>
    <t>Prevalence of Aflatoxin from Breast Milk and its effect on nutrition status of children under two years old in Nyamagabe District of Rwanda</t>
  </si>
  <si>
    <t>Dr. John Wangoh</t>
  </si>
  <si>
    <t>Academic Staff</t>
  </si>
  <si>
    <t>Member of Exams moderattion commeittee</t>
  </si>
  <si>
    <t>0000-0002-7473-853X</t>
  </si>
  <si>
    <t>Positive deviance in child growth</t>
  </si>
  <si>
    <t>C8/004</t>
  </si>
  <si>
    <t>Julienne</t>
  </si>
  <si>
    <t>Murererehe</t>
  </si>
  <si>
    <t>Oral  maxillofacial surgery and pathology</t>
  </si>
  <si>
    <t>jmurererehe@cartafrica.org</t>
  </si>
  <si>
    <t>jmurererehe@yahoo.com</t>
  </si>
  <si>
    <t>+250788593017</t>
  </si>
  <si>
    <t>Effect of early treatment of dental caries and periodontal diseases on the psycho-social functionality and viral load among HIV-infected patients in Rwanda.</t>
  </si>
  <si>
    <t xml:space="preserve">Prof. V Yengopal </t>
  </si>
  <si>
    <t>Dr Yolanda Malele-Kolisa; Yolanda.Kolisa@wits.ac.za; University of the Witwatersrand</t>
  </si>
  <si>
    <t>0000-0001-7980-1107</t>
  </si>
  <si>
    <t>Risk factors to caries and periodontal diseases among HIV-positive adults on Antiretroviral treatment in Nyarugenge district, Rwanda</t>
  </si>
  <si>
    <t>Risk factors for caries and periodontal diseases: A comparative study among HIV-positive and HIV-negative adults in Nyarugenge district, Rwanda.</t>
  </si>
  <si>
    <t>C8/005</t>
  </si>
  <si>
    <t>Jacob</t>
  </si>
  <si>
    <t>Wale</t>
  </si>
  <si>
    <t>Mobolaji</t>
  </si>
  <si>
    <t>SSP16/17/H/0462</t>
  </si>
  <si>
    <t>jmobolaji@cartafrica.org</t>
  </si>
  <si>
    <t>mobolawale@gmail.com</t>
  </si>
  <si>
    <t>+2348030755825</t>
  </si>
  <si>
    <t>M.Sc. Demography and Social Statistics</t>
  </si>
  <si>
    <t>Individual and Family Context of Social Support and Quality of Life of Elderly in South Western Nigeria</t>
  </si>
  <si>
    <t>Prof. Akanni Ibukun Akinyemi</t>
  </si>
  <si>
    <t>Dr. Bola Lukman Solanke</t>
  </si>
  <si>
    <t>0000-0002-4996-9387</t>
  </si>
  <si>
    <t>Determinants and Health Implication of Unmet Needs for Informal Support for Older people in South-Western Nigeria.</t>
  </si>
  <si>
    <t>C8/006</t>
  </si>
  <si>
    <t>Doris</t>
  </si>
  <si>
    <t>Kwesiga</t>
  </si>
  <si>
    <t>dkwesiga@cartafrica.org</t>
  </si>
  <si>
    <t>dknnkwesiga@gmail.com</t>
  </si>
  <si>
    <t>+256 750 972487</t>
  </si>
  <si>
    <t>Factors affecting measurement of pregnancy and adverse pregnancy outcomes in survey data collection and HDSS longitudinal surveillance</t>
  </si>
  <si>
    <t>C8/007</t>
  </si>
  <si>
    <t>Samuel</t>
  </si>
  <si>
    <t>Waweru</t>
  </si>
  <si>
    <t>Mwaniki</t>
  </si>
  <si>
    <t>smwaniki@cartafrica.org</t>
  </si>
  <si>
    <t>smwanex@gmail.com</t>
  </si>
  <si>
    <t>+254 721 543 351</t>
  </si>
  <si>
    <t>MSC. TROPICAL AND INFECTIOUS DISEASES</t>
  </si>
  <si>
    <t>Sexual health of male university students who have sex with men in Nairobi, Kenya: Needs and Responses</t>
  </si>
  <si>
    <t xml:space="preserve">Dr. Thesla Palanee </t>
  </si>
  <si>
    <t>Dr. Peter Mugo</t>
  </si>
  <si>
    <t>PHARMACIST</t>
  </si>
  <si>
    <t xml:space="preserve">Member, CARTA Steering Committee </t>
  </si>
  <si>
    <t>0000-0001-8682-311X</t>
  </si>
  <si>
    <t>HIV, STI and related factors among tertiary male students who have sex with men in Nairobi, Kenya and Blantyre, Malawi</t>
  </si>
  <si>
    <t>Integrated biological behavioural assessment of human immunodeficiency virus and sexually transmitted infections among tertiary student men who have sex with men in Nairobi, Kenya</t>
  </si>
  <si>
    <t>TO CONCENTRATE ON PROTOCOL DEVELOPMENT AND DATA COLLECTION</t>
  </si>
  <si>
    <t>C8/008</t>
  </si>
  <si>
    <t>Christine</t>
  </si>
  <si>
    <t>Minoo</t>
  </si>
  <si>
    <t>Mbindyo</t>
  </si>
  <si>
    <t>Veterinary Microbiology</t>
  </si>
  <si>
    <t>Veterinary Pathology, Microbiology and Parasitology</t>
  </si>
  <si>
    <t>cmbindyo@cartafrica.org</t>
  </si>
  <si>
    <t>christineminoo@yahoo.com</t>
  </si>
  <si>
    <t>+254726467024</t>
  </si>
  <si>
    <t>Msc in Applied Microbiology (Bacteriology option)</t>
  </si>
  <si>
    <t>CHARACTERIZATION OF MICROBIOTA OF RAW MILK FROM HEALTHY AND MASTITIC DAIRY COWS BY METAGENOMIC ANALYSIS AND ASSESSMENT OF ANTIMICROBIAL RESISTANCE POTENTIAL FOR THE DETECTED STRAINS IN KIAMBU COUNTY</t>
  </si>
  <si>
    <t>Prof. George Gitao</t>
  </si>
  <si>
    <t>Prof. Paul Plummer</t>
  </si>
  <si>
    <t>Prof. Charles Mulei</t>
  </si>
  <si>
    <t>0000-0001-7423-0341</t>
  </si>
  <si>
    <t>Bovine mastitis: Characterization of milk microbial diversity, their antibiotic resistance and factors linked to these profiles in dairy cows in Kenya</t>
  </si>
  <si>
    <t>C8/009</t>
  </si>
  <si>
    <t>Siphamandla</t>
  </si>
  <si>
    <t>Bonga</t>
  </si>
  <si>
    <t>Gumede</t>
  </si>
  <si>
    <t>sgumede@cartafrica.org</t>
  </si>
  <si>
    <t>sbzgumede@gmail.com</t>
  </si>
  <si>
    <t>+27 11 358 5500</t>
  </si>
  <si>
    <t>Analysis of factors associated with adherence on second-line regimen in the inner city Johannesburg, South Africa: A mixed method retrospective cohort study</t>
  </si>
  <si>
    <t>Samanta T Lalla-Edward</t>
  </si>
  <si>
    <t>John de Wit</t>
  </si>
  <si>
    <t>Technical Specialist</t>
  </si>
  <si>
    <t>0000-0002-7870-1363</t>
  </si>
  <si>
    <t>Adherence to first-line and second-line antiretroviral therapy (ART) in selected rural and urban communities in South Africa: assessment of patient support needs and adherence strategies</t>
  </si>
  <si>
    <t>Strengthening understanding of effective adherence strategies for first-line and second-line antiretroviral therapy (ART) in selected rural and urban communities in South Africa</t>
  </si>
  <si>
    <t>C8/010</t>
  </si>
  <si>
    <t>Margaret</t>
  </si>
  <si>
    <t>Omowaleola</t>
  </si>
  <si>
    <t>Akinwaare</t>
  </si>
  <si>
    <t>makinwaare@cartafrica.org</t>
  </si>
  <si>
    <t>margaretakinwaare@gmail.com</t>
  </si>
  <si>
    <t>+2348034242253</t>
  </si>
  <si>
    <t>M.Sc</t>
  </si>
  <si>
    <t>Effects of goal-oriented prenatal class on birth preparedness and complication readiness among pregnant women in selected local governments in Ibadan</t>
  </si>
  <si>
    <t>Dr. O. Abimbola Oluwatosin</t>
  </si>
  <si>
    <t>0000-0003-3453-2569</t>
  </si>
  <si>
    <t>Fostering women's birth preparedness and complication through goal-oriented prenatal classes in primary health facilities in Ibadan, Nigeria.</t>
  </si>
  <si>
    <t>C8/011</t>
  </si>
  <si>
    <t>Angella</t>
  </si>
  <si>
    <t>Musewa</t>
  </si>
  <si>
    <t>One Health</t>
  </si>
  <si>
    <t>Biosecurity, Ecosystems and Veterinary Public Health</t>
  </si>
  <si>
    <t>W80/54808/2019</t>
  </si>
  <si>
    <t>amusewa@cartafrica.org</t>
  </si>
  <si>
    <t>musewaa@gmail.com</t>
  </si>
  <si>
    <t>+256787456336</t>
  </si>
  <si>
    <t>MSc. Clinical epidemiology and Biostatistics</t>
  </si>
  <si>
    <t xml:space="preserve">Molecular Epidemiology and Immunological responses associated with Flavivirus infections among febrile individuals in Western Uganda. </t>
  </si>
  <si>
    <t>Dr. Kato Charles Drago</t>
  </si>
  <si>
    <t>Dr. Kristina Roesel</t>
  </si>
  <si>
    <t>0000-0002-9399-1522</t>
  </si>
  <si>
    <t>Epidemiology and Molecular Characterization of Erysipelothrix rhusiopathiae infections in pigs and humans in Uganda</t>
  </si>
  <si>
    <t>C8/012</t>
  </si>
  <si>
    <t>Robert</t>
  </si>
  <si>
    <t>Chemistry</t>
  </si>
  <si>
    <t>Biomedical Laboratory Sciences</t>
  </si>
  <si>
    <t>rrutayisire@cartafrica.org</t>
  </si>
  <si>
    <t>robertrutayisire@gmail.com</t>
  </si>
  <si>
    <t>+250734984170</t>
  </si>
  <si>
    <t>The effect of HIV itself and HIV with ARV treatment on the biochemical risk factors related to cardiovascular diseases.</t>
  </si>
  <si>
    <t>Dr David Tumusiime</t>
  </si>
  <si>
    <t>NATIONAL REFERENCE LABORATORY</t>
  </si>
  <si>
    <t>0000-0003-4818-1552</t>
  </si>
  <si>
    <t>ALTERED BIOMARKERS OF CARDIOVASCULAR DISEASES: THE ASSOCIATION WITH ART DRUGS.</t>
  </si>
  <si>
    <t>C8/013</t>
  </si>
  <si>
    <t>Getrude</t>
  </si>
  <si>
    <t>Shepelo</t>
  </si>
  <si>
    <t>Veterinary Medicine</t>
  </si>
  <si>
    <t>Clinical Studies</t>
  </si>
  <si>
    <t>gshepelo@cartafrica.org</t>
  </si>
  <si>
    <t>shepelog@gmail.com</t>
  </si>
  <si>
    <t>+254 2055198</t>
  </si>
  <si>
    <t>Masters in Veterinary Medicine</t>
  </si>
  <si>
    <t>Molecular epidemiology of re-emerging zoonotic Ehrlichia infections in bovine in Nairobi and its peri-urban areas.</t>
  </si>
  <si>
    <t xml:space="preserve">Prof. Daniel Waweru Gakuya </t>
  </si>
  <si>
    <t>Dr. Gabriel Oluga Aboge</t>
  </si>
  <si>
    <t>Prof. Ndichu Maingi</t>
  </si>
  <si>
    <t>0000-0002-2188-3303</t>
  </si>
  <si>
    <t>Epidemiology and characteristics of Ehrlichia infections in dairy cattle in Nairobi and peri-urban areas</t>
  </si>
  <si>
    <t>Epidemiology and Molecular Characterization of Anaplasma and Ehrlichia Species infecting Dairy cattle in smalleholder farms in Peri Urnab Nairobi, Kenya</t>
  </si>
  <si>
    <t>C8/014</t>
  </si>
  <si>
    <t>Atupele</t>
  </si>
  <si>
    <t>Ngina</t>
  </si>
  <si>
    <t>Mulaga</t>
  </si>
  <si>
    <t>amulaga@cartafrica.org</t>
  </si>
  <si>
    <t>atupelemulaga@gmail.com</t>
  </si>
  <si>
    <t>+265 882 363 717</t>
  </si>
  <si>
    <t xml:space="preserve">Spatial analysis and modeling of household out-of-pocket healthcare expenditure in Malawi: implications on household welfare           </t>
  </si>
  <si>
    <t>Dr.Mphatso Kamndaya</t>
  </si>
  <si>
    <t>Dr Lumbwe Chola</t>
  </si>
  <si>
    <t>0000-0002-9172-0366</t>
  </si>
  <si>
    <t>Modelling catastrophic out-of-pocket health expenditure and its implication for household welfare in Malawi: A spatial multilevel approach</t>
  </si>
  <si>
    <t>Modelling Catastrophic Out-of-pocket Health Expenditures and its Implication for Household Welfare in Malawi: A Multilevel Spatial Approach.</t>
  </si>
  <si>
    <t>C8/015</t>
  </si>
  <si>
    <t>Esan</t>
  </si>
  <si>
    <t>oesan@cartafrica.org</t>
  </si>
  <si>
    <t>seunkayo@yahoo.com</t>
  </si>
  <si>
    <t>+2348124352700</t>
  </si>
  <si>
    <t>Master of Public Health (MPH), Master of Business Administration (MBA)</t>
  </si>
  <si>
    <t>Poor maternal Health Outcomes: Development of Strategies and Short term Evaluation for Improving Human Resources for Health in South West, Nigeria.</t>
  </si>
  <si>
    <t xml:space="preserve">Dr. Duane Blaauw </t>
  </si>
  <si>
    <t xml:space="preserve">Dr. Salome Maswime </t>
  </si>
  <si>
    <t>0000-0002-2908-6034</t>
  </si>
  <si>
    <t>Strategies to Positively Shift Readiness for Change to a Respectful Maternity Care Practice During Childbirth in Public Health Facilities, Ibadan, Nigeria</t>
  </si>
  <si>
    <t>Improving readiness for change to respectful maternity care practice in public health facilities, Ibadan, Nigeria</t>
  </si>
  <si>
    <t>C8/016</t>
  </si>
  <si>
    <t>Folashayo</t>
  </si>
  <si>
    <t>Ikenna Peter</t>
  </si>
  <si>
    <t>Adeniji</t>
  </si>
  <si>
    <t>Health Policy &amp; Management</t>
  </si>
  <si>
    <t>fiadeniji@cartafrica.org</t>
  </si>
  <si>
    <t>folashayoadeniji@yahoo.co.uk</t>
  </si>
  <si>
    <t>+2347034649073</t>
  </si>
  <si>
    <t>M.Sc. Economics</t>
  </si>
  <si>
    <t>Cost analysis of selected tobacco-related diseases in tertiary and secondary Clinical researchs in Ibadan, South-West, Nigeria: Implication for Tobacco Control Policy</t>
  </si>
  <si>
    <t>PD. Dr. med. Wilm Quentin</t>
  </si>
  <si>
    <t>0000-0002-4697-3081</t>
  </si>
  <si>
    <t>The Economic Burden of Cardiovascular Diseases in some sub-Saharan Africa Countries</t>
  </si>
  <si>
    <t>C8/017</t>
  </si>
  <si>
    <t>Lebogang</t>
  </si>
  <si>
    <t>Johanna</t>
  </si>
  <si>
    <t>Occupational Therapy</t>
  </si>
  <si>
    <t>9703746R</t>
  </si>
  <si>
    <t>lmaseko@cartafrica.org</t>
  </si>
  <si>
    <t>lkomape@hotmail.com</t>
  </si>
  <si>
    <t>+2711 717 3701/0735266884</t>
  </si>
  <si>
    <t>Master of Public Health (MPH)</t>
  </si>
  <si>
    <t>Rehabilitation in a reengineered Primary Health Care system: a model for service delivery in an under-resourced urban community setting</t>
  </si>
  <si>
    <t>Prof. Hellen Myezwa</t>
  </si>
  <si>
    <t>Dr Fasloen Adams</t>
  </si>
  <si>
    <t>Chairperson of committee and acting Head of Department when the Head of Department is out of the department</t>
  </si>
  <si>
    <t>Integrating Rehabilitation services at Primary Healthcare level in Gauteng, South Africa</t>
  </si>
  <si>
    <t>Integrating rehabilitation services at primary healthcare level in Johannesburg, South Africa</t>
  </si>
  <si>
    <t>C8/018</t>
  </si>
  <si>
    <t>H80/53286/2018</t>
  </si>
  <si>
    <t>amaina@cartafrica.org</t>
  </si>
  <si>
    <t>acnmaina@gmail.com</t>
  </si>
  <si>
    <t>+254 737 348848</t>
  </si>
  <si>
    <t>Msc. Medical Microbiology</t>
  </si>
  <si>
    <t>Cytokine Profile and the Genital Bacterial Microbiome in Neisseria gonorrhoeae infection: A Case-Control study</t>
  </si>
  <si>
    <t>Clinical and laboratory based</t>
  </si>
  <si>
    <t>Dr. Marianne Mureithi</t>
  </si>
  <si>
    <t>Dr. John Ndemi Kiiru</t>
  </si>
  <si>
    <t>Prof. Gunturu Revathi</t>
  </si>
  <si>
    <t>0000-0003-4945-0734</t>
  </si>
  <si>
    <t>Role of the Genital Bacterial Microbiome in the Immune Response to Neisseria gonorrhoeae infection</t>
  </si>
  <si>
    <t>C8/019</t>
  </si>
  <si>
    <t>Oyeyemi</t>
  </si>
  <si>
    <t>Olajumoke</t>
  </si>
  <si>
    <t>Oyelade</t>
  </si>
  <si>
    <t>Department of Nursing Sciences</t>
  </si>
  <si>
    <t>ooyelade@cartafrica.org</t>
  </si>
  <si>
    <t>oyeyemisamuel13@gmail.com</t>
  </si>
  <si>
    <t>+234(0)8076580198</t>
  </si>
  <si>
    <t>Development of Quality Care Indicator for the Management of Violent Mentally ill Patients in Psychiatric Clinical researchs in Nigeria.</t>
  </si>
  <si>
    <t>Dr Nokuthula Mafutha</t>
  </si>
  <si>
    <t>0000-0002-0173-9208</t>
  </si>
  <si>
    <t>A context specific psychosocial rehabilitation practice guide for the management of patients living with schizophrenia in South West Nigeria</t>
  </si>
  <si>
    <t>“An Exploration into Mealtimes for Families of Children with Autism Spectrum Disorders in South Africa.”</t>
  </si>
  <si>
    <t>C8/020</t>
  </si>
  <si>
    <t>Faustin</t>
  </si>
  <si>
    <t>Ntirenganya</t>
  </si>
  <si>
    <t>Onco-Plastic surgery</t>
  </si>
  <si>
    <t>Surgery</t>
  </si>
  <si>
    <t>fntirenganya@cartafrica.org</t>
  </si>
  <si>
    <t>fostino21@yahoo.fr</t>
  </si>
  <si>
    <t>+250788732667</t>
  </si>
  <si>
    <t>The analysis of biomarkers and key oncogenes expression in Rwandan breast cancer patients: From molecular sub-typing to clinical presentation, prognosis and outcomes</t>
  </si>
  <si>
    <t>Prof RULISA Steven</t>
  </si>
  <si>
    <t>Senior Lecturer of Surgery and Head of department</t>
  </si>
  <si>
    <t xml:space="preserve">0000-0001-8886-8100
</t>
  </si>
  <si>
    <t>Risk factors, clinical and histopathology-based Model to predict breast cancer molecular subtypes in premenopausal women, Rwanda</t>
  </si>
  <si>
    <t>C8/021</t>
  </si>
  <si>
    <t>Foluso</t>
  </si>
  <si>
    <t>Ayobami</t>
  </si>
  <si>
    <t>Atiba</t>
  </si>
  <si>
    <t>Neuroscience</t>
  </si>
  <si>
    <t>School of Anatomical Sciences</t>
  </si>
  <si>
    <t>fatiba@cartafrica.org</t>
  </si>
  <si>
    <t>omoloye1@yahoo.com</t>
  </si>
  <si>
    <t>+234 8034237082</t>
  </si>
  <si>
    <t>Studies on the effect of kolanut isolates on the developing brain of rats: Electron microscopic structure of the blood brain barrier</t>
  </si>
  <si>
    <t>Dr Felix Mbajiorgu</t>
  </si>
  <si>
    <t>Prof. Amadi Ihunwo</t>
  </si>
  <si>
    <t>Prof. Adefolarin Malomo</t>
  </si>
  <si>
    <t>0000-0003-4780-7840</t>
  </si>
  <si>
    <t>Kolanut (Cola nitida) consumption among pregnant women and structural changes in the postnatal brain of Sprague-Dawley rat pups</t>
  </si>
  <si>
    <t>Effects of aqueous extract of kolanut (Cola nitida) on Sprague Dawley dams and exposure on the hippocampus of the progeny</t>
  </si>
  <si>
    <t>C8/022</t>
  </si>
  <si>
    <t>Leo</t>
  </si>
  <si>
    <t>Peter Lockie</t>
  </si>
  <si>
    <t>Masamba</t>
  </si>
  <si>
    <t>Oncology/Medicine</t>
  </si>
  <si>
    <t>lmasamba@cartafrica.org</t>
  </si>
  <si>
    <t>leomasamba@yahoo.co.uk</t>
  </si>
  <si>
    <t>+2651630333/+265888868714</t>
  </si>
  <si>
    <t>EVALUATING IMPACT OF HIV, BENIGN NEUTROPAENIA AND DARC-NULL ON CHEMOTHERAPY INDUCED INFECTIONS IN CANCER PATIENTS AT QUEEN ELIZABETH CENTRAL Clinical research</t>
  </si>
  <si>
    <t>Prof Adamson Muula</t>
  </si>
  <si>
    <t>0000-0002-7775-0139</t>
  </si>
  <si>
    <t>C8/023</t>
  </si>
  <si>
    <t>Florence</t>
  </si>
  <si>
    <t>Basiimwa</t>
  </si>
  <si>
    <t>Tushemerirwe</t>
  </si>
  <si>
    <t>Community Health and Behavioural Sciences</t>
  </si>
  <si>
    <t>ftushemerirwe@cartafrica.org</t>
  </si>
  <si>
    <t>ftusht01@gmail.com</t>
  </si>
  <si>
    <t>256794944401
256414543872</t>
  </si>
  <si>
    <t xml:space="preserve">The Uganda Food System and its influence on Non-Communicable Diseases trends </t>
  </si>
  <si>
    <t>Assoc. Prof. Freddie Ssengooba</t>
  </si>
  <si>
    <t>0000-0001-7147-6012</t>
  </si>
  <si>
    <t>C8/024</t>
  </si>
  <si>
    <t>Oluwafemi</t>
  </si>
  <si>
    <t>Akinyele</t>
  </si>
  <si>
    <t>Popoola</t>
  </si>
  <si>
    <t>opopoola@cartafrica.org</t>
  </si>
  <si>
    <t>drpopee@gmail.com</t>
  </si>
  <si>
    <t>+2348131733285</t>
  </si>
  <si>
    <t>An assessment of patient safety culture and practices across tiers of the Nigerian Health System: a contextual analysis for intervention</t>
  </si>
  <si>
    <t>Dr Akindele Olupelumi Adebiyi</t>
  </si>
  <si>
    <t>Prof Eme Theodora Owoaje</t>
  </si>
  <si>
    <t>Lecturerr</t>
  </si>
  <si>
    <t>0000-0001-8535-7882</t>
  </si>
  <si>
    <t>Analysing patient safety culture and medical errors in a tertiary Clinical research in South Western Nigeria</t>
  </si>
  <si>
    <t>C8/025</t>
  </si>
  <si>
    <t>Kafu</t>
  </si>
  <si>
    <t>Health Communication</t>
  </si>
  <si>
    <t>Development Communication</t>
  </si>
  <si>
    <t>ckafu@cartafrica.org</t>
  </si>
  <si>
    <t>catekafu@gmail.com</t>
  </si>
  <si>
    <t>+254 532 033 471</t>
  </si>
  <si>
    <t>Communication and Journalism</t>
  </si>
  <si>
    <t>Mass Media As A Key Adherence Intervention Strategy For The Perinatal Infected HIV Adolescents</t>
  </si>
  <si>
    <t>Prof. Dina Ligaga</t>
  </si>
  <si>
    <t>Manager, Social Behavioural Department-AMPATHPlus</t>
  </si>
  <si>
    <t>Departmental Manager</t>
  </si>
  <si>
    <t>0000-0003-4890-4458</t>
  </si>
  <si>
    <t>Exploring the Kenyan media framing of abortion content on television: A focus on adolescents</t>
  </si>
  <si>
    <t>Exploring media framing of abortion content on Kenyan Television: A focus on adolescents.</t>
  </si>
  <si>
    <t>N/A</t>
  </si>
  <si>
    <t>C8/026</t>
  </si>
  <si>
    <t>Agnes</t>
  </si>
  <si>
    <t>Jemuge</t>
  </si>
  <si>
    <t>Maleyo</t>
  </si>
  <si>
    <t>Environmental Planning and Managementt</t>
  </si>
  <si>
    <t>Geography and Environmental Studies</t>
  </si>
  <si>
    <t>amaleyo@cartafrica.org</t>
  </si>
  <si>
    <t>maleyoagnes@gmail.com</t>
  </si>
  <si>
    <t>+254720319202</t>
  </si>
  <si>
    <t>THE EFFECT OF MINING ACTIVITIES AND CORPORATE SOCIAL RESPONSIBILITY (CSR) INITIATIVES ON LIVELIHOODS: A CASE OF SODA ASH MINING IN LAKE MAGADI, KENYA</t>
  </si>
  <si>
    <t>Dr. Kennedy J. Omoke</t>
  </si>
  <si>
    <t>Dr. James M. Moronge</t>
  </si>
  <si>
    <t>0000-0003-3475-9982</t>
  </si>
  <si>
    <t>AN EVALUATION OF FACTORS LOCAL ACTORS CONSIDER WHEN PROVIDING ACCESS TO CHILDBIRTH SERVICES: A CASE OF MAGADI SUB COUNTY</t>
  </si>
  <si>
    <t>C9/001</t>
  </si>
  <si>
    <t>Ernest</t>
  </si>
  <si>
    <t>Yamie</t>
  </si>
  <si>
    <t>Moya</t>
  </si>
  <si>
    <t>Maternal Health</t>
  </si>
  <si>
    <t>Public Health Department</t>
  </si>
  <si>
    <t>emoya@cartafrica.org</t>
  </si>
  <si>
    <t>emoya@medcol.mw</t>
  </si>
  <si>
    <t>+2651871911/'+265999639917</t>
  </si>
  <si>
    <t>A prospective cohort study on “Extent of iron deficiency anemia and its impact on Malawian postnatal mothers”</t>
  </si>
  <si>
    <t>Clinical Research</t>
  </si>
  <si>
    <t>Prof. Phiri Kamija</t>
  </si>
  <si>
    <t>Dr. Martin Mwangi</t>
  </si>
  <si>
    <t>Research fellow</t>
  </si>
  <si>
    <t>Senior Research fellow</t>
  </si>
  <si>
    <t>0000-0002-1157-7724</t>
  </si>
  <si>
    <t>Long-term effects of antenatal intravenous iron on maternal well-being after child birth</t>
  </si>
  <si>
    <t>C9/002</t>
  </si>
  <si>
    <t>Olujide</t>
  </si>
  <si>
    <t>Olusesan</t>
  </si>
  <si>
    <t>Arije</t>
  </si>
  <si>
    <t>oarije@cartafrica.org</t>
  </si>
  <si>
    <t>olujide_arije@yahoo.com</t>
  </si>
  <si>
    <t>+2348023208897</t>
  </si>
  <si>
    <t>MBA</t>
  </si>
  <si>
    <t>Impact on adolescent health of a minimum healthcare package delivered by primary health care workers with strengthened links to primary health care facilities</t>
  </si>
  <si>
    <t>Dr Olumide, Adesola O.</t>
  </si>
  <si>
    <t>University of Ibadan, Ibadan</t>
  </si>
  <si>
    <t>Research Fellow 1; Senior lecture r (Jan 2022)</t>
  </si>
  <si>
    <t>0000-0001-5192-3698</t>
  </si>
  <si>
    <t>Adolescent and youth-friendly health service capacity and readiness in primary healthcare facilities in South West Nigeria</t>
  </si>
  <si>
    <t>Quality of care and stated preferences in sexual and reproductive health services for adolescents and young people in Southwest Nigeria</t>
  </si>
  <si>
    <t>C9/003</t>
  </si>
  <si>
    <t>Skye</t>
  </si>
  <si>
    <t>Nandi</t>
  </si>
  <si>
    <t>Adams</t>
  </si>
  <si>
    <t>Speech Pathology</t>
  </si>
  <si>
    <t>sadams@cartafrica.org</t>
  </si>
  <si>
    <t>skye.adams@wits.ac.za</t>
  </si>
  <si>
    <t xml:space="preserve">+27 11 717 4484,+27 732218804 </t>
  </si>
  <si>
    <t>Implementation of a dysphagia management programme for children with Cerebral Palsy in a care facilities in Johannesburg</t>
  </si>
  <si>
    <t xml:space="preserve">Dr Jaishika Seedat </t>
  </si>
  <si>
    <t>0000-0002-6388-0960</t>
  </si>
  <si>
    <t>An Exploration into Mealtimes for Families of Children with Autism Spectrum Disorders in Gauteng, South Africa</t>
  </si>
  <si>
    <t>An Exploration into Mealtimes for Families of Children with Autism Spectrum Disorders in South Africa.</t>
  </si>
  <si>
    <t>C9/004</t>
  </si>
  <si>
    <t>Noel</t>
  </si>
  <si>
    <t>Korukire</t>
  </si>
  <si>
    <t xml:space="preserve">Environmental Health Sciences </t>
  </si>
  <si>
    <t>nkorukire@cartafrica.org</t>
  </si>
  <si>
    <t>koranoe@yahoo.com</t>
  </si>
  <si>
    <t>+250789453462/ +250788524045</t>
  </si>
  <si>
    <t>HI&amp;UMD</t>
  </si>
  <si>
    <t>Water quality and community health in  informal settlements in Rwanda</t>
  </si>
  <si>
    <t>Ass.Prof. Theoneste Ntakirutimana</t>
  </si>
  <si>
    <t>home</t>
  </si>
  <si>
    <t xml:space="preserve">The chairperson of the National Council Board(NCB) of Rwanda Allied Health Professions Council (RAHPC). 
Nominated to be head of the commanding of the COVID-19 response team at the level of College of Medicine and Health Sciences, University of Rwanda.
</t>
  </si>
  <si>
    <t>0000-0003-1249-5138</t>
  </si>
  <si>
    <t>Health effects of exposure to urban indoor and outdoor air pollution among communities living in Kigali, Rwanda</t>
  </si>
  <si>
    <t>C9/005</t>
  </si>
  <si>
    <t>Priscille</t>
  </si>
  <si>
    <t>Musabirema</t>
  </si>
  <si>
    <t>pmusabirema@cartafrica.org</t>
  </si>
  <si>
    <t>priscillemusa10@yahoo.fr</t>
  </si>
  <si>
    <t>+250788304396/+250788497838</t>
  </si>
  <si>
    <t>Critical Care and Trauma Nursing</t>
  </si>
  <si>
    <t>Ecological factors impacting adherence to hemodialysis sessions among persons with end stage renal disease, in Rwanda: a mixed method study.</t>
  </si>
  <si>
    <t>Professor Lize Maree</t>
  </si>
  <si>
    <t>0000-0002-5106-1394</t>
  </si>
  <si>
    <t>Holistic adherence to hemodialysis and associated social-ecological factors among persons with end-stage renal diseases in Rwanda.</t>
  </si>
  <si>
    <t>Development and pilot testing of an educational supportive program for persons with end-stage renal disease on hemodialysis in Rwanda</t>
  </si>
  <si>
    <t>C9/006</t>
  </si>
  <si>
    <t>Lilian</t>
  </si>
  <si>
    <t>Nkirote</t>
  </si>
  <si>
    <t>Njagi</t>
  </si>
  <si>
    <t>Tropical and Infectious Diseases</t>
  </si>
  <si>
    <t>Clinical Medicine and therapeutics</t>
  </si>
  <si>
    <t>W80/52095/2017</t>
  </si>
  <si>
    <t>lnjagi@cartafrica.org</t>
  </si>
  <si>
    <t>njagi.lilian@gmail.com</t>
  </si>
  <si>
    <t>+254731575686/'+254722575686</t>
  </si>
  <si>
    <t>Master of Science in Tropical and Infectious Diseases</t>
  </si>
  <si>
    <t>Tuberculosis and HIV, novel strategies for treatment monitoring.</t>
  </si>
  <si>
    <t>Dr Kennedy Abuga</t>
  </si>
  <si>
    <t>Dr Marianne Mureithi</t>
  </si>
  <si>
    <t>Dr Videlis Nduba</t>
  </si>
  <si>
    <t>Senior Project Officer</t>
  </si>
  <si>
    <t>Senior Clinical Research Scientist</t>
  </si>
  <si>
    <t>Sub investigator at KEMRI Center for Respiratory Disease Research.</t>
  </si>
  <si>
    <t xml:space="preserve">KEMRI WELLCOME TRUST </t>
  </si>
  <si>
    <t>0000-0002-5067-0788</t>
  </si>
  <si>
    <t>Isoniazid for latent tuberculosis infection: Validating and testing novel treatment monitoring methods in Kenya</t>
  </si>
  <si>
    <t>C9/007</t>
  </si>
  <si>
    <t>Leonidas</t>
  </si>
  <si>
    <t>lbanamwana@cartafrica.org</t>
  </si>
  <si>
    <t>leontosbanamwana@gmail.com</t>
  </si>
  <si>
    <t>+250785385308; 250783544242</t>
  </si>
  <si>
    <t>Sexual and Reproductive Health among adolescents</t>
  </si>
  <si>
    <t>Dr. Onyango Owuor Nelson</t>
  </si>
  <si>
    <t>Dr. Chukwu Unna Angela</t>
  </si>
  <si>
    <t>0000-0003-1267-235X</t>
  </si>
  <si>
    <t>Assessing Sexual Behaviors, Fertility Preferences and Contraceptive Use among Sexual Active People living with HIV/AIDS in Rwanda</t>
  </si>
  <si>
    <t>C9/008</t>
  </si>
  <si>
    <t>Ssemugabo</t>
  </si>
  <si>
    <t>Disease Control and Environmental Health</t>
  </si>
  <si>
    <t xml:space="preserve">2018/HD07/19459U </t>
  </si>
  <si>
    <t>cssemugabo@cartafrica.org</t>
  </si>
  <si>
    <t>cssemugabo@gmail.com</t>
  </si>
  <si>
    <t>+256 779 625 182/
'+256706066096</t>
  </si>
  <si>
    <t xml:space="preserve">Public Health - Health promotion </t>
  </si>
  <si>
    <t>Pesticide residues in fruits and vegetables along the food supply and consumption chain and associated human health effects in central Uganda</t>
  </si>
  <si>
    <t>Prof. David Guwatudde</t>
  </si>
  <si>
    <t xml:space="preserve">Dr. John C. Ssempebwa </t>
  </si>
  <si>
    <t>Prof. Asa Bradman</t>
  </si>
  <si>
    <t xml:space="preserve">Research Associate </t>
  </si>
  <si>
    <t>0000-0001-6857-0091</t>
  </si>
  <si>
    <t xml:space="preserve">Health risk assessment of pesticide residues in fruits and vegetables among consumers in central Uganda - using the "from farm to fork" principle  </t>
  </si>
  <si>
    <t>C9/009</t>
  </si>
  <si>
    <t>Cyril</t>
  </si>
  <si>
    <t>Nyalik</t>
  </si>
  <si>
    <t>Ogada</t>
  </si>
  <si>
    <t>Conservative and Prosthetic Dentisry</t>
  </si>
  <si>
    <t>cogada@cartafrica.org</t>
  </si>
  <si>
    <t>nyalikogada@yahoo.com</t>
  </si>
  <si>
    <t>+254772438224; 254720342901</t>
  </si>
  <si>
    <t xml:space="preserve"> Prof. Laetitia Rispel</t>
  </si>
  <si>
    <t xml:space="preserve">Dr Richard Ayah </t>
  </si>
  <si>
    <t>Tutorial fellow</t>
  </si>
  <si>
    <t>0000-0003-0919-3411</t>
  </si>
  <si>
    <t>Absenteeism among Doctors and health service utilization in the devolved system of government in Kenya.</t>
  </si>
  <si>
    <t>C9/010</t>
  </si>
  <si>
    <t>Evelyne</t>
  </si>
  <si>
    <t>Kantarama</t>
  </si>
  <si>
    <t>Biochemistry</t>
  </si>
  <si>
    <t>Clinical Biology</t>
  </si>
  <si>
    <t>ekantarama@cartafrica.org</t>
  </si>
  <si>
    <t>kantever11@gmail.com</t>
  </si>
  <si>
    <t>+250788651907</t>
  </si>
  <si>
    <t>Medical Biochemistry</t>
  </si>
  <si>
    <t>Medical Biochemistry with focus on the relationship between epigenetic effects of hormonal contraceptives and lipid profile abnormalities</t>
  </si>
  <si>
    <t>Prof. Muvunyi Mambo</t>
  </si>
  <si>
    <t>Dr. Uwineza Annette</t>
  </si>
  <si>
    <t>0000-0002-5428-8914</t>
  </si>
  <si>
    <t>Dyslipidemia, related factors and risk of cardiovascular diseases in users of hormonal contraceptives in Rwanda</t>
  </si>
  <si>
    <t>Effect of Depo Medroxyprogesterone Acetate (DMPA)  Injectable Contraceptive on Cardiometabolic Risk Profile Among Women of Reproductive Age in Kigali, Rwanda</t>
  </si>
  <si>
    <t>JAS1, 2019</t>
  </si>
  <si>
    <t>C9/011</t>
  </si>
  <si>
    <t>Wilfred</t>
  </si>
  <si>
    <t>Eneku</t>
  </si>
  <si>
    <t>Pathobiology</t>
  </si>
  <si>
    <t>Pharmacy, Clinical and Comparative Medicine</t>
  </si>
  <si>
    <t>weneku@cartafrica.org</t>
  </si>
  <si>
    <t>weneku@gmail.com</t>
  </si>
  <si>
    <t>+256 776 535187, +256 752 535187</t>
  </si>
  <si>
    <t>Masters of Veterinary Pathology</t>
  </si>
  <si>
    <t>Molecular and Sero-Epidemiology of Rickettsia in Uganda</t>
  </si>
  <si>
    <t>Prof. Byarugaba K. Denis</t>
  </si>
  <si>
    <t>Assoc. Prof. Robert Tweyongyere</t>
  </si>
  <si>
    <t>0000-0001-5013-7118</t>
  </si>
  <si>
    <t>Molecular and Sero-epidemiology of Zoonotic rickettsioses in Uganda</t>
  </si>
  <si>
    <t>C9/012</t>
  </si>
  <si>
    <t>Kirsty</t>
  </si>
  <si>
    <t>Van Stormbroek</t>
  </si>
  <si>
    <t>kstormbroek@cartafrica.org</t>
  </si>
  <si>
    <t>kirststorm@gmail.com</t>
  </si>
  <si>
    <t>+27 11 717 3701/'+27760977705</t>
  </si>
  <si>
    <t>MSc Occupational Therapy</t>
  </si>
  <si>
    <t>Improving access to quality hand injury-care services in the public service.</t>
  </si>
  <si>
    <t>Professor Hellen Myezwa,</t>
  </si>
  <si>
    <t>Dr Tania Rauch-van der Merwe</t>
  </si>
  <si>
    <t>Professor Lisa O’Brien</t>
  </si>
  <si>
    <t>Chairperson, Committee on Immunization and HIV/AIDS for the Nigerian Medical Association, Osun State Chapter</t>
  </si>
  <si>
    <t>0000-0003-4890-5063</t>
  </si>
  <si>
    <t>Towards enabling livelihood after hand injury: Contextually responsive support and development strategies for generalist occupational therapists delivering hand rehabilitation in South Africa.</t>
  </si>
  <si>
    <t>Contextually responsive support and development strategies for generalist occupational therapists delivering hand-injury care in South Africa</t>
  </si>
  <si>
    <t>C9/013</t>
  </si>
  <si>
    <t>Funmito</t>
  </si>
  <si>
    <t>Omolola</t>
  </si>
  <si>
    <t>Fehintola</t>
  </si>
  <si>
    <t>Medical doctor</t>
  </si>
  <si>
    <t>fomolola@cartafrica.org</t>
  </si>
  <si>
    <t>funmitoabioye@yahoo.com</t>
  </si>
  <si>
    <t>+2348033913964; 2348037998247</t>
  </si>
  <si>
    <t>Effect of multi-level intervention on modifiable risk factors of non-communicable diseases among in –school adolescents in Nigeria</t>
  </si>
  <si>
    <t>Prof/Omotade/Olayemi</t>
  </si>
  <si>
    <t>Prof/Fatusi/Adesegun</t>
  </si>
  <si>
    <t>0000-0002-3283-6641</t>
  </si>
  <si>
    <t>Health literacy on  behavioural risk factors of NCDs and its determinants among adolescents</t>
  </si>
  <si>
    <t>C9/014</t>
  </si>
  <si>
    <t>OLUFUNMILOLA</t>
  </si>
  <si>
    <t>BAMIDELE</t>
  </si>
  <si>
    <t>MAKANJUOLA</t>
  </si>
  <si>
    <t>Medical Microbiology and Parasitology</t>
  </si>
  <si>
    <t>PGS19250719432936</t>
  </si>
  <si>
    <t>omakanjuola@cartafrica.org</t>
  </si>
  <si>
    <t>funmimakanjuola@yahoo.com</t>
  </si>
  <si>
    <t>+2348034731717; 2348087643340</t>
  </si>
  <si>
    <t>MSc Epidemiology</t>
  </si>
  <si>
    <t>Cutaneous fungal infections in rural and urban primary school children in Oyo State, Nigeria: Epidemiology, diagnosis and public health impact.</t>
  </si>
  <si>
    <t>Prof Fawole Olufunmilayo</t>
  </si>
  <si>
    <t>0000-0001-7785-0183</t>
  </si>
  <si>
    <t>Molecular epidemiology of dermatophyte infections among HIV positive individuals in South-Western Nigeria</t>
  </si>
  <si>
    <t>C9/015</t>
  </si>
  <si>
    <t>Abiket</t>
  </si>
  <si>
    <t>Nanfizat</t>
  </si>
  <si>
    <t>Alamukii</t>
  </si>
  <si>
    <t>Zoology</t>
  </si>
  <si>
    <t>Institute for Advanced Medical Research and Training (IAMRAT)</t>
  </si>
  <si>
    <t>aabiket@cartafrica.org</t>
  </si>
  <si>
    <t>iyabiket@gmail.com</t>
  </si>
  <si>
    <t>+234 706 435 6537</t>
  </si>
  <si>
    <t>M.Sc Zoology (Cell biology and Genetics)</t>
  </si>
  <si>
    <t>Prevalence of breast cancer among Nigerian women and the use of TNF alpha and receptors’ Single Nucleotide Polymorphisms as possible diagnostic indicators.</t>
  </si>
  <si>
    <t>Dr. Nwuba I. Roseangela</t>
  </si>
  <si>
    <t>Teaching and Research Assistant at the Department of Zoology, University of Ibadan</t>
  </si>
  <si>
    <t>Teaching and Research Assistant at the Department of Zoology</t>
  </si>
  <si>
    <t>UNIVERSITY OF MEDICAL SCIENCES, ONDO, NIGERIA</t>
  </si>
  <si>
    <t>0000-0002-5741-1383</t>
  </si>
  <si>
    <t>TUMOUR NECROSIS FACTOR ALPHA (TNF α) AND ITS RECEPTORS AS INDICATORS FOR BREAST CANCER AMONG NIGERIAN WOMEN</t>
  </si>
  <si>
    <t>Barriers to early diagnosis turnout nacrosis factors and receptors genetic varied  as possible predictors fro breast cancer among Nigerian women</t>
  </si>
  <si>
    <t>C9/016</t>
  </si>
  <si>
    <t>Olindah</t>
  </si>
  <si>
    <t>Mkhonto</t>
  </si>
  <si>
    <t>Silaule</t>
  </si>
  <si>
    <t>occupational therapy</t>
  </si>
  <si>
    <t>Occupational therapy</t>
  </si>
  <si>
    <t>0504217T</t>
  </si>
  <si>
    <t>osilaule@cartafrica.org</t>
  </si>
  <si>
    <t>o.silaule@gmail.com</t>
  </si>
  <si>
    <t>+27 11 717 3701/'+27782035213/+27 11 717 3714</t>
  </si>
  <si>
    <t>MSc Occupational therapy</t>
  </si>
  <si>
    <t>Quality and efficiency in mental health services in South Africa</t>
  </si>
  <si>
    <t>Dr Adams Fasloen</t>
  </si>
  <si>
    <t>Dr Nkosi-Mafutha Nokuthula</t>
  </si>
  <si>
    <t>UNIVERSITY OF CAPE TOWN</t>
  </si>
  <si>
    <t>Developing and validation of a community-based program for caregivers of persons with mental disorders in rural South Africa</t>
  </si>
  <si>
    <t>Developing strategies for alleviating caregiver burden among informal caregivers of persons with severe mental disorders in Bushbuckridge, Mpumalanga Province Informal caregivers of persons with severe mental disorders are faced with high levels of distress</t>
  </si>
  <si>
    <t>C9/017</t>
  </si>
  <si>
    <t>Jane</t>
  </si>
  <si>
    <t>Wanjiru</t>
  </si>
  <si>
    <t>Macharia</t>
  </si>
  <si>
    <t>Department of Chemistry</t>
  </si>
  <si>
    <t>I80/52247/2017</t>
  </si>
  <si>
    <t>jmacharia@cartafrica.org</t>
  </si>
  <si>
    <t>jmacharia251@gmail.com</t>
  </si>
  <si>
    <t>+254 726418703</t>
  </si>
  <si>
    <t>Msc in Chemistry</t>
  </si>
  <si>
    <t>Prof. Kariuki K. David</t>
  </si>
  <si>
    <t>Prof. Thole Benard</t>
  </si>
  <si>
    <t>Part-time researcher</t>
  </si>
  <si>
    <t>0000-0003-3415-2048</t>
  </si>
  <si>
    <t>Prenatal and Postnatal Exposure to Fluoride in High Fluoride Areas in Kenya</t>
  </si>
  <si>
    <t>JAS 1, 2019</t>
  </si>
  <si>
    <t>C9/018</t>
  </si>
  <si>
    <t xml:space="preserve">Abimbola  </t>
  </si>
  <si>
    <t>Obimakinde</t>
  </si>
  <si>
    <t xml:space="preserve">Family Medicine </t>
  </si>
  <si>
    <t xml:space="preserve">Registration on going </t>
  </si>
  <si>
    <t>mabimbola@cartafrica.org</t>
  </si>
  <si>
    <t>tolutammy@yahoo.com</t>
  </si>
  <si>
    <t>+234 8106912778</t>
  </si>
  <si>
    <t>Effect of Life Style Modifications On the Control of Chronic Non-Communicable Diseases in Sub Sahara Africa</t>
  </si>
  <si>
    <t>Prof Shabir Moosa</t>
  </si>
  <si>
    <t>0000-0001-5954-952x</t>
  </si>
  <si>
    <t>CHILDREN STREETISM IN IBADAN, NIGERIA; THE FAMILY DYNAMICS, EXPERIENCES AND HEALTH OUTCOMES</t>
  </si>
  <si>
    <t>Children on the streets of Ibadan, Nigeria: experiences, family dynamics and health status.</t>
  </si>
  <si>
    <t>C9/019</t>
  </si>
  <si>
    <t>Ronald</t>
  </si>
  <si>
    <t>Kibet</t>
  </si>
  <si>
    <t>Tonui</t>
  </si>
  <si>
    <t>Immunology</t>
  </si>
  <si>
    <t>Clinical Microbiology and Infectious Diseases</t>
  </si>
  <si>
    <t>rtonui@cartafrica.org</t>
  </si>
  <si>
    <t>tonuironald@gmail.com</t>
  </si>
  <si>
    <t>+254532060958/+254722258484</t>
  </si>
  <si>
    <t>Immunology, Global Health and Infectious Diseases</t>
  </si>
  <si>
    <t>Role of immune response genes’ polymorphisms in susceptibility to and severity of Mycobacterium tuberculosis infections</t>
  </si>
  <si>
    <t xml:space="preserve"> Dr. Aijaz Ahmad	</t>
  </si>
  <si>
    <t xml:space="preserve"> Prof. Simeon Mining	</t>
  </si>
  <si>
    <t>Dr. Rispah Torrorey</t>
  </si>
  <si>
    <t>0000-0001-5087-1435</t>
  </si>
  <si>
    <t>Genetic predictors of tuberculosis in western Kenya</t>
  </si>
  <si>
    <t>C9/020</t>
  </si>
  <si>
    <t xml:space="preserve">Omolayo </t>
  </si>
  <si>
    <t xml:space="preserve">Bukola </t>
  </si>
  <si>
    <t>Oluwatope</t>
  </si>
  <si>
    <t>DEMOGRAPHY</t>
  </si>
  <si>
    <t xml:space="preserve">DEMOGRAPHY AND SOCIAL STATISTICS </t>
  </si>
  <si>
    <t>SSP17/18/R/0016</t>
  </si>
  <si>
    <t>ooluwatope@cartafrica.org</t>
  </si>
  <si>
    <t xml:space="preserve"> omolayooluwatope@gmail.com</t>
  </si>
  <si>
    <t>+2348023926477</t>
  </si>
  <si>
    <t>DR SOLANKE LUKMAN BOLA</t>
  </si>
  <si>
    <t>DR T. SULAIMAN ADEDOKUN</t>
  </si>
  <si>
    <t>0000-0002-3908-0314</t>
  </si>
  <si>
    <t>Contextual Social support for maternal healthcare service utilisation in Nigeria</t>
  </si>
  <si>
    <t>Social supports, capability of women and utilisation of healthcare services in Northwest and Southwest Nigeria</t>
  </si>
  <si>
    <t>C9/021</t>
  </si>
  <si>
    <t xml:space="preserve">Alex </t>
  </si>
  <si>
    <t>Ntamatungiro</t>
  </si>
  <si>
    <t>Biomedical</t>
  </si>
  <si>
    <t>antamatungiro@cartafrica.org</t>
  </si>
  <si>
    <t>ajntamatungiro@gmail.com</t>
  </si>
  <si>
    <t>255 222 774 714/255 222 774 756</t>
  </si>
  <si>
    <t xml:space="preserve">Master of Science in Molecular biology of Infectious diseases </t>
  </si>
  <si>
    <t>Understanding the Spatial-Temporal trends of HIV drug resistant strains among newly diagnosed HIV-1 treatment-naive patients in rural Tanzania.</t>
  </si>
  <si>
    <t>Dr. Kagura Juliana</t>
  </si>
  <si>
    <t>Joel Msafiri Francis</t>
  </si>
  <si>
    <t>Dr. Maja Wisser</t>
  </si>
  <si>
    <t>0000-0002-3134-3992</t>
  </si>
  <si>
    <t>Levels and temporal trends of pre-ART drug resistance among pregnant women over a full decade of ART rollout in a Tanzanian rural setting</t>
  </si>
  <si>
    <t>Trend of pre-antiretroviral therapy HIV-1 drug resistance in Kilombero and Ulanga antiretroviral cohort, South-Western Tanzania, for over 15 years (2005-2020)</t>
  </si>
  <si>
    <t>C9/022</t>
  </si>
  <si>
    <t xml:space="preserve">Glory </t>
  </si>
  <si>
    <t>Mzembe</t>
  </si>
  <si>
    <t xml:space="preserve">CLINICAL EPIDEMIOLOGY </t>
  </si>
  <si>
    <t>Training and Research</t>
  </si>
  <si>
    <t>gmzembe@cartafrica.org</t>
  </si>
  <si>
    <t>glorymzembe00@gmail.com</t>
  </si>
  <si>
    <t>+2651677245/'+265997373789</t>
  </si>
  <si>
    <t xml:space="preserve">London School of Hygiene and Tropical Medicine, University of London </t>
  </si>
  <si>
    <t xml:space="preserve">Predictors of iron deficiency and iron deficiency anaemia and its impact on incidence of childhood illnesses and immune response to vaccines among infants up to 12 months of age in Zomba and Blantyre Districts of Malawi - an observational cohort study </t>
  </si>
  <si>
    <t>Prof Phiri Samuel Kamija</t>
  </si>
  <si>
    <t>Dr Mwangi Ndegwa Martin</t>
  </si>
  <si>
    <t>0000-0002-7277-9987</t>
  </si>
  <si>
    <t xml:space="preserve">Effect of intravenous iron use in pregnancy on infant's immune response and health outcomes </t>
  </si>
  <si>
    <t>C9/023</t>
  </si>
  <si>
    <t xml:space="preserve">Temitope </t>
  </si>
  <si>
    <t>Ilori</t>
  </si>
  <si>
    <t>FAMILY MEDICINE</t>
  </si>
  <si>
    <t>COMMUNITY MEDICINE</t>
  </si>
  <si>
    <t>tilori@cartafrica.org</t>
  </si>
  <si>
    <t>boatop@yahoo.com</t>
  </si>
  <si>
    <t>+234 8102723484; +234 8023009099</t>
  </si>
  <si>
    <t>Master degree in Human Nutrition (MSc. Human Nutrition) from the University of Ibadan, Nigeria</t>
  </si>
  <si>
    <t>Dietary Intake and Metabolic Risk Factors for Cardiovascular Diseases Among Adults in Selected Local Government Areas of Oyo State, Nigeria: A Rural Urban Comparison</t>
  </si>
  <si>
    <t xml:space="preserve">Prof.Baldwin-Ragaven Laurel </t>
  </si>
  <si>
    <t>University of Witwatersrand, South Africa</t>
  </si>
  <si>
    <t>0000-0001-6648-9521</t>
  </si>
  <si>
    <t>Psycho social factors, Dietary Patterns and Cardiovascular Risk Factors among Adults in selected Urban Slum and Non Slum Areas of Oyo State, Nigeria.</t>
  </si>
  <si>
    <t>C9/024</t>
  </si>
  <si>
    <t>Joselyn</t>
  </si>
  <si>
    <t>Annet</t>
  </si>
  <si>
    <t>Atuhairwe</t>
  </si>
  <si>
    <t>jatuhairwe@cartafrica.org</t>
  </si>
  <si>
    <t>atuhairwejoselyn@gmail.com</t>
  </si>
  <si>
    <t>+256 782 422 826</t>
  </si>
  <si>
    <t>Master of Science in Biology and Control of Parasites and Disease Vectors</t>
  </si>
  <si>
    <t>Characterising residual malaria transmission in areas where universal distribution of Long Lasting Insecticide-treated Nets and Indoor Residual Spraying have been rolled out in Uganda</t>
  </si>
  <si>
    <t>0000-0002-1488-3364</t>
  </si>
  <si>
    <t>C10/001</t>
  </si>
  <si>
    <t>Alice</t>
  </si>
  <si>
    <t>Muhayimana</t>
  </si>
  <si>
    <t>Nursing/Midwifery</t>
  </si>
  <si>
    <t>amuhayimana@cartafrica.org</t>
  </si>
  <si>
    <t>hayiali@yahoo.fr</t>
  </si>
  <si>
    <t>+250788687626</t>
  </si>
  <si>
    <t>Masters of Science in Nursing(Maternal and Neonatal Health)</t>
  </si>
  <si>
    <t>Status of Respectful Care during Childbirth among Mothers  and its Drivers from Health Care Providers at Eastern Province of Rwanda</t>
  </si>
  <si>
    <t>Dr Irene J. Kearns</t>
  </si>
  <si>
    <t>0000-0002-5318-497X</t>
  </si>
  <si>
    <t>11/1/2020 &amp; 22/5/2022</t>
  </si>
  <si>
    <t>DEVELOPMENT OF STRATEGIES FOR HEALTH CARE PROVIDERS TO SUSTAIN RESPECTFUL MATERNITY CARE TO WOMEN IN LABOUR</t>
  </si>
  <si>
    <t>C10/002</t>
  </si>
  <si>
    <t>Aline</t>
  </si>
  <si>
    <t>Uwase</t>
  </si>
  <si>
    <t>Anesthesia</t>
  </si>
  <si>
    <t>auwase@cartafrica.org</t>
  </si>
  <si>
    <t>alinemunyaneza1@gmail.com</t>
  </si>
  <si>
    <t>+ 250 789 865 930; +250 788 642 136</t>
  </si>
  <si>
    <t>Master's degree in Public Health</t>
  </si>
  <si>
    <t>Effect of nutrition education based on  health belief model and involving male partner’s compared to traditional education on nutritional knowledge and healthy dietary practices Among pregnant women in the southern province of Rwanda</t>
  </si>
  <si>
    <t>Prof. Jonathan Levin</t>
  </si>
  <si>
    <t xml:space="preserve">Deputy coordinator of post-graduate studies,  School of Health Sciences </t>
  </si>
  <si>
    <t>0000-0001-6256-2541</t>
  </si>
  <si>
    <t>C10/004</t>
  </si>
  <si>
    <t>Aneth</t>
  </si>
  <si>
    <t>Vedastus</t>
  </si>
  <si>
    <t>Kalinjuma</t>
  </si>
  <si>
    <t>Intervention and Clinical Trials Department</t>
  </si>
  <si>
    <t>akalinjuma@cartafrica.org</t>
  </si>
  <si>
    <t>avedastus@gmail.com; avedastus@yahoo.com</t>
  </si>
  <si>
    <t>+255232625164; +255754662828</t>
  </si>
  <si>
    <t xml:space="preserve">Master of Science in Statistics specializing in Biostatistics </t>
  </si>
  <si>
    <t>Transition dynamics and treatment outcomes among HIV-positive adults in Ifakara, Tanzania: A comprehensive analysis for optimizing existing longitudinal cohort data</t>
  </si>
  <si>
    <t xml:space="preserve">Prof. Kennedy Otwombe </t>
  </si>
  <si>
    <t>Dr. Fiona Vanobberghen</t>
  </si>
  <si>
    <t>0000-0001-5862-9264</t>
  </si>
  <si>
    <t>C10/015</t>
  </si>
  <si>
    <t>Ogbenyi</t>
  </si>
  <si>
    <t>Ugalahi</t>
  </si>
  <si>
    <t>Opthamology</t>
  </si>
  <si>
    <t>Ophthalmology</t>
  </si>
  <si>
    <t>mugalahi@cartafrica.org</t>
  </si>
  <si>
    <t>oheobe26@yahoo.com; maryugalahi@gmail.com</t>
  </si>
  <si>
    <t>+234 (0)8126908495</t>
  </si>
  <si>
    <t>MSc Global Health</t>
  </si>
  <si>
    <t>Pathways to Care and Determinants of Delayed Presentation of Children to Child Eye Health Tertiary Facilities (CEHTF) in Ibadan, South West Nigeria</t>
  </si>
  <si>
    <t>Dr. Adebiyi Olupelumi Akindele</t>
  </si>
  <si>
    <t>0000-0003-3272-310X</t>
  </si>
  <si>
    <t>C10/016</t>
  </si>
  <si>
    <t>Maureen</t>
  </si>
  <si>
    <t>Daisy</t>
  </si>
  <si>
    <t>Majamanda</t>
  </si>
  <si>
    <t>CHILD HEALTH</t>
  </si>
  <si>
    <t>mmajamanda@cartafrica.org</t>
  </si>
  <si>
    <t>mdmajamanda@gmail.com</t>
  </si>
  <si>
    <t>+265873623; 265992160415</t>
  </si>
  <si>
    <t>MASTER IN ADVANCED PRACTICE (CHILD HEALTH)</t>
  </si>
  <si>
    <t>Improving the quality of paediatric oncology nursing care in Malawi through nursing education: a mixed methods study</t>
  </si>
  <si>
    <t>Dr. Irene Kearns</t>
  </si>
  <si>
    <t>0000-0001-8886-3158</t>
  </si>
  <si>
    <t>Development of a paediatric oncology short learning programme fro nurse in Malawi</t>
  </si>
  <si>
    <t>C10/006</t>
  </si>
  <si>
    <t>Beryl</t>
  </si>
  <si>
    <t>Chelangat</t>
  </si>
  <si>
    <t>Maritim</t>
  </si>
  <si>
    <t xml:space="preserve">Public Health </t>
  </si>
  <si>
    <t>School of Medicine</t>
  </si>
  <si>
    <t>bmaritim@cartafrica.org</t>
  </si>
  <si>
    <t>berylc.maritim@gmail.com</t>
  </si>
  <si>
    <t>+254722799685</t>
  </si>
  <si>
    <t>Masters in Business Adminstration</t>
  </si>
  <si>
    <t>Why They Stay: Understanding Retention in Voluntary National Health Insurance Among Rural Informal Sector Households in Western Kenya</t>
  </si>
  <si>
    <t>Prof. Jane Goudge</t>
  </si>
  <si>
    <t>Dr. Adam Koon</t>
  </si>
  <si>
    <t>Early Carrer Researcher</t>
  </si>
  <si>
    <t>KEMRI WELLCOME TRUST (2023)</t>
  </si>
  <si>
    <t>0000-0002-3754-0735</t>
  </si>
  <si>
    <t>Examining the role of affordability, citizen engagement and social solidarity in determining health insurance coverage in Kenya</t>
  </si>
  <si>
    <t>C10/007</t>
  </si>
  <si>
    <t>Chinenyenwa</t>
  </si>
  <si>
    <t>Maria Dorathy</t>
  </si>
  <si>
    <t>Ohia</t>
  </si>
  <si>
    <t>Environmental health</t>
  </si>
  <si>
    <t>cohia@cartafrica.org</t>
  </si>
  <si>
    <t>ohiacmd@gmail.com</t>
  </si>
  <si>
    <t>+234 7038318289</t>
  </si>
  <si>
    <t>MPH (Environmental Health)</t>
  </si>
  <si>
    <t>Unravelling the drivers and dynamics of sustained malaria transmission in South-West Nigeria</t>
  </si>
  <si>
    <t>Prof Charles M. Mbogo</t>
  </si>
  <si>
    <t>Prof. Wolfang Richard Mukabana</t>
  </si>
  <si>
    <t>Prof. Godson Ana</t>
  </si>
  <si>
    <t>0000-0001-8337-3221</t>
  </si>
  <si>
    <t>Bio-Insecticidal effectiveness of Moringa oleifera-synthesised silver nanoparticles and other products on selected mosquito species and toxicity effects on a non-target organism (Clarias gariepinus)</t>
  </si>
  <si>
    <t>JAS 1, 2020</t>
  </si>
  <si>
    <t>C10/008</t>
  </si>
  <si>
    <t xml:space="preserve">Duncan </t>
  </si>
  <si>
    <t>Wekesa</t>
  </si>
  <si>
    <t>Nyukuri</t>
  </si>
  <si>
    <t>Medical Doctor</t>
  </si>
  <si>
    <t>dnyukuri@cartafrica.org</t>
  </si>
  <si>
    <t>dnyukuri@gmail.com</t>
  </si>
  <si>
    <t>+254 720977887</t>
  </si>
  <si>
    <t>Master of Medicine in Internal Medicine</t>
  </si>
  <si>
    <t>The Role of Multiplex PCR and Procalcitonin in diagnosis and management of Community Acquired Pneumonia among Adults Admitted at Kenyatta National Clinical research</t>
  </si>
  <si>
    <t>Dr. Jared Mecha</t>
  </si>
  <si>
    <t>0000-0002-4739-2000</t>
  </si>
  <si>
    <t>C10/018</t>
  </si>
  <si>
    <t>Oluwatosin</t>
  </si>
  <si>
    <t>Eunice</t>
  </si>
  <si>
    <t>Olorunmoteni</t>
  </si>
  <si>
    <t>Paediatrics and Child Health</t>
  </si>
  <si>
    <t>oolorunmoteni@cartafrica.org</t>
  </si>
  <si>
    <t>tosinolorunmoteni@gmail.com</t>
  </si>
  <si>
    <t>+234815 209 2837; +234803 941 3535</t>
  </si>
  <si>
    <t>WHAT IS IN A GOOD NIGHT’S SLEEP? PATTERN, DETERMINANTS AND ASSOCIATED PROBLEMS WITH SLEEP IN NIGERIAN ADOLESCENTS</t>
  </si>
  <si>
    <t>Dr Scheuermaier Karine</t>
  </si>
  <si>
    <t>Dr Gomez-Olive F. Xavier</t>
  </si>
  <si>
    <t>Prof. Fatusi Olayiwola Adesegun</t>
  </si>
  <si>
    <t>0000-0001-8561-9918</t>
  </si>
  <si>
    <t xml:space="preserve"> Sleep characteristics among In-school Adolescents in South-Western Nigeria: Pattern, Determinants and Association with Cardiometabolic risk factors</t>
  </si>
  <si>
    <t>C10/010</t>
  </si>
  <si>
    <t xml:space="preserve">Frederick </t>
  </si>
  <si>
    <t>Oporia</t>
  </si>
  <si>
    <t>foporia@cartafrica.org</t>
  </si>
  <si>
    <t>phrezzie@gmail.com</t>
  </si>
  <si>
    <t>+256 703 857 428</t>
  </si>
  <si>
    <t>Preventing drowning among boaters in Lake Albert, Uganda: An enhanced educational intervention to improve knowledge and use of seaworthy lifejackets</t>
  </si>
  <si>
    <t>Prof Fred Nuwaha Ntoni</t>
  </si>
  <si>
    <t>Dr Jagnoor Jagnoor</t>
  </si>
  <si>
    <t>Dr Simon Peter Kibira</t>
  </si>
  <si>
    <t>0000-0001-6280-8919</t>
  </si>
  <si>
    <t>Improving lifejacket wear among occupational boaters on Lake Altert, Uganda: A cluster-randomized controlled trial</t>
  </si>
  <si>
    <t>C10/019</t>
  </si>
  <si>
    <t>Omotade</t>
  </si>
  <si>
    <t>Adebimpe</t>
  </si>
  <si>
    <t>Ijarotimi</t>
  </si>
  <si>
    <t xml:space="preserve">Obstertrics and reproductive health </t>
  </si>
  <si>
    <t>Department of Obstetrics, Gynaecology &amp; Perinatology.</t>
  </si>
  <si>
    <t>oijarotimi@cartafrica.org</t>
  </si>
  <si>
    <t>tadeijarotimi@gmail.com; tadeolar@yahoo.com</t>
  </si>
  <si>
    <t>+234-803-400-2812</t>
  </si>
  <si>
    <t>Outcome of Male Partners’ Involvement in Antenatal Counselling on Women’s Postpartum Family Planning Uptake in South-west Nigeria</t>
  </si>
  <si>
    <t xml:space="preserve">Prof Olayemi Oladapo </t>
  </si>
  <si>
    <t>Dr Olumide Adesola</t>
  </si>
  <si>
    <t xml:space="preserve"> Professor</t>
  </si>
  <si>
    <t>0000-0002-2824-466X</t>
  </si>
  <si>
    <t>Effect of antenatal family planning counselling for male partners on postpartum modern contraception use</t>
  </si>
  <si>
    <t>C10/012</t>
  </si>
  <si>
    <t>James</t>
  </si>
  <si>
    <t>Muleme</t>
  </si>
  <si>
    <t xml:space="preserve">Disease Control and Environmental Health </t>
  </si>
  <si>
    <t>jmuleme@cartafrica.org</t>
  </si>
  <si>
    <t>mulemej@gmail.com</t>
  </si>
  <si>
    <t>+256787364697; 256701271259</t>
  </si>
  <si>
    <t>Masters of Veterinary Preventive Medicine (Field Epidemiology track)</t>
  </si>
  <si>
    <t>Extended Spectrum β Lactamase (ESBL) producing Escherichia coli as bio-threats:   pathobiology, transmission dynamics and antibiotic resistance in rural and urban
communities of Wakiso district, Uganda</t>
  </si>
  <si>
    <t>Dr. Ssempebwa John</t>
  </si>
  <si>
    <t>Dr. Musoke David</t>
  </si>
  <si>
    <t>Assoc. Prof. Kankya Clovice</t>
  </si>
  <si>
    <t>0000-0001-8967-7031</t>
  </si>
  <si>
    <t>Reservoirs, transmission and antibiotic resistance resistance profiles of extended specturum SPECTRUM BETA LACTAMASE-PRODUCING Escherichia Coli at the humananimal-environmant interface among farming communities in Wakiso District, Uganda”.</t>
  </si>
  <si>
    <t>C10/020</t>
  </si>
  <si>
    <t>Patience</t>
  </si>
  <si>
    <t>Shamu</t>
  </si>
  <si>
    <t>Wits Reproductive Health and HIV Institute (Implementation Science)</t>
  </si>
  <si>
    <t>pshamu@cartafrica.org</t>
  </si>
  <si>
    <t>patieshamu@gmail.com; pshamu@wrhi.ac.za</t>
  </si>
  <si>
    <t>+27113585300; +27731960356</t>
  </si>
  <si>
    <t>Master of Science in Population Studies</t>
  </si>
  <si>
    <t>Determinants, lived experiences, and outcomes of HIV Pre-Exposure Prophylaxis use among young female university students in South Africa: A prospective cohort study</t>
  </si>
  <si>
    <t>Professor Saiqa Mullick</t>
  </si>
  <si>
    <t>0000-0003-1946-5046</t>
  </si>
  <si>
    <t>Perceptions of long-acting HIV pre-exposure prophylaxis and preferences for service delivery among young women in tertiary institutions in South Africa</t>
  </si>
  <si>
    <t>WT - DELTAS</t>
  </si>
  <si>
    <t>C10/014</t>
  </si>
  <si>
    <t>Marifa</t>
  </si>
  <si>
    <t>Muchemwa</t>
  </si>
  <si>
    <t>Demography and Population studies</t>
  </si>
  <si>
    <t>mmuchemwa@cartafrica.org</t>
  </si>
  <si>
    <t>marifamuchemwa@yahoo.com</t>
  </si>
  <si>
    <t>+27117174095; 27780200743</t>
  </si>
  <si>
    <t>MA in Sociology and MA in Demography and Population studies</t>
  </si>
  <si>
    <t xml:space="preserve">Family Changes and Child Maintenance Effect on Men’s Mental Health in South Africa </t>
  </si>
  <si>
    <t>Professor Clifford Odimegwu</t>
  </si>
  <si>
    <t>Teaching assistant</t>
  </si>
  <si>
    <t>Post-Doctoral Fellow</t>
  </si>
  <si>
    <t>0000-0002-1957-9513</t>
  </si>
  <si>
    <t>Family change, child maintenance and mental health outcomes of men in South Africa”</t>
  </si>
  <si>
    <t>JAS 2, 2022</t>
  </si>
  <si>
    <t>C10/021</t>
  </si>
  <si>
    <t xml:space="preserve">Shakeerah </t>
  </si>
  <si>
    <t>Olaide</t>
  </si>
  <si>
    <t>Gbadebo</t>
  </si>
  <si>
    <t>RESTORATIVE DENTISTRY</t>
  </si>
  <si>
    <t>Widowe(r)d</t>
  </si>
  <si>
    <t>Widow</t>
  </si>
  <si>
    <t>sgbadebo@cartafrica.org</t>
  </si>
  <si>
    <t>olaaris2k1@yahoo.com</t>
  </si>
  <si>
    <t>+2348057358291</t>
  </si>
  <si>
    <t>MASTERS DENTAL SURGERY</t>
  </si>
  <si>
    <t>Dental anxiety: measuring the fear factors and its effect on endodontic treatment among adults in Ibadan, Nigeria</t>
  </si>
  <si>
    <t>Prof Gbemisola Oke</t>
  </si>
  <si>
    <t>Prof Dosumu OO</t>
  </si>
  <si>
    <t>0000-0002-2109-753X</t>
  </si>
  <si>
    <t>Pre-treatment Information Communication and Dental Anxiety among Adult  Dental Care Seekers in Ibadan, Nigeria</t>
  </si>
  <si>
    <t>C10/022</t>
  </si>
  <si>
    <t>Stefanie</t>
  </si>
  <si>
    <t>Vermaak</t>
  </si>
  <si>
    <t>HIV Prevention and Treatment</t>
  </si>
  <si>
    <t>Perinatal HIV Research Unit</t>
  </si>
  <si>
    <t>svermaak@cartafrica.org</t>
  </si>
  <si>
    <t>stefanie.hornschuh88@gmail.com</t>
  </si>
  <si>
    <t>+27 11 989 9959; +27 826087634</t>
  </si>
  <si>
    <t>Health Sciences (International's Public Health)</t>
  </si>
  <si>
    <t>Feasibility and acceptability of using digital assent to improve comprehension of study procedures among adolescents with perinatally acquired HIV: a study in Soweto, South Africa</t>
  </si>
  <si>
    <t>Dr Janan Dietrich</t>
  </si>
  <si>
    <t>Prof Tiffany Chennevile</t>
  </si>
  <si>
    <t>Senior Researcher</t>
  </si>
  <si>
    <t>0000-0002-5505-6488</t>
  </si>
  <si>
    <t>C10/023</t>
  </si>
  <si>
    <t>Takondwa</t>
  </si>
  <si>
    <t>Connis</t>
  </si>
  <si>
    <t>Bakuwa</t>
  </si>
  <si>
    <t>Rehabilitation and Therapy</t>
  </si>
  <si>
    <t>tbakuwa@cartafrica.org</t>
  </si>
  <si>
    <t>tbakuwa@medcol.mw; tako.bakuwa@gmail.com</t>
  </si>
  <si>
    <t xml:space="preserve"> +265 1 871 911; +265 993 67 2960</t>
  </si>
  <si>
    <t>Master of science in Community Physiotherapy</t>
  </si>
  <si>
    <t>Effectiveness of a peer-led training program for caregivers of children with cerebral palsy in Malawi</t>
  </si>
  <si>
    <t>Gillian Saloojee</t>
  </si>
  <si>
    <t>Wiedaad Slemming</t>
  </si>
  <si>
    <t>0000-0003-1817-9689</t>
  </si>
  <si>
    <t>C10/025</t>
  </si>
  <si>
    <t>Yetunde</t>
  </si>
  <si>
    <t>A</t>
  </si>
  <si>
    <t>Onimode</t>
  </si>
  <si>
    <t>Nuclear Medicine/Radiology</t>
  </si>
  <si>
    <t>RADIATION ONCOLOGY</t>
  </si>
  <si>
    <t>Married (P1 - 2022)</t>
  </si>
  <si>
    <t>yonimode@cartafrica.org</t>
  </si>
  <si>
    <t>yately_md@yahoo.com; yately_md@yahoo.com</t>
  </si>
  <si>
    <t>+2347087821065</t>
  </si>
  <si>
    <t>Master of Science (Stellenbosch) 2009, Master of Medicine (Witwatersrand) 2012</t>
  </si>
  <si>
    <t>Medical personnel's knowledge about thyroid disease in pregnancy and its management, and development of a trimester-based thyroid reference range In South-West Nigeria</t>
  </si>
  <si>
    <t>Dr Chesang Jacqueline Jelagat</t>
  </si>
  <si>
    <t>Prof Omigbodun Akinyinka</t>
  </si>
  <si>
    <t>0000-0002-4004-6113</t>
  </si>
  <si>
    <t>C10/003</t>
  </si>
  <si>
    <t>Jean de la Croix</t>
  </si>
  <si>
    <t>Allen</t>
  </si>
  <si>
    <t>Ingabire</t>
  </si>
  <si>
    <t>Orthopedics</t>
  </si>
  <si>
    <t>ajcroix@cartafrica.org</t>
  </si>
  <si>
    <t>ingabireallenjc@gmail.com; ijea2000@gmail.com</t>
  </si>
  <si>
    <t>+250788549975</t>
  </si>
  <si>
    <t>Masters of Public health/Masters of Medicine(Surgery)/Fellowship in Orthopedics</t>
  </si>
  <si>
    <t xml:space="preserve">Long term disability following road traffic injuries in Rwanda: Cost and health outcomes </t>
  </si>
  <si>
    <t xml:space="preserve">Prof Tumussime K. David </t>
  </si>
  <si>
    <t>Dr. Jean Baptiste Sagahutu </t>
  </si>
  <si>
    <t>Lecturer of Surgery</t>
  </si>
  <si>
    <t>Deputy Director, NIHR Research Hub on Global Surgery/Rwanda </t>
  </si>
  <si>
    <t>0000-0001-8636-6473</t>
  </si>
  <si>
    <t>C10/005</t>
  </si>
  <si>
    <t>Apatsa</t>
  </si>
  <si>
    <t>Selemani</t>
  </si>
  <si>
    <t>Library and Information Science</t>
  </si>
  <si>
    <t>aselemani@cartafrica.org</t>
  </si>
  <si>
    <t>apatsaselemani@gmail.com</t>
  </si>
  <si>
    <t>+2651871911; 265888707373</t>
  </si>
  <si>
    <t>Master of Library and Information Science</t>
  </si>
  <si>
    <t>Journal Indexing and Scientific Impact of Africa's Public Health Research: current status, barriers, facilitators and opportunities.</t>
  </si>
  <si>
    <t>Prof. Jude Igumbor</t>
  </si>
  <si>
    <t>Dr Innocent Maposa</t>
  </si>
  <si>
    <t>Assistant Librarian</t>
  </si>
  <si>
    <t>0000-0003-1216-6158</t>
  </si>
  <si>
    <t>C10/009</t>
  </si>
  <si>
    <t>Nzabonimana</t>
  </si>
  <si>
    <t>Preventive and Community Dentistry</t>
  </si>
  <si>
    <t>enzabonimana@cartafrica.org</t>
  </si>
  <si>
    <t>nzabaemmy@gmail.com</t>
  </si>
  <si>
    <t>+250783880746</t>
  </si>
  <si>
    <t>Health Informatics</t>
  </si>
  <si>
    <t>Investigating reasons, challenges, and perceptions of poor oral health among adults in rural and urban Rwanda</t>
  </si>
  <si>
    <t>Prof Phumzile Hlongwa</t>
  </si>
  <si>
    <t>Prof Veerasamy Yengopal</t>
  </si>
  <si>
    <t>Dr Yolanda Malele-Kolisa</t>
  </si>
  <si>
    <t>0000-0002-6876-3472</t>
  </si>
  <si>
    <t>Oral Health in Nyarugenge District of Rwanda: The Role of Mobile Application in Oral Health Education</t>
  </si>
  <si>
    <t>C10/011</t>
  </si>
  <si>
    <t>Mburu</t>
  </si>
  <si>
    <t>Kang'ethe</t>
  </si>
  <si>
    <t>Institute of tropical and infectious diseases/ PMTCT- Under OBS/ GYN department</t>
  </si>
  <si>
    <t>jkangethe@cartafrica.org</t>
  </si>
  <si>
    <t>jimkangethe@gmail.com</t>
  </si>
  <si>
    <t>+254726237390; 254731221155</t>
  </si>
  <si>
    <t>MSC. Medical Virology</t>
  </si>
  <si>
    <t>Human Papillomavirus type-specific risk and association with Human T Lymphotrophic Virus-1 among HIV infected Women at Kenyatta Clinical research</t>
  </si>
  <si>
    <t>Dr. Marianne Wanjiru Mureithi</t>
  </si>
  <si>
    <t>Dr. Odari Eddy</t>
  </si>
  <si>
    <t>Dr. Eddy Odari</t>
  </si>
  <si>
    <t>HIV research scientist and tutor</t>
  </si>
  <si>
    <t>0000-0001-5813-5360</t>
  </si>
  <si>
    <t>C10/013</t>
  </si>
  <si>
    <t>Kganetso</t>
  </si>
  <si>
    <t>Sekome</t>
  </si>
  <si>
    <t>physiotherapy</t>
  </si>
  <si>
    <t>ksekome@cartafrica.org</t>
  </si>
  <si>
    <t>kgakzin88@gmail.com</t>
  </si>
  <si>
    <t>+27 11 7173705; +27 78 0118605</t>
  </si>
  <si>
    <t>Master of public health</t>
  </si>
  <si>
    <t>Effects of modifications in lifestyle and daily routine  on blood pressure among hypertensive rural adults in Agincourt, South Africa.</t>
  </si>
  <si>
    <t>Professor Hellen Myezwa</t>
  </si>
  <si>
    <t>Prof. F. Gomez Olive- Casas</t>
  </si>
  <si>
    <t>0000-0002-4567-1022</t>
  </si>
  <si>
    <t>Feasibility and acceptability of a Contextualized Physical Activity and Diet Intervention for Hypertension Control in a Rural Adult Population of South Africa</t>
  </si>
  <si>
    <t>C10/017</t>
  </si>
  <si>
    <t>Monday</t>
  </si>
  <si>
    <t>Daniel</t>
  </si>
  <si>
    <t>Olodu</t>
  </si>
  <si>
    <t>molodu@cartafrica.org</t>
  </si>
  <si>
    <t>mondayolodu@gmail.com; mondayolodu@yahoo.com</t>
  </si>
  <si>
    <t>+234-8063168131</t>
  </si>
  <si>
    <t>Master of Science (Human Nutrition)</t>
  </si>
  <si>
    <t>Improving Childhood Nutrition among the Yoruba Ethnic Group in the Rural Communities, Southwest Nigeria: An Indigenous Food-Based Approach</t>
  </si>
  <si>
    <t>Dr. Oladejo Thomas Adepoju</t>
  </si>
  <si>
    <t>0000-0002-1928-9209</t>
  </si>
  <si>
    <t>C10/024</t>
  </si>
  <si>
    <t>Temitope</t>
  </si>
  <si>
    <t>Olumuyiwa</t>
  </si>
  <si>
    <t>Occupational Health and Industrial Hygiene</t>
  </si>
  <si>
    <t>tojo@cartafrica.org</t>
  </si>
  <si>
    <t>linktopeojo@yahoo.com</t>
  </si>
  <si>
    <t>+2348035798224</t>
  </si>
  <si>
    <t>Factors associated with occupational injuries and work-related musculoskeletal disorders among artisans in the informal sector of the Nigerian construction industry</t>
  </si>
  <si>
    <t>Dr Nisha Naicker</t>
  </si>
  <si>
    <t>Prof Onayade Adedeji</t>
  </si>
  <si>
    <t>0000-0003-1899-5213</t>
  </si>
  <si>
    <t>C11/001</t>
  </si>
  <si>
    <t>Adeola</t>
  </si>
  <si>
    <t>Williams</t>
  </si>
  <si>
    <t>Paediatric Dentistry</t>
  </si>
  <si>
    <t>Child Oral Health</t>
  </si>
  <si>
    <t>awilliams@cartafrica.org</t>
  </si>
  <si>
    <t>adeolawilliams022@gmail.com</t>
  </si>
  <si>
    <t>+2348051694622</t>
  </si>
  <si>
    <t>Masters of Dental Sciences, 2018</t>
  </si>
  <si>
    <t>Improving oral health among vulnerable children and adolescents living with HIV/AIDS using evidence-based intervention (Masters of Dental Sciences (MDS)</t>
  </si>
  <si>
    <t>Field based</t>
  </si>
  <si>
    <t>Prof. Denloye O.  Obafunke</t>
  </si>
  <si>
    <t>Prof. Lawal Barakat Folake</t>
  </si>
  <si>
    <t>Dr Yetunde  Adeniyi</t>
  </si>
  <si>
    <t>0000-0003-1915-2138</t>
  </si>
  <si>
    <t>Development and acceptability of an integrated oral health intervention among Adolescents Living with Mental Health Conditions (ALMHC) in Ibadan, Nigeria</t>
  </si>
  <si>
    <t>C11/002</t>
  </si>
  <si>
    <t>Amina</t>
  </si>
  <si>
    <t>Hassan</t>
  </si>
  <si>
    <t>Maternal and Reproductive health</t>
  </si>
  <si>
    <t>School of Public health</t>
  </si>
  <si>
    <t>ahusien@cartafrica.org</t>
  </si>
  <si>
    <t>dramiina12@gmail.com</t>
  </si>
  <si>
    <t>+252615506933</t>
  </si>
  <si>
    <t>Master in Public Health (2023 )</t>
  </si>
  <si>
    <t>Reproductive and maternal health in Somalia</t>
  </si>
  <si>
    <t>ProfChristopher Garimoi Orach</t>
  </si>
  <si>
    <t>Dr. Dinah Amongin</t>
  </si>
  <si>
    <t>Dr. Abdullahi Muse Mohamoud</t>
  </si>
  <si>
    <t>0009-0006-9247-6453</t>
  </si>
  <si>
    <t>C11/003</t>
  </si>
  <si>
    <t>Christabellah</t>
  </si>
  <si>
    <t>Namugenyi</t>
  </si>
  <si>
    <t>Department of Planning and Applied Statistics</t>
  </si>
  <si>
    <t>cnamugenyi@cartafrica.org</t>
  </si>
  <si>
    <t>tabellahn@gmail.com</t>
  </si>
  <si>
    <t>+256788101810;+256700979442</t>
  </si>
  <si>
    <t>Master of Statistics (2020)</t>
  </si>
  <si>
    <t>Examining patient satisfaction and dual outcomes of HIV and hypertension through decision-making and allocation of Service Delivery Models for Older PLHIV</t>
  </si>
  <si>
    <t xml:space="preserve">Dr. Roy William Mayega </t>
  </si>
  <si>
    <t>Prof Rhoda Wanyenze</t>
  </si>
  <si>
    <t>Dr John Ssenkusu</t>
  </si>
  <si>
    <t>0000-0003-2534-5526</t>
  </si>
  <si>
    <t>Assessing service delivery and dual control outcomes of HIV and hypertension PLHIV with hypertension in South-Central Uganda</t>
  </si>
  <si>
    <t>C11/004</t>
  </si>
  <si>
    <t>Tamuka</t>
  </si>
  <si>
    <t>Chironda</t>
  </si>
  <si>
    <t>Health Data Science</t>
  </si>
  <si>
    <t>Agincourt Research Center</t>
  </si>
  <si>
    <t>cchironda@cartafrica.org</t>
  </si>
  <si>
    <t>cyriltamuka05@gmail.com</t>
  </si>
  <si>
    <t>+27786413285</t>
  </si>
  <si>
    <t>MSc Mathematical Statistics (2021)</t>
  </si>
  <si>
    <t>Multimorbidity trends and changes in Rural South Africa: A clustering, and competing risk modelling approach (2012-2022).</t>
  </si>
  <si>
    <t>Tobias Chirwa</t>
  </si>
  <si>
    <t>Chodziwadziwa Kabudula</t>
  </si>
  <si>
    <t>Farai Mlambo</t>
  </si>
  <si>
    <t>0000-0002-0412-1059</t>
  </si>
  <si>
    <t>C11/005</t>
  </si>
  <si>
    <t>Elizabeth</t>
  </si>
  <si>
    <t>Oral Pathology/ Oral Medicine</t>
  </si>
  <si>
    <t>eoabe@cartafrica.org</t>
  </si>
  <si>
    <t>elizabethabe831@gmail.com</t>
  </si>
  <si>
    <t>+2348029789847</t>
  </si>
  <si>
    <t>Masters in Dental Surgery (2014)</t>
  </si>
  <si>
    <t>Oral health promotion for improved maternal-fetal health among women of reproductive age. (Masters in Dental Surgery (MDS)</t>
  </si>
  <si>
    <t>Prof Adeyemi Folasade  Bukola</t>
  </si>
  <si>
    <t>Prof Arowojolu Olayinka  Modupeola</t>
  </si>
  <si>
    <t>0000-0001-6632-9026</t>
  </si>
  <si>
    <t xml:space="preserve">Characterization of Oral Microbiome and Salivary Biomarkers Related to Periodontal Diseases and Pregnancy Outcomes among Pregnant and Postpartum Women in Ibadan </t>
  </si>
  <si>
    <t>C11/006</t>
  </si>
  <si>
    <t>Fanuel</t>
  </si>
  <si>
    <t>Meckson</t>
  </si>
  <si>
    <t>Bickton</t>
  </si>
  <si>
    <t xml:space="preserve">Department of Rehabilitation Sciences </t>
  </si>
  <si>
    <t>fbickton@cartafrica.org</t>
  </si>
  <si>
    <t>fbickton@kuhes.ac.mw</t>
  </si>
  <si>
    <t>+265982552353</t>
  </si>
  <si>
    <t>Master of Science in Cardiorespiratory Physiotherapy (2021)</t>
  </si>
  <si>
    <t>Personalized exercise-based Rehabilitation needs, implementation and effectiveness among  multimorbid patients in Malawi.</t>
  </si>
  <si>
    <t xml:space="preserve">Field based and clinical research </t>
  </si>
  <si>
    <t xml:space="preserve">Prof Ronel Roos 
</t>
  </si>
  <si>
    <t>Prof Roos Ronel</t>
  </si>
  <si>
    <t xml:space="preserve">Dr Manifield R. James </t>
  </si>
  <si>
    <t>0000-0002-0925-909X</t>
  </si>
  <si>
    <t>Development of the International Classification of Functioning, Disability, and Health Core Sets for Adults Living with Multimorbidity in Malawi</t>
  </si>
  <si>
    <t>C11/007</t>
  </si>
  <si>
    <t>Olanike</t>
  </si>
  <si>
    <t>Wuraola</t>
  </si>
  <si>
    <t>Breast Surgical Oncology</t>
  </si>
  <si>
    <t>fwuraola@cartafrica.org</t>
  </si>
  <si>
    <t>fwuraola@oauife.edu.ng</t>
  </si>
  <si>
    <t>+2348032287556</t>
  </si>
  <si>
    <t>ChM General Surgery 2022</t>
  </si>
  <si>
    <t>Towards early detection of breast cancer in Nigeria: Prevalence of BRCA1/2 mutations and perceptions of genetic screening among relatives of patients with breast cancer</t>
  </si>
  <si>
    <t>Prof. Penny Clement</t>
  </si>
  <si>
    <t>Dr Ayeni Oluwatosin</t>
  </si>
  <si>
    <t>Prof Alatise Oluwasegun Isaac</t>
  </si>
  <si>
    <t>0000-0003-3315-990x</t>
  </si>
  <si>
    <t>C11/008</t>
  </si>
  <si>
    <t>Gallad</t>
  </si>
  <si>
    <t>Dahir</t>
  </si>
  <si>
    <t xml:space="preserve">Department of Public Health </t>
  </si>
  <si>
    <t>ghassan@cartafrica.org</t>
  </si>
  <si>
    <t>00252616301030</t>
  </si>
  <si>
    <t>Public Health (2017)</t>
  </si>
  <si>
    <t>Vaccine preventable disease surveillance</t>
  </si>
  <si>
    <t>Prof. Wanyenze Rhoda</t>
  </si>
  <si>
    <t>Dr Isunju Bosco John</t>
  </si>
  <si>
    <t>Dr Omar Salaad Elmi</t>
  </si>
  <si>
    <t>0000-0002-8569-8748</t>
  </si>
  <si>
    <t>Effect of Integrating Community Health Workers and Community Pharmacies into Measles and Cholera Disease Surveillance among Internally Displaced Populations in Mogadishu, Somalia</t>
  </si>
  <si>
    <t>C11/009</t>
  </si>
  <si>
    <t xml:space="preserve">Justine </t>
  </si>
  <si>
    <t>Okello</t>
  </si>
  <si>
    <t>Preventive Medicine, Laboratory diagnostics, Epidemiology, Biostatistics, Research methods, Food safety and One Health</t>
  </si>
  <si>
    <t>Department of Biosecurity, Ecosystems and Veterinary Public Health</t>
  </si>
  <si>
    <t>jokello@cartafrica.org</t>
  </si>
  <si>
    <t>justinokello01@gmail.com</t>
  </si>
  <si>
    <t>+256-783210265</t>
  </si>
  <si>
    <t>Masters of Veterinary Preventive Medicine (Field Epidemiology)_(2023)</t>
  </si>
  <si>
    <t>Epidemiology of Rift Valley Fever in Northern Uganda: Prevalence, Molecular Characterization, and Geospatial Modelling in Humans and Livestock in Apac and Lira Districtsl</t>
  </si>
  <si>
    <t>Laboratory based</t>
  </si>
  <si>
    <t>Dr. Luke Nyakarahuka</t>
  </si>
  <si>
    <t>Prof. Clovice Kankya</t>
  </si>
  <si>
    <t>Prof Robert F. Breiman</t>
  </si>
  <si>
    <t>0000-0001-6218-8318</t>
  </si>
  <si>
    <t>C11/010</t>
  </si>
  <si>
    <t>Lydiah</t>
  </si>
  <si>
    <t>Njihia</t>
  </si>
  <si>
    <t>PhD Pathobiology (Virology Option)</t>
  </si>
  <si>
    <t>Department of Veterinary Pathology, Microbiology and Parasitology</t>
  </si>
  <si>
    <t>lnjihia@cartafrica.org</t>
  </si>
  <si>
    <t>lydiahnjihia4@gmail.com</t>
  </si>
  <si>
    <t>+254 712316454</t>
  </si>
  <si>
    <t>Master of Science Applied Microbiology (Virology Option), (2022)</t>
  </si>
  <si>
    <t>Molecular characterization and risk factors associated with rift valley fever transmission and outbreaks in humans and animals in Garissa and Murang’a counties, Kenya in the age of climate change</t>
  </si>
  <si>
    <t>Both Laboratory and field based</t>
  </si>
  <si>
    <t xml:space="preserve">Gitao George Chege
</t>
  </si>
  <si>
    <t>Moses Masika</t>
  </si>
  <si>
    <t>Prof Gitao Chege George</t>
  </si>
  <si>
    <t>0009-0007-0633-3294</t>
  </si>
  <si>
    <t>C11/011</t>
  </si>
  <si>
    <t>Nigandi</t>
  </si>
  <si>
    <t>Kubo</t>
  </si>
  <si>
    <t>Department of Clinical Medicine &amp; Therapeutics</t>
  </si>
  <si>
    <t>mkubo@cartafrica.org</t>
  </si>
  <si>
    <t>mkubo@uonbi.ac.ke</t>
  </si>
  <si>
    <t>+254721541439</t>
  </si>
  <si>
    <t>Master of Medicine in Internal Medicine (2013)</t>
  </si>
  <si>
    <t>Early Detection of Chronic Kidney Disease among communities with high prevalence of risk factors and early linkage to care: The ED-CKD Study</t>
  </si>
  <si>
    <t>Dr Opiyo Okoyo Rose</t>
  </si>
  <si>
    <t>Dr Mweu Mutinda Marshal</t>
  </si>
  <si>
    <t>0000-0002-0708-605X</t>
  </si>
  <si>
    <t>C11/012</t>
  </si>
  <si>
    <t>Miles-Dei</t>
  </si>
  <si>
    <t>Benedict</t>
  </si>
  <si>
    <t>Olufeagba</t>
  </si>
  <si>
    <t>Genetics and Molecular Sciences</t>
  </si>
  <si>
    <t>molufeagba@cartafrica.org</t>
  </si>
  <si>
    <t>mben.olufsen@gmail.com</t>
  </si>
  <si>
    <t>+2348169215993;+2348026073373</t>
  </si>
  <si>
    <t>Master of Science (2018)</t>
  </si>
  <si>
    <t>Genetic Epidemiology of Identified Single Nucleotide Variants of Alpha and Beta Thalassemia Traits among Nigerians in Southwest Nigeria. (M.Sc. (Public Health Biotechnology) Genetics and Molecular Sciences, Institute of Child Health)</t>
  </si>
  <si>
    <t>Prof Amodu Kehinde Olukemi</t>
  </si>
  <si>
    <t>Prof  Kotila Rachel Taiwo</t>
  </si>
  <si>
    <t>0000-0003-0065-5990</t>
  </si>
  <si>
    <t>C11/013</t>
  </si>
  <si>
    <t>Molly</t>
  </si>
  <si>
    <t>Mercy</t>
  </si>
  <si>
    <t>Jerono</t>
  </si>
  <si>
    <t>Economics</t>
  </si>
  <si>
    <t xml:space="preserve">Research and Sponsored Projects Office (RSPO)-AMPATH </t>
  </si>
  <si>
    <t>mjerono@cartafrica.org</t>
  </si>
  <si>
    <t>mollymercy20@gmail.com</t>
  </si>
  <si>
    <t>265 1874107;+265  888881282</t>
  </si>
  <si>
    <t>Master of Arts in Economics</t>
  </si>
  <si>
    <t>Economic Evaluation of School-Based and Institutional Programs in Preventing Sexual Violence Against Children in Uasin Gishu County, Kenya</t>
  </si>
  <si>
    <t>Dr. Simeon Nganai</t>
  </si>
  <si>
    <t xml:space="preserve">Dr. Felishana Cherop </t>
  </si>
  <si>
    <t>Dr. Richard Siele</t>
  </si>
  <si>
    <t>0000-0003-4763-0344</t>
  </si>
  <si>
    <t>Evaluation of socioeconomic drivers in reducing sexual violence against children in western kenya</t>
  </si>
  <si>
    <t>OAK</t>
  </si>
  <si>
    <t>C11/014</t>
  </si>
  <si>
    <t>Razak</t>
  </si>
  <si>
    <t>Lewis</t>
  </si>
  <si>
    <t>Mussa</t>
  </si>
  <si>
    <t>Social Scientist</t>
  </si>
  <si>
    <t>School of Global and Public Health</t>
  </si>
  <si>
    <t>rmussa@cartafrica.org</t>
  </si>
  <si>
    <t>razmussa@yahoo.com</t>
  </si>
  <si>
    <t>+265 1874107; +265  888881282</t>
  </si>
  <si>
    <t>Master of Arts Development Studies (2015)</t>
  </si>
  <si>
    <t>Assessing the Effectiveness of Community-Based Approaches in Preventing Sexual Violence Against Street Children in Malawi</t>
  </si>
  <si>
    <t>Dr. Mipando Nyondo Linda</t>
  </si>
  <si>
    <t>Dr  Conco  Nozizwe Daphney</t>
  </si>
  <si>
    <t>0009-0000-6991-6912</t>
  </si>
  <si>
    <t>C11/015</t>
  </si>
  <si>
    <t>Nichodemus</t>
  </si>
  <si>
    <t>Mutinda</t>
  </si>
  <si>
    <t>Kamuti</t>
  </si>
  <si>
    <t xml:space="preserve">Veterinary Pathology and Diagnostics </t>
  </si>
  <si>
    <t>nkamuti@cartafrica.org</t>
  </si>
  <si>
    <t>nkamuti@uonbi.ac.ke</t>
  </si>
  <si>
    <t>+254701106893,+254714667857</t>
  </si>
  <si>
    <t>Master of science in Veterinary Pathology and Diagnostics (2022)</t>
  </si>
  <si>
    <t>Risk factors, socio-economic impact and morpho-molecular characterization of etiological agent(s) of Human and Livestock cutaneous myiasis in Kitui County, Kenya</t>
  </si>
  <si>
    <t xml:space="preserve">Field and Laboratory based </t>
  </si>
  <si>
    <t xml:space="preserve">Prof Gathumbi Karuri Peter
</t>
  </si>
  <si>
    <t>Prof  Githigia Maina Samuel</t>
  </si>
  <si>
    <t>Dr. Mulei Rumpel Isaac</t>
  </si>
  <si>
    <t>0000-0001-5741-1271</t>
  </si>
  <si>
    <t>Prevalence pathology and socio-economic impact of myiasis in sheep and goats in kitui county kenya</t>
  </si>
  <si>
    <t>C11/016</t>
  </si>
  <si>
    <t>Ochuko</t>
  </si>
  <si>
    <t>Orherhe</t>
  </si>
  <si>
    <t>Clinical Pharmacy</t>
  </si>
  <si>
    <t>Department of Clinical Pharmacy and Pharmacy Administration</t>
  </si>
  <si>
    <t>oorherhe@cartafrica.org</t>
  </si>
  <si>
    <t>oorherhe@oauife.edu.ng</t>
  </si>
  <si>
    <t>+2348051589453</t>
  </si>
  <si>
    <t>Master of Science (2016), Master of Philosophy (2023)</t>
  </si>
  <si>
    <t>Population Approach to the Optimisation of Hydroxyurea in the Management of Sickle Cell Disease (SCD) in Nigeria: An Exploration of Pharmacogenetics and Pharmacometrics</t>
  </si>
  <si>
    <t>Dr. Babatunde Adeagbo</t>
  </si>
  <si>
    <t>Dr. Adeagbo Ayodeji Babatunde</t>
  </si>
  <si>
    <t>0000-0002-3671-9717</t>
  </si>
  <si>
    <t>Pharmacogenetics and Model-Informed Optimisation of Hydroxyurea Therapy in Sickle Cell Disease Patients of Nigerian Descen</t>
  </si>
  <si>
    <t>C11/017</t>
  </si>
  <si>
    <t>Patani</t>
  </si>
  <si>
    <t>George Wills</t>
  </si>
  <si>
    <t>Mhango</t>
  </si>
  <si>
    <t>Centre for Reproductive Health</t>
  </si>
  <si>
    <t>pmhango@cartafrica.org</t>
  </si>
  <si>
    <t>pgwmhango@gmail.com</t>
  </si>
  <si>
    <t>+265994587799,+265888604700</t>
  </si>
  <si>
    <t>Master of Science in Global Health Implementation (2023)</t>
  </si>
  <si>
    <t>Exploring the implementation of Out-of-School Comprehensive Sexuality Education (OOS-CSE) tailored for young people with disabilities (YPWD) and young people living with HIV (YPLHIV) aged 10-24 years in Malawi</t>
  </si>
  <si>
    <t xml:space="preserve"> Prof Nicola Christofides</t>
  </si>
  <si>
    <t>Dr Blessings N. Kaunda-Khangamwa</t>
  </si>
  <si>
    <t>Professor Khudejha Asghar</t>
  </si>
  <si>
    <t>0000-0002-1492-260X</t>
  </si>
  <si>
    <t>C11/018</t>
  </si>
  <si>
    <t>Pierre Celestin</t>
  </si>
  <si>
    <t>Munezero</t>
  </si>
  <si>
    <t>Basic Sciences</t>
  </si>
  <si>
    <t>Microbiology and Parasitology</t>
  </si>
  <si>
    <t>pmunezero@cartafrica.org</t>
  </si>
  <si>
    <t>munezeropierrecelestin@gmail.com</t>
  </si>
  <si>
    <t>+250790990554</t>
  </si>
  <si>
    <t>Master of Science in Cellular and Molecular Immunology (2021)</t>
  </si>
  <si>
    <t>intersection of microbiology and immunology, with a specific focus on the pathogenesis of non-filarial lymphedema (podoconiosis).</t>
  </si>
  <si>
    <t>13/11/2025</t>
  </si>
  <si>
    <t>0000-0003-2876-9025</t>
  </si>
  <si>
    <t>C11/019</t>
  </si>
  <si>
    <t>Solange</t>
  </si>
  <si>
    <t>Nikwigize</t>
  </si>
  <si>
    <t xml:space="preserve">Community Health Development </t>
  </si>
  <si>
    <t>snikwigize@cartafrica.org</t>
  </si>
  <si>
    <t>solangeni4@gmail.com</t>
  </si>
  <si>
    <t>+250788804831</t>
  </si>
  <si>
    <t>Masters in Public Health (2021)</t>
  </si>
  <si>
    <t>Socio-economic and Cultural Factors Associated with Sexual Violence Among Children Born to Teen Mothers in Rwanda. A Mixed Method</t>
  </si>
  <si>
    <t xml:space="preserve">Assoc.Prof Erigene Rutayisire
</t>
  </si>
  <si>
    <t>Assoc. Prof. Olive Bazirete</t>
  </si>
  <si>
    <t>0009-0008-1667-3046</t>
  </si>
  <si>
    <t>C11/020</t>
  </si>
  <si>
    <t>Winifrida</t>
  </si>
  <si>
    <t>Paschal</t>
  </si>
  <si>
    <t>Mponzi</t>
  </si>
  <si>
    <t xml:space="preserve">Social Sciences </t>
  </si>
  <si>
    <t>Environmental Health and Ecological Sciences Department</t>
  </si>
  <si>
    <t>wmponzi@cartafrica.org</t>
  </si>
  <si>
    <t>winniepascal@gmail.com</t>
  </si>
  <si>
    <t>+255 714228558</t>
  </si>
  <si>
    <t>Masters of Science in Entrepreneurship (2017)</t>
  </si>
  <si>
    <t>Investigating the impact of village community banks (VICOBA) for enabling house improvements that enhance household environmental health by excluding vectors of malaria and other mosquito-borne pathogens”</t>
  </si>
  <si>
    <t>Dr Emmanuel Willson Kaindoa</t>
  </si>
  <si>
    <t>Prof. Ann Kelly</t>
  </si>
  <si>
    <t>0000-0003-0122-0550</t>
  </si>
  <si>
    <t>Village community banking and housing upgrades: A strategy to lower malaria and improve the well-being in Southeastern Tanzania.</t>
  </si>
  <si>
    <t>C12/001</t>
  </si>
  <si>
    <t>Alen</t>
  </si>
  <si>
    <t>Kinyina</t>
  </si>
  <si>
    <t>akinyina@cartafrica.org</t>
  </si>
  <si>
    <t>akinyina@ihi.or.tz</t>
  </si>
  <si>
    <t>+255622710335</t>
  </si>
  <si>
    <t>Master in Public Health (2022)</t>
  </si>
  <si>
    <t>Feasibility and acceptability of intermittent Kangaroo Mother Care and Zero Separation Model among parents of sick neonates and healthcare providers in Tanzania.</t>
  </si>
  <si>
    <t>Program Coordinator</t>
  </si>
  <si>
    <t>0000-0002-9559-2816</t>
  </si>
  <si>
    <t>C12/002</t>
  </si>
  <si>
    <t>Itumeleng</t>
  </si>
  <si>
    <t>Tsatsi-Mosala</t>
  </si>
  <si>
    <t>imosala@cartafrica.org</t>
  </si>
  <si>
    <t>itumeleng.tsatsi-mosala@wits.ac.za</t>
  </si>
  <si>
    <t>+27731686196</t>
  </si>
  <si>
    <t>Master of Science Occupational Therapy</t>
  </si>
  <si>
    <t>Exploring the integration of artificial intelligence in health science education to improve clinical reasoning for health science students when working with culturally diverse populations in South Africa</t>
  </si>
  <si>
    <t>0000-0001-5509-9659</t>
  </si>
  <si>
    <t>C12/003</t>
  </si>
  <si>
    <t>Qamar</t>
  </si>
  <si>
    <t>Olamide</t>
  </si>
  <si>
    <t>Adeosun</t>
  </si>
  <si>
    <t>Department of Sociology</t>
  </si>
  <si>
    <t>aolamide@cartafrica.org</t>
  </si>
  <si>
    <t>oadeosun74@yahoo.com</t>
  </si>
  <si>
    <t>+2348169407755</t>
  </si>
  <si>
    <t>Master of Science, Industrial Sociology (2021)</t>
  </si>
  <si>
    <t>Resilience under Risk and Precarity: Occupational Practices and Workplace Relations in Cancer Care Centers in Southwest, Nigeria</t>
  </si>
  <si>
    <t>0009-0007-8633-996X</t>
  </si>
  <si>
    <t>C12/004</t>
  </si>
  <si>
    <t>Claudine</t>
  </si>
  <si>
    <t>Nshutiyukuri</t>
  </si>
  <si>
    <t>General Nursing and Midwifery</t>
  </si>
  <si>
    <t>General Nursing Sciences</t>
  </si>
  <si>
    <t>cnshutiyukuri@cartafrica.org</t>
  </si>
  <si>
    <t>nshutiyukuric@gmail.com</t>
  </si>
  <si>
    <t>+250788661755</t>
  </si>
  <si>
    <t>A FRAMEWORK FOR THE IMPLEMENTATION OF AI-ENABLED DIGITAL HEALTH TOOLS FOR ENHANCING ADOLESCENTS' SEXUAL AND REPRODUCTIVE HEALTH IN RWANDA</t>
  </si>
  <si>
    <t>0000-0002-5601-0326</t>
  </si>
  <si>
    <t>C12/005</t>
  </si>
  <si>
    <t>Mandala</t>
  </si>
  <si>
    <t>emandala@cartafrica.org</t>
  </si>
  <si>
    <t>emandala@kuhes.ac.mw</t>
  </si>
  <si>
    <t>+265997786593</t>
  </si>
  <si>
    <t>Master in Public Health (2019)</t>
  </si>
  <si>
    <t>Preventing Antimicrobial resistance in under f five children in Malawi</t>
  </si>
  <si>
    <t>0000-0002-0866-0818</t>
  </si>
  <si>
    <t>C12/006</t>
  </si>
  <si>
    <t>Butungi</t>
  </si>
  <si>
    <t>Microbial genomics</t>
  </si>
  <si>
    <t>Biochemistry and Sports Science</t>
  </si>
  <si>
    <t>hbutungi@cartafrica.org</t>
  </si>
  <si>
    <t>hellen.butungi@mak.ac.ug</t>
  </si>
  <si>
    <t>+256781577222</t>
  </si>
  <si>
    <t>Master of Science in Bioinformatics (2012)</t>
  </si>
  <si>
    <t>Optimisation of a microbial transglutaminase enzyme system for wound healing</t>
  </si>
  <si>
    <t>0000-0002-1330-1545</t>
  </si>
  <si>
    <t>C12/007</t>
  </si>
  <si>
    <t xml:space="preserve">Jean Bosco Henri </t>
  </si>
  <si>
    <t xml:space="preserve">HITAYEZU </t>
  </si>
  <si>
    <t>Nursing and Midwifery: Maternal and new-born health, and reproductive health</t>
  </si>
  <si>
    <t xml:space="preserve">jhitayezu@cartafrica.org
</t>
  </si>
  <si>
    <t>hitab88@gmail.com</t>
  </si>
  <si>
    <t>+250788273931</t>
  </si>
  <si>
    <t>Integrating trauma-and violence-Informed maternity care for women with previous poor neonatal outcomes in Rwanda</t>
  </si>
  <si>
    <t>0009-0008-5750-7087</t>
  </si>
  <si>
    <t>C12/008</t>
  </si>
  <si>
    <t>Jean Paul</t>
  </si>
  <si>
    <t xml:space="preserve">Veterinary medicine </t>
  </si>
  <si>
    <t>School of Medicine and Pharmacy</t>
  </si>
  <si>
    <t>jphabimana@cartafrica.org</t>
  </si>
  <si>
    <t>habipau@gmail.com</t>
  </si>
  <si>
    <t>+250788534046</t>
  </si>
  <si>
    <t xml:space="preserve">Master in tropical animal health </t>
  </si>
  <si>
    <t>Antimicrobial resistance in the dairy value chain: Detection, Risk Factors, and Plant  based alternatives against aephalosporin and carbapenem resistant enterobacterales in  Rwanda</t>
  </si>
  <si>
    <t>A combination of laboratory and field-based</t>
  </si>
  <si>
    <t>0000-0001-9420-882X</t>
  </si>
  <si>
    <t>C12/009</t>
  </si>
  <si>
    <t>Kingsley</t>
  </si>
  <si>
    <t>Kanzoole</t>
  </si>
  <si>
    <t>kkanzoole@cartafrica.org</t>
  </si>
  <si>
    <t>kingsleykanzoole@gmail.com</t>
  </si>
  <si>
    <t>+265888022796, +27630537898</t>
  </si>
  <si>
    <t>Master of Science in Epidemiology (2023)</t>
  </si>
  <si>
    <t>Cancer Epidemiology and Primary Healthcare Strengthening in Rural South Africa: Examining Mortality Trends, Diagnostic delays, and implementation of Detection Guideline</t>
  </si>
  <si>
    <t xml:space="preserve">Research Assistant </t>
  </si>
  <si>
    <t>0000-0003-1287-9430</t>
  </si>
  <si>
    <t>C12/010</t>
  </si>
  <si>
    <t>Saulos</t>
  </si>
  <si>
    <t>Kantonya</t>
  </si>
  <si>
    <t>Public Health (Infectious Diseases Pharmacoepidemiology)</t>
  </si>
  <si>
    <t>School of Public and Global health</t>
  </si>
  <si>
    <t>mkantonya@cartafrica.org</t>
  </si>
  <si>
    <t>mkantonya@mlw.mw</t>
  </si>
  <si>
    <t>+265994622253, +265881133688</t>
  </si>
  <si>
    <t>Clinical Epidemiology (2024)</t>
  </si>
  <si>
    <t xml:space="preserve">Optimising Triple Artemisinin-Based Combination Therapy (TACT) in High-Risk Populations (malnourished children and people living with HIV) in Malawi  </t>
  </si>
  <si>
    <t>Site Investigator</t>
  </si>
  <si>
    <t>0009-0003-7896-3659</t>
  </si>
  <si>
    <t>C12/011</t>
  </si>
  <si>
    <t>Obstetrics and Gynaecology</t>
  </si>
  <si>
    <t>mmasamba@cartafrica.org</t>
  </si>
  <si>
    <t>mmasamba@kuhes.ac.mw</t>
  </si>
  <si>
    <t>+265888221557, +265 1 871449</t>
  </si>
  <si>
    <t xml:space="preserve">Assessing Clinical and Health System Gaps in the Diagnosis and treatment of Infertility in Malawi: A Mixed Methods Study </t>
  </si>
  <si>
    <t>Lecturer and Head of Obs and Gynae.</t>
  </si>
  <si>
    <t>0009-0006-2504-803</t>
  </si>
  <si>
    <t>C12/012</t>
  </si>
  <si>
    <t>Dorcas</t>
  </si>
  <si>
    <t>Nalweyiso</t>
  </si>
  <si>
    <t>Department of Disease Control and Environmental Health</t>
  </si>
  <si>
    <t>mnalweyiso@cartafrica.org</t>
  </si>
  <si>
    <t>nalweyisomartha@gmail.com</t>
  </si>
  <si>
    <t>+265888221557</t>
  </si>
  <si>
    <t>Masters of Science in Animal Health (2023), Master of Public Health (2025)</t>
  </si>
  <si>
    <t>Unmasking the Dual Burden of Brucellosis: Molecular Characterisation and Health Systems Capacity among Agro-Pastoral Communities, Kiruhura District, Western Uganda".</t>
  </si>
  <si>
    <t>0009-0008-4921-4356?lang=en</t>
  </si>
  <si>
    <t>C12/013</t>
  </si>
  <si>
    <t>Nancy</t>
  </si>
  <si>
    <t>Mugure</t>
  </si>
  <si>
    <t>Public Health Engineering</t>
  </si>
  <si>
    <t>nwaweru@cartafrica.org</t>
  </si>
  <si>
    <t>nancy.mugure@uonbi.ac.ke</t>
  </si>
  <si>
    <t>+254723031495</t>
  </si>
  <si>
    <t>MSc. Environmental Engineering (2017)</t>
  </si>
  <si>
    <t>Comparative Study of Correlation of Consumptive Water Use, Emissions, and Gendered Roles in Greenhouse and Open-Field Irrigation from Vegetable Farms in Kenya</t>
  </si>
  <si>
    <t>0009-0001-0042-9099</t>
  </si>
  <si>
    <t>C12/014</t>
  </si>
  <si>
    <t>Olamilekan</t>
  </si>
  <si>
    <t>Banwo</t>
  </si>
  <si>
    <t>obanwo@cartafrica.org</t>
  </si>
  <si>
    <t>olamilekanbanwo@gmail.com</t>
  </si>
  <si>
    <t>+2348038293440</t>
  </si>
  <si>
    <t>Masters in Veterinary Science (2017)</t>
  </si>
  <si>
    <t>Molecular epidemiology, genetic characterisation, and resistome profiling of Dermatophilus congolensis from cattle in southwest Nigeria.</t>
  </si>
  <si>
    <t>0000-0002-0686-1544</t>
  </si>
  <si>
    <t>C12/015</t>
  </si>
  <si>
    <t>Shola</t>
  </si>
  <si>
    <t>Folayan</t>
  </si>
  <si>
    <t>ofolayan@cartafrica.org</t>
  </si>
  <si>
    <t>olufolayan19@gmail.com</t>
  </si>
  <si>
    <t>+234 8058258556</t>
  </si>
  <si>
    <t>Master in Public Health(2025)</t>
  </si>
  <si>
    <t>Cardiovascular Risk Factors among  Adolescents living in Ibadan North  Local Government Area</t>
  </si>
  <si>
    <t>0000-0002-5862-8170</t>
  </si>
  <si>
    <t>C12/016</t>
  </si>
  <si>
    <t>Olanrewaju</t>
  </si>
  <si>
    <t>Olaniyi</t>
  </si>
  <si>
    <t>Omosehin</t>
  </si>
  <si>
    <t>Agricultural Economics</t>
  </si>
  <si>
    <t>oomosehin@cartafrica.org</t>
  </si>
  <si>
    <t>oo.omosehin@ui.edu.ng</t>
  </si>
  <si>
    <t>+2348147768741</t>
  </si>
  <si>
    <t>M.AGRIC.Tech (Production Economics) 2021</t>
  </si>
  <si>
    <t>Economic Resilience and Mental Well-Being of Households in Flood-Affceted Rural Communities in Southwest Nigeria</t>
  </si>
  <si>
    <t>0000-0002-4249-7380</t>
  </si>
  <si>
    <t>C12/017</t>
  </si>
  <si>
    <t>Patrick</t>
  </si>
  <si>
    <t>Amboka</t>
  </si>
  <si>
    <t>pamboka@cartafrica.org</t>
  </si>
  <si>
    <t>pamboka@aphrc.org</t>
  </si>
  <si>
    <t>+254702602571</t>
  </si>
  <si>
    <t>Master in Public Health (2025)</t>
  </si>
  <si>
    <t>Life-Course Pathways to Cardiovascular Disease Among Older Women in Two Rural Counties in Kenya: A Retrospective Case-Control Study</t>
  </si>
  <si>
    <t>Project Officer</t>
  </si>
  <si>
    <t>0000-0003-4295-3515</t>
  </si>
  <si>
    <t>C12/018</t>
  </si>
  <si>
    <t>REBECCA CLAIRE</t>
  </si>
  <si>
    <t>LUSOBYA</t>
  </si>
  <si>
    <t>OPHTHALMOLOGY</t>
  </si>
  <si>
    <t>rlusobya@cartafrica.org</t>
  </si>
  <si>
    <t>lusobyarebecca@gmail.com</t>
  </si>
  <si>
    <t>+256773472633</t>
  </si>
  <si>
    <t>Using Oculomics And Machine Learning to Predict Preeclampsia Disease Severity and Its Long-Term Sequelae Among Pregnant Women in Uganda.</t>
  </si>
  <si>
    <t>SENIOR LECTURER</t>
  </si>
  <si>
    <t>0000-0002-7149-703X</t>
  </si>
  <si>
    <t>C12/019</t>
  </si>
  <si>
    <t>Regina</t>
  </si>
  <si>
    <t>Tikhala</t>
  </si>
  <si>
    <t>Makuluni</t>
  </si>
  <si>
    <t>rmakuluni@cartafrica.org</t>
  </si>
  <si>
    <t>rmakuluni@mlw.mw</t>
  </si>
  <si>
    <t>+265999150295, +265992971222</t>
  </si>
  <si>
    <t>Master of Science in Epidemiology (2020)</t>
  </si>
  <si>
    <t>Understanding and improving sustainability of  maternal health interventions- A case study of the Active Prevention and Treatment of Maternal Sepsis (APT-Sepsis) in Malawi.</t>
  </si>
  <si>
    <t>Trial Manager</t>
  </si>
  <si>
    <t>0000-0001-9368-5456</t>
  </si>
  <si>
    <t>C12/020</t>
  </si>
  <si>
    <t>Schadrack</t>
  </si>
  <si>
    <t>HABUMUREMYI</t>
  </si>
  <si>
    <t>Human Anatomy</t>
  </si>
  <si>
    <t>Human Anatomy Department</t>
  </si>
  <si>
    <t>shabumuremyi@cartafrica.org</t>
  </si>
  <si>
    <t>habumshadra@gmail.com</t>
  </si>
  <si>
    <t>+250783305359, +250722174009</t>
  </si>
  <si>
    <t>Master of Science in Clinical Anatomy (2024)</t>
  </si>
  <si>
    <t>The implications of Lumbosacral transitional vertebrae to the lower back pain in Rwanda</t>
  </si>
  <si>
    <t>Laboratory technician</t>
  </si>
  <si>
    <t>0009-0006-7309-306X</t>
  </si>
  <si>
    <t>C12/021</t>
  </si>
  <si>
    <t>Tabitha</t>
  </si>
  <si>
    <t>Jepkurgat</t>
  </si>
  <si>
    <t>Chepkwony</t>
  </si>
  <si>
    <t>Public health/Laboratory Sciences</t>
  </si>
  <si>
    <t>tchepkwony@cartafrica.org</t>
  </si>
  <si>
    <t>jepkurgatbunet@gmail.com</t>
  </si>
  <si>
    <t>+254706713382</t>
  </si>
  <si>
    <t>MPH-Epidemiology and Medical Statistics (2025)</t>
  </si>
  <si>
    <t>Evaluation of Insecticidal and PBO Durability of PBO-based long-lasting  Insecticidal Nets and Determinants  of Their Performance in an Implementation Setting in Western Kenya: Implications for Malaria Control in Pyrethroid-Resistant Regions'</t>
  </si>
  <si>
    <t>0009-0001-5539-2975</t>
  </si>
  <si>
    <t>C12/022</t>
  </si>
  <si>
    <t>WALTER</t>
  </si>
  <si>
    <t>OKELLO</t>
  </si>
  <si>
    <t>Laboratory Sciences</t>
  </si>
  <si>
    <t>wokello@cartafrica.org</t>
  </si>
  <si>
    <t>walteriqueokello@gmail.com</t>
  </si>
  <si>
    <t>+256783923827</t>
  </si>
  <si>
    <t>Veterinary Preventive Medicine(Field Epidemiology)</t>
  </si>
  <si>
    <t xml:space="preserve">Risk Assessment and Predictive Modelling of Aflatoxin Contamination at the Grain-Animal-Human Interface in Uganda. </t>
  </si>
  <si>
    <t>Technician</t>
  </si>
  <si>
    <t>0000-0002-7621-4844</t>
  </si>
  <si>
    <t>Color codes</t>
  </si>
  <si>
    <t>Didn’t take up</t>
  </si>
  <si>
    <t>Not Found</t>
  </si>
  <si>
    <t>Deceased</t>
  </si>
  <si>
    <t>No.</t>
  </si>
  <si>
    <t>Name</t>
  </si>
  <si>
    <t>Institution</t>
  </si>
  <si>
    <t>Suspension</t>
  </si>
  <si>
    <t>Date of Termination</t>
  </si>
  <si>
    <t xml:space="preserve">Year </t>
  </si>
  <si>
    <t>Reason for Termination</t>
  </si>
  <si>
    <t>Detailed reason for termination</t>
  </si>
  <si>
    <t>Stephen Pentz</t>
  </si>
  <si>
    <t>University of Witwatersrand</t>
  </si>
  <si>
    <t>Lack of progress on milestone</t>
  </si>
  <si>
    <t>Humphrey Phanuel Shao</t>
  </si>
  <si>
    <t>Peter Mwamba</t>
  </si>
  <si>
    <t>Gloria Omosa</t>
  </si>
  <si>
    <t>Aug 29 2014</t>
  </si>
  <si>
    <t xml:space="preserve"> October 2016</t>
  </si>
  <si>
    <t>Failure to meet key milestone</t>
  </si>
  <si>
    <t>Gad Rutayisire</t>
  </si>
  <si>
    <t>Nov 2 2017</t>
  </si>
  <si>
    <t>Gift Khangamwa</t>
  </si>
  <si>
    <t>June 5 2017</t>
  </si>
  <si>
    <t>Master Degree not recognised</t>
  </si>
  <si>
    <t>Callen Onyambu</t>
  </si>
  <si>
    <t>Edwin Sang</t>
  </si>
  <si>
    <t>Hussein Masoud</t>
  </si>
  <si>
    <t>Teresa Kinyari</t>
  </si>
  <si>
    <t>Nov 18 2011</t>
  </si>
  <si>
    <t>Not indicated</t>
  </si>
  <si>
    <t>Jacqueline Mgumia</t>
  </si>
  <si>
    <t>Feb 8 2012</t>
  </si>
  <si>
    <t>Lackson Tembo</t>
  </si>
  <si>
    <t>Doris Kwesiga</t>
  </si>
  <si>
    <t>Inability to attend JAS 2 twice</t>
  </si>
  <si>
    <t>Unable to attend JAS 2 in South Africa due to her visa issues</t>
  </si>
  <si>
    <t>Raymond Odokonyero</t>
  </si>
  <si>
    <t>Justus Musasiah</t>
  </si>
  <si>
    <t>Inability to continue participating in CARTA activities after moving institutions</t>
  </si>
  <si>
    <t>Edna Wairimu Kamau</t>
  </si>
  <si>
    <t>Requested for termination</t>
  </si>
  <si>
    <t>She requested for termination after the secretariat followed up on her delay to meet milestones</t>
  </si>
  <si>
    <t>Leo Masamba</t>
  </si>
  <si>
    <t>Failure to register for PhD at an African partner institution</t>
  </si>
  <si>
    <t>Florence Basiimwa Tuishemirirwe</t>
  </si>
  <si>
    <t>Failure to secure registration after being in the program for 3 years</t>
  </si>
  <si>
    <t>Cohort 8 fellow she was under long suspension up to December 31, 2021 to share her registration. She did not failed We have not received any evidence of registration despite having requested for it several times. .</t>
  </si>
  <si>
    <t>Jane Wanjiru Macharia</t>
  </si>
  <si>
    <t>Jane Macharia had made significant progress (had requested for research funds) but requested for leave of absence in July 2021 citing personal challenges with her supervisor. In July 2022 we initiated the process for her to resume her fellowship, however, she indicated that she still had challenges with her supervisor. Efforts by the secretariat and the University of Nairobi focal person to mediate between her and her supervisor have not borne fruit, and she has instead opted to terminate her fellowship</t>
  </si>
  <si>
    <t>Joselyn Atahuirwe</t>
  </si>
  <si>
    <t>Joselyn Atuhairwe joined CARTA in 2019 with cohort 9 but has been slow in making progress throughout. She requested for one-year leave of absence due to health challenges right after JAS1. After resumption of her fellowship she has consistently been behind her peers in cohort 10 even in completing ESE:O assignments. As of now, she has not obtained university registration nor presented her protocol. She was invited to attend the face-to-face session of JAS 2 but declined despite all efforts from the focal person and the secretariat to accommodate her needs.</t>
  </si>
  <si>
    <t>Duncan Nyukuri</t>
  </si>
  <si>
    <t>Duncan failed to attend part 2 of JAS 2 in 2022  JAS 3 in 2023 and did not communicate or respond to the secretariat when they reached out to him</t>
  </si>
  <si>
    <t>Siphesihle Mtshali</t>
  </si>
  <si>
    <t>Has been nonresponsive to our communication. The last time she registered was 2016 and her account has been suspended</t>
  </si>
  <si>
    <t>Simbaharshe Takuva</t>
  </si>
  <si>
    <t>Has been nonresponsive to our communication. Her account in the Wits system is no longer act</t>
  </si>
  <si>
    <t>Nicolette Prea Naidoo</t>
  </si>
  <si>
    <t>Has been nonresponsive to our communication. The last time she registered was 2018 and her account has been suspended</t>
  </si>
  <si>
    <t>Nomathemba Chiwoneso  Chandiwana</t>
  </si>
  <si>
    <t>Has been nonresponsive to our communication. The last time she registered was 2019 and her account has been suspended</t>
  </si>
  <si>
    <t>Pierre Celestin Munezero</t>
  </si>
  <si>
    <t>Registered at a non Africa university</t>
  </si>
  <si>
    <t xml:space="preserve">Registered for their PhD at the University of Guelph, a non African University </t>
  </si>
  <si>
    <t>(Multiple Items)</t>
  </si>
  <si>
    <t>Female Total</t>
  </si>
  <si>
    <t>University of Malawi and Associates</t>
  </si>
  <si>
    <t>Women</t>
  </si>
  <si>
    <t>Men</t>
  </si>
  <si>
    <t>Man</t>
  </si>
  <si>
    <t>Woman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</si>
</sst>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d\-mmm\-yy;@"/>
    <numFmt numFmtId="165" formatCode="[$-409]dd\-mmm\-yy;@"/>
    <numFmt numFmtId="166" formatCode="[$-409]mmm\-yy;@"/>
    <numFmt numFmtId="167" formatCode="yyyy\-mm\-dd;@"/>
    <numFmt numFmtId="168" formatCode="0.0%"/>
  </numFmts>
  <fonts count="23" x14ac:knownFonts="1">
    <font>
      <sz val="11"/>
      <color theme="1"/>
      <name val="Calibri"/>
      <family val="2"/>
      <scheme val="minor"/>
    </font>
    <font>
      <b/>
      <sz val="11"/>
      <color theme="1"/>
      <name val="Calibri"/>
      <family val="2"/>
      <scheme val="minor"/>
    </font>
    <font>
      <b/>
      <sz val="14"/>
      <color theme="1"/>
      <name val="Arial"/>
      <family val="2"/>
    </font>
    <font>
      <sz val="11"/>
      <color rgb="FF000000"/>
      <name val="Calibri"/>
      <family val="2"/>
    </font>
    <font>
      <sz val="11"/>
      <name val="Calibri"/>
      <family val="2"/>
      <scheme val="minor"/>
    </font>
    <font>
      <sz val="11"/>
      <color theme="1"/>
      <name val="Arial"/>
      <family val="2"/>
    </font>
    <font>
      <sz val="11"/>
      <color theme="1"/>
      <name val="Arial Narrow"/>
      <family val="2"/>
    </font>
    <font>
      <u/>
      <sz val="11"/>
      <color theme="10"/>
      <name val="Calibri"/>
      <family val="2"/>
      <scheme val="minor"/>
    </font>
    <font>
      <u/>
      <sz val="11"/>
      <color indexed="12"/>
      <name val="Arial Narrow"/>
      <family val="2"/>
    </font>
    <font>
      <sz val="10"/>
      <color theme="1"/>
      <name val="Arial"/>
      <family val="2"/>
    </font>
    <font>
      <sz val="11"/>
      <name val="Arial Narrow"/>
      <family val="2"/>
    </font>
    <font>
      <sz val="11"/>
      <color rgb="FF000000"/>
      <name val="Arial Narrow"/>
      <family val="2"/>
    </font>
    <font>
      <sz val="10"/>
      <name val="Arial"/>
      <family val="2"/>
    </font>
    <font>
      <sz val="12"/>
      <color theme="1"/>
      <name val="Calibri"/>
      <family val="2"/>
      <scheme val="minor"/>
    </font>
    <font>
      <sz val="11"/>
      <color theme="1"/>
      <name val="Calibri"/>
      <family val="2"/>
      <scheme val="minor"/>
    </font>
    <font>
      <b/>
      <sz val="12"/>
      <color theme="1"/>
      <name val="Calibri"/>
      <family val="2"/>
      <scheme val="minor"/>
    </font>
    <font>
      <b/>
      <sz val="12"/>
      <color theme="1"/>
      <name val="Arial"/>
      <family val="2"/>
    </font>
    <font>
      <b/>
      <sz val="11"/>
      <color theme="2"/>
      <name val="Calibri"/>
      <family val="2"/>
      <scheme val="minor"/>
    </font>
    <font>
      <sz val="11"/>
      <color rgb="FF000000"/>
      <name val="Calibri"/>
      <family val="2"/>
      <scheme val="minor"/>
    </font>
    <font>
      <sz val="9"/>
      <color rgb="FF444444"/>
      <name val="Segoe UI"/>
      <charset val="1"/>
    </font>
    <font>
      <sz val="11"/>
      <color rgb="FF000000"/>
      <name val="Aptos Narrow"/>
    </font>
    <font>
      <sz val="11"/>
      <color rgb="FF000000"/>
      <name val="Arial"/>
    </font>
    <font>
      <sz val="11"/>
      <color rgb="FF000000"/>
      <name val="Aptos Narrow"/>
      <family val="2"/>
    </font>
  </fonts>
  <fills count="22">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0000"/>
        <bgColor indexed="64"/>
      </patternFill>
    </fill>
    <fill>
      <patternFill patternType="solid">
        <fgColor theme="1"/>
        <bgColor indexed="64"/>
      </patternFill>
    </fill>
    <fill>
      <patternFill patternType="solid">
        <fgColor theme="5" tint="0.79998168889431442"/>
        <bgColor theme="5" tint="0.79998168889431442"/>
      </patternFill>
    </fill>
    <fill>
      <patternFill patternType="solid">
        <fgColor rgb="FFFF00FF"/>
        <bgColor indexed="64"/>
      </patternFill>
    </fill>
    <fill>
      <patternFill patternType="solid">
        <fgColor theme="6" tint="0.79998168889431442"/>
        <bgColor indexed="64"/>
      </patternFill>
    </fill>
    <fill>
      <patternFill patternType="solid">
        <fgColor rgb="FFEDEDED"/>
        <bgColor indexed="64"/>
      </patternFill>
    </fill>
    <fill>
      <patternFill patternType="solid">
        <fgColor theme="7" tint="0.79998168889431442"/>
        <bgColor indexed="64"/>
      </patternFill>
    </fill>
    <fill>
      <patternFill patternType="solid">
        <fgColor rgb="FFFFF2CC"/>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s>
  <cellStyleXfs count="4">
    <xf numFmtId="0" fontId="0" fillId="0" borderId="0"/>
    <xf numFmtId="0" fontId="7" fillId="0" borderId="0" applyNumberFormat="0" applyFill="0" applyBorder="0" applyAlignment="0" applyProtection="0"/>
    <xf numFmtId="0" fontId="5" fillId="0" borderId="0"/>
    <xf numFmtId="9" fontId="14" fillId="0" borderId="0" applyFont="0" applyFill="0" applyBorder="0" applyAlignment="0" applyProtection="0"/>
  </cellStyleXfs>
  <cellXfs count="491">
    <xf numFmtId="0" fontId="0" fillId="0" borderId="0" xfId="0"/>
    <xf numFmtId="0" fontId="0" fillId="2" borderId="1" xfId="0" applyFill="1" applyBorder="1" applyAlignment="1">
      <alignment vertical="center"/>
    </xf>
    <xf numFmtId="0" fontId="3" fillId="2" borderId="4" xfId="0" applyFont="1" applyFill="1" applyBorder="1" applyAlignment="1">
      <alignment wrapText="1"/>
    </xf>
    <xf numFmtId="0" fontId="3" fillId="2" borderId="5" xfId="0" applyFont="1" applyFill="1" applyBorder="1" applyAlignment="1">
      <alignment wrapText="1"/>
    </xf>
    <xf numFmtId="0" fontId="6" fillId="2" borderId="1" xfId="0" applyFont="1" applyFill="1" applyBorder="1" applyAlignment="1">
      <alignment wrapText="1"/>
    </xf>
    <xf numFmtId="0" fontId="8" fillId="2" borderId="1" xfId="1" applyFont="1" applyFill="1" applyBorder="1" applyAlignment="1" applyProtection="1">
      <alignment wrapText="1"/>
    </xf>
    <xf numFmtId="0" fontId="3" fillId="2" borderId="1" xfId="0" applyFont="1" applyFill="1" applyBorder="1" applyAlignment="1">
      <alignment wrapText="1"/>
    </xf>
    <xf numFmtId="0" fontId="9" fillId="2" borderId="1" xfId="0" applyFont="1" applyFill="1" applyBorder="1" applyAlignment="1">
      <alignment wrapText="1"/>
    </xf>
    <xf numFmtId="0" fontId="9" fillId="2" borderId="4" xfId="0" applyFont="1" applyFill="1" applyBorder="1" applyAlignment="1">
      <alignment wrapText="1"/>
    </xf>
    <xf numFmtId="0" fontId="9" fillId="2" borderId="5" xfId="0" applyFont="1" applyFill="1" applyBorder="1" applyAlignment="1">
      <alignment wrapText="1"/>
    </xf>
    <xf numFmtId="0" fontId="0" fillId="3" borderId="1" xfId="0" applyFill="1" applyBorder="1" applyAlignment="1">
      <alignment vertical="center"/>
    </xf>
    <xf numFmtId="0" fontId="0" fillId="4" borderId="1" xfId="0" applyFill="1" applyBorder="1" applyAlignment="1">
      <alignment vertical="center"/>
    </xf>
    <xf numFmtId="0" fontId="3" fillId="4" borderId="4" xfId="0" applyFont="1" applyFill="1" applyBorder="1" applyAlignment="1">
      <alignment wrapText="1"/>
    </xf>
    <xf numFmtId="0" fontId="3" fillId="4" borderId="5" xfId="0" applyFont="1" applyFill="1" applyBorder="1" applyAlignment="1">
      <alignment wrapText="1"/>
    </xf>
    <xf numFmtId="0" fontId="9" fillId="4" borderId="5" xfId="0" applyFont="1" applyFill="1" applyBorder="1" applyAlignment="1">
      <alignment wrapText="1"/>
    </xf>
    <xf numFmtId="0" fontId="9" fillId="4" borderId="7" xfId="0" applyFont="1" applyFill="1" applyBorder="1" applyAlignment="1">
      <alignment wrapText="1"/>
    </xf>
    <xf numFmtId="0" fontId="3" fillId="4" borderId="7" xfId="0" applyFont="1" applyFill="1" applyBorder="1" applyAlignment="1">
      <alignment wrapText="1"/>
    </xf>
    <xf numFmtId="0" fontId="0" fillId="5" borderId="1" xfId="0" applyFill="1" applyBorder="1" applyAlignment="1">
      <alignment vertical="center"/>
    </xf>
    <xf numFmtId="0" fontId="3" fillId="5" borderId="4" xfId="0" applyFont="1" applyFill="1" applyBorder="1" applyAlignment="1">
      <alignment wrapText="1"/>
    </xf>
    <xf numFmtId="0" fontId="3" fillId="5" borderId="7" xfId="0" applyFont="1" applyFill="1" applyBorder="1" applyAlignment="1">
      <alignment wrapText="1"/>
    </xf>
    <xf numFmtId="0" fontId="3" fillId="5" borderId="1" xfId="0" applyFont="1" applyFill="1" applyBorder="1" applyAlignment="1">
      <alignment wrapText="1"/>
    </xf>
    <xf numFmtId="0" fontId="11" fillId="5" borderId="1" xfId="0" applyFont="1" applyFill="1" applyBorder="1" applyAlignment="1">
      <alignment wrapText="1"/>
    </xf>
    <xf numFmtId="0" fontId="3" fillId="5" borderId="5" xfId="0" applyFont="1" applyFill="1" applyBorder="1" applyAlignment="1">
      <alignment wrapText="1"/>
    </xf>
    <xf numFmtId="0" fontId="6" fillId="5" borderId="1" xfId="0" applyFont="1" applyFill="1" applyBorder="1" applyAlignment="1">
      <alignment wrapText="1"/>
    </xf>
    <xf numFmtId="0" fontId="0" fillId="0" borderId="1" xfId="0" applyBorder="1"/>
    <xf numFmtId="0" fontId="3" fillId="6" borderId="5" xfId="0" applyFont="1" applyFill="1" applyBorder="1" applyAlignment="1">
      <alignment wrapText="1"/>
    </xf>
    <xf numFmtId="0" fontId="0" fillId="6" borderId="1" xfId="0" applyFill="1" applyBorder="1" applyAlignment="1">
      <alignment vertical="center"/>
    </xf>
    <xf numFmtId="0" fontId="3" fillId="6" borderId="1" xfId="0" applyFont="1" applyFill="1" applyBorder="1" applyAlignment="1">
      <alignment wrapText="1"/>
    </xf>
    <xf numFmtId="0" fontId="6" fillId="6" borderId="1" xfId="0" applyFont="1" applyFill="1" applyBorder="1" applyAlignment="1">
      <alignment wrapText="1"/>
    </xf>
    <xf numFmtId="0" fontId="6" fillId="6" borderId="0" xfId="0" applyFont="1" applyFill="1" applyAlignment="1">
      <alignment wrapText="1"/>
    </xf>
    <xf numFmtId="0" fontId="0" fillId="7" borderId="1" xfId="0" applyFill="1" applyBorder="1" applyAlignment="1">
      <alignment vertical="center"/>
    </xf>
    <xf numFmtId="0" fontId="3" fillId="7" borderId="6" xfId="0" applyFont="1" applyFill="1" applyBorder="1" applyAlignment="1">
      <alignment wrapText="1"/>
    </xf>
    <xf numFmtId="0" fontId="3" fillId="7" borderId="7" xfId="0" applyFont="1" applyFill="1" applyBorder="1" applyAlignment="1">
      <alignment wrapText="1"/>
    </xf>
    <xf numFmtId="0" fontId="3" fillId="7" borderId="1" xfId="0" applyFont="1" applyFill="1" applyBorder="1" applyAlignment="1">
      <alignment wrapText="1"/>
    </xf>
    <xf numFmtId="0" fontId="6" fillId="7" borderId="1" xfId="0" applyFont="1" applyFill="1" applyBorder="1" applyAlignment="1">
      <alignment wrapText="1"/>
    </xf>
    <xf numFmtId="0" fontId="3" fillId="7" borderId="5" xfId="0" applyFont="1" applyFill="1" applyBorder="1" applyAlignment="1">
      <alignment wrapText="1"/>
    </xf>
    <xf numFmtId="0" fontId="0" fillId="8" borderId="1" xfId="0" applyFill="1" applyBorder="1" applyAlignment="1">
      <alignment vertical="center"/>
    </xf>
    <xf numFmtId="0" fontId="3" fillId="8" borderId="1" xfId="0" applyFont="1" applyFill="1" applyBorder="1" applyAlignment="1">
      <alignment wrapText="1"/>
    </xf>
    <xf numFmtId="0" fontId="3" fillId="8" borderId="4" xfId="0" applyFont="1" applyFill="1" applyBorder="1" applyAlignment="1">
      <alignment wrapText="1"/>
    </xf>
    <xf numFmtId="0" fontId="0" fillId="9" borderId="1" xfId="0" applyFill="1" applyBorder="1" applyAlignment="1">
      <alignment vertical="center"/>
    </xf>
    <xf numFmtId="0" fontId="0" fillId="10" borderId="1" xfId="0" applyFill="1" applyBorder="1" applyAlignment="1">
      <alignment vertical="center"/>
    </xf>
    <xf numFmtId="0" fontId="0" fillId="0" borderId="0" xfId="0" applyAlignment="1">
      <alignment horizontal="left"/>
    </xf>
    <xf numFmtId="0" fontId="0" fillId="0" borderId="0" xfId="0" applyAlignment="1">
      <alignment vertical="center"/>
    </xf>
    <xf numFmtId="2" fontId="0" fillId="0" borderId="0" xfId="0" applyNumberFormat="1"/>
    <xf numFmtId="0" fontId="0" fillId="0" borderId="0" xfId="0" applyAlignment="1">
      <alignment horizontal="right"/>
    </xf>
    <xf numFmtId="164" fontId="0" fillId="0" borderId="0" xfId="0" applyNumberFormat="1"/>
    <xf numFmtId="0" fontId="1" fillId="0" borderId="1" xfId="0" applyFont="1" applyBorder="1"/>
    <xf numFmtId="0" fontId="0" fillId="0" borderId="1" xfId="0" applyBorder="1" applyAlignment="1">
      <alignment horizontal="right"/>
    </xf>
    <xf numFmtId="0" fontId="3" fillId="6" borderId="10" xfId="0" applyFont="1" applyFill="1" applyBorder="1" applyAlignment="1">
      <alignment wrapText="1"/>
    </xf>
    <xf numFmtId="165" fontId="0" fillId="0" borderId="0" xfId="0" applyNumberFormat="1"/>
    <xf numFmtId="0" fontId="6" fillId="3" borderId="1" xfId="0" applyFont="1" applyFill="1" applyBorder="1" applyAlignment="1">
      <alignment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0" fillId="0" borderId="0" xfId="0" pivotButton="1"/>
    <xf numFmtId="0" fontId="0" fillId="12" borderId="1" xfId="0" applyFill="1" applyBorder="1" applyAlignment="1">
      <alignment vertical="center"/>
    </xf>
    <xf numFmtId="0" fontId="0" fillId="0" borderId="1" xfId="0" applyBorder="1" applyAlignment="1">
      <alignment horizontal="left"/>
    </xf>
    <xf numFmtId="0" fontId="0" fillId="13" borderId="0" xfId="0" applyFill="1"/>
    <xf numFmtId="0" fontId="0" fillId="13" borderId="1" xfId="0" applyFill="1" applyBorder="1"/>
    <xf numFmtId="0" fontId="1" fillId="13" borderId="0" xfId="0" applyFont="1" applyFill="1"/>
    <xf numFmtId="0" fontId="1" fillId="0" borderId="0" xfId="0" applyFont="1"/>
    <xf numFmtId="0" fontId="1" fillId="0" borderId="9" xfId="0" applyFont="1" applyBorder="1"/>
    <xf numFmtId="0" fontId="1" fillId="0" borderId="8" xfId="0" applyFont="1" applyBorder="1"/>
    <xf numFmtId="0" fontId="1" fillId="0" borderId="8" xfId="0" applyFont="1" applyBorder="1" applyAlignment="1">
      <alignment horizontal="center"/>
    </xf>
    <xf numFmtId="0" fontId="1" fillId="0" borderId="8" xfId="0" applyFont="1" applyBorder="1" applyAlignment="1">
      <alignment horizontal="center" wrapText="1"/>
    </xf>
    <xf numFmtId="0" fontId="1" fillId="0" borderId="12" xfId="0" applyFont="1" applyBorder="1"/>
    <xf numFmtId="0" fontId="1" fillId="0" borderId="10" xfId="0" applyFont="1" applyBorder="1"/>
    <xf numFmtId="0" fontId="0" fillId="0" borderId="1" xfId="0" applyBorder="1" applyAlignment="1">
      <alignment horizontal="center"/>
    </xf>
    <xf numFmtId="17" fontId="0" fillId="0" borderId="1" xfId="0" applyNumberFormat="1" applyBorder="1" applyAlignment="1">
      <alignment horizontal="center"/>
    </xf>
    <xf numFmtId="14" fontId="0" fillId="0" borderId="1" xfId="0" applyNumberFormat="1" applyBorder="1" applyAlignment="1">
      <alignment horizontal="center"/>
    </xf>
    <xf numFmtId="0" fontId="0" fillId="0" borderId="1" xfId="0" applyBorder="1" applyAlignment="1">
      <alignment wrapText="1"/>
    </xf>
    <xf numFmtId="0" fontId="3" fillId="14" borderId="4" xfId="0" applyFont="1" applyFill="1" applyBorder="1" applyAlignment="1">
      <alignment wrapText="1"/>
    </xf>
    <xf numFmtId="0" fontId="9" fillId="14" borderId="5" xfId="0" applyFont="1" applyFill="1" applyBorder="1" applyAlignment="1">
      <alignment wrapText="1"/>
    </xf>
    <xf numFmtId="0" fontId="3" fillId="14" borderId="2" xfId="0" applyFont="1" applyFill="1" applyBorder="1" applyAlignment="1">
      <alignment wrapText="1"/>
    </xf>
    <xf numFmtId="0" fontId="3" fillId="14" borderId="6" xfId="0" applyFont="1" applyFill="1" applyBorder="1" applyAlignment="1">
      <alignment wrapText="1"/>
    </xf>
    <xf numFmtId="0" fontId="0" fillId="2" borderId="1" xfId="0" applyFill="1" applyBorder="1"/>
    <xf numFmtId="0" fontId="13" fillId="2" borderId="1" xfId="0" applyFont="1" applyFill="1" applyBorder="1"/>
    <xf numFmtId="164" fontId="0" fillId="2" borderId="1" xfId="0" applyNumberFormat="1" applyFill="1" applyBorder="1"/>
    <xf numFmtId="166" fontId="0" fillId="2" borderId="1" xfId="0" applyNumberFormat="1" applyFill="1" applyBorder="1"/>
    <xf numFmtId="166" fontId="0" fillId="2" borderId="1" xfId="0" applyNumberFormat="1" applyFill="1" applyBorder="1" applyAlignment="1">
      <alignment wrapText="1"/>
    </xf>
    <xf numFmtId="164" fontId="0" fillId="2" borderId="3" xfId="0" applyNumberFormat="1" applyFill="1" applyBorder="1"/>
    <xf numFmtId="165" fontId="0" fillId="2" borderId="1" xfId="0" applyNumberFormat="1" applyFill="1" applyBorder="1"/>
    <xf numFmtId="0" fontId="0" fillId="2" borderId="1" xfId="0" applyFill="1" applyBorder="1" applyAlignment="1">
      <alignment wrapText="1"/>
    </xf>
    <xf numFmtId="0" fontId="10" fillId="2" borderId="1" xfId="0" applyFont="1" applyFill="1" applyBorder="1" applyAlignment="1">
      <alignment wrapText="1"/>
    </xf>
    <xf numFmtId="0" fontId="3" fillId="2" borderId="4" xfId="0" applyFont="1" applyFill="1" applyBorder="1"/>
    <xf numFmtId="0" fontId="0" fillId="14" borderId="1" xfId="0" applyFill="1" applyBorder="1"/>
    <xf numFmtId="164" fontId="0" fillId="14" borderId="1" xfId="0" applyNumberFormat="1" applyFill="1" applyBorder="1"/>
    <xf numFmtId="166" fontId="0" fillId="14" borderId="1" xfId="0" applyNumberFormat="1" applyFill="1" applyBorder="1"/>
    <xf numFmtId="166" fontId="0" fillId="14" borderId="1" xfId="0" applyNumberFormat="1" applyFill="1" applyBorder="1" applyAlignment="1">
      <alignment wrapText="1"/>
    </xf>
    <xf numFmtId="164" fontId="0" fillId="14" borderId="3" xfId="0" applyNumberFormat="1" applyFill="1" applyBorder="1"/>
    <xf numFmtId="165" fontId="0" fillId="14" borderId="1" xfId="0" applyNumberFormat="1" applyFill="1" applyBorder="1"/>
    <xf numFmtId="0" fontId="0" fillId="3" borderId="1" xfId="0" applyFill="1" applyBorder="1"/>
    <xf numFmtId="164" fontId="0" fillId="3" borderId="1" xfId="0" applyNumberFormat="1" applyFill="1" applyBorder="1"/>
    <xf numFmtId="166" fontId="0" fillId="3" borderId="1" xfId="0" applyNumberFormat="1" applyFill="1" applyBorder="1"/>
    <xf numFmtId="166" fontId="0" fillId="3" borderId="1" xfId="0" applyNumberFormat="1" applyFill="1" applyBorder="1" applyAlignment="1">
      <alignment wrapText="1"/>
    </xf>
    <xf numFmtId="165" fontId="0" fillId="3" borderId="1" xfId="0" applyNumberFormat="1" applyFill="1" applyBorder="1"/>
    <xf numFmtId="0" fontId="0" fillId="4" borderId="1" xfId="0" applyFill="1" applyBorder="1"/>
    <xf numFmtId="164" fontId="0" fillId="4" borderId="1" xfId="0" applyNumberFormat="1" applyFill="1" applyBorder="1"/>
    <xf numFmtId="14" fontId="0" fillId="4" borderId="1" xfId="0" applyNumberFormat="1" applyFill="1" applyBorder="1"/>
    <xf numFmtId="166" fontId="0" fillId="4" borderId="1" xfId="0" applyNumberFormat="1" applyFill="1" applyBorder="1"/>
    <xf numFmtId="166" fontId="0" fillId="4" borderId="1" xfId="0" applyNumberFormat="1" applyFill="1" applyBorder="1" applyAlignment="1">
      <alignment wrapText="1"/>
    </xf>
    <xf numFmtId="164" fontId="0" fillId="4" borderId="3" xfId="0" applyNumberFormat="1" applyFill="1" applyBorder="1"/>
    <xf numFmtId="0" fontId="0" fillId="4" borderId="2" xfId="0" applyFill="1" applyBorder="1"/>
    <xf numFmtId="165" fontId="0" fillId="4" borderId="1" xfId="0" applyNumberFormat="1" applyFill="1" applyBorder="1"/>
    <xf numFmtId="164" fontId="0" fillId="4" borderId="1" xfId="0" applyNumberFormat="1" applyFill="1" applyBorder="1" applyAlignment="1">
      <alignment wrapText="1"/>
    </xf>
    <xf numFmtId="0" fontId="0" fillId="4" borderId="1" xfId="0" applyFill="1" applyBorder="1" applyAlignment="1">
      <alignment wrapText="1"/>
    </xf>
    <xf numFmtId="0" fontId="0" fillId="4" borderId="13" xfId="0" applyFill="1" applyBorder="1"/>
    <xf numFmtId="0" fontId="10" fillId="4" borderId="1" xfId="0" applyFont="1" applyFill="1" applyBorder="1" applyAlignment="1">
      <alignment wrapText="1"/>
    </xf>
    <xf numFmtId="0" fontId="0" fillId="3" borderId="4" xfId="0" applyFill="1" applyBorder="1"/>
    <xf numFmtId="164" fontId="0" fillId="3" borderId="3" xfId="0" applyNumberFormat="1" applyFill="1" applyBorder="1"/>
    <xf numFmtId="164" fontId="0" fillId="3" borderId="4" xfId="0" applyNumberFormat="1" applyFill="1" applyBorder="1"/>
    <xf numFmtId="166" fontId="0" fillId="3" borderId="4" xfId="0" applyNumberFormat="1" applyFill="1" applyBorder="1"/>
    <xf numFmtId="166" fontId="0" fillId="3" borderId="3" xfId="0" applyNumberFormat="1" applyFill="1" applyBorder="1" applyAlignment="1">
      <alignment wrapText="1"/>
    </xf>
    <xf numFmtId="0" fontId="0" fillId="3" borderId="3" xfId="0" applyFill="1" applyBorder="1"/>
    <xf numFmtId="0" fontId="0" fillId="3" borderId="0" xfId="0" applyFill="1"/>
    <xf numFmtId="0" fontId="0" fillId="3" borderId="2" xfId="0" applyFill="1" applyBorder="1"/>
    <xf numFmtId="0" fontId="0" fillId="5" borderId="1" xfId="0" applyFill="1" applyBorder="1"/>
    <xf numFmtId="164" fontId="0" fillId="5" borderId="1" xfId="0" applyNumberFormat="1" applyFill="1" applyBorder="1"/>
    <xf numFmtId="166" fontId="0" fillId="5" borderId="1" xfId="0" applyNumberFormat="1" applyFill="1" applyBorder="1"/>
    <xf numFmtId="166" fontId="0" fillId="5" borderId="1" xfId="0" applyNumberFormat="1" applyFill="1" applyBorder="1" applyAlignment="1">
      <alignment wrapText="1"/>
    </xf>
    <xf numFmtId="164" fontId="0" fillId="5" borderId="3" xfId="0" applyNumberFormat="1" applyFill="1" applyBorder="1"/>
    <xf numFmtId="0" fontId="0" fillId="5" borderId="1" xfId="0" applyFill="1" applyBorder="1" applyAlignment="1">
      <alignment wrapText="1"/>
    </xf>
    <xf numFmtId="165" fontId="0" fillId="5" borderId="1" xfId="0" applyNumberFormat="1" applyFill="1" applyBorder="1"/>
    <xf numFmtId="0" fontId="6" fillId="5" borderId="1" xfId="0" applyFont="1" applyFill="1" applyBorder="1"/>
    <xf numFmtId="15" fontId="0" fillId="5" borderId="1" xfId="0" applyNumberFormat="1" applyFill="1" applyBorder="1"/>
    <xf numFmtId="0" fontId="0" fillId="5" borderId="13" xfId="0" applyFill="1" applyBorder="1"/>
    <xf numFmtId="0" fontId="7" fillId="5" borderId="1" xfId="1" applyFill="1" applyBorder="1" applyAlignment="1"/>
    <xf numFmtId="14" fontId="12" fillId="5" borderId="1" xfId="0" applyNumberFormat="1" applyFont="1" applyFill="1" applyBorder="1"/>
    <xf numFmtId="15" fontId="0" fillId="5" borderId="1" xfId="0" applyNumberFormat="1" applyFill="1" applyBorder="1" applyAlignment="1">
      <alignment wrapText="1"/>
    </xf>
    <xf numFmtId="0" fontId="0" fillId="6" borderId="8" xfId="0" applyFill="1" applyBorder="1"/>
    <xf numFmtId="0" fontId="7" fillId="6" borderId="8" xfId="1" applyFill="1" applyBorder="1" applyAlignment="1"/>
    <xf numFmtId="164" fontId="0" fillId="6" borderId="8" xfId="0" applyNumberFormat="1" applyFill="1" applyBorder="1"/>
    <xf numFmtId="15" fontId="0" fillId="6" borderId="8" xfId="0" applyNumberFormat="1" applyFill="1" applyBorder="1"/>
    <xf numFmtId="166" fontId="0" fillId="6" borderId="8" xfId="0" applyNumberFormat="1" applyFill="1" applyBorder="1"/>
    <xf numFmtId="166" fontId="0" fillId="6" borderId="8" xfId="0" applyNumberFormat="1" applyFill="1" applyBorder="1" applyAlignment="1">
      <alignment wrapText="1"/>
    </xf>
    <xf numFmtId="164" fontId="0" fillId="6" borderId="12" xfId="0" applyNumberFormat="1" applyFill="1" applyBorder="1"/>
    <xf numFmtId="0" fontId="0" fillId="6" borderId="1" xfId="0" applyFill="1" applyBorder="1"/>
    <xf numFmtId="165" fontId="0" fillId="6" borderId="8" xfId="0" applyNumberFormat="1" applyFill="1" applyBorder="1"/>
    <xf numFmtId="0" fontId="0" fillId="6" borderId="1" xfId="0" quotePrefix="1" applyFill="1" applyBorder="1"/>
    <xf numFmtId="164" fontId="0" fillId="6" borderId="1" xfId="0" applyNumberFormat="1" applyFill="1" applyBorder="1"/>
    <xf numFmtId="14" fontId="0" fillId="6" borderId="1" xfId="0" applyNumberFormat="1" applyFill="1" applyBorder="1"/>
    <xf numFmtId="166" fontId="0" fillId="6" borderId="1" xfId="0" applyNumberFormat="1" applyFill="1" applyBorder="1"/>
    <xf numFmtId="166" fontId="0" fillId="6" borderId="1" xfId="0" applyNumberFormat="1" applyFill="1" applyBorder="1" applyAlignment="1">
      <alignment wrapText="1"/>
    </xf>
    <xf numFmtId="164" fontId="0" fillId="6" borderId="3" xfId="0" applyNumberFormat="1" applyFill="1" applyBorder="1"/>
    <xf numFmtId="165" fontId="0" fillId="6" borderId="1" xfId="0" applyNumberFormat="1" applyFill="1" applyBorder="1"/>
    <xf numFmtId="0" fontId="7" fillId="6" borderId="1" xfId="1" applyFill="1" applyBorder="1" applyAlignment="1"/>
    <xf numFmtId="15" fontId="0" fillId="6" borderId="1" xfId="0" applyNumberFormat="1" applyFill="1" applyBorder="1"/>
    <xf numFmtId="0" fontId="0" fillId="6" borderId="1" xfId="0" applyFill="1" applyBorder="1" applyAlignment="1">
      <alignment wrapText="1"/>
    </xf>
    <xf numFmtId="0" fontId="0" fillId="6" borderId="2" xfId="0" applyFill="1" applyBorder="1"/>
    <xf numFmtId="0" fontId="7" fillId="6" borderId="0" xfId="1" applyFill="1" applyAlignment="1"/>
    <xf numFmtId="0" fontId="0" fillId="6" borderId="13" xfId="0" applyFill="1" applyBorder="1"/>
    <xf numFmtId="0" fontId="0" fillId="3" borderId="13" xfId="0" applyFill="1" applyBorder="1"/>
    <xf numFmtId="0" fontId="0" fillId="7" borderId="1" xfId="0" applyFill="1" applyBorder="1"/>
    <xf numFmtId="0" fontId="0" fillId="7" borderId="1" xfId="0" quotePrefix="1" applyFill="1" applyBorder="1"/>
    <xf numFmtId="164" fontId="0" fillId="7" borderId="1" xfId="0" applyNumberFormat="1" applyFill="1" applyBorder="1"/>
    <xf numFmtId="166" fontId="0" fillId="7" borderId="1" xfId="0" applyNumberFormat="1" applyFill="1" applyBorder="1"/>
    <xf numFmtId="166" fontId="0" fillId="7" borderId="1" xfId="0" applyNumberFormat="1" applyFill="1" applyBorder="1" applyAlignment="1">
      <alignment wrapText="1"/>
    </xf>
    <xf numFmtId="164" fontId="0" fillId="7" borderId="3" xfId="0" applyNumberFormat="1" applyFill="1" applyBorder="1"/>
    <xf numFmtId="165" fontId="0" fillId="7" borderId="1" xfId="0" applyNumberFormat="1" applyFill="1" applyBorder="1"/>
    <xf numFmtId="14" fontId="12" fillId="7" borderId="1" xfId="0" applyNumberFormat="1" applyFont="1" applyFill="1" applyBorder="1"/>
    <xf numFmtId="0" fontId="7" fillId="7" borderId="1" xfId="1" applyFill="1" applyBorder="1" applyAlignment="1"/>
    <xf numFmtId="0" fontId="0" fillId="7" borderId="1" xfId="0" applyFill="1" applyBorder="1" applyAlignment="1">
      <alignment wrapText="1"/>
    </xf>
    <xf numFmtId="0" fontId="0" fillId="7" borderId="13" xfId="0" applyFill="1" applyBorder="1"/>
    <xf numFmtId="15" fontId="0" fillId="7" borderId="1" xfId="0" applyNumberFormat="1" applyFill="1" applyBorder="1"/>
    <xf numFmtId="0" fontId="0" fillId="3" borderId="1" xfId="0" applyFill="1" applyBorder="1" applyAlignment="1">
      <alignment wrapText="1"/>
    </xf>
    <xf numFmtId="0" fontId="0" fillId="8" borderId="1" xfId="0" applyFill="1" applyBorder="1"/>
    <xf numFmtId="164" fontId="0" fillId="8" borderId="1" xfId="0" applyNumberFormat="1" applyFill="1" applyBorder="1"/>
    <xf numFmtId="166" fontId="0" fillId="8" borderId="1" xfId="0" applyNumberFormat="1" applyFill="1" applyBorder="1"/>
    <xf numFmtId="166" fontId="0" fillId="8" borderId="1" xfId="0" applyNumberFormat="1" applyFill="1" applyBorder="1" applyAlignment="1">
      <alignment wrapText="1"/>
    </xf>
    <xf numFmtId="164" fontId="0" fillId="8" borderId="3" xfId="0" applyNumberFormat="1" applyFill="1" applyBorder="1"/>
    <xf numFmtId="165" fontId="0" fillId="8" borderId="1" xfId="0" applyNumberFormat="1" applyFill="1" applyBorder="1"/>
    <xf numFmtId="0" fontId="0" fillId="8" borderId="4" xfId="0" applyFill="1" applyBorder="1"/>
    <xf numFmtId="0" fontId="0" fillId="8" borderId="1" xfId="0" applyFill="1" applyBorder="1" applyAlignment="1">
      <alignment wrapText="1"/>
    </xf>
    <xf numFmtId="0" fontId="0" fillId="8" borderId="1" xfId="0" quotePrefix="1" applyFill="1" applyBorder="1"/>
    <xf numFmtId="0" fontId="0" fillId="8" borderId="13" xfId="0" applyFill="1" applyBorder="1"/>
    <xf numFmtId="0" fontId="7" fillId="8" borderId="1" xfId="1" applyFill="1" applyBorder="1" applyAlignment="1"/>
    <xf numFmtId="164" fontId="0" fillId="8" borderId="0" xfId="0" applyNumberFormat="1" applyFill="1"/>
    <xf numFmtId="0" fontId="0" fillId="8" borderId="8" xfId="0" applyFill="1" applyBorder="1"/>
    <xf numFmtId="0" fontId="0" fillId="9" borderId="1" xfId="0" applyFill="1" applyBorder="1"/>
    <xf numFmtId="164" fontId="0" fillId="9" borderId="1" xfId="0" applyNumberFormat="1" applyFill="1" applyBorder="1"/>
    <xf numFmtId="166" fontId="0" fillId="9" borderId="1" xfId="0" applyNumberFormat="1" applyFill="1" applyBorder="1"/>
    <xf numFmtId="166" fontId="0" fillId="9" borderId="1" xfId="0" applyNumberFormat="1" applyFill="1" applyBorder="1" applyAlignment="1">
      <alignment wrapText="1"/>
    </xf>
    <xf numFmtId="165" fontId="0" fillId="9" borderId="3" xfId="0" applyNumberFormat="1" applyFill="1" applyBorder="1"/>
    <xf numFmtId="0" fontId="0" fillId="9" borderId="2" xfId="0" applyFill="1" applyBorder="1"/>
    <xf numFmtId="165" fontId="0" fillId="9" borderId="1" xfId="0" applyNumberFormat="1" applyFill="1" applyBorder="1"/>
    <xf numFmtId="0" fontId="7" fillId="9" borderId="1" xfId="1" applyFill="1" applyBorder="1" applyAlignment="1"/>
    <xf numFmtId="0" fontId="0" fillId="9" borderId="1" xfId="0" quotePrefix="1" applyFill="1" applyBorder="1"/>
    <xf numFmtId="0" fontId="0" fillId="9" borderId="1" xfId="0" applyFill="1" applyBorder="1" applyAlignment="1">
      <alignment wrapText="1"/>
    </xf>
    <xf numFmtId="165" fontId="0" fillId="9" borderId="0" xfId="0" applyNumberFormat="1" applyFill="1"/>
    <xf numFmtId="0" fontId="0" fillId="9" borderId="0" xfId="0" applyFill="1"/>
    <xf numFmtId="0" fontId="0" fillId="9" borderId="13" xfId="0" applyFill="1" applyBorder="1"/>
    <xf numFmtId="164" fontId="0" fillId="9" borderId="1" xfId="0" applyNumberFormat="1" applyFill="1" applyBorder="1" applyAlignment="1">
      <alignment wrapText="1"/>
    </xf>
    <xf numFmtId="165" fontId="0" fillId="3" borderId="3" xfId="0" applyNumberFormat="1" applyFill="1" applyBorder="1"/>
    <xf numFmtId="0" fontId="0" fillId="3" borderId="8" xfId="0" applyFill="1" applyBorder="1"/>
    <xf numFmtId="0" fontId="7" fillId="3" borderId="1" xfId="1" applyFill="1" applyBorder="1" applyAlignment="1"/>
    <xf numFmtId="0" fontId="0" fillId="6" borderId="4" xfId="0" applyFill="1" applyBorder="1"/>
    <xf numFmtId="2" fontId="0" fillId="4" borderId="1" xfId="0" quotePrefix="1" applyNumberFormat="1" applyFill="1" applyBorder="1"/>
    <xf numFmtId="0" fontId="0" fillId="4" borderId="0" xfId="0" applyFill="1"/>
    <xf numFmtId="2" fontId="0" fillId="4" borderId="1" xfId="0" quotePrefix="1" applyNumberFormat="1" applyFill="1" applyBorder="1" applyAlignment="1">
      <alignment wrapText="1"/>
    </xf>
    <xf numFmtId="2" fontId="0" fillId="4" borderId="1" xfId="0" applyNumberFormat="1" applyFill="1" applyBorder="1"/>
    <xf numFmtId="2" fontId="0" fillId="3" borderId="1" xfId="0" applyNumberFormat="1" applyFill="1" applyBorder="1"/>
    <xf numFmtId="0" fontId="6" fillId="4" borderId="0" xfId="0" applyFont="1" applyFill="1" applyAlignment="1">
      <alignment wrapText="1"/>
    </xf>
    <xf numFmtId="0" fontId="0" fillId="10" borderId="1" xfId="0" applyFill="1" applyBorder="1"/>
    <xf numFmtId="164" fontId="0" fillId="10" borderId="1" xfId="0" applyNumberFormat="1" applyFill="1" applyBorder="1"/>
    <xf numFmtId="166" fontId="0" fillId="10" borderId="1" xfId="0" applyNumberFormat="1" applyFill="1" applyBorder="1"/>
    <xf numFmtId="166" fontId="0" fillId="10" borderId="1" xfId="0" applyNumberFormat="1" applyFill="1" applyBorder="1" applyAlignment="1">
      <alignment wrapText="1"/>
    </xf>
    <xf numFmtId="164" fontId="0" fillId="10" borderId="3" xfId="0" applyNumberFormat="1" applyFill="1" applyBorder="1"/>
    <xf numFmtId="165" fontId="0" fillId="10" borderId="1" xfId="0" applyNumberFormat="1" applyFill="1" applyBorder="1"/>
    <xf numFmtId="0" fontId="0" fillId="10" borderId="2" xfId="0" applyFill="1" applyBorder="1"/>
    <xf numFmtId="0" fontId="7" fillId="10" borderId="1" xfId="1" applyFill="1" applyBorder="1" applyAlignment="1"/>
    <xf numFmtId="0" fontId="0" fillId="2" borderId="4" xfId="0" applyFill="1" applyBorder="1"/>
    <xf numFmtId="164" fontId="4" fillId="2" borderId="1" xfId="0" applyNumberFormat="1" applyFont="1" applyFill="1" applyBorder="1"/>
    <xf numFmtId="1" fontId="0" fillId="2" borderId="4" xfId="0" applyNumberFormat="1" applyFill="1" applyBorder="1"/>
    <xf numFmtId="0" fontId="0" fillId="14" borderId="4" xfId="0" applyFill="1" applyBorder="1"/>
    <xf numFmtId="164" fontId="4" fillId="14" borderId="1" xfId="0" applyNumberFormat="1" applyFont="1" applyFill="1" applyBorder="1"/>
    <xf numFmtId="0" fontId="0" fillId="14" borderId="1" xfId="0" applyFill="1" applyBorder="1" applyAlignment="1">
      <alignment wrapText="1"/>
    </xf>
    <xf numFmtId="1" fontId="0" fillId="14" borderId="4" xfId="0" applyNumberFormat="1" applyFill="1" applyBorder="1"/>
    <xf numFmtId="164" fontId="4" fillId="3" borderId="1" xfId="0" applyNumberFormat="1" applyFont="1" applyFill="1" applyBorder="1"/>
    <xf numFmtId="1" fontId="0" fillId="3" borderId="1" xfId="0" applyNumberFormat="1" applyFill="1" applyBorder="1"/>
    <xf numFmtId="164" fontId="0" fillId="4" borderId="3" xfId="0" applyNumberFormat="1" applyFill="1" applyBorder="1" applyAlignment="1">
      <alignment wrapText="1"/>
    </xf>
    <xf numFmtId="1" fontId="0" fillId="4" borderId="4" xfId="0" applyNumberFormat="1" applyFill="1" applyBorder="1"/>
    <xf numFmtId="0" fontId="0" fillId="4" borderId="4" xfId="0" applyFill="1" applyBorder="1"/>
    <xf numFmtId="164" fontId="4" fillId="4" borderId="1" xfId="0" applyNumberFormat="1" applyFont="1" applyFill="1" applyBorder="1"/>
    <xf numFmtId="0" fontId="0" fillId="5" borderId="4" xfId="0" applyFill="1" applyBorder="1"/>
    <xf numFmtId="1" fontId="0" fillId="5" borderId="4" xfId="0" applyNumberFormat="1" applyFill="1" applyBorder="1"/>
    <xf numFmtId="164" fontId="0" fillId="5" borderId="1" xfId="0" applyNumberFormat="1" applyFill="1" applyBorder="1" applyAlignment="1">
      <alignment wrapText="1"/>
    </xf>
    <xf numFmtId="164" fontId="0" fillId="5" borderId="3" xfId="0" applyNumberFormat="1" applyFill="1" applyBorder="1" applyAlignment="1">
      <alignment wrapText="1"/>
    </xf>
    <xf numFmtId="15" fontId="0" fillId="5" borderId="4" xfId="0" applyNumberFormat="1" applyFill="1" applyBorder="1"/>
    <xf numFmtId="14" fontId="12" fillId="5" borderId="4" xfId="0" applyNumberFormat="1" applyFont="1" applyFill="1" applyBorder="1"/>
    <xf numFmtId="164" fontId="0" fillId="5" borderId="1" xfId="0" quotePrefix="1" applyNumberFormat="1" applyFill="1" applyBorder="1"/>
    <xf numFmtId="14" fontId="12" fillId="5" borderId="1" xfId="0" applyNumberFormat="1" applyFont="1" applyFill="1" applyBorder="1" applyAlignment="1">
      <alignment wrapText="1"/>
    </xf>
    <xf numFmtId="0" fontId="0" fillId="5" borderId="4" xfId="0" quotePrefix="1" applyFill="1" applyBorder="1"/>
    <xf numFmtId="0" fontId="0" fillId="6" borderId="10" xfId="0" applyFill="1" applyBorder="1"/>
    <xf numFmtId="0" fontId="0" fillId="6" borderId="8" xfId="0" applyFill="1" applyBorder="1" applyAlignment="1">
      <alignment wrapText="1"/>
    </xf>
    <xf numFmtId="15" fontId="0" fillId="6" borderId="8" xfId="0" applyNumberFormat="1" applyFill="1" applyBorder="1" applyAlignment="1">
      <alignment wrapText="1"/>
    </xf>
    <xf numFmtId="1" fontId="0" fillId="6" borderId="9" xfId="0" applyNumberFormat="1" applyFill="1" applyBorder="1"/>
    <xf numFmtId="164" fontId="0" fillId="6" borderId="1" xfId="0" applyNumberFormat="1" applyFill="1" applyBorder="1" applyAlignment="1">
      <alignment wrapText="1"/>
    </xf>
    <xf numFmtId="164" fontId="0" fillId="6" borderId="3" xfId="0" applyNumberFormat="1" applyFill="1" applyBorder="1" applyAlignment="1">
      <alignment wrapText="1"/>
    </xf>
    <xf numFmtId="1" fontId="0" fillId="6" borderId="4" xfId="0" applyNumberFormat="1" applyFill="1" applyBorder="1"/>
    <xf numFmtId="14" fontId="12" fillId="6" borderId="4" xfId="0" applyNumberFormat="1" applyFont="1" applyFill="1" applyBorder="1"/>
    <xf numFmtId="0" fontId="0" fillId="7" borderId="6" xfId="0" applyFill="1" applyBorder="1"/>
    <xf numFmtId="1" fontId="0" fillId="7" borderId="4" xfId="0" applyNumberFormat="1" applyFill="1" applyBorder="1"/>
    <xf numFmtId="164" fontId="0" fillId="7" borderId="1" xfId="0" applyNumberFormat="1" applyFill="1" applyBorder="1" applyAlignment="1">
      <alignment wrapText="1"/>
    </xf>
    <xf numFmtId="164" fontId="0" fillId="7" borderId="3" xfId="0" applyNumberFormat="1" applyFill="1" applyBorder="1" applyAlignment="1">
      <alignment wrapText="1"/>
    </xf>
    <xf numFmtId="0" fontId="0" fillId="7" borderId="4" xfId="0" applyFill="1" applyBorder="1"/>
    <xf numFmtId="14" fontId="12" fillId="7" borderId="4" xfId="0" applyNumberFormat="1" applyFont="1" applyFill="1" applyBorder="1"/>
    <xf numFmtId="14" fontId="12" fillId="7" borderId="5" xfId="0" applyNumberFormat="1" applyFont="1" applyFill="1" applyBorder="1"/>
    <xf numFmtId="0" fontId="0" fillId="7" borderId="4" xfId="0" quotePrefix="1" applyFill="1" applyBorder="1"/>
    <xf numFmtId="15" fontId="0" fillId="7" borderId="5" xfId="0" applyNumberFormat="1" applyFill="1" applyBorder="1"/>
    <xf numFmtId="164" fontId="0" fillId="3" borderId="1" xfId="0" applyNumberFormat="1" applyFill="1" applyBorder="1" applyAlignment="1">
      <alignment wrapText="1"/>
    </xf>
    <xf numFmtId="164" fontId="0" fillId="3" borderId="3" xfId="0" applyNumberFormat="1" applyFill="1" applyBorder="1" applyAlignment="1">
      <alignment wrapText="1"/>
    </xf>
    <xf numFmtId="164" fontId="0" fillId="8" borderId="1" xfId="0" applyNumberFormat="1" applyFill="1" applyBorder="1" applyAlignment="1">
      <alignment wrapText="1"/>
    </xf>
    <xf numFmtId="164" fontId="0" fillId="8" borderId="3" xfId="0" applyNumberFormat="1" applyFill="1" applyBorder="1" applyAlignment="1">
      <alignment wrapText="1"/>
    </xf>
    <xf numFmtId="0" fontId="6" fillId="8" borderId="1" xfId="0" applyFont="1" applyFill="1" applyBorder="1"/>
    <xf numFmtId="0" fontId="0" fillId="8" borderId="9" xfId="0" applyFill="1" applyBorder="1"/>
    <xf numFmtId="15" fontId="0" fillId="8" borderId="9" xfId="0" applyNumberFormat="1" applyFill="1" applyBorder="1"/>
    <xf numFmtId="15" fontId="0" fillId="8" borderId="10" xfId="0" applyNumberFormat="1" applyFill="1" applyBorder="1"/>
    <xf numFmtId="15" fontId="0" fillId="8" borderId="1" xfId="0" applyNumberFormat="1" applyFill="1" applyBorder="1"/>
    <xf numFmtId="15" fontId="0" fillId="8" borderId="9" xfId="0" applyNumberFormat="1" applyFill="1" applyBorder="1" applyAlignment="1">
      <alignment wrapText="1"/>
    </xf>
    <xf numFmtId="14" fontId="12" fillId="8" borderId="4" xfId="0" applyNumberFormat="1" applyFont="1" applyFill="1" applyBorder="1"/>
    <xf numFmtId="15" fontId="0" fillId="8" borderId="5" xfId="0" applyNumberFormat="1" applyFill="1" applyBorder="1"/>
    <xf numFmtId="15" fontId="0" fillId="8" borderId="4" xfId="0" applyNumberFormat="1" applyFill="1" applyBorder="1"/>
    <xf numFmtId="0" fontId="0" fillId="8" borderId="4" xfId="0" applyFill="1" applyBorder="1" applyAlignment="1">
      <alignment wrapText="1"/>
    </xf>
    <xf numFmtId="1" fontId="0" fillId="9" borderId="4" xfId="0" applyNumberFormat="1" applyFill="1" applyBorder="1"/>
    <xf numFmtId="1" fontId="0" fillId="6" borderId="4" xfId="0" applyNumberFormat="1" applyFill="1" applyBorder="1" applyAlignment="1">
      <alignment wrapText="1"/>
    </xf>
    <xf numFmtId="1" fontId="0" fillId="3" borderId="4" xfId="0" applyNumberFormat="1" applyFill="1" applyBorder="1"/>
    <xf numFmtId="1" fontId="0" fillId="4" borderId="4" xfId="0" applyNumberFormat="1" applyFill="1" applyBorder="1" applyAlignment="1">
      <alignment wrapText="1"/>
    </xf>
    <xf numFmtId="14" fontId="6" fillId="4" borderId="0" xfId="0" applyNumberFormat="1" applyFont="1" applyFill="1"/>
    <xf numFmtId="164" fontId="0" fillId="4" borderId="0" xfId="0" applyNumberFormat="1" applyFill="1"/>
    <xf numFmtId="0" fontId="0" fillId="10" borderId="1" xfId="0" applyFill="1" applyBorder="1" applyAlignment="1">
      <alignment wrapText="1"/>
    </xf>
    <xf numFmtId="1" fontId="0" fillId="10" borderId="4" xfId="0" applyNumberFormat="1" applyFill="1" applyBorder="1"/>
    <xf numFmtId="0" fontId="2" fillId="11" borderId="1" xfId="0" applyFont="1" applyFill="1" applyBorder="1" applyAlignment="1">
      <alignment vertical="top" wrapText="1"/>
    </xf>
    <xf numFmtId="164" fontId="1" fillId="11" borderId="2" xfId="0" applyNumberFormat="1" applyFont="1" applyFill="1" applyBorder="1" applyAlignment="1">
      <alignment vertical="top" wrapText="1"/>
    </xf>
    <xf numFmtId="0" fontId="1" fillId="11" borderId="1" xfId="0" applyFont="1" applyFill="1" applyBorder="1" applyAlignment="1">
      <alignment vertical="top" wrapText="1"/>
    </xf>
    <xf numFmtId="164" fontId="1" fillId="11" borderId="3" xfId="0" applyNumberFormat="1" applyFont="1" applyFill="1" applyBorder="1" applyAlignment="1">
      <alignment vertical="top" wrapText="1"/>
    </xf>
    <xf numFmtId="0" fontId="1" fillId="11" borderId="4" xfId="0" applyFont="1" applyFill="1" applyBorder="1" applyAlignment="1">
      <alignment vertical="top" wrapText="1"/>
    </xf>
    <xf numFmtId="165" fontId="1" fillId="11" borderId="1" xfId="0" applyNumberFormat="1" applyFont="1" applyFill="1" applyBorder="1" applyAlignment="1">
      <alignment vertical="top" wrapText="1"/>
    </xf>
    <xf numFmtId="0" fontId="0" fillId="0" borderId="0" xfId="0" applyAlignment="1">
      <alignment vertical="top" wrapText="1"/>
    </xf>
    <xf numFmtId="14" fontId="1" fillId="11" borderId="1" xfId="0" applyNumberFormat="1" applyFont="1" applyFill="1" applyBorder="1" applyAlignment="1">
      <alignment vertical="top" wrapText="1"/>
    </xf>
    <xf numFmtId="14" fontId="0" fillId="0" borderId="0" xfId="0" applyNumberFormat="1"/>
    <xf numFmtId="167" fontId="0" fillId="14" borderId="1" xfId="0" applyNumberFormat="1" applyFill="1" applyBorder="1"/>
    <xf numFmtId="167" fontId="0" fillId="3" borderId="1" xfId="0" applyNumberFormat="1" applyFill="1" applyBorder="1"/>
    <xf numFmtId="167" fontId="0" fillId="4" borderId="1" xfId="0" applyNumberFormat="1" applyFill="1" applyBorder="1"/>
    <xf numFmtId="167" fontId="0" fillId="5" borderId="1" xfId="0" applyNumberFormat="1" applyFill="1" applyBorder="1"/>
    <xf numFmtId="167" fontId="0" fillId="6" borderId="8" xfId="0" applyNumberFormat="1" applyFill="1" applyBorder="1"/>
    <xf numFmtId="167" fontId="0" fillId="6" borderId="1" xfId="0" applyNumberFormat="1" applyFill="1" applyBorder="1"/>
    <xf numFmtId="167" fontId="0" fillId="7" borderId="1" xfId="0" applyNumberFormat="1" applyFill="1" applyBorder="1"/>
    <xf numFmtId="167" fontId="0" fillId="8" borderId="1" xfId="0" applyNumberFormat="1" applyFill="1" applyBorder="1"/>
    <xf numFmtId="167" fontId="0" fillId="9" borderId="1" xfId="0" applyNumberFormat="1" applyFill="1" applyBorder="1"/>
    <xf numFmtId="167" fontId="0" fillId="10" borderId="1" xfId="0" applyNumberFormat="1" applyFill="1" applyBorder="1"/>
    <xf numFmtId="164" fontId="0" fillId="14" borderId="1" xfId="0" applyNumberFormat="1" applyFill="1" applyBorder="1" applyAlignment="1">
      <alignment wrapText="1"/>
    </xf>
    <xf numFmtId="0" fontId="7" fillId="14" borderId="1" xfId="1" applyFill="1" applyBorder="1" applyAlignment="1"/>
    <xf numFmtId="0" fontId="0" fillId="14" borderId="0" xfId="0" applyFill="1"/>
    <xf numFmtId="15" fontId="0" fillId="6" borderId="1" xfId="0" applyNumberFormat="1" applyFill="1" applyBorder="1" applyAlignment="1">
      <alignment wrapText="1"/>
    </xf>
    <xf numFmtId="0" fontId="0" fillId="7" borderId="1" xfId="0" applyFill="1" applyBorder="1" applyAlignment="1">
      <alignment vertical="top" wrapText="1"/>
    </xf>
    <xf numFmtId="164" fontId="0" fillId="4" borderId="1" xfId="0" applyNumberFormat="1" applyFill="1" applyBorder="1" applyAlignment="1">
      <alignment vertical="top" wrapText="1"/>
    </xf>
    <xf numFmtId="0" fontId="15" fillId="11" borderId="1" xfId="0" applyFont="1" applyFill="1" applyBorder="1" applyAlignment="1">
      <alignment vertical="top" wrapText="1"/>
    </xf>
    <xf numFmtId="0" fontId="16" fillId="11" borderId="1" xfId="0" applyFont="1" applyFill="1" applyBorder="1" applyAlignment="1">
      <alignment vertical="top" wrapText="1"/>
    </xf>
    <xf numFmtId="2" fontId="16" fillId="11" borderId="1" xfId="0" applyNumberFormat="1" applyFont="1" applyFill="1" applyBorder="1" applyAlignment="1">
      <alignment vertical="top" wrapText="1"/>
    </xf>
    <xf numFmtId="0" fontId="0" fillId="15" borderId="0" xfId="0" applyFill="1"/>
    <xf numFmtId="0" fontId="17" fillId="15" borderId="1" xfId="0" applyFont="1" applyFill="1" applyBorder="1"/>
    <xf numFmtId="10" fontId="17" fillId="15" borderId="1" xfId="0" applyNumberFormat="1" applyFont="1" applyFill="1" applyBorder="1"/>
    <xf numFmtId="168" fontId="17" fillId="15" borderId="1" xfId="0" applyNumberFormat="1" applyFont="1" applyFill="1" applyBorder="1"/>
    <xf numFmtId="1" fontId="0" fillId="4" borderId="4" xfId="0" applyNumberFormat="1" applyFill="1" applyBorder="1" applyAlignment="1">
      <alignment vertical="top" wrapText="1"/>
    </xf>
    <xf numFmtId="0" fontId="0" fillId="10" borderId="0" xfId="0" applyFill="1"/>
    <xf numFmtId="0" fontId="0" fillId="10" borderId="0" xfId="0" applyFill="1" applyAlignment="1">
      <alignment wrapText="1"/>
    </xf>
    <xf numFmtId="0" fontId="7" fillId="6" borderId="1" xfId="1" applyFill="1" applyBorder="1" applyAlignment="1">
      <alignment wrapText="1"/>
    </xf>
    <xf numFmtId="0" fontId="1" fillId="16" borderId="0" xfId="0" applyFont="1" applyFill="1"/>
    <xf numFmtId="9" fontId="0" fillId="0" borderId="1" xfId="3" applyFont="1" applyBorder="1"/>
    <xf numFmtId="1" fontId="0" fillId="10" borderId="4" xfId="0" applyNumberFormat="1" applyFill="1" applyBorder="1" applyAlignment="1">
      <alignment wrapText="1"/>
    </xf>
    <xf numFmtId="0" fontId="18" fillId="8" borderId="1" xfId="0" applyFont="1" applyFill="1" applyBorder="1"/>
    <xf numFmtId="164" fontId="18" fillId="9" borderId="1" xfId="0" applyNumberFormat="1" applyFont="1" applyFill="1" applyBorder="1"/>
    <xf numFmtId="0" fontId="3" fillId="17" borderId="1" xfId="0" applyFont="1" applyFill="1" applyBorder="1" applyAlignment="1">
      <alignment wrapText="1"/>
    </xf>
    <xf numFmtId="164" fontId="0" fillId="17" borderId="1" xfId="0" applyNumberFormat="1" applyFill="1" applyBorder="1"/>
    <xf numFmtId="0" fontId="6" fillId="17" borderId="1" xfId="0" applyFont="1" applyFill="1" applyBorder="1" applyAlignment="1">
      <alignment wrapText="1"/>
    </xf>
    <xf numFmtId="166" fontId="0" fillId="17" borderId="1" xfId="0" applyNumberFormat="1" applyFill="1" applyBorder="1"/>
    <xf numFmtId="166" fontId="0" fillId="10" borderId="1" xfId="0" applyNumberFormat="1" applyFill="1" applyBorder="1" applyAlignment="1">
      <alignment horizontal="right" wrapText="1"/>
    </xf>
    <xf numFmtId="166" fontId="0" fillId="10" borderId="1" xfId="0" applyNumberFormat="1" applyFill="1" applyBorder="1" applyAlignment="1">
      <alignment horizontal="right"/>
    </xf>
    <xf numFmtId="0" fontId="7" fillId="4" borderId="1" xfId="1" applyFill="1" applyBorder="1"/>
    <xf numFmtId="0" fontId="7" fillId="7" borderId="1" xfId="1" applyFill="1" applyBorder="1"/>
    <xf numFmtId="164" fontId="0" fillId="10" borderId="2" xfId="0" applyNumberFormat="1" applyFill="1" applyBorder="1"/>
    <xf numFmtId="0" fontId="0" fillId="10" borderId="2" xfId="0" applyFill="1" applyBorder="1" applyAlignment="1">
      <alignment wrapText="1"/>
    </xf>
    <xf numFmtId="167" fontId="0" fillId="10" borderId="2" xfId="0" applyNumberFormat="1" applyFill="1" applyBorder="1"/>
    <xf numFmtId="166" fontId="0" fillId="10" borderId="2" xfId="0" applyNumberFormat="1" applyFill="1" applyBorder="1"/>
    <xf numFmtId="166" fontId="0" fillId="10" borderId="2" xfId="0" applyNumberFormat="1" applyFill="1" applyBorder="1" applyAlignment="1">
      <alignment horizontal="right" wrapText="1"/>
    </xf>
    <xf numFmtId="166" fontId="0" fillId="10" borderId="2" xfId="0" applyNumberFormat="1" applyFill="1" applyBorder="1" applyAlignment="1">
      <alignment wrapText="1"/>
    </xf>
    <xf numFmtId="164" fontId="0" fillId="10" borderId="11" xfId="0" applyNumberFormat="1" applyFill="1" applyBorder="1"/>
    <xf numFmtId="1" fontId="0" fillId="10" borderId="6" xfId="0" applyNumberFormat="1" applyFill="1" applyBorder="1"/>
    <xf numFmtId="165" fontId="0" fillId="10" borderId="2" xfId="0" applyNumberFormat="1" applyFill="1" applyBorder="1"/>
    <xf numFmtId="0" fontId="0" fillId="18" borderId="14" xfId="0" applyFill="1" applyBorder="1"/>
    <xf numFmtId="0" fontId="3" fillId="18" borderId="14" xfId="0" applyFont="1" applyFill="1" applyBorder="1"/>
    <xf numFmtId="0" fontId="0" fillId="18" borderId="14" xfId="0" applyFill="1" applyBorder="1" applyAlignment="1">
      <alignment horizontal="left"/>
    </xf>
    <xf numFmtId="164" fontId="0" fillId="18" borderId="14" xfId="0" applyNumberFormat="1" applyFill="1" applyBorder="1"/>
    <xf numFmtId="0" fontId="0" fillId="18" borderId="14" xfId="0" applyFill="1" applyBorder="1" applyAlignment="1">
      <alignment horizontal="left" wrapText="1"/>
    </xf>
    <xf numFmtId="0" fontId="0" fillId="18" borderId="14" xfId="0" applyFill="1" applyBorder="1" applyAlignment="1">
      <alignment horizontal="right"/>
    </xf>
    <xf numFmtId="0" fontId="0" fillId="18" borderId="14" xfId="0" applyFill="1" applyBorder="1" applyAlignment="1">
      <alignment horizontal="left" vertical="top"/>
    </xf>
    <xf numFmtId="1" fontId="0" fillId="18" borderId="14" xfId="0" applyNumberFormat="1" applyFill="1" applyBorder="1" applyAlignment="1">
      <alignment horizontal="right"/>
    </xf>
    <xf numFmtId="0" fontId="0" fillId="3" borderId="14" xfId="0" applyFill="1" applyBorder="1"/>
    <xf numFmtId="2" fontId="0" fillId="2" borderId="1" xfId="0" applyNumberFormat="1" applyFill="1" applyBorder="1"/>
    <xf numFmtId="2" fontId="0" fillId="2" borderId="1" xfId="0" quotePrefix="1" applyNumberFormat="1" applyFill="1" applyBorder="1"/>
    <xf numFmtId="2" fontId="0" fillId="14" borderId="1" xfId="0" quotePrefix="1" applyNumberFormat="1" applyFill="1" applyBorder="1"/>
    <xf numFmtId="2" fontId="0" fillId="3" borderId="1" xfId="0" quotePrefix="1" applyNumberFormat="1" applyFill="1" applyBorder="1"/>
    <xf numFmtId="2" fontId="0" fillId="5" borderId="1" xfId="0" quotePrefix="1" applyNumberFormat="1" applyFill="1" applyBorder="1"/>
    <xf numFmtId="2" fontId="0" fillId="5" borderId="1" xfId="0" applyNumberFormat="1" applyFill="1" applyBorder="1"/>
    <xf numFmtId="2" fontId="0" fillId="6" borderId="8" xfId="0" quotePrefix="1" applyNumberFormat="1" applyFill="1" applyBorder="1"/>
    <xf numFmtId="2" fontId="0" fillId="6" borderId="1" xfId="0" quotePrefix="1" applyNumberFormat="1" applyFill="1" applyBorder="1"/>
    <xf numFmtId="2" fontId="0" fillId="6" borderId="1" xfId="0" applyNumberFormat="1" applyFill="1" applyBorder="1"/>
    <xf numFmtId="2" fontId="0" fillId="7" borderId="1" xfId="0" quotePrefix="1" applyNumberFormat="1" applyFill="1" applyBorder="1"/>
    <xf numFmtId="2" fontId="0" fillId="7" borderId="1" xfId="0" applyNumberFormat="1" applyFill="1" applyBorder="1"/>
    <xf numFmtId="2" fontId="0" fillId="8" borderId="1" xfId="0" applyNumberFormat="1" applyFill="1" applyBorder="1"/>
    <xf numFmtId="2" fontId="0" fillId="8" borderId="1" xfId="0" quotePrefix="1" applyNumberFormat="1" applyFill="1" applyBorder="1"/>
    <xf numFmtId="2" fontId="0" fillId="9" borderId="1" xfId="0" applyNumberFormat="1" applyFill="1" applyBorder="1"/>
    <xf numFmtId="2" fontId="0" fillId="9" borderId="1" xfId="0" quotePrefix="1" applyNumberFormat="1" applyFill="1" applyBorder="1"/>
    <xf numFmtId="2" fontId="0" fillId="3" borderId="1" xfId="0" applyNumberFormat="1" applyFill="1" applyBorder="1" applyAlignment="1">
      <alignment wrapText="1"/>
    </xf>
    <xf numFmtId="2" fontId="0" fillId="10" borderId="1" xfId="0" quotePrefix="1" applyNumberFormat="1" applyFill="1" applyBorder="1"/>
    <xf numFmtId="2" fontId="0" fillId="10" borderId="2" xfId="0" quotePrefix="1" applyNumberFormat="1" applyFill="1" applyBorder="1"/>
    <xf numFmtId="0" fontId="0" fillId="18" borderId="14" xfId="0" quotePrefix="1" applyFill="1" applyBorder="1" applyAlignment="1">
      <alignment horizontal="left" wrapText="1"/>
    </xf>
    <xf numFmtId="0" fontId="3" fillId="3" borderId="14" xfId="0" applyFont="1" applyFill="1" applyBorder="1"/>
    <xf numFmtId="0" fontId="0" fillId="3" borderId="14" xfId="0" quotePrefix="1" applyFill="1" applyBorder="1" applyAlignment="1">
      <alignment horizontal="left" wrapText="1"/>
    </xf>
    <xf numFmtId="0" fontId="7" fillId="18" borderId="14" xfId="1" applyFill="1" applyBorder="1" applyAlignment="1"/>
    <xf numFmtId="2" fontId="0" fillId="19" borderId="2" xfId="0" quotePrefix="1" applyNumberFormat="1" applyFill="1" applyBorder="1"/>
    <xf numFmtId="164" fontId="0" fillId="19" borderId="2" xfId="0" applyNumberFormat="1" applyFill="1" applyBorder="1"/>
    <xf numFmtId="166" fontId="0" fillId="19" borderId="2" xfId="0" applyNumberFormat="1" applyFill="1" applyBorder="1"/>
    <xf numFmtId="0" fontId="0" fillId="19" borderId="2" xfId="0" applyFill="1" applyBorder="1"/>
    <xf numFmtId="165" fontId="0" fillId="3" borderId="0" xfId="0" applyNumberFormat="1" applyFill="1"/>
    <xf numFmtId="0" fontId="10" fillId="3" borderId="1" xfId="0" applyFont="1" applyFill="1" applyBorder="1" applyAlignment="1">
      <alignment wrapText="1"/>
    </xf>
    <xf numFmtId="0" fontId="3" fillId="3" borderId="1" xfId="0" applyFont="1" applyFill="1" applyBorder="1" applyAlignment="1">
      <alignment wrapText="1"/>
    </xf>
    <xf numFmtId="0" fontId="0" fillId="0" borderId="15" xfId="0" applyBorder="1"/>
    <xf numFmtId="0" fontId="1" fillId="11" borderId="3" xfId="0" applyFont="1" applyFill="1" applyBorder="1" applyAlignment="1">
      <alignment vertical="top" wrapText="1"/>
    </xf>
    <xf numFmtId="0" fontId="0" fillId="2" borderId="3" xfId="0" applyFill="1" applyBorder="1"/>
    <xf numFmtId="0" fontId="0" fillId="14" borderId="3" xfId="0" applyFill="1" applyBorder="1"/>
    <xf numFmtId="0" fontId="0" fillId="4" borderId="3" xfId="0" applyFill="1" applyBorder="1"/>
    <xf numFmtId="0" fontId="0" fillId="5" borderId="3" xfId="0" applyFill="1" applyBorder="1"/>
    <xf numFmtId="0" fontId="0" fillId="6" borderId="12" xfId="0" applyFill="1" applyBorder="1"/>
    <xf numFmtId="0" fontId="0" fillId="6" borderId="3" xfId="0" applyFill="1" applyBorder="1"/>
    <xf numFmtId="0" fontId="0" fillId="7" borderId="3" xfId="0" applyFill="1" applyBorder="1"/>
    <xf numFmtId="0" fontId="0" fillId="8" borderId="3" xfId="0" applyFill="1" applyBorder="1"/>
    <xf numFmtId="0" fontId="0" fillId="9" borderId="3" xfId="0" applyFill="1" applyBorder="1"/>
    <xf numFmtId="0" fontId="0" fillId="10" borderId="3" xfId="0" applyFill="1" applyBorder="1"/>
    <xf numFmtId="0" fontId="0" fillId="10" borderId="11" xfId="0" applyFill="1" applyBorder="1"/>
    <xf numFmtId="0" fontId="0" fillId="18" borderId="16" xfId="0" applyFill="1" applyBorder="1"/>
    <xf numFmtId="0" fontId="0" fillId="14" borderId="15" xfId="0" applyFill="1" applyBorder="1"/>
    <xf numFmtId="0" fontId="0" fillId="18" borderId="1" xfId="0" applyFill="1" applyBorder="1"/>
    <xf numFmtId="164" fontId="0" fillId="10" borderId="1" xfId="0" applyNumberFormat="1" applyFill="1" applyBorder="1" applyAlignment="1">
      <alignment wrapText="1"/>
    </xf>
    <xf numFmtId="0" fontId="7" fillId="9" borderId="1" xfId="1" applyFill="1" applyBorder="1"/>
    <xf numFmtId="0" fontId="7" fillId="2" borderId="1" xfId="1" applyFill="1" applyBorder="1"/>
    <xf numFmtId="0" fontId="7" fillId="8" borderId="1" xfId="1" applyFill="1" applyBorder="1"/>
    <xf numFmtId="0" fontId="7" fillId="6" borderId="1" xfId="1" applyFill="1" applyBorder="1"/>
    <xf numFmtId="0" fontId="7" fillId="5" borderId="1" xfId="1" applyFill="1" applyBorder="1"/>
    <xf numFmtId="0" fontId="7" fillId="3" borderId="1" xfId="1" applyFill="1" applyBorder="1"/>
    <xf numFmtId="9" fontId="0" fillId="0" borderId="0" xfId="3" applyFont="1"/>
    <xf numFmtId="0" fontId="0" fillId="18" borderId="14" xfId="0" applyFill="1" applyBorder="1" applyAlignment="1">
      <alignment horizontal="left" vertical="top" wrapText="1"/>
    </xf>
    <xf numFmtId="0" fontId="7" fillId="10" borderId="1" xfId="1" applyFill="1" applyBorder="1"/>
    <xf numFmtId="0" fontId="0" fillId="0" borderId="13" xfId="0" applyBorder="1" applyAlignment="1">
      <alignment horizontal="right"/>
    </xf>
    <xf numFmtId="164" fontId="1" fillId="11" borderId="2" xfId="0" applyNumberFormat="1" applyFont="1" applyFill="1" applyBorder="1" applyAlignment="1">
      <alignment vertical="center"/>
    </xf>
    <xf numFmtId="0" fontId="9" fillId="2" borderId="4" xfId="0" applyFont="1" applyFill="1" applyBorder="1" applyAlignment="1">
      <alignment vertical="center" wrapText="1"/>
    </xf>
    <xf numFmtId="0" fontId="3" fillId="2" borderId="4" xfId="0" applyFont="1" applyFill="1" applyBorder="1" applyAlignment="1">
      <alignment vertical="center" wrapText="1"/>
    </xf>
    <xf numFmtId="0" fontId="3" fillId="2" borderId="1" xfId="0" applyFont="1" applyFill="1" applyBorder="1" applyAlignment="1">
      <alignment vertical="center" wrapText="1"/>
    </xf>
    <xf numFmtId="0" fontId="3" fillId="2" borderId="4" xfId="0" applyFont="1" applyFill="1" applyBorder="1" applyAlignment="1">
      <alignment vertical="center"/>
    </xf>
    <xf numFmtId="0" fontId="3" fillId="14" borderId="6" xfId="0" applyFont="1" applyFill="1" applyBorder="1" applyAlignment="1">
      <alignment vertical="center"/>
    </xf>
    <xf numFmtId="164" fontId="0" fillId="3" borderId="1" xfId="0" applyNumberFormat="1" applyFill="1" applyBorder="1" applyAlignment="1">
      <alignment vertical="center"/>
    </xf>
    <xf numFmtId="164" fontId="0" fillId="4" borderId="1" xfId="0" applyNumberFormat="1" applyFill="1" applyBorder="1" applyAlignment="1">
      <alignment vertical="center"/>
    </xf>
    <xf numFmtId="164" fontId="0" fillId="4" borderId="1" xfId="0" applyNumberFormat="1" applyFill="1" applyBorder="1" applyAlignment="1">
      <alignment vertical="center" wrapText="1"/>
    </xf>
    <xf numFmtId="164" fontId="0" fillId="14" borderId="1" xfId="0" applyNumberFormat="1" applyFill="1" applyBorder="1" applyAlignment="1">
      <alignment vertical="center"/>
    </xf>
    <xf numFmtId="0" fontId="0" fillId="3" borderId="0" xfId="0" applyFill="1" applyAlignment="1">
      <alignment vertical="center"/>
    </xf>
    <xf numFmtId="0" fontId="3" fillId="5" borderId="1" xfId="0" applyFont="1" applyFill="1" applyBorder="1" applyAlignment="1">
      <alignment vertical="center" wrapText="1"/>
    </xf>
    <xf numFmtId="0" fontId="3" fillId="5" borderId="4" xfId="0" applyFont="1" applyFill="1" applyBorder="1" applyAlignment="1">
      <alignment vertical="center" wrapText="1"/>
    </xf>
    <xf numFmtId="15" fontId="0" fillId="5" borderId="1" xfId="0" applyNumberFormat="1" applyFill="1" applyBorder="1" applyAlignment="1">
      <alignment vertical="center"/>
    </xf>
    <xf numFmtId="14" fontId="12" fillId="5" borderId="1" xfId="0" applyNumberFormat="1" applyFont="1" applyFill="1" applyBorder="1" applyAlignment="1">
      <alignment vertical="center"/>
    </xf>
    <xf numFmtId="15" fontId="0" fillId="5" borderId="1" xfId="0" applyNumberFormat="1" applyFill="1" applyBorder="1" applyAlignment="1">
      <alignment vertical="center" wrapText="1"/>
    </xf>
    <xf numFmtId="15" fontId="0" fillId="6" borderId="8" xfId="0" applyNumberFormat="1" applyFill="1" applyBorder="1" applyAlignment="1">
      <alignment vertical="center"/>
    </xf>
    <xf numFmtId="15" fontId="0" fillId="6" borderId="1" xfId="0" applyNumberFormat="1" applyFill="1" applyBorder="1" applyAlignment="1">
      <alignment vertical="center"/>
    </xf>
    <xf numFmtId="14" fontId="0" fillId="6" borderId="1" xfId="0" applyNumberFormat="1" applyFill="1" applyBorder="1" applyAlignment="1">
      <alignment vertical="center"/>
    </xf>
    <xf numFmtId="0" fontId="3" fillId="7" borderId="1" xfId="0" applyFont="1" applyFill="1" applyBorder="1" applyAlignment="1">
      <alignment vertical="center" wrapText="1"/>
    </xf>
    <xf numFmtId="14" fontId="12" fillId="7" borderId="1" xfId="0" applyNumberFormat="1" applyFont="1" applyFill="1" applyBorder="1" applyAlignment="1">
      <alignment vertical="center"/>
    </xf>
    <xf numFmtId="0" fontId="3" fillId="7" borderId="1" xfId="0" applyFont="1" applyFill="1" applyBorder="1" applyAlignment="1">
      <alignment vertical="center"/>
    </xf>
    <xf numFmtId="15" fontId="0" fillId="7" borderId="1" xfId="0" applyNumberFormat="1" applyFill="1" applyBorder="1" applyAlignment="1">
      <alignment vertical="center"/>
    </xf>
    <xf numFmtId="0" fontId="0" fillId="3" borderId="1" xfId="0" applyFill="1" applyBorder="1" applyAlignment="1">
      <alignment vertical="center" wrapText="1"/>
    </xf>
    <xf numFmtId="0" fontId="3" fillId="8" borderId="4" xfId="0" applyFont="1" applyFill="1" applyBorder="1" applyAlignment="1">
      <alignment vertical="center"/>
    </xf>
    <xf numFmtId="0" fontId="3" fillId="8" borderId="4" xfId="0" applyFont="1" applyFill="1" applyBorder="1" applyAlignment="1">
      <alignment vertical="center" wrapText="1"/>
    </xf>
    <xf numFmtId="164" fontId="0" fillId="9" borderId="1" xfId="0" applyNumberFormat="1" applyFill="1" applyBorder="1" applyAlignment="1">
      <alignment vertical="center"/>
    </xf>
    <xf numFmtId="164" fontId="0" fillId="6" borderId="1" xfId="0" applyNumberFormat="1" applyFill="1" applyBorder="1" applyAlignment="1">
      <alignment vertical="center"/>
    </xf>
    <xf numFmtId="164" fontId="0" fillId="10" borderId="1" xfId="0" applyNumberFormat="1" applyFill="1" applyBorder="1" applyAlignment="1">
      <alignment vertical="center"/>
    </xf>
    <xf numFmtId="164" fontId="0" fillId="10" borderId="2" xfId="0" applyNumberFormat="1" applyFill="1" applyBorder="1" applyAlignment="1">
      <alignment vertical="center"/>
    </xf>
    <xf numFmtId="0" fontId="0" fillId="18" borderId="14" xfId="0" applyFill="1" applyBorder="1" applyAlignment="1">
      <alignment vertical="center"/>
    </xf>
    <xf numFmtId="0" fontId="19" fillId="0" borderId="0" xfId="0" applyFont="1"/>
    <xf numFmtId="9" fontId="17" fillId="15" borderId="1" xfId="0" applyNumberFormat="1" applyFont="1" applyFill="1" applyBorder="1" applyAlignment="1">
      <alignment horizontal="right"/>
    </xf>
    <xf numFmtId="0" fontId="7" fillId="0" borderId="0" xfId="1"/>
    <xf numFmtId="0" fontId="0" fillId="3" borderId="14" xfId="0" applyFill="1" applyBorder="1" applyAlignment="1">
      <alignment horizontal="left"/>
    </xf>
    <xf numFmtId="164" fontId="0" fillId="3" borderId="14" xfId="0" applyNumberFormat="1" applyFill="1" applyBorder="1"/>
    <xf numFmtId="0" fontId="0" fillId="3" borderId="14" xfId="0" applyFill="1" applyBorder="1" applyAlignment="1">
      <alignment horizontal="left" vertical="top" wrapText="1"/>
    </xf>
    <xf numFmtId="0" fontId="0" fillId="3" borderId="14" xfId="0" applyFill="1" applyBorder="1" applyAlignment="1">
      <alignment horizontal="left" wrapText="1"/>
    </xf>
    <xf numFmtId="164" fontId="0" fillId="3" borderId="2" xfId="0" applyNumberFormat="1" applyFill="1" applyBorder="1"/>
    <xf numFmtId="0" fontId="0" fillId="3" borderId="14" xfId="0" applyFill="1" applyBorder="1" applyAlignment="1">
      <alignment horizontal="right"/>
    </xf>
    <xf numFmtId="0" fontId="0" fillId="3" borderId="14" xfId="0" applyFill="1" applyBorder="1" applyAlignment="1">
      <alignment horizontal="left" vertical="top"/>
    </xf>
    <xf numFmtId="0" fontId="0" fillId="3" borderId="14" xfId="0" applyFill="1" applyBorder="1" applyAlignment="1">
      <alignment vertical="center"/>
    </xf>
    <xf numFmtId="166" fontId="0" fillId="3" borderId="2" xfId="0" applyNumberFormat="1" applyFill="1" applyBorder="1"/>
    <xf numFmtId="0" fontId="0" fillId="3" borderId="16" xfId="0" applyFill="1" applyBorder="1"/>
    <xf numFmtId="166" fontId="0" fillId="3" borderId="3" xfId="0" applyNumberFormat="1" applyFill="1" applyBorder="1"/>
    <xf numFmtId="0" fontId="0" fillId="18" borderId="0" xfId="0" applyFill="1"/>
    <xf numFmtId="166" fontId="0" fillId="19" borderId="2" xfId="0" applyNumberFormat="1" applyFill="1" applyBorder="1" applyAlignment="1">
      <alignment vertical="top" wrapText="1"/>
    </xf>
    <xf numFmtId="0" fontId="0" fillId="18" borderId="14" xfId="0" applyFill="1" applyBorder="1" applyAlignment="1">
      <alignment vertical="top"/>
    </xf>
    <xf numFmtId="0" fontId="0" fillId="3" borderId="14" xfId="0" applyFill="1" applyBorder="1" applyAlignment="1">
      <alignment vertical="top"/>
    </xf>
    <xf numFmtId="0" fontId="3" fillId="18" borderId="17" xfId="0" applyFont="1" applyFill="1" applyBorder="1"/>
    <xf numFmtId="0" fontId="0" fillId="18" borderId="17" xfId="0" applyFill="1" applyBorder="1"/>
    <xf numFmtId="0" fontId="0" fillId="18" borderId="17" xfId="0" applyFill="1" applyBorder="1" applyAlignment="1">
      <alignment horizontal="left"/>
    </xf>
    <xf numFmtId="0" fontId="0" fillId="18" borderId="17" xfId="0" quotePrefix="1" applyFill="1" applyBorder="1" applyAlignment="1">
      <alignment horizontal="left" wrapText="1"/>
    </xf>
    <xf numFmtId="164" fontId="0" fillId="18" borderId="17" xfId="0" applyNumberFormat="1" applyFill="1" applyBorder="1"/>
    <xf numFmtId="0" fontId="0" fillId="18" borderId="17" xfId="0" applyFill="1" applyBorder="1" applyAlignment="1">
      <alignment horizontal="left" vertical="top" wrapText="1"/>
    </xf>
    <xf numFmtId="0" fontId="0" fillId="18" borderId="17" xfId="0" applyFill="1" applyBorder="1" applyAlignment="1">
      <alignment horizontal="left" wrapText="1"/>
    </xf>
    <xf numFmtId="164" fontId="0" fillId="19" borderId="17" xfId="0" applyNumberFormat="1" applyFill="1" applyBorder="1"/>
    <xf numFmtId="0" fontId="0" fillId="18" borderId="17" xfId="0" applyFill="1" applyBorder="1" applyAlignment="1">
      <alignment horizontal="right"/>
    </xf>
    <xf numFmtId="0" fontId="0" fillId="18" borderId="17" xfId="0" applyFill="1" applyBorder="1" applyAlignment="1">
      <alignment horizontal="left" vertical="top"/>
    </xf>
    <xf numFmtId="0" fontId="0" fillId="18" borderId="17" xfId="0" applyFill="1" applyBorder="1" applyAlignment="1">
      <alignment vertical="center"/>
    </xf>
    <xf numFmtId="166" fontId="0" fillId="19" borderId="17" xfId="0" applyNumberFormat="1" applyFill="1" applyBorder="1"/>
    <xf numFmtId="0" fontId="0" fillId="19" borderId="17" xfId="0" applyFill="1" applyBorder="1"/>
    <xf numFmtId="0" fontId="0" fillId="18" borderId="18" xfId="0" applyFill="1" applyBorder="1"/>
    <xf numFmtId="0" fontId="0" fillId="18" borderId="2" xfId="0" applyFill="1" applyBorder="1"/>
    <xf numFmtId="0" fontId="0" fillId="20" borderId="14" xfId="0" applyFill="1" applyBorder="1"/>
    <xf numFmtId="0" fontId="20" fillId="20" borderId="14" xfId="0" applyFont="1" applyFill="1" applyBorder="1"/>
    <xf numFmtId="164" fontId="0" fillId="20" borderId="17" xfId="0" applyNumberFormat="1" applyFill="1" applyBorder="1"/>
    <xf numFmtId="0" fontId="0" fillId="20" borderId="16" xfId="0" applyFill="1" applyBorder="1" applyAlignment="1">
      <alignment horizontal="left" vertical="top" wrapText="1"/>
    </xf>
    <xf numFmtId="0" fontId="0" fillId="20" borderId="14" xfId="0" applyFill="1" applyBorder="1" applyAlignment="1">
      <alignment horizontal="left"/>
    </xf>
    <xf numFmtId="0" fontId="0" fillId="20" borderId="16" xfId="0" applyFill="1" applyBorder="1"/>
    <xf numFmtId="0" fontId="0" fillId="20" borderId="14" xfId="0" applyFill="1" applyBorder="1" applyAlignment="1">
      <alignment horizontal="right"/>
    </xf>
    <xf numFmtId="0" fontId="0" fillId="20" borderId="14" xfId="0" applyFill="1" applyBorder="1" applyAlignment="1">
      <alignment horizontal="left" vertical="top"/>
    </xf>
    <xf numFmtId="164" fontId="0" fillId="20" borderId="3" xfId="0" applyNumberFormat="1" applyFill="1" applyBorder="1"/>
    <xf numFmtId="0" fontId="0" fillId="20" borderId="16" xfId="0" applyFill="1" applyBorder="1" applyAlignment="1">
      <alignment vertical="center"/>
    </xf>
    <xf numFmtId="164" fontId="0" fillId="20" borderId="14" xfId="0" applyNumberFormat="1" applyFill="1" applyBorder="1"/>
    <xf numFmtId="0" fontId="0" fillId="20" borderId="16" xfId="0" applyFill="1" applyBorder="1" applyAlignment="1">
      <alignment horizontal="right"/>
    </xf>
    <xf numFmtId="0" fontId="0" fillId="20" borderId="14" xfId="0" applyFill="1" applyBorder="1" applyAlignment="1">
      <alignment horizontal="left" wrapText="1"/>
    </xf>
    <xf numFmtId="0" fontId="0" fillId="18" borderId="19" xfId="0" applyFill="1" applyBorder="1"/>
    <xf numFmtId="0" fontId="0" fillId="20" borderId="20" xfId="0" applyFill="1" applyBorder="1"/>
    <xf numFmtId="0" fontId="3" fillId="20" borderId="14" xfId="0" applyFont="1" applyFill="1" applyBorder="1"/>
    <xf numFmtId="0" fontId="20" fillId="20" borderId="16" xfId="0" applyFont="1" applyFill="1" applyBorder="1"/>
    <xf numFmtId="0" fontId="22" fillId="20" borderId="14" xfId="0" applyFont="1" applyFill="1" applyBorder="1"/>
    <xf numFmtId="0" fontId="22" fillId="20" borderId="16" xfId="0" applyFont="1" applyFill="1" applyBorder="1"/>
    <xf numFmtId="0" fontId="0" fillId="20" borderId="17" xfId="0" applyFill="1" applyBorder="1"/>
    <xf numFmtId="166" fontId="0" fillId="20" borderId="17" xfId="0" applyNumberFormat="1" applyFill="1" applyBorder="1"/>
    <xf numFmtId="0" fontId="3" fillId="20" borderId="17" xfId="0" applyFont="1" applyFill="1" applyBorder="1"/>
    <xf numFmtId="0" fontId="21" fillId="20" borderId="14" xfId="0" applyFont="1" applyFill="1" applyBorder="1"/>
    <xf numFmtId="0" fontId="7" fillId="20" borderId="17" xfId="1" applyFill="1" applyBorder="1"/>
    <xf numFmtId="0" fontId="0" fillId="21" borderId="14" xfId="0" applyFill="1" applyBorder="1"/>
    <xf numFmtId="164" fontId="0" fillId="21" borderId="2" xfId="0" applyNumberFormat="1" applyFill="1" applyBorder="1"/>
    <xf numFmtId="0" fontId="7" fillId="10" borderId="2" xfId="1" applyFill="1" applyBorder="1"/>
    <xf numFmtId="0" fontId="0" fillId="10" borderId="1" xfId="0" applyFill="1" applyBorder="1" applyAlignment="1">
      <alignment horizontal="left" vertical="top" wrapText="1"/>
    </xf>
    <xf numFmtId="0" fontId="0" fillId="19" borderId="1" xfId="0" applyFill="1" applyBorder="1"/>
    <xf numFmtId="0" fontId="3" fillId="21" borderId="1" xfId="0" applyFont="1" applyFill="1" applyBorder="1"/>
    <xf numFmtId="0" fontId="3" fillId="21" borderId="8" xfId="0" applyFont="1" applyFill="1" applyBorder="1"/>
    <xf numFmtId="2" fontId="0" fillId="20" borderId="14" xfId="0" quotePrefix="1" applyNumberFormat="1" applyFill="1" applyBorder="1"/>
    <xf numFmtId="0" fontId="0" fillId="0" borderId="0" xfId="0" applyNumberFormat="1"/>
  </cellXfs>
  <cellStyles count="4">
    <cellStyle name="Hyperlink" xfId="1" builtinId="8"/>
    <cellStyle name="Normal" xfId="0" builtinId="0"/>
    <cellStyle name="Normal 2" xfId="2" xr:uid="{00000000-0005-0000-0000-000002000000}"/>
    <cellStyle name="Percent" xfId="3" builtinId="5"/>
  </cellStyles>
  <dxfs count="22">
    <dxf>
      <numFmt numFmtId="168" formatCode="0.0%"/>
    </dxf>
    <dxf>
      <numFmt numFmtId="0" formatCode="General"/>
    </dxf>
    <dxf>
      <numFmt numFmtId="168" formatCode="0.0%"/>
    </dxf>
    <dxf>
      <numFmt numFmtId="0" formatCode="General"/>
    </dxf>
    <dxf>
      <numFmt numFmtId="168" formatCode="0.0%"/>
    </dxf>
    <dxf>
      <numFmt numFmtId="0" formatCode="General"/>
    </dxf>
    <dxf>
      <numFmt numFmtId="168" formatCode="0.0%"/>
    </dxf>
    <dxf>
      <numFmt numFmtId="0" formatCode="General"/>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left style="thin">
          <color indexed="64"/>
        </left>
        <right style="thin">
          <color indexed="64"/>
        </right>
        <top style="thin">
          <color indexed="64"/>
        </top>
      </border>
    </dxf>
    <dxf>
      <border outline="0">
        <bottom style="thin">
          <color indexed="64"/>
        </bottom>
      </border>
    </dxf>
    <dxf>
      <numFmt numFmtId="0" formatCode="General"/>
    </dxf>
    <dxf>
      <numFmt numFmtId="168" formatCode="0.0%"/>
    </dxf>
  </dxfs>
  <tableStyles count="0" defaultTableStyle="TableStyleMedium2" defaultPivotStyle="PivotStyleLight16"/>
  <colors>
    <mruColors>
      <color rgb="FFFFF2CC"/>
      <color rgb="FFEDEDED"/>
      <color rgb="FFFF00FF"/>
      <color rgb="FF3ED2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Analysis!PivotTable4</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57606703656424"/>
          <c:y val="8.7962962962962965E-2"/>
          <c:w val="0.88573345466648135"/>
          <c:h val="0.69873432487605724"/>
        </c:manualLayout>
      </c:layout>
      <c:barChart>
        <c:barDir val="col"/>
        <c:grouping val="stacked"/>
        <c:varyColors val="0"/>
        <c:ser>
          <c:idx val="0"/>
          <c:order val="0"/>
          <c:tx>
            <c:strRef>
              <c:f>'Pivot Analysis'!$B$28:$B$29</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Analysis'!$B$30:$B$42</c:f>
              <c:numCache>
                <c:formatCode>General</c:formatCode>
                <c:ptCount val="12"/>
                <c:pt idx="0">
                  <c:v>20</c:v>
                </c:pt>
                <c:pt idx="1">
                  <c:v>15</c:v>
                </c:pt>
                <c:pt idx="2">
                  <c:v>18</c:v>
                </c:pt>
                <c:pt idx="3">
                  <c:v>25</c:v>
                </c:pt>
                <c:pt idx="4">
                  <c:v>18</c:v>
                </c:pt>
                <c:pt idx="5">
                  <c:v>24</c:v>
                </c:pt>
                <c:pt idx="6">
                  <c:v>24</c:v>
                </c:pt>
                <c:pt idx="7">
                  <c:v>17</c:v>
                </c:pt>
                <c:pt idx="8">
                  <c:v>16</c:v>
                </c:pt>
                <c:pt idx="9">
                  <c:v>20</c:v>
                </c:pt>
              </c:numCache>
            </c:numRef>
          </c:val>
          <c:extLst>
            <c:ext xmlns:c16="http://schemas.microsoft.com/office/drawing/2014/chart" uri="{C3380CC4-5D6E-409C-BE32-E72D297353CC}">
              <c16:uniqueId val="{00000000-7DFD-4843-8442-CF05B95528F6}"/>
            </c:ext>
          </c:extLst>
        </c:ser>
        <c:ser>
          <c:idx val="1"/>
          <c:order val="1"/>
          <c:tx>
            <c:strRef>
              <c:f>'Pivot Analysis'!$C$28:$C$29</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Analysis'!$C$30:$C$42</c:f>
              <c:numCache>
                <c:formatCode>General</c:formatCode>
                <c:ptCount val="12"/>
                <c:pt idx="1">
                  <c:v>1</c:v>
                </c:pt>
                <c:pt idx="2">
                  <c:v>3</c:v>
                </c:pt>
                <c:pt idx="3">
                  <c:v>1</c:v>
                </c:pt>
                <c:pt idx="4">
                  <c:v>2</c:v>
                </c:pt>
                <c:pt idx="7">
                  <c:v>6</c:v>
                </c:pt>
                <c:pt idx="8">
                  <c:v>6</c:v>
                </c:pt>
                <c:pt idx="9">
                  <c:v>4</c:v>
                </c:pt>
                <c:pt idx="10">
                  <c:v>19</c:v>
                </c:pt>
                <c:pt idx="11">
                  <c:v>22</c:v>
                </c:pt>
              </c:numCache>
            </c:numRef>
          </c:val>
          <c:extLst>
            <c:ext xmlns:c16="http://schemas.microsoft.com/office/drawing/2014/chart" uri="{C3380CC4-5D6E-409C-BE32-E72D297353CC}">
              <c16:uniqueId val="{00000001-7DFD-4843-8442-CF05B95528F6}"/>
            </c:ext>
          </c:extLst>
        </c:ser>
        <c:ser>
          <c:idx val="2"/>
          <c:order val="2"/>
          <c:tx>
            <c:strRef>
              <c:f>'Pivot Analysis'!$D$28:$D$29</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Analysis'!$D$30:$D$42</c:f>
              <c:numCache>
                <c:formatCode>General</c:formatCode>
                <c:ptCount val="12"/>
                <c:pt idx="0">
                  <c:v>3</c:v>
                </c:pt>
                <c:pt idx="1">
                  <c:v>4</c:v>
                </c:pt>
                <c:pt idx="2">
                  <c:v>2</c:v>
                </c:pt>
                <c:pt idx="3">
                  <c:v>1</c:v>
                </c:pt>
                <c:pt idx="4">
                  <c:v>5</c:v>
                </c:pt>
                <c:pt idx="5">
                  <c:v>1</c:v>
                </c:pt>
                <c:pt idx="6">
                  <c:v>3</c:v>
                </c:pt>
                <c:pt idx="7">
                  <c:v>3</c:v>
                </c:pt>
                <c:pt idx="8">
                  <c:v>2</c:v>
                </c:pt>
                <c:pt idx="9">
                  <c:v>1</c:v>
                </c:pt>
                <c:pt idx="10">
                  <c:v>1</c:v>
                </c:pt>
              </c:numCache>
            </c:numRef>
          </c:val>
          <c:extLst>
            <c:ext xmlns:c16="http://schemas.microsoft.com/office/drawing/2014/chart" uri="{C3380CC4-5D6E-409C-BE32-E72D297353CC}">
              <c16:uniqueId val="{00000002-7DFD-4843-8442-CF05B95528F6}"/>
            </c:ext>
          </c:extLst>
        </c:ser>
        <c:dLbls>
          <c:dLblPos val="ctr"/>
          <c:showLegendKey val="0"/>
          <c:showVal val="1"/>
          <c:showCatName val="0"/>
          <c:showSerName val="0"/>
          <c:showPercent val="0"/>
          <c:showBubbleSize val="0"/>
        </c:dLbls>
        <c:gapWidth val="80"/>
        <c:overlap val="100"/>
        <c:axId val="1651402544"/>
        <c:axId val="1651410448"/>
      </c:barChart>
      <c:catAx>
        <c:axId val="16514025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layout>
            <c:manualLayout>
              <c:xMode val="edge"/>
              <c:yMode val="edge"/>
              <c:x val="0.45102353122814665"/>
              <c:y val="0.861689268008165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10448"/>
        <c:crosses val="autoZero"/>
        <c:auto val="1"/>
        <c:lblAlgn val="ctr"/>
        <c:lblOffset val="100"/>
        <c:noMultiLvlLbl val="0"/>
      </c:catAx>
      <c:valAx>
        <c:axId val="165141044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02544"/>
        <c:crosses val="autoZero"/>
        <c:crossBetween val="between"/>
      </c:valAx>
      <c:spPr>
        <a:noFill/>
        <a:ln>
          <a:noFill/>
        </a:ln>
        <a:effectLst/>
      </c:spPr>
    </c:plotArea>
    <c:legend>
      <c:legendPos val="b"/>
      <c:layout>
        <c:manualLayout>
          <c:xMode val="edge"/>
          <c:yMode val="edge"/>
          <c:x val="0.23535473939459989"/>
          <c:y val="0.91724482356372106"/>
          <c:w val="0.52929052121080022"/>
          <c:h val="5.497739865850100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No. of fellows by institution of registration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17951020409543"/>
          <c:y val="0.14489916480236423"/>
          <c:w val="0.68244685495391899"/>
          <c:h val="0.67807269373076162"/>
        </c:manualLayout>
      </c:layout>
      <c:barChart>
        <c:barDir val="bar"/>
        <c:grouping val="stacked"/>
        <c:varyColors val="0"/>
        <c:ser>
          <c:idx val="0"/>
          <c:order val="0"/>
          <c:tx>
            <c:strRef>
              <c:f>'Pivot Analysis'!$B$4:$B$5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(blank)</c:v>
                </c:pt>
                <c:pt idx="9">
                  <c:v>University of Malawi and Associates</c:v>
                </c:pt>
              </c:strCache>
            </c:strRef>
          </c:cat>
          <c:val>
            <c:numRef>
              <c:f>'Pivot Analysis'!$B$6:$B$16</c:f>
              <c:numCache>
                <c:formatCode>General</c:formatCode>
                <c:ptCount val="10"/>
                <c:pt idx="0">
                  <c:v>17</c:v>
                </c:pt>
                <c:pt idx="1">
                  <c:v>7</c:v>
                </c:pt>
                <c:pt idx="2">
                  <c:v>19</c:v>
                </c:pt>
                <c:pt idx="3">
                  <c:v>6</c:v>
                </c:pt>
                <c:pt idx="4">
                  <c:v>29</c:v>
                </c:pt>
                <c:pt idx="5">
                  <c:v>22</c:v>
                </c:pt>
                <c:pt idx="6">
                  <c:v>6</c:v>
                </c:pt>
                <c:pt idx="7">
                  <c:v>75</c:v>
                </c:pt>
                <c:pt idx="9">
                  <c:v>16</c:v>
                </c:pt>
              </c:numCache>
            </c:numRef>
          </c:val>
          <c:extLst>
            <c:ext xmlns:c16="http://schemas.microsoft.com/office/drawing/2014/chart" uri="{C3380CC4-5D6E-409C-BE32-E72D297353CC}">
              <c16:uniqueId val="{00000000-50FB-404A-8FD1-17DDC4779808}"/>
            </c:ext>
          </c:extLst>
        </c:ser>
        <c:ser>
          <c:idx val="1"/>
          <c:order val="1"/>
          <c:tx>
            <c:strRef>
              <c:f>'Pivot Analysis'!$C$4:$C$5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(blank)</c:v>
                </c:pt>
                <c:pt idx="9">
                  <c:v>University of Malawi and Associates</c:v>
                </c:pt>
              </c:strCache>
            </c:strRef>
          </c:cat>
          <c:val>
            <c:numRef>
              <c:f>'Pivot Analysis'!$C$6:$C$16</c:f>
              <c:numCache>
                <c:formatCode>General</c:formatCode>
                <c:ptCount val="10"/>
                <c:pt idx="0">
                  <c:v>9</c:v>
                </c:pt>
                <c:pt idx="1">
                  <c:v>6</c:v>
                </c:pt>
                <c:pt idx="2">
                  <c:v>1</c:v>
                </c:pt>
                <c:pt idx="4">
                  <c:v>10</c:v>
                </c:pt>
                <c:pt idx="5">
                  <c:v>10</c:v>
                </c:pt>
                <c:pt idx="6">
                  <c:v>7</c:v>
                </c:pt>
                <c:pt idx="7">
                  <c:v>14</c:v>
                </c:pt>
                <c:pt idx="8">
                  <c:v>1</c:v>
                </c:pt>
                <c:pt idx="9">
                  <c:v>6</c:v>
                </c:pt>
              </c:numCache>
            </c:numRef>
          </c:val>
          <c:extLst>
            <c:ext xmlns:c16="http://schemas.microsoft.com/office/drawing/2014/chart" uri="{C3380CC4-5D6E-409C-BE32-E72D297353CC}">
              <c16:uniqueId val="{00000001-1DAB-4D2D-92C2-4292881340C8}"/>
            </c:ext>
          </c:extLst>
        </c:ser>
        <c:ser>
          <c:idx val="2"/>
          <c:order val="2"/>
          <c:tx>
            <c:strRef>
              <c:f>'Pivot Analysis'!$D$4:$D$5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(blank)</c:v>
                </c:pt>
                <c:pt idx="9">
                  <c:v>University of Malawi and Associates</c:v>
                </c:pt>
              </c:strCache>
            </c:strRef>
          </c:cat>
          <c:val>
            <c:numRef>
              <c:f>'Pivot Analysis'!$D$6:$D$16</c:f>
              <c:numCache>
                <c:formatCode>General</c:formatCode>
                <c:ptCount val="10"/>
                <c:pt idx="0">
                  <c:v>3</c:v>
                </c:pt>
                <c:pt idx="3">
                  <c:v>2</c:v>
                </c:pt>
                <c:pt idx="5">
                  <c:v>5</c:v>
                </c:pt>
                <c:pt idx="7">
                  <c:v>8</c:v>
                </c:pt>
                <c:pt idx="8">
                  <c:v>5</c:v>
                </c:pt>
                <c:pt idx="9">
                  <c:v>3</c:v>
                </c:pt>
              </c:numCache>
            </c:numRef>
          </c:val>
          <c:extLst>
            <c:ext xmlns:c16="http://schemas.microsoft.com/office/drawing/2014/chart" uri="{C3380CC4-5D6E-409C-BE32-E72D297353CC}">
              <c16:uniqueId val="{00000002-1DAB-4D2D-92C2-4292881340C8}"/>
            </c:ext>
          </c:extLst>
        </c:ser>
        <c:ser>
          <c:idx val="3"/>
          <c:order val="3"/>
          <c:tx>
            <c:strRef>
              <c:f>'Pivot Analysis'!$E$4:$E$5</c:f>
              <c:strCache>
                <c:ptCount val="1"/>
                <c:pt idx="0">
                  <c:v>(blank)</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(blank)</c:v>
                </c:pt>
                <c:pt idx="9">
                  <c:v>University of Malawi and Associates</c:v>
                </c:pt>
              </c:strCache>
            </c:strRef>
          </c:cat>
          <c:val>
            <c:numRef>
              <c:f>'Pivot Analysis'!$E$6:$E$16</c:f>
              <c:numCache>
                <c:formatCode>General</c:formatCode>
                <c:ptCount val="10"/>
              </c:numCache>
            </c:numRef>
          </c:val>
          <c:extLst>
            <c:ext xmlns:c16="http://schemas.microsoft.com/office/drawing/2014/chart" uri="{C3380CC4-5D6E-409C-BE32-E72D297353CC}">
              <c16:uniqueId val="{00000000-2150-4F48-B6B8-350B521CF146}"/>
            </c:ext>
          </c:extLst>
        </c:ser>
        <c:dLbls>
          <c:dLblPos val="ctr"/>
          <c:showLegendKey val="0"/>
          <c:showVal val="1"/>
          <c:showCatName val="0"/>
          <c:showSerName val="0"/>
          <c:showPercent val="0"/>
          <c:showBubbleSize val="0"/>
        </c:dLbls>
        <c:gapWidth val="30"/>
        <c:overlap val="100"/>
        <c:axId val="788217359"/>
        <c:axId val="788216527"/>
      </c:barChart>
      <c:catAx>
        <c:axId val="7882173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6527"/>
        <c:crosses val="autoZero"/>
        <c:auto val="1"/>
        <c:lblAlgn val="ctr"/>
        <c:lblOffset val="100"/>
        <c:noMultiLvlLbl val="0"/>
      </c:catAx>
      <c:valAx>
        <c:axId val="788216527"/>
        <c:scaling>
          <c:orientation val="minMax"/>
          <c:max val="85"/>
          <c:min val="0"/>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73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fellows by institution of employment at registration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95681163326468"/>
          <c:y val="0.15188370188370187"/>
          <c:w val="0.69833984688344275"/>
          <c:h val="0.69436436815690927"/>
        </c:manualLayout>
      </c:layout>
      <c:barChart>
        <c:barDir val="bar"/>
        <c:grouping val="stacked"/>
        <c:varyColors val="0"/>
        <c:ser>
          <c:idx val="0"/>
          <c:order val="0"/>
          <c:tx>
            <c:strRef>
              <c:f>'Pivot Analysis'!$I$4:$I$5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Nairobi</c:v>
                </c:pt>
                <c:pt idx="9">
                  <c:v>University of Rwanda</c:v>
                </c:pt>
                <c:pt idx="10">
                  <c:v>University of the Witwatersrand</c:v>
                </c:pt>
                <c:pt idx="11">
                  <c:v>Somali National University</c:v>
                </c:pt>
                <c:pt idx="12">
                  <c:v>University of Malawi and Associates</c:v>
                </c:pt>
              </c:strCache>
            </c:strRef>
          </c:cat>
          <c:val>
            <c:numRef>
              <c:f>'Pivot Analysis'!$I$6:$I$19</c:f>
              <c:numCache>
                <c:formatCode>General</c:formatCode>
                <c:ptCount val="13"/>
                <c:pt idx="0">
                  <c:v>1</c:v>
                </c:pt>
                <c:pt idx="1">
                  <c:v>4</c:v>
                </c:pt>
                <c:pt idx="2">
                  <c:v>7</c:v>
                </c:pt>
                <c:pt idx="3">
                  <c:v>19</c:v>
                </c:pt>
                <c:pt idx="4">
                  <c:v>13</c:v>
                </c:pt>
                <c:pt idx="5">
                  <c:v>30</c:v>
                </c:pt>
                <c:pt idx="6">
                  <c:v>4</c:v>
                </c:pt>
                <c:pt idx="7">
                  <c:v>32</c:v>
                </c:pt>
                <c:pt idx="8">
                  <c:v>17</c:v>
                </c:pt>
                <c:pt idx="9">
                  <c:v>20</c:v>
                </c:pt>
                <c:pt idx="10">
                  <c:v>25</c:v>
                </c:pt>
                <c:pt idx="12">
                  <c:v>25</c:v>
                </c:pt>
              </c:numCache>
            </c:numRef>
          </c:val>
          <c:extLst>
            <c:ext xmlns:c16="http://schemas.microsoft.com/office/drawing/2014/chart" uri="{C3380CC4-5D6E-409C-BE32-E72D297353CC}">
              <c16:uniqueId val="{00000000-D3F3-4D17-8831-265827A182CF}"/>
            </c:ext>
          </c:extLst>
        </c:ser>
        <c:ser>
          <c:idx val="1"/>
          <c:order val="1"/>
          <c:tx>
            <c:strRef>
              <c:f>'Pivot Analysis'!$J$4:$J$5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Nairobi</c:v>
                </c:pt>
                <c:pt idx="9">
                  <c:v>University of Rwanda</c:v>
                </c:pt>
                <c:pt idx="10">
                  <c:v>University of the Witwatersrand</c:v>
                </c:pt>
                <c:pt idx="11">
                  <c:v>Somali National University</c:v>
                </c:pt>
                <c:pt idx="12">
                  <c:v>University of Malawi and Associates</c:v>
                </c:pt>
              </c:strCache>
            </c:strRef>
          </c:cat>
          <c:val>
            <c:numRef>
              <c:f>'Pivot Analysis'!$J$6:$J$19</c:f>
              <c:numCache>
                <c:formatCode>General</c:formatCode>
                <c:ptCount val="13"/>
                <c:pt idx="0">
                  <c:v>2</c:v>
                </c:pt>
                <c:pt idx="1">
                  <c:v>1</c:v>
                </c:pt>
                <c:pt idx="2">
                  <c:v>2</c:v>
                </c:pt>
                <c:pt idx="3">
                  <c:v>8</c:v>
                </c:pt>
                <c:pt idx="4">
                  <c:v>8</c:v>
                </c:pt>
                <c:pt idx="5">
                  <c:v>3</c:v>
                </c:pt>
                <c:pt idx="7">
                  <c:v>11</c:v>
                </c:pt>
                <c:pt idx="8">
                  <c:v>7</c:v>
                </c:pt>
                <c:pt idx="9">
                  <c:v>9</c:v>
                </c:pt>
                <c:pt idx="10">
                  <c:v>2</c:v>
                </c:pt>
                <c:pt idx="11">
                  <c:v>2</c:v>
                </c:pt>
                <c:pt idx="12">
                  <c:v>9</c:v>
                </c:pt>
              </c:numCache>
            </c:numRef>
          </c:val>
          <c:extLst>
            <c:ext xmlns:c16="http://schemas.microsoft.com/office/drawing/2014/chart" uri="{C3380CC4-5D6E-409C-BE32-E72D297353CC}">
              <c16:uniqueId val="{00000001-D3F3-4D17-8831-265827A182CF}"/>
            </c:ext>
          </c:extLst>
        </c:ser>
        <c:ser>
          <c:idx val="2"/>
          <c:order val="2"/>
          <c:tx>
            <c:strRef>
              <c:f>'Pivot Analysis'!$K$4:$K$5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Nairobi</c:v>
                </c:pt>
                <c:pt idx="9">
                  <c:v>University of Rwanda</c:v>
                </c:pt>
                <c:pt idx="10">
                  <c:v>University of the Witwatersrand</c:v>
                </c:pt>
                <c:pt idx="11">
                  <c:v>Somali National University</c:v>
                </c:pt>
                <c:pt idx="12">
                  <c:v>University of Malawi and Associates</c:v>
                </c:pt>
              </c:strCache>
            </c:strRef>
          </c:cat>
          <c:val>
            <c:numRef>
              <c:f>'Pivot Analysis'!$K$6:$K$19</c:f>
              <c:numCache>
                <c:formatCode>General</c:formatCode>
                <c:ptCount val="13"/>
                <c:pt idx="1">
                  <c:v>1</c:v>
                </c:pt>
                <c:pt idx="2">
                  <c:v>1</c:v>
                </c:pt>
                <c:pt idx="3">
                  <c:v>4</c:v>
                </c:pt>
                <c:pt idx="4">
                  <c:v>1</c:v>
                </c:pt>
                <c:pt idx="6">
                  <c:v>2</c:v>
                </c:pt>
                <c:pt idx="8">
                  <c:v>7</c:v>
                </c:pt>
                <c:pt idx="9">
                  <c:v>2</c:v>
                </c:pt>
                <c:pt idx="10">
                  <c:v>5</c:v>
                </c:pt>
                <c:pt idx="12">
                  <c:v>3</c:v>
                </c:pt>
              </c:numCache>
            </c:numRef>
          </c:val>
          <c:extLst>
            <c:ext xmlns:c16="http://schemas.microsoft.com/office/drawing/2014/chart" uri="{C3380CC4-5D6E-409C-BE32-E72D297353CC}">
              <c16:uniqueId val="{00000000-E186-424F-B1B5-EAD2EE81FED9}"/>
            </c:ext>
          </c:extLst>
        </c:ser>
        <c:dLbls>
          <c:dLblPos val="ctr"/>
          <c:showLegendKey val="0"/>
          <c:showVal val="1"/>
          <c:showCatName val="0"/>
          <c:showSerName val="0"/>
          <c:showPercent val="0"/>
          <c:showBubbleSize val="0"/>
        </c:dLbls>
        <c:gapWidth val="40"/>
        <c:overlap val="100"/>
        <c:axId val="1772498847"/>
        <c:axId val="1772515487"/>
      </c:barChart>
      <c:catAx>
        <c:axId val="17724988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515487"/>
        <c:crosses val="autoZero"/>
        <c:auto val="1"/>
        <c:lblAlgn val="ctr"/>
        <c:lblOffset val="100"/>
        <c:noMultiLvlLbl val="0"/>
      </c:catAx>
      <c:valAx>
        <c:axId val="1772515487"/>
        <c:scaling>
          <c:orientation val="minMax"/>
          <c:max val="35"/>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of fellows</a:t>
                </a:r>
              </a:p>
            </c:rich>
          </c:tx>
          <c:layout>
            <c:manualLayout>
              <c:xMode val="edge"/>
              <c:yMode val="edge"/>
              <c:x val="0.49478883904793075"/>
              <c:y val="0.8915757915197838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498847"/>
        <c:crosses val="autoZero"/>
        <c:crossBetween val="between"/>
      </c:valAx>
      <c:spPr>
        <a:noFill/>
        <a:ln>
          <a:noFill/>
        </a:ln>
        <a:effectLst/>
      </c:spPr>
    </c:plotArea>
    <c:legend>
      <c:legendPos val="b"/>
      <c:layout>
        <c:manualLayout>
          <c:xMode val="edge"/>
          <c:yMode val="edge"/>
          <c:x val="0.37004585154239583"/>
          <c:y val="0.93008022271274682"/>
          <c:w val="0.41035114876832307"/>
          <c:h val="5.78940373307054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Demographics.xlsx]Dashboard!PivotTable3</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Status by Cohort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Dashboard!$C$42:$C$43</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887-4CC0-A3EA-4887FF65B906}"/>
              </c:ext>
            </c:extLst>
          </c:dPt>
          <c:dLbls>
            <c:dLbl>
              <c:idx val="8"/>
              <c:delete val="1"/>
              <c:extLst>
                <c:ext xmlns:c15="http://schemas.microsoft.com/office/drawing/2012/chart" uri="{CE6537A1-D6FC-4f65-9D91-7224C49458BB}"/>
                <c:ext xmlns:c16="http://schemas.microsoft.com/office/drawing/2014/chart" uri="{C3380CC4-5D6E-409C-BE32-E72D297353CC}">
                  <c16:uniqueId val="{00000003-6887-4CC0-A3EA-4887FF65B9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Dashboard!$C$44:$C$56</c:f>
              <c:numCache>
                <c:formatCode>General</c:formatCode>
                <c:ptCount val="12"/>
                <c:pt idx="0">
                  <c:v>20</c:v>
                </c:pt>
                <c:pt idx="1">
                  <c:v>15</c:v>
                </c:pt>
                <c:pt idx="2">
                  <c:v>18</c:v>
                </c:pt>
                <c:pt idx="3">
                  <c:v>25</c:v>
                </c:pt>
                <c:pt idx="4">
                  <c:v>18</c:v>
                </c:pt>
                <c:pt idx="5">
                  <c:v>24</c:v>
                </c:pt>
                <c:pt idx="6">
                  <c:v>24</c:v>
                </c:pt>
                <c:pt idx="7">
                  <c:v>17</c:v>
                </c:pt>
                <c:pt idx="8">
                  <c:v>16</c:v>
                </c:pt>
                <c:pt idx="9">
                  <c:v>20</c:v>
                </c:pt>
              </c:numCache>
            </c:numRef>
          </c:val>
          <c:extLst>
            <c:ext xmlns:c16="http://schemas.microsoft.com/office/drawing/2014/chart" uri="{C3380CC4-5D6E-409C-BE32-E72D297353CC}">
              <c16:uniqueId val="{00000000-22EE-489C-932D-53C651FD8410}"/>
            </c:ext>
          </c:extLst>
        </c:ser>
        <c:ser>
          <c:idx val="1"/>
          <c:order val="1"/>
          <c:tx>
            <c:strRef>
              <c:f>Dashboard!$D$42:$D$43</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2EE-489C-932D-53C651FD8410}"/>
              </c:ext>
            </c:extLst>
          </c:dPt>
          <c:dLbls>
            <c:dLbl>
              <c:idx val="0"/>
              <c:delete val="1"/>
              <c:extLst>
                <c:ext xmlns:c15="http://schemas.microsoft.com/office/drawing/2012/chart" uri="{CE6537A1-D6FC-4f65-9D91-7224C49458BB}"/>
                <c:ext xmlns:c16="http://schemas.microsoft.com/office/drawing/2014/chart" uri="{C3380CC4-5D6E-409C-BE32-E72D297353CC}">
                  <c16:uniqueId val="{00000007-22EE-489C-932D-53C651FD84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Dashboard!$D$44:$D$56</c:f>
              <c:numCache>
                <c:formatCode>General</c:formatCode>
                <c:ptCount val="12"/>
                <c:pt idx="1">
                  <c:v>1</c:v>
                </c:pt>
                <c:pt idx="2">
                  <c:v>3</c:v>
                </c:pt>
                <c:pt idx="3">
                  <c:v>1</c:v>
                </c:pt>
                <c:pt idx="4">
                  <c:v>2</c:v>
                </c:pt>
                <c:pt idx="7">
                  <c:v>6</c:v>
                </c:pt>
                <c:pt idx="8">
                  <c:v>6</c:v>
                </c:pt>
                <c:pt idx="9">
                  <c:v>4</c:v>
                </c:pt>
                <c:pt idx="10">
                  <c:v>19</c:v>
                </c:pt>
                <c:pt idx="11">
                  <c:v>22</c:v>
                </c:pt>
              </c:numCache>
            </c:numRef>
          </c:val>
          <c:extLst>
            <c:ext xmlns:c16="http://schemas.microsoft.com/office/drawing/2014/chart" uri="{C3380CC4-5D6E-409C-BE32-E72D297353CC}">
              <c16:uniqueId val="{00000001-22EE-489C-932D-53C651FD8410}"/>
            </c:ext>
          </c:extLst>
        </c:ser>
        <c:ser>
          <c:idx val="2"/>
          <c:order val="2"/>
          <c:tx>
            <c:strRef>
              <c:f>Dashboard!$E$42:$E$43</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2EE-489C-932D-53C651FD8410}"/>
              </c:ext>
            </c:extLst>
          </c:dPt>
          <c:dPt>
            <c:idx val="9"/>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22EE-489C-932D-53C651FD84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Dashboard!$E$44:$E$56</c:f>
              <c:numCache>
                <c:formatCode>General</c:formatCode>
                <c:ptCount val="12"/>
                <c:pt idx="0">
                  <c:v>3</c:v>
                </c:pt>
                <c:pt idx="1">
                  <c:v>4</c:v>
                </c:pt>
                <c:pt idx="2">
                  <c:v>2</c:v>
                </c:pt>
                <c:pt idx="3">
                  <c:v>1</c:v>
                </c:pt>
                <c:pt idx="4">
                  <c:v>5</c:v>
                </c:pt>
                <c:pt idx="5">
                  <c:v>1</c:v>
                </c:pt>
                <c:pt idx="6">
                  <c:v>3</c:v>
                </c:pt>
                <c:pt idx="7">
                  <c:v>3</c:v>
                </c:pt>
                <c:pt idx="8">
                  <c:v>2</c:v>
                </c:pt>
                <c:pt idx="9">
                  <c:v>1</c:v>
                </c:pt>
                <c:pt idx="10">
                  <c:v>1</c:v>
                </c:pt>
              </c:numCache>
            </c:numRef>
          </c:val>
          <c:extLst>
            <c:ext xmlns:c16="http://schemas.microsoft.com/office/drawing/2014/chart" uri="{C3380CC4-5D6E-409C-BE32-E72D297353CC}">
              <c16:uniqueId val="{00000002-22EE-489C-932D-53C651FD8410}"/>
            </c:ext>
          </c:extLst>
        </c:ser>
        <c:dLbls>
          <c:dLblPos val="ctr"/>
          <c:showLegendKey val="0"/>
          <c:showVal val="1"/>
          <c:showCatName val="0"/>
          <c:showSerName val="0"/>
          <c:showPercent val="0"/>
          <c:showBubbleSize val="0"/>
        </c:dLbls>
        <c:gapWidth val="70"/>
        <c:overlap val="100"/>
        <c:axId val="544520816"/>
        <c:axId val="544526640"/>
      </c:barChart>
      <c:catAx>
        <c:axId val="5445208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544526640"/>
        <c:crosses val="autoZero"/>
        <c:auto val="1"/>
        <c:lblAlgn val="ctr"/>
        <c:lblOffset val="100"/>
        <c:noMultiLvlLbl val="0"/>
      </c:catAx>
      <c:valAx>
        <c:axId val="544526640"/>
        <c:scaling>
          <c:orientation val="minMax"/>
        </c:scaling>
        <c:delete val="1"/>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544520816"/>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Analysis!PivotTable6</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Graduates by gender</a:t>
            </a:r>
          </a:p>
        </c:rich>
      </c:tx>
      <c:layout>
        <c:manualLayout>
          <c:xMode val="edge"/>
          <c:yMode val="edge"/>
          <c:x val="0.30117245835823453"/>
          <c:y val="0.8702547134718170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9774877318096971"/>
          <c:y val="0.16088325033551834"/>
          <c:w val="0.37857815167162101"/>
          <c:h val="0.83911674966448169"/>
        </c:manualLayout>
      </c:layout>
      <c:pieChart>
        <c:varyColors val="1"/>
        <c:ser>
          <c:idx val="0"/>
          <c:order val="0"/>
          <c:tx>
            <c:strRef>
              <c:f>'Pivot Analysis'!$Q$4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DBB-4A51-9A34-6AE5BB1A69F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DBB-4A51-9A34-6AE5BB1A69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Analysis'!$P$5:$P$7</c:f>
              <c:strCache>
                <c:ptCount val="2"/>
                <c:pt idx="0">
                  <c:v>Men</c:v>
                </c:pt>
                <c:pt idx="1">
                  <c:v>Women</c:v>
                </c:pt>
              </c:strCache>
            </c:strRef>
          </c:cat>
          <c:val>
            <c:numRef>
              <c:f>'Pivot Analysis'!$Q$5:$Q$7</c:f>
              <c:numCache>
                <c:formatCode>General</c:formatCode>
                <c:ptCount val="2"/>
                <c:pt idx="0">
                  <c:v>86</c:v>
                </c:pt>
                <c:pt idx="1">
                  <c:v>111</c:v>
                </c:pt>
              </c:numCache>
            </c:numRef>
          </c:val>
          <c:extLst>
            <c:ext xmlns:c16="http://schemas.microsoft.com/office/drawing/2014/chart" uri="{C3380CC4-5D6E-409C-BE32-E72D297353CC}">
              <c16:uniqueId val="{00000004-8DBB-4A51-9A34-6AE5BB1A69F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Analysis!PivotTable5</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enrolled by gender</a:t>
            </a:r>
          </a:p>
        </c:rich>
      </c:tx>
      <c:layout>
        <c:manualLayout>
          <c:xMode val="edge"/>
          <c:yMode val="edge"/>
          <c:x val="0.12452641027377742"/>
          <c:y val="5.466255318599471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Analysis'!$O$4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791-4FD5-BC6B-6D1371F6752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791-4FD5-BC6B-6D1371F675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Analysis'!$N$5:$N$7</c:f>
              <c:strCache>
                <c:ptCount val="2"/>
                <c:pt idx="0">
                  <c:v>Men</c:v>
                </c:pt>
                <c:pt idx="1">
                  <c:v>Women</c:v>
                </c:pt>
              </c:strCache>
            </c:strRef>
          </c:cat>
          <c:val>
            <c:numRef>
              <c:f>'Pivot Analysis'!$O$5:$O$7</c:f>
              <c:numCache>
                <c:formatCode>General</c:formatCode>
                <c:ptCount val="2"/>
                <c:pt idx="0">
                  <c:v>130</c:v>
                </c:pt>
                <c:pt idx="1">
                  <c:v>157</c:v>
                </c:pt>
              </c:numCache>
            </c:numRef>
          </c:val>
          <c:extLst>
            <c:ext xmlns:c16="http://schemas.microsoft.com/office/drawing/2014/chart" uri="{C3380CC4-5D6E-409C-BE32-E72D297353CC}">
              <c16:uniqueId val="{00000004-3791-4FD5-BC6B-6D1371F6752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Analysis!PivotTable7</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Enrolment  </a:t>
            </a:r>
          </a:p>
        </c:rich>
      </c:tx>
      <c:layout>
        <c:manualLayout>
          <c:xMode val="edge"/>
          <c:yMode val="edge"/>
          <c:x val="0.24437966220457502"/>
          <c:y val="3.210811248120706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95302395515526"/>
          <c:y val="0.25054988302871356"/>
          <c:w val="0.82584470753105699"/>
          <c:h val="0.57205321687892297"/>
        </c:manualLayout>
      </c:layout>
      <c:lineChart>
        <c:grouping val="standard"/>
        <c:varyColors val="0"/>
        <c:ser>
          <c:idx val="0"/>
          <c:order val="0"/>
          <c:tx>
            <c:strRef>
              <c:f>'Pivot Analysis'!$B$64:$B$65</c:f>
              <c:strCache>
                <c:ptCount val="1"/>
                <c:pt idx="0">
                  <c:v>Men</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Analysis'!$A$66:$A$78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Analysis'!$B$66:$B$78</c:f>
              <c:numCache>
                <c:formatCode>General</c:formatCode>
                <c:ptCount val="12"/>
                <c:pt idx="0">
                  <c:v>14</c:v>
                </c:pt>
                <c:pt idx="1">
                  <c:v>11</c:v>
                </c:pt>
                <c:pt idx="2">
                  <c:v>10</c:v>
                </c:pt>
                <c:pt idx="3">
                  <c:v>15</c:v>
                </c:pt>
                <c:pt idx="4">
                  <c:v>12</c:v>
                </c:pt>
                <c:pt idx="5">
                  <c:v>10</c:v>
                </c:pt>
                <c:pt idx="6">
                  <c:v>8</c:v>
                </c:pt>
                <c:pt idx="7">
                  <c:v>10</c:v>
                </c:pt>
                <c:pt idx="8">
                  <c:v>9</c:v>
                </c:pt>
                <c:pt idx="9">
                  <c:v>10</c:v>
                </c:pt>
                <c:pt idx="10">
                  <c:v>9</c:v>
                </c:pt>
                <c:pt idx="11">
                  <c:v>12</c:v>
                </c:pt>
              </c:numCache>
            </c:numRef>
          </c:val>
          <c:smooth val="0"/>
          <c:extLst>
            <c:ext xmlns:c16="http://schemas.microsoft.com/office/drawing/2014/chart" uri="{C3380CC4-5D6E-409C-BE32-E72D297353CC}">
              <c16:uniqueId val="{00000000-B270-49DF-B79D-D9F7BEFAA13B}"/>
            </c:ext>
          </c:extLst>
        </c:ser>
        <c:ser>
          <c:idx val="1"/>
          <c:order val="1"/>
          <c:tx>
            <c:strRef>
              <c:f>'Pivot Analysis'!$C$64:$C$65</c:f>
              <c:strCache>
                <c:ptCount val="1"/>
                <c:pt idx="0">
                  <c:v>Women</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Analysis'!$A$66:$A$78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Analysis'!$C$66:$C$78</c:f>
              <c:numCache>
                <c:formatCode>General</c:formatCode>
                <c:ptCount val="12"/>
                <c:pt idx="0">
                  <c:v>9</c:v>
                </c:pt>
                <c:pt idx="1">
                  <c:v>9</c:v>
                </c:pt>
                <c:pt idx="2">
                  <c:v>13</c:v>
                </c:pt>
                <c:pt idx="3">
                  <c:v>12</c:v>
                </c:pt>
                <c:pt idx="4">
                  <c:v>13</c:v>
                </c:pt>
                <c:pt idx="5">
                  <c:v>15</c:v>
                </c:pt>
                <c:pt idx="6">
                  <c:v>19</c:v>
                </c:pt>
                <c:pt idx="7">
                  <c:v>16</c:v>
                </c:pt>
                <c:pt idx="8">
                  <c:v>15</c:v>
                </c:pt>
                <c:pt idx="9">
                  <c:v>15</c:v>
                </c:pt>
                <c:pt idx="10">
                  <c:v>11</c:v>
                </c:pt>
                <c:pt idx="11">
                  <c:v>10</c:v>
                </c:pt>
              </c:numCache>
            </c:numRef>
          </c:val>
          <c:smooth val="0"/>
          <c:extLst>
            <c:ext xmlns:c16="http://schemas.microsoft.com/office/drawing/2014/chart" uri="{C3380CC4-5D6E-409C-BE32-E72D297353CC}">
              <c16:uniqueId val="{00000001-B270-49DF-B79D-D9F7BEFAA13B}"/>
            </c:ext>
          </c:extLst>
        </c:ser>
        <c:dLbls>
          <c:showLegendKey val="0"/>
          <c:showVal val="0"/>
          <c:showCatName val="0"/>
          <c:showSerName val="0"/>
          <c:showPercent val="0"/>
          <c:showBubbleSize val="0"/>
        </c:dLbls>
        <c:marker val="1"/>
        <c:smooth val="0"/>
        <c:axId val="149490128"/>
        <c:axId val="146343936"/>
      </c:lineChart>
      <c:catAx>
        <c:axId val="1494901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6343936"/>
        <c:crosses val="autoZero"/>
        <c:auto val="1"/>
        <c:lblAlgn val="ctr"/>
        <c:lblOffset val="100"/>
        <c:noMultiLvlLbl val="0"/>
      </c:catAx>
      <c:valAx>
        <c:axId val="1463439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a:t>
                </a:r>
              </a:p>
            </c:rich>
          </c:tx>
          <c:layout>
            <c:manualLayout>
              <c:xMode val="edge"/>
              <c:yMode val="edge"/>
              <c:x val="0"/>
              <c:y val="0.4841199680435793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9490128"/>
        <c:crosses val="autoZero"/>
        <c:crossBetween val="between"/>
      </c:valAx>
      <c:spPr>
        <a:noFill/>
        <a:ln>
          <a:noFill/>
        </a:ln>
        <a:effectLst/>
      </c:spPr>
    </c:plotArea>
    <c:legend>
      <c:legendPos val="t"/>
      <c:layout>
        <c:manualLayout>
          <c:xMode val="edge"/>
          <c:yMode val="edge"/>
          <c:x val="0.29634147409602501"/>
          <c:y val="0.15802542692834076"/>
          <c:w val="0.41473278542545583"/>
          <c:h val="9.0304698402853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[CARTA Fellows Demographics.xlsx]Promotions!PivotTable9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Unique Fellows Promoted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Nairobi</c:v>
                </c:pt>
                <c:pt idx="10">
                  <c:v>University of Rwanda</c:v>
                </c:pt>
                <c:pt idx="11">
                  <c:v>University of the Witwatersrand</c:v>
                </c:pt>
                <c:pt idx="12">
                  <c:v>University of Malawi and Associates</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23</c:v>
                </c:pt>
                <c:pt idx="10">
                  <c:v>11</c:v>
                </c:pt>
                <c:pt idx="11">
                  <c:v>22</c:v>
                </c:pt>
                <c:pt idx="12">
                  <c:v>12</c:v>
                </c:pt>
              </c:numCache>
            </c:numRef>
          </c:val>
          <c:extLst>
            <c:ext xmlns:c16="http://schemas.microsoft.com/office/drawing/2014/chart" uri="{C3380CC4-5D6E-409C-BE32-E72D297353CC}">
              <c16:uniqueId val="{00000000-2A11-4AA1-8B0D-5DB17651B21D}"/>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Nairobi</c:v>
                </c:pt>
                <c:pt idx="10">
                  <c:v>University of Rwanda</c:v>
                </c:pt>
                <c:pt idx="11">
                  <c:v>University of the Witwatersrand</c:v>
                </c:pt>
                <c:pt idx="12">
                  <c:v>University of Malawi and Associates</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7</c:v>
                </c:pt>
                <c:pt idx="10">
                  <c:v>16</c:v>
                </c:pt>
                <c:pt idx="11">
                  <c:v>9</c:v>
                </c:pt>
                <c:pt idx="12">
                  <c:v>21</c:v>
                </c:pt>
              </c:numCache>
            </c:numRef>
          </c:val>
          <c:extLst>
            <c:ext xmlns:c16="http://schemas.microsoft.com/office/drawing/2014/chart" uri="{C3380CC4-5D6E-409C-BE32-E72D297353CC}">
              <c16:uniqueId val="{00000001-2A11-4AA1-8B0D-5DB17651B21D}"/>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Demographics.xlsx]Sheet2!PivotTable3</c:name>
    <c:fmtId val="9"/>
  </c:pivotSource>
  <c:chart>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22222222222222"/>
          <c:y val="0.17534776902887139"/>
          <c:w val="0.8"/>
          <c:h val="0.72188247302420527"/>
        </c:manualLayout>
      </c:layout>
      <c:barChart>
        <c:barDir val="bar"/>
        <c:grouping val="clustered"/>
        <c:varyColors val="0"/>
        <c:ser>
          <c:idx val="0"/>
          <c:order val="0"/>
          <c:tx>
            <c:strRef>
              <c:f>Sheet2!$B$20:$B$21</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Sheet2!$B$22:$B$24</c:f>
              <c:numCache>
                <c:formatCode>General</c:formatCode>
                <c:ptCount val="2"/>
                <c:pt idx="0">
                  <c:v>111</c:v>
                </c:pt>
                <c:pt idx="1">
                  <c:v>86</c:v>
                </c:pt>
              </c:numCache>
            </c:numRef>
          </c:val>
          <c:extLst>
            <c:ext xmlns:c16="http://schemas.microsoft.com/office/drawing/2014/chart" uri="{C3380CC4-5D6E-409C-BE32-E72D297353CC}">
              <c16:uniqueId val="{00000000-DD7D-41C9-A465-5FE693718AFC}"/>
            </c:ext>
          </c:extLst>
        </c:ser>
        <c:ser>
          <c:idx val="1"/>
          <c:order val="1"/>
          <c:tx>
            <c:strRef>
              <c:f>Sheet2!$C$20:$C$21</c:f>
              <c:strCache>
                <c:ptCount val="1"/>
                <c:pt idx="0">
                  <c:v>In progress</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Sheet2!$C$22:$C$24</c:f>
              <c:numCache>
                <c:formatCode>General</c:formatCode>
                <c:ptCount val="2"/>
                <c:pt idx="0">
                  <c:v>13</c:v>
                </c:pt>
                <c:pt idx="1">
                  <c:v>10</c:v>
                </c:pt>
              </c:numCache>
            </c:numRef>
          </c:val>
          <c:extLst>
            <c:ext xmlns:c16="http://schemas.microsoft.com/office/drawing/2014/chart" uri="{C3380CC4-5D6E-409C-BE32-E72D297353CC}">
              <c16:uniqueId val="{00000001-DD7D-41C9-A465-5FE693718AFC}"/>
            </c:ext>
          </c:extLst>
        </c:ser>
        <c:ser>
          <c:idx val="2"/>
          <c:order val="2"/>
          <c:tx>
            <c:strRef>
              <c:f>Sheet2!$D$20:$D$21</c:f>
              <c:strCache>
                <c:ptCount val="1"/>
                <c:pt idx="0">
                  <c:v>Terminated</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Sheet2!$D$22:$D$24</c:f>
              <c:numCache>
                <c:formatCode>General</c:formatCode>
                <c:ptCount val="2"/>
                <c:pt idx="0">
                  <c:v>12</c:v>
                </c:pt>
                <c:pt idx="1">
                  <c:v>13</c:v>
                </c:pt>
              </c:numCache>
            </c:numRef>
          </c:val>
          <c:extLst>
            <c:ext xmlns:c16="http://schemas.microsoft.com/office/drawing/2014/chart" uri="{C3380CC4-5D6E-409C-BE32-E72D297353CC}">
              <c16:uniqueId val="{00000002-DD7D-41C9-A465-5FE693718AFC}"/>
            </c:ext>
          </c:extLst>
        </c:ser>
        <c:dLbls>
          <c:dLblPos val="outEnd"/>
          <c:showLegendKey val="0"/>
          <c:showVal val="1"/>
          <c:showCatName val="0"/>
          <c:showSerName val="0"/>
          <c:showPercent val="0"/>
          <c:showBubbleSize val="0"/>
        </c:dLbls>
        <c:gapWidth val="150"/>
        <c:axId val="2104577744"/>
        <c:axId val="2111360128"/>
      </c:barChart>
      <c:catAx>
        <c:axId val="210457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2111360128"/>
        <c:crosses val="autoZero"/>
        <c:auto val="1"/>
        <c:lblAlgn val="ctr"/>
        <c:lblOffset val="100"/>
        <c:noMultiLvlLbl val="0"/>
      </c:catAx>
      <c:valAx>
        <c:axId val="2111360128"/>
        <c:scaling>
          <c:orientation val="minMax"/>
        </c:scaling>
        <c:delete val="1"/>
        <c:axPos val="b"/>
        <c:numFmt formatCode="General" sourceLinked="1"/>
        <c:majorTickMark val="none"/>
        <c:minorTickMark val="none"/>
        <c:tickLblPos val="nextTo"/>
        <c:crossAx val="21045777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Demographics.xlsx]Promotions!PivotTable7</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Promotions!$F$4:$F$6</c:f>
              <c:strCache>
                <c:ptCount val="1"/>
                <c:pt idx="0">
                  <c:v>Female - Completed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Promotions!$E$7:$E$12</c:f>
              <c:strCache>
                <c:ptCount val="5"/>
                <c:pt idx="0">
                  <c:v>Moi University</c:v>
                </c:pt>
                <c:pt idx="1">
                  <c:v>Obafemi Awolowo University</c:v>
                </c:pt>
                <c:pt idx="2">
                  <c:v>University of Ibadan</c:v>
                </c:pt>
                <c:pt idx="3">
                  <c:v>University of Nairobi</c:v>
                </c:pt>
                <c:pt idx="4">
                  <c:v>University of the Witwatersrand</c:v>
                </c:pt>
              </c:strCache>
            </c:strRef>
          </c:cat>
          <c:val>
            <c:numRef>
              <c:f>Promotions!$F$7:$F$12</c:f>
              <c:numCache>
                <c:formatCode>General</c:formatCode>
                <c:ptCount val="5"/>
                <c:pt idx="0">
                  <c:v>1</c:v>
                </c:pt>
                <c:pt idx="1">
                  <c:v>1</c:v>
                </c:pt>
                <c:pt idx="2">
                  <c:v>1</c:v>
                </c:pt>
                <c:pt idx="3">
                  <c:v>1</c:v>
                </c:pt>
                <c:pt idx="4">
                  <c:v>2</c:v>
                </c:pt>
              </c:numCache>
            </c:numRef>
          </c:val>
          <c:extLst>
            <c:ext xmlns:c16="http://schemas.microsoft.com/office/drawing/2014/chart" uri="{C3380CC4-5D6E-409C-BE32-E72D297353CC}">
              <c16:uniqueId val="{00000000-F44D-4414-92D4-70B62CD6DB77}"/>
            </c:ext>
          </c:extLst>
        </c:ser>
        <c:dLbls>
          <c:dLblPos val="ctr"/>
          <c:showLegendKey val="0"/>
          <c:showVal val="1"/>
          <c:showCatName val="0"/>
          <c:showSerName val="0"/>
          <c:showPercent val="0"/>
          <c:showBubbleSize val="0"/>
        </c:dLbls>
        <c:gapWidth val="66"/>
        <c:overlap val="100"/>
        <c:axId val="966922432"/>
        <c:axId val="966922912"/>
      </c:barChart>
      <c:catAx>
        <c:axId val="96692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912"/>
        <c:crosses val="autoZero"/>
        <c:auto val="1"/>
        <c:lblAlgn val="ctr"/>
        <c:lblOffset val="100"/>
        <c:noMultiLvlLbl val="0"/>
      </c:catAx>
      <c:valAx>
        <c:axId val="966922912"/>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Demographics.xlsx]Promotions!PivotTable8</c:name>
    <c:fmtId val="14"/>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bar"/>
        <c:grouping val="stacked"/>
        <c:varyColors val="0"/>
        <c:ser>
          <c:idx val="0"/>
          <c:order val="0"/>
          <c:tx>
            <c:strRef>
              <c:f>Promotions!$F$26:$F$27</c:f>
              <c:strCache>
                <c:ptCount val="1"/>
                <c:pt idx="0">
                  <c:v>Men</c:v>
                </c:pt>
              </c:strCache>
            </c:strRef>
          </c:tx>
          <c:spPr>
            <a:solidFill>
              <a:schemeClr val="accent1"/>
            </a:solidFill>
            <a:ln>
              <a:noFill/>
            </a:ln>
            <a:effectLst/>
          </c:spPr>
          <c:invertIfNegative val="0"/>
          <c:dLbls>
            <c:delete val="1"/>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Nairobi</c:v>
                </c:pt>
                <c:pt idx="9">
                  <c:v>University of Rwanda</c:v>
                </c:pt>
                <c:pt idx="10">
                  <c:v>University of the Witwatersrand</c:v>
                </c:pt>
                <c:pt idx="11">
                  <c:v>Somali National University</c:v>
                </c:pt>
                <c:pt idx="12">
                  <c:v>University of Malawi and Associates</c:v>
                </c:pt>
              </c:strCache>
            </c:strRef>
          </c:cat>
          <c:val>
            <c:numRef>
              <c:f>Promotions!$F$28:$F$41</c:f>
              <c:numCache>
                <c:formatCode>General</c:formatCode>
                <c:ptCount val="13"/>
                <c:pt idx="0">
                  <c:v>3</c:v>
                </c:pt>
                <c:pt idx="1">
                  <c:v>5</c:v>
                </c:pt>
                <c:pt idx="2">
                  <c:v>4</c:v>
                </c:pt>
                <c:pt idx="3">
                  <c:v>17</c:v>
                </c:pt>
                <c:pt idx="4">
                  <c:v>5</c:v>
                </c:pt>
                <c:pt idx="5">
                  <c:v>15</c:v>
                </c:pt>
                <c:pt idx="6">
                  <c:v>3</c:v>
                </c:pt>
                <c:pt idx="7">
                  <c:v>20</c:v>
                </c:pt>
                <c:pt idx="8">
                  <c:v>7</c:v>
                </c:pt>
                <c:pt idx="9">
                  <c:v>19</c:v>
                </c:pt>
                <c:pt idx="10">
                  <c:v>9</c:v>
                </c:pt>
                <c:pt idx="11">
                  <c:v>1</c:v>
                </c:pt>
                <c:pt idx="12">
                  <c:v>22</c:v>
                </c:pt>
              </c:numCache>
            </c:numRef>
          </c:val>
          <c:extLst>
            <c:ext xmlns:c16="http://schemas.microsoft.com/office/drawing/2014/chart" uri="{C3380CC4-5D6E-409C-BE32-E72D297353CC}">
              <c16:uniqueId val="{00000000-0D58-423D-998B-49A6C260278D}"/>
            </c:ext>
          </c:extLst>
        </c:ser>
        <c:ser>
          <c:idx val="1"/>
          <c:order val="1"/>
          <c:tx>
            <c:strRef>
              <c:f>Promotions!$G$26:$G$27</c:f>
              <c:strCache>
                <c:ptCount val="1"/>
                <c:pt idx="0">
                  <c:v>Women</c:v>
                </c:pt>
              </c:strCache>
            </c:strRef>
          </c:tx>
          <c:spPr>
            <a:solidFill>
              <a:schemeClr val="accent2"/>
            </a:solidFill>
            <a:ln>
              <a:noFill/>
            </a:ln>
            <a:effectLst/>
          </c:spPr>
          <c:invertIfNegative val="0"/>
          <c:dLbls>
            <c:delete val="1"/>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Nairobi</c:v>
                </c:pt>
                <c:pt idx="9">
                  <c:v>University of Rwanda</c:v>
                </c:pt>
                <c:pt idx="10">
                  <c:v>University of the Witwatersrand</c:v>
                </c:pt>
                <c:pt idx="11">
                  <c:v>Somali National University</c:v>
                </c:pt>
                <c:pt idx="12">
                  <c:v>University of Malawi and Associates</c:v>
                </c:pt>
              </c:strCache>
            </c:strRef>
          </c:cat>
          <c:val>
            <c:numRef>
              <c:f>Promotions!$G$28:$G$41</c:f>
              <c:numCache>
                <c:formatCode>General</c:formatCode>
                <c:ptCount val="13"/>
                <c:pt idx="1">
                  <c:v>1</c:v>
                </c:pt>
                <c:pt idx="2">
                  <c:v>6</c:v>
                </c:pt>
                <c:pt idx="3">
                  <c:v>14</c:v>
                </c:pt>
                <c:pt idx="4">
                  <c:v>17</c:v>
                </c:pt>
                <c:pt idx="5">
                  <c:v>18</c:v>
                </c:pt>
                <c:pt idx="6">
                  <c:v>3</c:v>
                </c:pt>
                <c:pt idx="7">
                  <c:v>23</c:v>
                </c:pt>
                <c:pt idx="8">
                  <c:v>24</c:v>
                </c:pt>
                <c:pt idx="9">
                  <c:v>12</c:v>
                </c:pt>
                <c:pt idx="10">
                  <c:v>23</c:v>
                </c:pt>
                <c:pt idx="11">
                  <c:v>1</c:v>
                </c:pt>
                <c:pt idx="12">
                  <c:v>15</c:v>
                </c:pt>
              </c:numCache>
            </c:numRef>
          </c:val>
          <c:extLst>
            <c:ext xmlns:c16="http://schemas.microsoft.com/office/drawing/2014/chart" uri="{C3380CC4-5D6E-409C-BE32-E72D297353CC}">
              <c16:uniqueId val="{00000001-0D58-423D-998B-49A6C260278D}"/>
            </c:ext>
          </c:extLst>
        </c:ser>
        <c:dLbls>
          <c:dLblPos val="ctr"/>
          <c:showLegendKey val="0"/>
          <c:showVal val="1"/>
          <c:showCatName val="0"/>
          <c:showSerName val="0"/>
          <c:showPercent val="0"/>
          <c:showBubbleSize val="0"/>
        </c:dLbls>
        <c:gapWidth val="60"/>
        <c:overlap val="100"/>
        <c:axId val="312729664"/>
        <c:axId val="312731584"/>
      </c:barChart>
      <c:catAx>
        <c:axId val="31272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31584"/>
        <c:crosses val="autoZero"/>
        <c:auto val="1"/>
        <c:lblAlgn val="ctr"/>
        <c:lblOffset val="100"/>
        <c:noMultiLvlLbl val="0"/>
      </c:catAx>
      <c:valAx>
        <c:axId val="312731584"/>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29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Nairobi</c:v>
                </c:pt>
                <c:pt idx="10">
                  <c:v>University of Rwanda</c:v>
                </c:pt>
                <c:pt idx="11">
                  <c:v>University of the Witwatersrand</c:v>
                </c:pt>
                <c:pt idx="12">
                  <c:v>University of Malawi and Associates</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23</c:v>
                </c:pt>
                <c:pt idx="10">
                  <c:v>11</c:v>
                </c:pt>
                <c:pt idx="11">
                  <c:v>22</c:v>
                </c:pt>
                <c:pt idx="12">
                  <c:v>12</c:v>
                </c:pt>
              </c:numCache>
            </c:numRef>
          </c:val>
          <c:extLst>
            <c:ext xmlns:c16="http://schemas.microsoft.com/office/drawing/2014/chart" uri="{C3380CC4-5D6E-409C-BE32-E72D297353CC}">
              <c16:uniqueId val="{00000000-CEE2-405A-BD69-EB2C16DB3E90}"/>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Nairobi</c:v>
                </c:pt>
                <c:pt idx="10">
                  <c:v>University of Rwanda</c:v>
                </c:pt>
                <c:pt idx="11">
                  <c:v>University of the Witwatersrand</c:v>
                </c:pt>
                <c:pt idx="12">
                  <c:v>University of Malawi and Associates</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7</c:v>
                </c:pt>
                <c:pt idx="10">
                  <c:v>16</c:v>
                </c:pt>
                <c:pt idx="11">
                  <c:v>9</c:v>
                </c:pt>
                <c:pt idx="12">
                  <c:v>21</c:v>
                </c:pt>
              </c:numCache>
            </c:numRef>
          </c:val>
          <c:extLst>
            <c:ext xmlns:c16="http://schemas.microsoft.com/office/drawing/2014/chart" uri="{C3380CC4-5D6E-409C-BE32-E72D297353CC}">
              <c16:uniqueId val="{00000001-CEE2-405A-BD69-EB2C16DB3E90}"/>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601980</xdr:colOff>
      <xdr:row>19</xdr:row>
      <xdr:rowOff>7620</xdr:rowOff>
    </xdr:to>
    <xdr:graphicFrame macro="">
      <xdr:nvGraphicFramePr>
        <xdr:cNvPr id="7" name="Chart 6">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601980</xdr:colOff>
      <xdr:row>0</xdr:row>
      <xdr:rowOff>0</xdr:rowOff>
    </xdr:from>
    <xdr:to>
      <xdr:col>17</xdr:col>
      <xdr:colOff>461818</xdr:colOff>
      <xdr:row>19</xdr:row>
      <xdr:rowOff>0</xdr:rowOff>
    </xdr:to>
    <xdr:graphicFrame macro="">
      <xdr:nvGraphicFramePr>
        <xdr:cNvPr id="9"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60960</xdr:colOff>
      <xdr:row>19</xdr:row>
      <xdr:rowOff>0</xdr:rowOff>
    </xdr:from>
    <xdr:to>
      <xdr:col>10</xdr:col>
      <xdr:colOff>68580</xdr:colOff>
      <xdr:row>38</xdr:row>
      <xdr:rowOff>167640</xdr:rowOff>
    </xdr:to>
    <xdr:graphicFrame macro="">
      <xdr:nvGraphicFramePr>
        <xdr:cNvPr id="4" name="Chart 3">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60960</xdr:colOff>
      <xdr:row>19</xdr:row>
      <xdr:rowOff>0</xdr:rowOff>
    </xdr:from>
    <xdr:to>
      <xdr:col>17</xdr:col>
      <xdr:colOff>464820</xdr:colOff>
      <xdr:row>38</xdr:row>
      <xdr:rowOff>160020</xdr:rowOff>
    </xdr:to>
    <xdr:graphicFrame macro="">
      <xdr:nvGraphicFramePr>
        <xdr:cNvPr id="5" name="Chart 4">
          <a:extLst>
            <a:ext uri="{FF2B5EF4-FFF2-40B4-BE49-F238E27FC236}">
              <a16:creationId xmlns:a16="http://schemas.microsoft.com/office/drawing/2014/main" id="{00000000-0008-0000-0000-000005000000}"/>
            </a:ext>
            <a:ext uri="{147F2762-F138-4A5C-976F-8EAC2B608ADB}">
              <a16:predDERef xmlns:a16="http://schemas.microsoft.com/office/drawing/2014/main" pre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336066</xdr:colOff>
      <xdr:row>0</xdr:row>
      <xdr:rowOff>0</xdr:rowOff>
    </xdr:from>
    <xdr:to>
      <xdr:col>25</xdr:col>
      <xdr:colOff>287417</xdr:colOff>
      <xdr:row>12</xdr:row>
      <xdr:rowOff>181198</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547543</xdr:colOff>
      <xdr:row>13</xdr:row>
      <xdr:rowOff>179019</xdr:rowOff>
    </xdr:from>
    <xdr:to>
      <xdr:col>21</xdr:col>
      <xdr:colOff>476987</xdr:colOff>
      <xdr:row>26</xdr:row>
      <xdr:rowOff>82806</xdr:rowOff>
    </xdr:to>
    <xdr:graphicFrame macro="">
      <xdr:nvGraphicFramePr>
        <xdr:cNvPr id="10" name="Chart 9">
          <a:extLst>
            <a:ext uri="{FF2B5EF4-FFF2-40B4-BE49-F238E27FC236}">
              <a16:creationId xmlns:a16="http://schemas.microsoft.com/office/drawing/2014/main" id="{00000000-0008-0000-0000-00000A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544400</xdr:colOff>
      <xdr:row>26</xdr:row>
      <xdr:rowOff>97815</xdr:rowOff>
    </xdr:from>
    <xdr:to>
      <xdr:col>21</xdr:col>
      <xdr:colOff>467429</xdr:colOff>
      <xdr:row>39</xdr:row>
      <xdr:rowOff>51312</xdr:rowOff>
    </xdr:to>
    <xdr:graphicFrame macro="">
      <xdr:nvGraphicFramePr>
        <xdr:cNvPr id="11" name="Chart 10">
          <a:extLst>
            <a:ext uri="{FF2B5EF4-FFF2-40B4-BE49-F238E27FC236}">
              <a16:creationId xmlns:a16="http://schemas.microsoft.com/office/drawing/2014/main" id="{3ACD6707-0FAC-4919-8BEC-B06EB470B163}"/>
            </a:ext>
            <a:ext uri="{147F2762-F138-4A5C-976F-8EAC2B608ADB}">
              <a16:predDERef xmlns:a16="http://schemas.microsoft.com/office/drawing/2014/main" pre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418523</xdr:colOff>
      <xdr:row>40</xdr:row>
      <xdr:rowOff>43296</xdr:rowOff>
    </xdr:from>
    <xdr:to>
      <xdr:col>18</xdr:col>
      <xdr:colOff>7792</xdr:colOff>
      <xdr:row>59</xdr:row>
      <xdr:rowOff>21124</xdr:rowOff>
    </xdr:to>
    <xdr:graphicFrame macro="">
      <xdr:nvGraphicFramePr>
        <xdr:cNvPr id="3" name="Chart 2">
          <a:extLst>
            <a:ext uri="{FF2B5EF4-FFF2-40B4-BE49-F238E27FC236}">
              <a16:creationId xmlns:a16="http://schemas.microsoft.com/office/drawing/2014/main" id="{8AE78F0B-DDFB-4519-B9D7-CDD1AF5E3241}"/>
            </a:ext>
            <a:ext uri="{147F2762-F138-4A5C-976F-8EAC2B608ADB}">
              <a16:predDERef xmlns:a16="http://schemas.microsoft.com/office/drawing/2014/main" pred="{3ACD6707-0FAC-4919-8BEC-B06EB470B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330200</xdr:colOff>
      <xdr:row>13</xdr:row>
      <xdr:rowOff>171449</xdr:rowOff>
    </xdr:from>
    <xdr:to>
      <xdr:col>15</xdr:col>
      <xdr:colOff>19050</xdr:colOff>
      <xdr:row>32</xdr:row>
      <xdr:rowOff>36512</xdr:rowOff>
    </xdr:to>
    <xdr:graphicFrame macro="">
      <xdr:nvGraphicFramePr>
        <xdr:cNvPr id="3" name="Chart 2">
          <a:extLst>
            <a:ext uri="{FF2B5EF4-FFF2-40B4-BE49-F238E27FC236}">
              <a16:creationId xmlns:a16="http://schemas.microsoft.com/office/drawing/2014/main" id="{4E71B09D-8AC5-4C91-B9DF-E950829C5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316442</xdr:colOff>
      <xdr:row>0</xdr:row>
      <xdr:rowOff>158750</xdr:rowOff>
    </xdr:from>
    <xdr:to>
      <xdr:col>21</xdr:col>
      <xdr:colOff>514350</xdr:colOff>
      <xdr:row>21</xdr:row>
      <xdr:rowOff>158750</xdr:rowOff>
    </xdr:to>
    <xdr:graphicFrame macro="">
      <xdr:nvGraphicFramePr>
        <xdr:cNvPr id="2" name="Chart 1">
          <a:extLst>
            <a:ext uri="{FF2B5EF4-FFF2-40B4-BE49-F238E27FC236}">
              <a16:creationId xmlns:a16="http://schemas.microsoft.com/office/drawing/2014/main" i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600074</xdr:colOff>
      <xdr:row>24</xdr:row>
      <xdr:rowOff>63499</xdr:rowOff>
    </xdr:from>
    <xdr:to>
      <xdr:col>21</xdr:col>
      <xdr:colOff>69850</xdr:colOff>
      <xdr:row>44</xdr:row>
      <xdr:rowOff>20955</xdr:rowOff>
    </xdr:to>
    <xdr:graphicFrame macro="">
      <xdr:nvGraphicFramePr>
        <xdr:cNvPr id="3" name="Chart 2">
          <a:extLst>
            <a:ext uri="{FF2B5EF4-FFF2-40B4-BE49-F238E27FC236}">
              <a16:creationId xmlns:a16="http://schemas.microsoft.com/office/drawing/2014/main" id="{4273273B-B48B-7032-80C7-5290BF788C36}"/>
            </a:ext>
            <a:ext uri="{147F2762-F138-4A5C-976F-8EAC2B608ADB}">
              <a16:predDERef xmlns:a16="http://schemas.microsoft.com/office/drawing/2014/main" pre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508000</xdr:colOff>
      <xdr:row>45</xdr:row>
      <xdr:rowOff>57149</xdr:rowOff>
    </xdr:from>
    <xdr:to>
      <xdr:col>20</xdr:col>
      <xdr:colOff>273049</xdr:colOff>
      <xdr:row>64</xdr:row>
      <xdr:rowOff>100786</xdr:rowOff>
    </xdr:to>
    <xdr:graphicFrame macro="">
      <xdr:nvGraphicFramePr>
        <xdr:cNvPr id="4" name="Chart 3">
          <a:extLst>
            <a:ext uri="{FF2B5EF4-FFF2-40B4-BE49-F238E27FC236}">
              <a16:creationId xmlns:a16="http://schemas.microsoft.com/office/drawing/2014/main" id="{58C25B5D-2F3E-792C-6D9A-D9F06807B067}"/>
            </a:ext>
            <a:ext uri="{147F2762-F138-4A5C-976F-8EAC2B608ADB}">
              <a16:predDERef xmlns:a16="http://schemas.microsoft.com/office/drawing/2014/main" pred="{4273273B-B48B-7032-80C7-5290BF788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4DDBA5CA-C0C1-4E96-8803-316BE7F9C0BB}"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omi Njenga" refreshedDate="46230.780353125003" createdVersion="8" refreshedVersion="8" minRefreshableVersion="3" recordCount="288" xr:uid="{0C5005AF-81CA-4BB5-95DF-8D0F323654D3}">
  <cacheSource type="worksheet">
    <worksheetSource ref="A1:CK291" sheet="Fellows"/>
  </cacheSource>
  <cacheFields count="89">
    <cacheField name="S.No." numFmtId="0">
      <sharedItems containsString="0" containsBlank="1" containsNumber="1" containsInteger="1" minValue="1" maxValue="291"/>
    </cacheField>
    <cacheField name="Unique ID" numFmtId="0">
      <sharedItems containsBlank="1"/>
    </cacheField>
    <cacheField name="First Name" numFmtId="0">
      <sharedItems containsBlank="1"/>
    </cacheField>
    <cacheField name="Middle Name" numFmtId="0">
      <sharedItems containsBlank="1"/>
    </cacheField>
    <cacheField name="Surname" numFmtId="0">
      <sharedItems containsBlank="1"/>
    </cacheField>
    <cacheField name="Gender" numFmtId="0">
      <sharedItems containsBlank="1" count="3">
        <s v="Male"/>
        <s v="Female"/>
        <m/>
      </sharedItems>
    </cacheField>
    <cacheField name="Cohort" numFmtId="0">
      <sharedItems containsString="0" containsBlank="1" containsNumber="1" containsInteger="1" minValue="1" maxValue="12"/>
    </cacheField>
    <cacheField name="Nationality" numFmtId="0">
      <sharedItems containsBlank="1"/>
    </cacheField>
    <cacheField name="Institution of employment at registration" numFmtId="0">
      <sharedItems containsBlank="1"/>
    </cacheField>
    <cacheField name="Discipline" numFmtId="0">
      <sharedItems containsBlank="1"/>
    </cacheField>
    <cacheField name="Department" numFmtId="0">
      <sharedItems containsBlank="1"/>
    </cacheField>
    <cacheField name="Institution of registration" numFmtId="0">
      <sharedItems containsBlank="1" count="12">
        <s v="University of Ibadan"/>
        <s v="University of Dar es Salaam"/>
        <s v="Moi University"/>
        <s v="University of the Witwatersrand"/>
        <s v="University of Malawi and Associates"/>
        <s v="University of Rwanda"/>
        <s v="University of Nairobi"/>
        <s v="Obafemi Awolowo University"/>
        <m/>
        <s v="Makerere University"/>
        <s v=" " u="1"/>
        <s v="University of the Malawi" u="1"/>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ontainsMixedTypes="1" containsNumber="1" containsInteger="1" minValue="2016" maxValue="2022"/>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NonDate="0" containsDate="1" containsString="0" containsBlank="1" minDate="2011-03-01T00:00:00" maxDate="2026-03-03T00:00:00"/>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0">
      <sharedItems containsNonDate="0" containsDate="1" containsString="0" containsBlank="1" minDate="2011-04-01T00:00:00" maxDate="2026-03-03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7-02T00:00:00"/>
    </cacheField>
    <cacheField name="Current PhD Status ( Completed/Defended/In Progress)" numFmtId="0">
      <sharedItems containsBlank="1" count="4">
        <s v="Completed"/>
        <s v="Terminated"/>
        <s v="In progress"/>
        <m/>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43"/>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Naomi Njenga" refreshedDate="46231.271026273149" createdVersion="6" refreshedVersion="8" minRefreshableVersion="3" recordCount="245" xr:uid="{00000000-000A-0000-FFFF-FFFFB9000000}">
  <cacheSource type="worksheet">
    <worksheetSource ref="A1:CK246" sheet="Fellows"/>
  </cacheSource>
  <cacheFields count="89">
    <cacheField name="S.No." numFmtId="0">
      <sharedItems containsSemiMixedTypes="0" containsString="0" containsNumber="1" containsInteger="1" minValue="1" maxValue="24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ntainsBlank="1" count="3">
        <s v="Male"/>
        <s v="Female"/>
        <m u="1"/>
      </sharedItems>
    </cacheField>
    <cacheField name="Cohort" numFmtId="0">
      <sharedItems containsSemiMixedTypes="0" containsString="0" containsNumber="1" containsInteger="1" minValue="1" maxValue="10" count="10">
        <n v="1"/>
        <n v="2"/>
        <n v="3"/>
        <n v="4"/>
        <n v="5"/>
        <n v="6"/>
        <n v="7"/>
        <n v="8"/>
        <n v="9"/>
        <n v="10"/>
      </sharedItems>
    </cacheField>
    <cacheField name="Nationality" numFmtId="0">
      <sharedItems/>
    </cacheField>
    <cacheField name="Institution of employment at registration" numFmtId="0">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2">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3-02-03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2-03-03T00:00:00"/>
    </cacheField>
    <cacheField name="Year of admission into CARTA" numFmtId="0">
      <sharedItems containsSemiMixedTypes="0" containsNonDate="0" containsDate="1" containsString="0" minDate="2011-03-01T00:00:00" maxDate="2020-03-02T00:00:00"/>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emiMixedTypes="0" containsString="0"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0-03-27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7-02T00:00:00"/>
    </cacheField>
    <cacheField name="Current PhD Status ( Completed/Defended/In Progress)" numFmtId="0">
      <sharedItems count="5">
        <s v="Completed"/>
        <s v="Terminated"/>
        <s v="In progress"/>
        <s v="Didn’t take up" u="1"/>
        <s v="Defended"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24"/>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omi Njenga" refreshedDate="46231.282262962966" createdVersion="8" refreshedVersion="8" minRefreshableVersion="3" recordCount="265" xr:uid="{00C36F82-4E82-4E65-9023-0A185EDE28CD}">
  <cacheSource type="worksheet">
    <worksheetSource ref="A1:CK266" sheet="Fellows"/>
  </cacheSource>
  <cacheFields count="92">
    <cacheField name="S.No." numFmtId="0">
      <sharedItems containsSemiMixedTypes="0" containsString="0" containsNumber="1" containsInteger="1" minValue="1" maxValue="26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2">
        <s v="Male"/>
        <s v="Female"/>
      </sharedItems>
    </cacheField>
    <cacheField name="Cohort" numFmtId="0">
      <sharedItems containsSemiMixedTypes="0" containsString="0" containsNumber="1" containsInteger="1" minValue="1" maxValue="11" count="11">
        <n v="1"/>
        <n v="2"/>
        <n v="3"/>
        <n v="4"/>
        <n v="5"/>
        <n v="6"/>
        <n v="7"/>
        <n v="8"/>
        <n v="9"/>
        <n v="10"/>
        <n v="11"/>
      </sharedItems>
    </cacheField>
    <cacheField name="Nationality" numFmtId="0">
      <sharedItems/>
    </cacheField>
    <cacheField name="Institution of employment at registration" numFmtId="0">
      <sharedItems containsBlank="1" count="15">
        <s v="University of Ibadan"/>
        <s v="University of Rwanda"/>
        <s v="Moi University"/>
        <s v="University of Malawi and Associates"/>
        <s v="Ifakara Health Institute"/>
        <s v="Obafemi Awolowo University"/>
        <s v="University of the Witwatersrand"/>
        <s v="University of Nairobi"/>
        <s v="AGINCOURT"/>
        <s v="University of Dar es Salaam"/>
        <s v="Makerere University"/>
        <s v="APHRC"/>
        <s v="Somali National University"/>
        <s v="University of Malawi" u="1"/>
        <m u="1"/>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5-03-04T00:00:00" count="11">
        <d v="2011-03-01T00:00:00"/>
        <d v="2012-03-01T00:00:00"/>
        <d v="2013-03-01T00:00:00"/>
        <d v="2014-03-01T00:00:00"/>
        <d v="2015-03-01T00:00:00"/>
        <d v="2016-03-01T00:00:00"/>
        <d v="2017-03-01T00:00:00"/>
        <d v="2018-03-01T00:00:00"/>
        <d v="2019-03-01T00:00:00"/>
        <d v="2020-03-01T00:00:00"/>
        <d v="2025-03-03T00:00:00"/>
      </sharedItems>
      <fieldGroup par="91"/>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ount="3">
        <s v="Yes"/>
        <m/>
        <s v="No"/>
      </sharedItems>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5-03-04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7-02T00:00:00" count="168">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d v="2025-11-29T00:00:00"/>
        <d v="2025-03-01T00:00:00"/>
        <d v="2026-07-01T00:00:00"/>
        <d v="2023-09-19T00:00:00"/>
        <d v="2025-03-31T00:00:00"/>
        <d v="2023-11-15T00:00:00"/>
        <d v="2026-03-13T00:00:00"/>
        <d v="2023-11-24T00:00:00"/>
        <d v="2025-10-07T00:00:00"/>
        <d v="2023-10-16T00:00:00"/>
        <d v="2024-10-03T00:00:00"/>
        <d v="2024-10-25T00:00:00"/>
        <d v="2025-10-20T00:00:00"/>
        <d v="2024-12-22T00:00:00"/>
        <d v="2024-10-31T00:00:00"/>
        <d v="2025-08-20T00:00:00"/>
      </sharedItems>
    </cacheField>
    <cacheField name="Current PhD Status ( Completed/Defended/In Progress)" numFmtId="0">
      <sharedItems count="4">
        <s v="Completed"/>
        <s v="Terminated"/>
        <s v="In progress"/>
        <s v="Didn’t take up"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40"/>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 name="Months (Year of admission into CARTA)" numFmtId="0" databaseField="0">
      <fieldGroup base="28">
        <rangePr groupBy="months" startDate="2011-03-01T00:00:00" endDate="2025-03-04T00:00:00"/>
        <groupItems count="14">
          <s v="&lt;01/03/2011"/>
          <s v="Jan"/>
          <s v="Feb"/>
          <s v="Mar"/>
          <s v="Apr"/>
          <s v="May"/>
          <s v="Jun"/>
          <s v="Jul"/>
          <s v="Aug"/>
          <s v="Sept"/>
          <s v="Oct"/>
          <s v="Nov"/>
          <s v="Dec"/>
          <s v="&gt;04/03/2025"/>
        </groupItems>
      </fieldGroup>
    </cacheField>
    <cacheField name="Quarters (Year of admission into CARTA)" numFmtId="0" databaseField="0">
      <fieldGroup base="28">
        <rangePr groupBy="quarters" startDate="2011-03-01T00:00:00" endDate="2025-03-04T00:00:00"/>
        <groupItems count="6">
          <s v="&lt;01/03/2011"/>
          <s v="Qtr1"/>
          <s v="Qtr2"/>
          <s v="Qtr3"/>
          <s v="Qtr4"/>
          <s v="&gt;04/03/2025"/>
        </groupItems>
      </fieldGroup>
    </cacheField>
    <cacheField name="Years (Year of admission into CARTA)" numFmtId="0" databaseField="0">
      <fieldGroup base="28">
        <rangePr groupBy="years" startDate="2011-03-01T00:00:00" endDate="2025-03-04T00:00:00"/>
        <groupItems count="17">
          <s v="&lt;01/03/2011"/>
          <s v="2011"/>
          <s v="2012"/>
          <s v="2013"/>
          <s v="2014"/>
          <s v="2015"/>
          <s v="2016"/>
          <s v="2017"/>
          <s v="2018"/>
          <s v="2019"/>
          <s v="2020"/>
          <s v="2021"/>
          <s v="2022"/>
          <s v="2023"/>
          <s v="2024"/>
          <s v="2025"/>
          <s v="&gt;04/03/2025"/>
        </groupItems>
      </fieldGroup>
    </cacheField>
  </cacheFields>
  <extLst>
    <ext xmlns:x14="http://schemas.microsoft.com/office/spreadsheetml/2009/9/main" uri="{725AE2AE-9491-48be-B2B4-4EB974FC3084}">
      <x14:pivotCacheDefinition pivotCacheId="95293123"/>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omi Njenga" refreshedDate="46231.531133912038" createdVersion="8" refreshedVersion="8" minRefreshableVersion="3" recordCount="287" xr:uid="{03F3DA93-0360-44F0-B98C-5A8DED1FBCEC}">
  <cacheSource type="worksheet">
    <worksheetSource ref="A1:CK288" sheet="Fellows"/>
  </cacheSource>
  <cacheFields count="89">
    <cacheField name="S.No." numFmtId="0">
      <sharedItems containsSemiMixedTypes="0" containsString="0" containsNumber="1" containsInteger="1" minValue="1" maxValue="291"/>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4">
        <s v="Men"/>
        <s v="Women"/>
        <s v="Male" u="1"/>
        <s v="Female" u="1"/>
      </sharedItems>
    </cacheField>
    <cacheField name="Cohort" numFmtId="0">
      <sharedItems containsSemiMixedTypes="0" containsString="0" containsNumber="1" containsInteger="1" minValue="1" maxValue="12" count="12">
        <n v="1"/>
        <n v="2"/>
        <n v="3"/>
        <n v="4"/>
        <n v="5"/>
        <n v="6"/>
        <n v="7"/>
        <n v="8"/>
        <n v="9"/>
        <n v="10"/>
        <n v="11"/>
        <n v="12"/>
      </sharedItems>
    </cacheField>
    <cacheField name="Nationality" numFmtId="0">
      <sharedItems count="10">
        <s v="Nigeria"/>
        <s v="Rwanda"/>
        <s v="Kenya"/>
        <s v="Malawi"/>
        <s v="Tanzania"/>
        <s v="South Africa"/>
        <s v="Uganda"/>
        <s v="Senegal"/>
        <s v="Zimbabwe"/>
        <s v="Somalia"/>
      </sharedItems>
    </cacheField>
    <cacheField name="Institution of employment at registration" numFmtId="0">
      <sharedItems count="17">
        <s v="University of Ibadan"/>
        <s v="University of Rwanda"/>
        <s v="Moi University"/>
        <s v="University of Malawi and Associates"/>
        <s v="Ifakara Health Institute"/>
        <s v="Obafemi Awolowo University"/>
        <s v="University of the Witwatersrand"/>
        <s v="University of Nairobi"/>
        <s v="AGINCOURT"/>
        <s v="University of Dar es Salaam"/>
        <s v="Makerere University"/>
        <s v="APHRC"/>
        <s v="Somali National University"/>
        <s v="University of the Malawi and Associates" u="1"/>
        <s v="University of the Malawi" u="1"/>
        <s v="University of Malawi" u="1"/>
        <s v="Kamuzu University of Health Sciences (formerly University of Malawi)" u="1"/>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ontainsMixedTypes="1" containsNumber="1" containsInteger="1" minValue="2016" maxValue="2022"/>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6-03-03T00:00:00"/>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6-03-03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7-02T00:00:00" count="168">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d v="2025-11-29T00:00:00"/>
        <d v="2025-03-01T00:00:00"/>
        <d v="2026-07-01T00:00:00"/>
        <d v="2023-09-19T00:00:00"/>
        <d v="2025-03-31T00:00:00"/>
        <d v="2023-11-15T00:00:00"/>
        <d v="2026-03-13T00:00:00"/>
        <d v="2023-11-24T00:00:00"/>
        <d v="2025-10-07T00:00:00"/>
        <d v="2023-10-16T00:00:00"/>
        <d v="2024-10-03T00:00:00"/>
        <d v="2024-10-25T00:00:00"/>
        <d v="2025-10-20T00:00:00"/>
        <d v="2024-12-22T00:00:00"/>
        <d v="2024-10-31T00:00:00"/>
        <d v="2025-08-20T00:00:00"/>
      </sharedItems>
    </cacheField>
    <cacheField name="Current PhD Status ( Completed/Defended/In Progress)" numFmtId="0">
      <sharedItems count="3">
        <s v="Completed"/>
        <s v="Terminated"/>
        <s v="In progress"/>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43"/>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8">
  <r>
    <n v="1"/>
    <s v="C1/001"/>
    <s v="Babatunde"/>
    <s v="Olubayo"/>
    <s v="Adedokun"/>
    <x v="0"/>
    <n v="1"/>
    <s v="Nigeria"/>
    <s v="University of Ibadan"/>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n v="1"/>
    <s v="Rwanda"/>
    <s v="University of Rwanda"/>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n v="1"/>
    <s v="Kenya"/>
    <s v="Moi University"/>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n v="1"/>
    <s v="Rwanda"/>
    <s v="University of Rwanda"/>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n v="1"/>
    <s v="Malawi"/>
    <s v="University of Malawi and Associates"/>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n v="1"/>
    <s v="Tanzania"/>
    <s v="Ifakara Health Institute"/>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n v="1"/>
    <s v="Malawi"/>
    <s v="University of Malawi and Associates"/>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n v="1"/>
    <s v="Nigeria"/>
    <s v="Obafemi Awolowo University"/>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n v="1"/>
    <s v="Malawi"/>
    <s v="University of Malawi and Associates"/>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n v="1"/>
    <s v="Rwanda"/>
    <s v="University of Rwanda"/>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n v="1"/>
    <s v="Nigeria"/>
    <s v="University of Ibadan"/>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n v="1"/>
    <s v="Malawi"/>
    <s v="University of Malawi and Associates"/>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n v="1"/>
    <s v="Kenya"/>
    <s v="Moi University"/>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n v="1"/>
    <s v="South Africa"/>
    <s v="University of the Witwatersrand"/>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n v="1"/>
    <s v="South Africa"/>
    <s v="University of the Witwatersrand"/>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n v="1"/>
    <s v="Malawi"/>
    <s v="University of the Witwatersrand"/>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n v="1"/>
    <s v="Kenya"/>
    <s v="University of Nairobi"/>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n v="1"/>
    <s v="Nigeria"/>
    <s v="Obafemi Awolowo University"/>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n v="1"/>
    <s v="Nigeria"/>
    <s v="Obafemi Awolowo University"/>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n v="1"/>
    <s v="Nigeria"/>
    <s v="AGINCOURT"/>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n v="1"/>
    <s v="Kenya"/>
    <s v="University of Nairobi"/>
    <m/>
    <m/>
    <x v="8"/>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n v="1"/>
    <s v="Kenya"/>
    <s v="University of Nairobi"/>
    <m/>
    <m/>
    <x v="6"/>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n v="1"/>
    <s v="Tanzania"/>
    <s v="University of Dar es Salaam"/>
    <m/>
    <m/>
    <x v="8"/>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n v="2"/>
    <s v="Nigeria"/>
    <s v="University of Ibadan"/>
    <s v="Epidemiology"/>
    <m/>
    <x v="0"/>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n v="2"/>
    <s v="Malawi"/>
    <s v="University of Malawi and Associates"/>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n v="2"/>
    <s v="Malawi"/>
    <s v="University of Malawi and Associates"/>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n v="2"/>
    <s v="Kenya"/>
    <s v="Moi University"/>
    <s v="Medical Epidemiology"/>
    <s v="Library"/>
    <x v="2"/>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n v="2"/>
    <s v="Tanzania"/>
    <s v="University of Dar es Salaam"/>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n v="2"/>
    <s v="Uganda"/>
    <s v="Makerere University"/>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n v="2"/>
    <s v="Nigeria"/>
    <s v="University of Ibadan"/>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n v="2"/>
    <s v="Uganda"/>
    <s v="Makerere University"/>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n v="2"/>
    <s v="Malawi"/>
    <s v="University of Malawi and Associates"/>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n v="2"/>
    <s v="Kenya"/>
    <s v="APHRC"/>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n v="2"/>
    <s v="Kenya"/>
    <s v="University of Nairobi"/>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n v="2"/>
    <s v="Nigeria"/>
    <s v="Obafemi Awolowo University"/>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n v="2"/>
    <s v="Nigeria"/>
    <s v="University of Ibadan"/>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n v="2"/>
    <s v="Malawi"/>
    <s v="University of Malawi and Associates"/>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n v="2"/>
    <s v="South Africa"/>
    <s v="University of the Witwatersrand"/>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n v="2"/>
    <s v="Uganda"/>
    <s v="Makerere University"/>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n v="2"/>
    <s v="Uganda"/>
    <s v="Makerere University"/>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n v="2"/>
    <s v="South Africa"/>
    <s v="University of the Witwatersrand"/>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n v="2"/>
    <s v="Kenya"/>
    <s v="University of Nairobi"/>
    <m/>
    <m/>
    <x v="3"/>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n v="2"/>
    <s v="Tanzania"/>
    <s v="Ifakara Health Institute"/>
    <m/>
    <s v="TB Clinic"/>
    <x v="1"/>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n v="3"/>
    <s v="Nigeria"/>
    <s v="University of Ibadan"/>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n v="3"/>
    <s v="Kenya"/>
    <s v="University of Nairobi"/>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n v="3"/>
    <s v="Kenya"/>
    <s v="University of Nairobi"/>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n v="3"/>
    <s v="Nigeria"/>
    <s v="University of Ibadan"/>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n v="3"/>
    <s v="Uganda"/>
    <s v="Makerere University"/>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n v="3"/>
    <s v="Rwanda"/>
    <s v="University of Rwanda"/>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n v="3"/>
    <s v="Nigeria"/>
    <s v="University of Ibadan"/>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n v="3"/>
    <s v="Malawi"/>
    <s v="University of Malawi and Associates"/>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n v="3"/>
    <s v="Kenya"/>
    <s v="Moi University"/>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n v="3"/>
    <s v="South Africa"/>
    <s v="University of the Witwatersrand"/>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n v="3"/>
    <s v="Rwanda"/>
    <s v="University of Rwanda"/>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n v="3"/>
    <s v="Kenya"/>
    <s v="Moi University"/>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n v="3"/>
    <s v="Nigeria"/>
    <s v="Obafemi Awolowo University"/>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n v="3"/>
    <s v="Kenya"/>
    <s v="Moi University"/>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n v="3"/>
    <s v="Nigeria"/>
    <s v="Obafemi Awolowo University"/>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n v="3"/>
    <s v="Uganda"/>
    <s v="Makerere University"/>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n v="3"/>
    <s v="South Africa"/>
    <s v="University of the Witwatersrand"/>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n v="3"/>
    <s v="Nigeria"/>
    <s v="Obafemi Awolowo University"/>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n v="3"/>
    <s v="Nigeria"/>
    <s v="University of Ibadan"/>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n v="3"/>
    <s v="Tanzania"/>
    <s v="University of Dar es Salaam"/>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n v="3"/>
    <s v="Kenya"/>
    <s v="Moi University"/>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n v="3"/>
    <s v="Malawi"/>
    <s v="University of Malawi and Associates"/>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n v="3"/>
    <s v="South Africa"/>
    <s v="University of the Witwatersrand"/>
    <m/>
    <m/>
    <x v="3"/>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n v="4"/>
    <s v="Nigeria"/>
    <s v="University of Ibadan"/>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n v="4"/>
    <s v="South Africa"/>
    <s v="University of the Witwatersrand"/>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n v="4"/>
    <s v="Uganda"/>
    <s v="Makerere University"/>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n v="4"/>
    <s v="Nigeria"/>
    <s v="Obafemi Awolowo University"/>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n v="4"/>
    <s v="Nigeria"/>
    <s v="University of Ibadan"/>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n v="4"/>
    <s v="Uganda"/>
    <s v="Makerere University"/>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n v="4"/>
    <s v="Kenya"/>
    <s v="Moi University"/>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n v="4"/>
    <s v="South Africa"/>
    <s v="University of the Witwatersrand"/>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n v="4"/>
    <s v="Kenya"/>
    <s v="University of Nairobi"/>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n v="4"/>
    <s v="Malawi"/>
    <s v="University of Malawi and Associates"/>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n v="4"/>
    <s v="Uganda"/>
    <s v="Makerere University"/>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n v="4"/>
    <s v="Kenya"/>
    <s v="Moi University"/>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n v="4"/>
    <s v="Uganda"/>
    <s v="Makerere University"/>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n v="4"/>
    <s v="Tanzania"/>
    <s v="Ifakara Health Institute"/>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n v="4"/>
    <s v="Kenya"/>
    <s v="Moi University"/>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n v="4"/>
    <s v="Kenya"/>
    <s v="Moi University"/>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n v="4"/>
    <s v="Rwanda"/>
    <s v="University of Rwanda"/>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n v="4"/>
    <s v="Malawi"/>
    <s v="University of Malawi and Associates"/>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n v="4"/>
    <s v="Tanzania"/>
    <s v="University of Dar es Salaam"/>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n v="4"/>
    <s v="Kenya"/>
    <s v="APHRC"/>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n v="4"/>
    <s v="Nigeria"/>
    <s v="Obafemi Awolowo University"/>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n v="4"/>
    <s v="South Africa"/>
    <s v="University of the Witwatersrand"/>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n v="4"/>
    <s v="Kenya"/>
    <s v="University of Nairobi"/>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n v="4"/>
    <s v="Tanzania"/>
    <s v="University of Dar es Salaam"/>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n v="4"/>
    <s v="Nigeria"/>
    <s v="Obafemi Awolowo University"/>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n v="4"/>
    <s v="Nigeria"/>
    <s v="University of Ibadan"/>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n v="4"/>
    <s v="South Africa"/>
    <s v="University of the Witwatersrand"/>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n v="5"/>
    <s v="Senegal"/>
    <s v="APHRC"/>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n v="5"/>
    <s v="Rwanda"/>
    <s v="University of Rwanda"/>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n v="5"/>
    <s v="Nigeria"/>
    <s v="Obafemi Awolowo University"/>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n v="5"/>
    <s v="South Africa"/>
    <s v="University of the Witwatersrand"/>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n v="5"/>
    <s v="Nigeria"/>
    <s v="University of Ibadan"/>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n v="5"/>
    <s v="Tanzania"/>
    <s v="Ifakara Health Institute"/>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n v="5"/>
    <s v="Kenya"/>
    <s v="University of Nairobi"/>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n v="5"/>
    <s v="Nigeria"/>
    <s v="University of Ibadan"/>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n v="5"/>
    <s v="Malawi"/>
    <s v="University of Malawi and Associates"/>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n v="5"/>
    <s v="Uganda"/>
    <s v="Makerere University"/>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n v="5"/>
    <s v="Kenya"/>
    <s v="Moi University"/>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n v="5"/>
    <s v="Kenya"/>
    <s v="Moi University"/>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n v="5"/>
    <s v="Nigeria"/>
    <s v="University of Ibadan"/>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n v="5"/>
    <s v="Uganda"/>
    <s v="Makerere University"/>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n v="5"/>
    <s v="Kenya"/>
    <s v="University of Nairobi"/>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n v="5"/>
    <s v="Kenya"/>
    <s v="Moi University"/>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n v="5"/>
    <s v="Nigeria"/>
    <s v="Obafemi Awolowo University"/>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n v="5"/>
    <s v="Malawi"/>
    <s v="University of Malawi and Associates"/>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n v="5"/>
    <s v="Malawi"/>
    <s v="University of Malawi and Associates"/>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n v="5"/>
    <s v="South Africa"/>
    <s v="University of the Witwatersrand"/>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n v="5"/>
    <s v="Nigeria"/>
    <s v="University of Ibadan"/>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n v="5"/>
    <s v="Uganda"/>
    <s v="Makerere University"/>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n v="5"/>
    <s v="Malawi"/>
    <s v="University of Malawi and Associates"/>
    <m/>
    <m/>
    <x v="4"/>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n v="5"/>
    <s v="Tanzania"/>
    <s v="University of Dar es Salaam"/>
    <m/>
    <m/>
    <x v="1"/>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n v="5"/>
    <s v="Kenya"/>
    <s v="University of Nairobi"/>
    <m/>
    <m/>
    <x v="6"/>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n v="6"/>
    <s v="Kenya"/>
    <s v="APHRC"/>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n v="6"/>
    <s v="Kenya"/>
    <s v="University of Nairobi"/>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n v="6"/>
    <s v="Malawi"/>
    <s v="University of Malawi and Associates"/>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n v="6"/>
    <s v="Nigeria"/>
    <s v="University of the Witwatersrand"/>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n v="6"/>
    <s v="Rwanda"/>
    <s v="University of Rwanda"/>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n v="6"/>
    <s v="Nigeria"/>
    <s v="University of Ibadan"/>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n v="6"/>
    <s v="South Africa"/>
    <s v="University of the Witwatersrand"/>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n v="6"/>
    <s v="Uganda"/>
    <s v="Makerere University"/>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n v="6"/>
    <s v="Nigeria"/>
    <s v="Obafemi Awolowo University"/>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n v="6"/>
    <s v="Malawi"/>
    <s v="University of Malawi and Associates"/>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n v="6"/>
    <s v="Uganda"/>
    <s v="Makerere University"/>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n v="6"/>
    <s v="Nigeria"/>
    <s v="University of Ibadan"/>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n v="6"/>
    <s v="Nigeria"/>
    <s v="Obafemi Awolowo University"/>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n v="6"/>
    <s v="Malawi"/>
    <s v="University of Malawi and Associates"/>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n v="6"/>
    <s v="Nigeria"/>
    <s v="University of Ibadan"/>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n v="6"/>
    <s v="Nigeria"/>
    <s v="Obafemi Awolowo University"/>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n v="6"/>
    <s v="Rwanda"/>
    <s v="University of Rwanda"/>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n v="6"/>
    <s v="Kenya"/>
    <s v="University of Nairobi"/>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n v="6"/>
    <s v="South Africa"/>
    <s v="University of the Witwatersrand"/>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n v="6"/>
    <s v="Nigeria"/>
    <s v="Obafemi Awolowo University"/>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n v="6"/>
    <s v="Kenya"/>
    <s v="University of Nairobi"/>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n v="6"/>
    <s v="Nigeria"/>
    <s v="University of Ibadan"/>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n v="6"/>
    <s v="South Africa"/>
    <s v="University of the Witwatersrand"/>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n v="6"/>
    <s v="Tanzania"/>
    <s v="Ifakara Health Institute"/>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n v="6"/>
    <s v="Kenya"/>
    <s v="Moi University"/>
    <s v="BIOSTATISTICS"/>
    <s v="Public and Population Health"/>
    <x v="3"/>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n v="7"/>
    <s v="South Africa"/>
    <s v="University of the Witwatersrand"/>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n v="7"/>
    <s v="Uganda"/>
    <s v="Makerere University"/>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n v="7"/>
    <s v="Nigeria"/>
    <s v="Obafemi Awolowo University"/>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n v="7"/>
    <s v="Malawi"/>
    <s v="University of Malawi and Associates"/>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n v="7"/>
    <s v="Rwanda"/>
    <s v="University of Rwanda"/>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n v="7"/>
    <s v="Kenya"/>
    <s v="University of Nairobi"/>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n v="7"/>
    <s v="Nigeria"/>
    <s v="University of Ibadan"/>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n v="7"/>
    <s v="Malawi"/>
    <s v="University of Malawi and Associates"/>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n v="7"/>
    <s v="Malawi"/>
    <s v="University of Malawi and Associates"/>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n v="7"/>
    <s v="Kenya"/>
    <s v="University of Nairobi"/>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n v="7"/>
    <s v="Kenya"/>
    <s v="Moi University"/>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n v="7"/>
    <s v="Nigeria"/>
    <s v="University of Ibadan"/>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n v="7"/>
    <s v="Nigeria"/>
    <s v="Obafemi Awolowo University"/>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n v="7"/>
    <s v="Kenya"/>
    <s v="APHRC"/>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n v="7"/>
    <s v="South Africa"/>
    <s v="University of the Witwatersrand"/>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n v="7"/>
    <s v="Kenya"/>
    <s v="University of Nairobi"/>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n v="7"/>
    <s v="Tanzania"/>
    <s v="Ifakara Health Institute"/>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n v="7"/>
    <s v="Malawi"/>
    <s v="University of Malawi and Associates"/>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n v="7"/>
    <s v="Rwanda"/>
    <s v="University of Rwanda"/>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n v="7"/>
    <s v="Rwanda"/>
    <s v="University of Rwanda"/>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n v="7"/>
    <s v="Nigeria"/>
    <s v="Obafemi Awolowo University"/>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n v="7"/>
    <s v="Nigeria"/>
    <s v="University of Ibadan"/>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n v="7"/>
    <s v="Nigeria"/>
    <s v="Obafemi Awolowo University"/>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n v="7"/>
    <s v="Nigeria"/>
    <s v="University of Ibadan"/>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n v="7"/>
    <s v="Uganda"/>
    <s v="Makerere University"/>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n v="7"/>
    <s v="South Africa"/>
    <s v="University of the Witwatersrand"/>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n v="7"/>
    <s v="Rwanda"/>
    <s v="University of Rwanda"/>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n v="8"/>
    <s v="South Africa"/>
    <s v="University of the Witwatersrand"/>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n v="8"/>
    <s v="Nigeria"/>
    <s v="Obafemi Awolowo University"/>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n v="8"/>
    <s v="Rwanda"/>
    <s v="University of Rwanda"/>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n v="8"/>
    <s v="Rwanda"/>
    <s v="University of Rwanda"/>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n v="8"/>
    <s v="Nigeria"/>
    <s v="Obafemi Awolowo University"/>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n v="8"/>
    <s v="Uganda"/>
    <s v="Makerere University"/>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n v="8"/>
    <s v="Kenya"/>
    <s v="University of Nairobi"/>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n v="8"/>
    <s v="Kenya"/>
    <s v="University of Nairobi"/>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n v="8"/>
    <s v="South Africa"/>
    <s v="University of the Witwatersrand"/>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n v="8"/>
    <s v="Nigeria"/>
    <s v="University of Ibadan"/>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n v="8"/>
    <s v="Uganda"/>
    <s v="Makerere University"/>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n v="8"/>
    <s v="Rwanda"/>
    <s v="University of Rwanda"/>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n v="8"/>
    <s v="Kenya"/>
    <s v="University of Nairobi"/>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n v="8"/>
    <s v="Malawi"/>
    <s v="University of Malawi and Associates"/>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n v="8"/>
    <s v="Nigeria"/>
    <s v="Obafemi Awolowo University"/>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n v="8"/>
    <s v="Nigeria"/>
    <s v="University of Ibadan"/>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n v="8"/>
    <s v="South Africa"/>
    <s v="University of the Witwatersrand"/>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n v="8"/>
    <s v="Kenya"/>
    <s v="University of Nairobi"/>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n v="8"/>
    <s v="Nigeria"/>
    <s v="Obafemi Awolowo University"/>
    <s v="Nursing"/>
    <s v="Department of Nursing Sciences"/>
    <x v="3"/>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n v="8"/>
    <s v="Rwanda"/>
    <s v="University of Rwanda"/>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n v="8"/>
    <s v="Nigeria"/>
    <s v="University of Ibadan"/>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n v="8"/>
    <s v="Malawi"/>
    <s v="University of Malawi and Associates"/>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n v="8"/>
    <s v="Uganda"/>
    <s v="Makerere University"/>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n v="8"/>
    <s v="Nigeria"/>
    <s v="University of Ibadan"/>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n v="8"/>
    <s v="Kenya"/>
    <s v="Moi University"/>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n v="8"/>
    <s v="Kenya"/>
    <s v="Moi University"/>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n v="9"/>
    <s v="Malawi"/>
    <s v="University of Malawi and Associates"/>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n v="9"/>
    <s v="Nigeria"/>
    <s v="Obafemi Awolowo University"/>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n v="9"/>
    <s v="South Africa"/>
    <s v="University of the Witwatersrand"/>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n v="9"/>
    <s v="Rwanda"/>
    <s v="University of Rwanda"/>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n v="9"/>
    <s v="Rwanda"/>
    <s v="University of Rwanda"/>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n v="9"/>
    <s v="Kenya"/>
    <s v="University of Nairobi"/>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n v="9"/>
    <s v="Rwanda"/>
    <s v="University of Rwanda"/>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n v="9"/>
    <s v="Uganda"/>
    <s v="Makerere University"/>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n v="9"/>
    <s v="Kenya"/>
    <s v="University of Nairobi"/>
    <s v="Dentistry"/>
    <s v="Conservative and Prosthetic Dentisry"/>
    <x v="3"/>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n v="9"/>
    <s v="Rwanda"/>
    <s v="University of Rwanda"/>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n v="9"/>
    <s v="Uganda"/>
    <s v="Makerere University"/>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n v="9"/>
    <s v="South Africa"/>
    <s v="University of the Witwatersrand"/>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n v="9"/>
    <s v="Nigeria"/>
    <s v="Obafemi Awolowo University"/>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n v="9"/>
    <s v="Nigeria"/>
    <s v="University of Ibadan"/>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n v="9"/>
    <s v="Nigeria"/>
    <s v="University of Ibadan"/>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n v="9"/>
    <s v="South Africa"/>
    <s v="University of the Witwatersrand"/>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n v="9"/>
    <s v="Kenya"/>
    <s v="University of Nairobi"/>
    <s v="Chemistry"/>
    <s v="Department of Chemistry"/>
    <x v="6"/>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n v="9"/>
    <s v="Nigeria"/>
    <s v="University of Ibadan"/>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n v="9"/>
    <s v="Kenya"/>
    <s v="Moi University"/>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n v="9"/>
    <s v="Nigeria"/>
    <s v="Obafemi Awolowo University"/>
    <s v="Demography"/>
    <s v="DEMOGRAPHY AND SOCIAL STATISTICS "/>
    <x v="7"/>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n v="9"/>
    <s v="Tanzania"/>
    <s v="Ifakara Health Institute"/>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n v="9"/>
    <s v="Malawi"/>
    <s v="University of Malawi and Associates"/>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n v="9"/>
    <s v="Nigeria"/>
    <s v="University of Ibadan"/>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n v="9"/>
    <s v="Uganda"/>
    <s v="Makerere University"/>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n v="10"/>
    <s v="Rwanda"/>
    <s v="University of Rwanda"/>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n v="42"/>
    <s v="DEVELOPMENT OF STRATEGIES FOR HEALTH CARE PROVIDERS TO SUSTAIN RESPECTFUL MATERNITY CARE TO WOMEN IN LABOUR"/>
    <n v="0"/>
    <m/>
    <m/>
    <m/>
    <m/>
    <m/>
    <m/>
    <s v="No"/>
    <m/>
    <m/>
    <m/>
    <m/>
    <m/>
    <m/>
    <m/>
    <m/>
    <n v="3"/>
    <m/>
    <m/>
    <s v="SIDA"/>
  </r>
  <r>
    <n v="226"/>
    <s v="C10/002"/>
    <s v="Aline"/>
    <m/>
    <s v="Uwase"/>
    <x v="1"/>
    <n v="10"/>
    <s v="Rwanda"/>
    <s v="University of Rwanda"/>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n v="10"/>
    <s v="Tanzania"/>
    <s v="Ifakara Health Institute"/>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n v="2511"/>
    <n v="15"/>
    <n v="4"/>
    <m/>
    <m/>
    <m/>
    <m/>
    <m/>
    <s v="No"/>
    <m/>
    <m/>
    <m/>
    <m/>
    <m/>
    <m/>
    <m/>
    <m/>
    <n v="0"/>
    <m/>
    <m/>
    <s v="SIDA"/>
  </r>
  <r>
    <n v="228"/>
    <s v="C10/015"/>
    <s v="Mary"/>
    <s v="Ogbenyi"/>
    <s v="Ugalahi"/>
    <x v="1"/>
    <n v="10"/>
    <s v="Nigeria"/>
    <s v="University of Ibadan"/>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n v="10"/>
    <s v="Malawi"/>
    <s v="University of Malawi and Associates"/>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d v="2026-07-01T00:00:00"/>
    <x v="0"/>
    <n v="76"/>
    <n v="60"/>
    <s v="Development of a paediatric oncology short learning programme fro nurse in Malawi"/>
    <n v="1"/>
    <n v="6"/>
    <m/>
    <m/>
    <m/>
    <m/>
    <m/>
    <s v="No"/>
    <m/>
    <m/>
    <m/>
    <m/>
    <m/>
    <m/>
    <m/>
    <m/>
    <n v="3"/>
    <m/>
    <m/>
    <s v="SIDA"/>
  </r>
  <r>
    <n v="230"/>
    <s v="C10/006"/>
    <s v="Beryl"/>
    <s v="Chelangat"/>
    <s v="Maritim"/>
    <x v="1"/>
    <n v="10"/>
    <s v="Kenya"/>
    <s v="Moi University"/>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n v="10"/>
    <s v="Nigeria"/>
    <s v="University of Ibadan"/>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n v="10"/>
    <s v="Kenya"/>
    <s v="University of Nairobi"/>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n v="10"/>
    <s v="Nigeria"/>
    <s v="Obafemi Awolowo University"/>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n v="10"/>
    <s v="Uganda"/>
    <s v="Makerere University"/>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n v="10"/>
    <s v="Nigeria"/>
    <s v="Obafemi Awolowo University"/>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d v="2026-03-13T00:00:00"/>
    <x v="0"/>
    <n v="72"/>
    <m/>
    <s v="Effect of antenatal family planning counselling for male partners on postpartum modern contraception use"/>
    <n v="7"/>
    <n v="8"/>
    <m/>
    <m/>
    <m/>
    <m/>
    <m/>
    <s v="No"/>
    <m/>
    <m/>
    <m/>
    <m/>
    <m/>
    <m/>
    <m/>
    <m/>
    <n v="2"/>
    <m/>
    <m/>
    <s v="SIDA"/>
  </r>
  <r>
    <n v="236"/>
    <s v="C10/012"/>
    <s v="James"/>
    <m/>
    <s v="Muleme"/>
    <x v="0"/>
    <n v="10"/>
    <s v="Uganda"/>
    <s v="Makerere University"/>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n v="10"/>
    <s v="Zimbabwe"/>
    <s v="University of the Witwatersrand"/>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n v="10"/>
    <s v="Zimbabwe"/>
    <s v="University of the Witwatersrand"/>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n v="10"/>
    <s v="Nigeria"/>
    <s v="University of Ibadan"/>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n v="10"/>
    <s v="South Africa"/>
    <s v="University of the Witwatersrand"/>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n v="10"/>
    <s v="Malawi"/>
    <s v="University of Malawi and Associates"/>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n v="10"/>
    <s v="Nigeria"/>
    <s v="University of Ibadan"/>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n v="10"/>
    <s v="Rwanda"/>
    <s v="University of Rwanda"/>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n v="10"/>
    <s v="Malawi"/>
    <s v="University of Malawi and Associates"/>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n v="10"/>
    <s v="Rwanda"/>
    <s v="University of Rwanda"/>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n v="10"/>
    <s v="Kenya"/>
    <s v="University of Nairobi"/>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n v="10"/>
    <s v="South Africa"/>
    <s v="University of the Witwatersrand"/>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n v="10"/>
    <s v="Nigeria"/>
    <s v="Obafemi Awolowo University"/>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n v="10"/>
    <s v="Nigeria"/>
    <s v="Obafemi Awolowo University"/>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r>
    <n v="250"/>
    <s v="C11/001"/>
    <s v="Adeola"/>
    <s v="Temitope"/>
    <s v="Williams"/>
    <x v="1"/>
    <n v="11"/>
    <s v="Nigeria"/>
    <s v="University of Ibadan"/>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d v="2025-03-03T00:00:00"/>
    <m/>
    <s v="Prof. Denloye O.  Obafunke"/>
    <s v="Prof. Lawal Barakat Folake"/>
    <s v="Dr Yetunde  Adeniyi"/>
    <n v="3"/>
    <s v="Home"/>
    <s v="Home"/>
    <s v="Home"/>
    <m/>
    <m/>
    <m/>
    <m/>
    <m/>
    <m/>
    <m/>
    <m/>
    <m/>
    <s v="0000-0003-1915-2138"/>
    <m/>
    <d v="2025-03-03T00:00:00"/>
    <m/>
    <m/>
    <m/>
    <m/>
    <m/>
    <m/>
    <m/>
    <s v="Development and acceptability of an integrated oral health intervention among Adolescents Living with Mental Health Conditions (ALMHC) in Ibadan, Nigeria"/>
    <m/>
    <m/>
    <m/>
    <m/>
    <m/>
    <m/>
    <m/>
    <m/>
    <x v="2"/>
    <m/>
    <m/>
    <m/>
    <n v="7"/>
    <m/>
    <m/>
    <m/>
    <m/>
    <m/>
    <m/>
    <m/>
    <m/>
    <m/>
    <m/>
    <m/>
    <m/>
    <m/>
    <m/>
    <m/>
    <n v="2"/>
    <m/>
    <m/>
    <s v="SIDA"/>
  </r>
  <r>
    <n v="251"/>
    <s v="C11/002"/>
    <s v="Amina"/>
    <s v="Hassan"/>
    <s v="Hussein"/>
    <x v="1"/>
    <n v="11"/>
    <s v="Somalia"/>
    <s v="Somali National University"/>
    <s v="Maternal and Reproductive health"/>
    <s v="School of Public health"/>
    <x v="9"/>
    <s v="Yes"/>
    <m/>
    <s v="Married"/>
    <m/>
    <m/>
    <s v="ahusien@cartafrica.org"/>
    <s v="dramiina12@gmail.com"/>
    <s v="+252615506933"/>
    <s v="Master in Public Health (2023 )"/>
    <d v="1991-01-01T00:00:00"/>
    <s v="Reproductive and maternal health in Somalia"/>
    <s v="Field based"/>
    <m/>
    <m/>
    <m/>
    <d v="2025-07-31T00:00:00"/>
    <d v="2025-03-03T00:00:00"/>
    <m/>
    <s v="ProfChristopher Garimoi Orach"/>
    <s v="Dr. Dinah Amongin"/>
    <s v="Dr. Abdullahi Muse Mohamoud"/>
    <n v="3"/>
    <s v="Host"/>
    <s v="Host"/>
    <s v="Host"/>
    <m/>
    <m/>
    <m/>
    <m/>
    <m/>
    <m/>
    <m/>
    <m/>
    <m/>
    <s v="0009-0006-9247-6453"/>
    <m/>
    <d v="2025-03-03T00:00:00"/>
    <m/>
    <m/>
    <m/>
    <m/>
    <m/>
    <m/>
    <m/>
    <m/>
    <m/>
    <m/>
    <m/>
    <m/>
    <m/>
    <m/>
    <m/>
    <m/>
    <x v="2"/>
    <m/>
    <m/>
    <m/>
    <n v="0"/>
    <m/>
    <m/>
    <m/>
    <m/>
    <m/>
    <m/>
    <m/>
    <m/>
    <m/>
    <m/>
    <m/>
    <m/>
    <m/>
    <m/>
    <m/>
    <n v="1"/>
    <m/>
    <m/>
    <s v="SIDA"/>
  </r>
  <r>
    <n v="252"/>
    <s v="C11/003"/>
    <s v="Christabellah"/>
    <m/>
    <s v="Namugenyi"/>
    <x v="1"/>
    <n v="11"/>
    <s v="Uganda"/>
    <s v="Makerere University"/>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d v="2025-03-03T00:00:00"/>
    <m/>
    <s v="Dr. Roy William Mayega "/>
    <s v="Prof Rhoda Wanyenze"/>
    <s v="Dr John Ssenkusu"/>
    <n v="3"/>
    <s v="Home"/>
    <s v="Home"/>
    <s v="Home"/>
    <m/>
    <m/>
    <m/>
    <m/>
    <m/>
    <m/>
    <m/>
    <m/>
    <m/>
    <s v="0000-0003-2534-5526"/>
    <m/>
    <d v="2025-03-03T00:00:00"/>
    <m/>
    <m/>
    <m/>
    <m/>
    <m/>
    <m/>
    <m/>
    <s v="Assessing service delivery and dual control outcomes of HIV and hypertension PLHIV with hypertension in South-Central Uganda"/>
    <m/>
    <m/>
    <m/>
    <m/>
    <m/>
    <m/>
    <m/>
    <m/>
    <x v="2"/>
    <m/>
    <e v="#VALUE!"/>
    <m/>
    <n v="8"/>
    <m/>
    <m/>
    <m/>
    <m/>
    <m/>
    <m/>
    <m/>
    <m/>
    <m/>
    <m/>
    <m/>
    <m/>
    <m/>
    <m/>
    <m/>
    <n v="2"/>
    <m/>
    <m/>
    <s v="SIDA"/>
  </r>
  <r>
    <n v="253"/>
    <s v="C11/004"/>
    <s v="Cyril"/>
    <s v="Tamuka"/>
    <s v="Chironda"/>
    <x v="0"/>
    <n v="11"/>
    <s v="Zimbabwe"/>
    <s v="AGINCOURT"/>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d v="2025-03-03T00:00:00"/>
    <m/>
    <s v="Tobias Chirwa"/>
    <s v="Chodziwadziwa Kabudula"/>
    <s v="Farai Mlambo"/>
    <n v="3"/>
    <s v="Host"/>
    <s v="Home"/>
    <s v="Host"/>
    <m/>
    <m/>
    <m/>
    <m/>
    <m/>
    <m/>
    <m/>
    <m/>
    <m/>
    <s v="0000-0002-0412-1059"/>
    <m/>
    <d v="2025-03-03T00:00:00"/>
    <m/>
    <m/>
    <m/>
    <m/>
    <m/>
    <m/>
    <m/>
    <m/>
    <m/>
    <m/>
    <m/>
    <m/>
    <m/>
    <m/>
    <m/>
    <m/>
    <x v="2"/>
    <m/>
    <m/>
    <m/>
    <n v="2"/>
    <m/>
    <m/>
    <m/>
    <m/>
    <m/>
    <m/>
    <m/>
    <m/>
    <m/>
    <m/>
    <m/>
    <m/>
    <m/>
    <m/>
    <m/>
    <n v="1"/>
    <m/>
    <m/>
    <s v="SIDA"/>
  </r>
  <r>
    <n v="254"/>
    <s v="C11/005"/>
    <s v="Elizabeth"/>
    <s v="Oluwatoyin"/>
    <s v="Abe"/>
    <x v="1"/>
    <n v="11"/>
    <s v="Nigeria"/>
    <s v="University of Ibadan"/>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d v="2025-03-03T00:00:00"/>
    <m/>
    <s v="Prof Adeyemi Folasade  Bukola"/>
    <s v="Prof Arowojolu Olayinka  Modupeola"/>
    <m/>
    <n v="2"/>
    <s v="Home"/>
    <s v="Home"/>
    <m/>
    <m/>
    <m/>
    <m/>
    <m/>
    <m/>
    <m/>
    <m/>
    <m/>
    <m/>
    <s v="0000-0001-6632-9026"/>
    <m/>
    <d v="2025-03-03T00:00:00"/>
    <m/>
    <m/>
    <m/>
    <m/>
    <m/>
    <m/>
    <m/>
    <s v="Characterization of Oral Microbiome and Salivary Biomarkers Related to Periodontal Diseases and Pregnancy Outcomes among Pregnant and Postpartum Women in Ibadan "/>
    <m/>
    <m/>
    <m/>
    <m/>
    <m/>
    <m/>
    <m/>
    <m/>
    <x v="2"/>
    <m/>
    <m/>
    <m/>
    <n v="8"/>
    <m/>
    <m/>
    <m/>
    <m/>
    <m/>
    <m/>
    <m/>
    <m/>
    <m/>
    <m/>
    <m/>
    <m/>
    <m/>
    <m/>
    <m/>
    <n v="3"/>
    <m/>
    <m/>
    <s v="SIDA"/>
  </r>
  <r>
    <n v="255"/>
    <s v="C11/006"/>
    <s v="Fanuel"/>
    <s v="Meckson"/>
    <s v="Bickton"/>
    <x v="0"/>
    <n v="11"/>
    <s v="Malawi"/>
    <s v="University of Malawi and Associates"/>
    <s v="Physiotherapy"/>
    <s v="Department of Rehabilitation Sciences "/>
    <x v="3"/>
    <s v="No"/>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d v="2025-03-03T00:00:00"/>
    <m/>
    <s v="Prof Ronel Roos _x000a_"/>
    <s v="Prof Roos Ronel"/>
    <s v="Dr Manifield R. James "/>
    <n v="3"/>
    <s v="Host"/>
    <s v="Host"/>
    <s v="Other"/>
    <m/>
    <m/>
    <m/>
    <m/>
    <m/>
    <m/>
    <m/>
    <m/>
    <m/>
    <s v="0000-0002-0925-909X"/>
    <m/>
    <d v="2025-03-03T00:00:00"/>
    <m/>
    <m/>
    <m/>
    <m/>
    <m/>
    <m/>
    <m/>
    <s v="Development of the International Classification of Functioning, Disability, and Health Core Sets for Adults Living with Multimorbidity in Malawi"/>
    <m/>
    <m/>
    <m/>
    <m/>
    <m/>
    <m/>
    <m/>
    <m/>
    <x v="2"/>
    <m/>
    <m/>
    <m/>
    <n v="15"/>
    <m/>
    <m/>
    <m/>
    <m/>
    <m/>
    <m/>
    <m/>
    <m/>
    <m/>
    <m/>
    <m/>
    <m/>
    <m/>
    <m/>
    <m/>
    <n v="0"/>
    <m/>
    <m/>
    <s v="SIDA"/>
  </r>
  <r>
    <n v="256"/>
    <s v="C11/007"/>
    <s v="Funmilola"/>
    <s v="Olanike"/>
    <s v="Wuraola"/>
    <x v="1"/>
    <n v="11"/>
    <s v="Nigeria"/>
    <s v="Obafemi Awolowo University"/>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d v="2025-03-03T00:00:00"/>
    <m/>
    <s v="Prof. Penny Clement"/>
    <s v="Dr Ayeni Oluwatosin"/>
    <s v="Prof Alatise Oluwasegun Isaac"/>
    <n v="3"/>
    <s v="Host"/>
    <s v="Host"/>
    <s v="Home"/>
    <m/>
    <m/>
    <m/>
    <m/>
    <m/>
    <m/>
    <m/>
    <m/>
    <m/>
    <s v="0000-0003-3315-990x"/>
    <m/>
    <d v="2025-03-03T00:00:00"/>
    <m/>
    <m/>
    <m/>
    <m/>
    <m/>
    <m/>
    <m/>
    <m/>
    <m/>
    <m/>
    <m/>
    <m/>
    <m/>
    <m/>
    <m/>
    <m/>
    <x v="2"/>
    <m/>
    <m/>
    <m/>
    <n v="40"/>
    <m/>
    <m/>
    <m/>
    <m/>
    <m/>
    <m/>
    <m/>
    <m/>
    <m/>
    <m/>
    <m/>
    <m/>
    <m/>
    <m/>
    <m/>
    <n v="1"/>
    <m/>
    <m/>
    <s v="SIDA"/>
  </r>
  <r>
    <n v="257"/>
    <s v="C11/008"/>
    <s v="Gallad"/>
    <s v="Dahir"/>
    <s v="Hassan"/>
    <x v="0"/>
    <n v="11"/>
    <s v="Somalia"/>
    <s v="Somali National University"/>
    <s v="Public Health "/>
    <s v="Department of Public Health "/>
    <x v="9"/>
    <s v="No"/>
    <m/>
    <s v="Married"/>
    <m/>
    <m/>
    <s v="ghassan@cartafrica.org"/>
    <m/>
    <s v="00252616301030"/>
    <s v="Public Health (2017)"/>
    <d v="1988-01-01T00:00:00"/>
    <s v="Vaccine preventable disease surveillance"/>
    <s v="Field based"/>
    <m/>
    <m/>
    <m/>
    <d v="2025-04-15T00:00:00"/>
    <d v="2025-03-03T00:00:00"/>
    <m/>
    <s v="Prof. Wanyenze Rhoda"/>
    <s v="Dr Isunju Bosco John"/>
    <s v="Dr Omar Salaad Elmi"/>
    <n v="3"/>
    <s v="Host"/>
    <s v="Host"/>
    <s v="Home"/>
    <m/>
    <m/>
    <m/>
    <m/>
    <m/>
    <m/>
    <m/>
    <m/>
    <m/>
    <s v="0000-0002-8569-8748"/>
    <m/>
    <d v="2025-03-03T00:00:00"/>
    <m/>
    <m/>
    <m/>
    <m/>
    <m/>
    <m/>
    <m/>
    <s v="Effect of Integrating Community Health Workers and Community Pharmacies into Measles and Cholera Disease Surveillance among Internally Displaced Populations in Mogadishu, Somalia"/>
    <m/>
    <m/>
    <m/>
    <m/>
    <m/>
    <m/>
    <m/>
    <m/>
    <x v="2"/>
    <m/>
    <m/>
    <m/>
    <n v="8"/>
    <m/>
    <m/>
    <m/>
    <m/>
    <m/>
    <m/>
    <m/>
    <m/>
    <m/>
    <m/>
    <m/>
    <m/>
    <m/>
    <m/>
    <m/>
    <n v="1"/>
    <m/>
    <m/>
    <s v="SIDA"/>
  </r>
  <r>
    <n v="258"/>
    <s v="C11/009"/>
    <s v="Justine "/>
    <m/>
    <s v="Okello"/>
    <x v="0"/>
    <n v="11"/>
    <s v="Uganda"/>
    <s v="Makerere University"/>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d v="2025-03-03T00:00:00"/>
    <m/>
    <s v="Dr. Luke Nyakarahuka"/>
    <s v="Prof. Clovice Kankya"/>
    <s v="Prof Robert F. Breiman"/>
    <n v="3"/>
    <s v="Home"/>
    <s v="Home"/>
    <s v="Other"/>
    <m/>
    <m/>
    <m/>
    <m/>
    <m/>
    <m/>
    <m/>
    <m/>
    <m/>
    <s v="0000-0001-6218-8318"/>
    <m/>
    <d v="2025-03-03T00:00:00"/>
    <m/>
    <m/>
    <m/>
    <m/>
    <m/>
    <m/>
    <m/>
    <m/>
    <m/>
    <m/>
    <m/>
    <m/>
    <m/>
    <m/>
    <m/>
    <m/>
    <x v="2"/>
    <m/>
    <m/>
    <m/>
    <n v="10"/>
    <m/>
    <m/>
    <m/>
    <m/>
    <m/>
    <m/>
    <m/>
    <m/>
    <m/>
    <m/>
    <m/>
    <m/>
    <m/>
    <m/>
    <m/>
    <n v="0"/>
    <m/>
    <m/>
    <s v="SIDA"/>
  </r>
  <r>
    <n v="259"/>
    <s v="C11/010"/>
    <s v="Lydiah"/>
    <s v="Wanjiru"/>
    <s v="Njihia"/>
    <x v="1"/>
    <n v="11"/>
    <s v="Kenya"/>
    <s v="University of Nairobi"/>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d v="2025-03-03T00:00:00"/>
    <m/>
    <s v="Gitao George Chege_x000a_"/>
    <s v="Moses Masika"/>
    <s v="Prof Gitao Chege George"/>
    <n v="3"/>
    <s v="Home"/>
    <s v="Home"/>
    <s v="Home"/>
    <m/>
    <m/>
    <m/>
    <m/>
    <m/>
    <m/>
    <m/>
    <m/>
    <m/>
    <s v="0009-0007-0633-3294"/>
    <m/>
    <d v="2025-03-03T00:00:00"/>
    <m/>
    <m/>
    <m/>
    <m/>
    <m/>
    <m/>
    <m/>
    <m/>
    <m/>
    <m/>
    <m/>
    <m/>
    <m/>
    <m/>
    <m/>
    <m/>
    <x v="2"/>
    <m/>
    <m/>
    <m/>
    <n v="1"/>
    <m/>
    <m/>
    <m/>
    <m/>
    <m/>
    <m/>
    <m/>
    <m/>
    <m/>
    <m/>
    <m/>
    <m/>
    <m/>
    <m/>
    <m/>
    <n v="1"/>
    <m/>
    <m/>
    <s v="SIDA"/>
  </r>
  <r>
    <n v="260"/>
    <s v="C11/011"/>
    <s v="Mary"/>
    <s v="Nigandi"/>
    <s v="Kubo"/>
    <x v="1"/>
    <n v="11"/>
    <s v="Kenya"/>
    <s v="University of Nairobi"/>
    <s v="Internal Medicine"/>
    <s v="Department of Clinical Medicine &amp; Therapeutics"/>
    <x v="6"/>
    <s v="Yes"/>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d v="2025-03-03T00:00:00"/>
    <m/>
    <s v="Dr Opiyo Okoyo Rose"/>
    <s v="Dr Mweu Mutinda Marshal"/>
    <m/>
    <n v="2"/>
    <s v="Home"/>
    <s v="Home"/>
    <m/>
    <m/>
    <m/>
    <m/>
    <m/>
    <m/>
    <m/>
    <m/>
    <m/>
    <m/>
    <s v="0000-0002-0708-605X"/>
    <m/>
    <d v="2025-03-03T00:00:00"/>
    <m/>
    <m/>
    <m/>
    <m/>
    <m/>
    <m/>
    <m/>
    <m/>
    <m/>
    <m/>
    <m/>
    <m/>
    <m/>
    <m/>
    <m/>
    <m/>
    <x v="2"/>
    <m/>
    <m/>
    <m/>
    <n v="10"/>
    <m/>
    <m/>
    <m/>
    <m/>
    <m/>
    <m/>
    <m/>
    <m/>
    <m/>
    <m/>
    <m/>
    <m/>
    <m/>
    <m/>
    <m/>
    <n v="2"/>
    <m/>
    <m/>
    <s v="SIDA"/>
  </r>
  <r>
    <n v="261"/>
    <s v="C11/012"/>
    <s v="Miles-Dei"/>
    <s v="Benedict"/>
    <s v="Olufeagba"/>
    <x v="0"/>
    <n v="11"/>
    <s v="Nigeria"/>
    <s v="University of Ibadan"/>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d v="2025-03-03T00:00:00"/>
    <m/>
    <s v="Prof Amodu Kehinde Olukemi"/>
    <s v="Prof  Kotila Rachel Taiwo"/>
    <m/>
    <n v="2"/>
    <s v="Home"/>
    <s v="Home"/>
    <m/>
    <m/>
    <m/>
    <m/>
    <m/>
    <m/>
    <m/>
    <m/>
    <m/>
    <m/>
    <s v="0000-0003-0065-5990"/>
    <m/>
    <d v="2025-03-03T00:00:00"/>
    <m/>
    <m/>
    <m/>
    <m/>
    <m/>
    <m/>
    <m/>
    <m/>
    <m/>
    <m/>
    <m/>
    <m/>
    <m/>
    <m/>
    <m/>
    <m/>
    <x v="2"/>
    <m/>
    <m/>
    <m/>
    <n v="2"/>
    <m/>
    <m/>
    <m/>
    <m/>
    <m/>
    <m/>
    <m/>
    <m/>
    <m/>
    <m/>
    <m/>
    <m/>
    <m/>
    <m/>
    <m/>
    <n v="2"/>
    <m/>
    <m/>
    <s v="SIDA"/>
  </r>
  <r>
    <n v="262"/>
    <s v="C11/013"/>
    <s v="Molly"/>
    <s v="Mercy"/>
    <s v="Jerono"/>
    <x v="1"/>
    <n v="11"/>
    <s v="Kenya"/>
    <s v="Moi University"/>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d v="2025-03-03T00:00:00"/>
    <m/>
    <s v="Dr. Simeon Nganai"/>
    <s v="Dr. Felishana Cherop "/>
    <s v="Dr. Richard Siele"/>
    <n v="3"/>
    <s v="Home"/>
    <s v="Home"/>
    <s v="Home"/>
    <m/>
    <m/>
    <m/>
    <m/>
    <m/>
    <m/>
    <m/>
    <m/>
    <m/>
    <s v="0000-0003-4763-0344"/>
    <m/>
    <d v="2025-03-03T00:00:00"/>
    <m/>
    <m/>
    <m/>
    <m/>
    <m/>
    <m/>
    <m/>
    <s v="Evaluation of socioeconomic drivers in reducing sexual violence against children in western kenya"/>
    <m/>
    <m/>
    <m/>
    <m/>
    <m/>
    <m/>
    <m/>
    <m/>
    <x v="2"/>
    <m/>
    <m/>
    <m/>
    <n v="1"/>
    <m/>
    <m/>
    <m/>
    <m/>
    <m/>
    <m/>
    <m/>
    <m/>
    <m/>
    <m/>
    <m/>
    <m/>
    <m/>
    <m/>
    <m/>
    <n v="1"/>
    <m/>
    <m/>
    <s v="OAK"/>
  </r>
  <r>
    <n v="263"/>
    <s v="C11/014"/>
    <s v="Razak"/>
    <s v="Lewis"/>
    <s v="Mussa"/>
    <x v="0"/>
    <n v="11"/>
    <s v="Malawi"/>
    <s v="University of Malawi and Associates"/>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d v="2025-03-03T00:00:00"/>
    <m/>
    <s v="Dr. Mipando Nyondo Linda"/>
    <s v="Dr  Conco  Nozizwe Daphney"/>
    <m/>
    <n v="2"/>
    <s v="Home"/>
    <s v="Host"/>
    <m/>
    <m/>
    <m/>
    <m/>
    <m/>
    <m/>
    <m/>
    <m/>
    <m/>
    <m/>
    <s v="0009-0000-6991-6912"/>
    <m/>
    <d v="2025-03-03T00:00:00"/>
    <m/>
    <m/>
    <m/>
    <m/>
    <m/>
    <m/>
    <m/>
    <m/>
    <m/>
    <m/>
    <m/>
    <m/>
    <m/>
    <m/>
    <m/>
    <m/>
    <x v="2"/>
    <m/>
    <m/>
    <m/>
    <n v="0"/>
    <m/>
    <m/>
    <m/>
    <m/>
    <m/>
    <m/>
    <m/>
    <m/>
    <m/>
    <m/>
    <m/>
    <m/>
    <m/>
    <m/>
    <m/>
    <n v="1"/>
    <m/>
    <m/>
    <s v="OAK"/>
  </r>
  <r>
    <n v="264"/>
    <s v="C11/015"/>
    <s v="Nichodemus"/>
    <s v="Mutinda"/>
    <s v="Kamuti"/>
    <x v="0"/>
    <n v="11"/>
    <s v="Kenya"/>
    <s v="University of Nairobi"/>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d v="2025-03-03T00:00:00"/>
    <m/>
    <s v="Prof Gathumbi Karuri Peter_x000a_"/>
    <s v="Prof  Githigia Maina Samuel"/>
    <s v="Dr. Mulei Rumpel Isaac"/>
    <n v="3"/>
    <s v="Home"/>
    <s v="Home"/>
    <s v="Home"/>
    <m/>
    <m/>
    <m/>
    <m/>
    <m/>
    <m/>
    <m/>
    <m/>
    <m/>
    <s v="0000-0001-5741-1271"/>
    <m/>
    <d v="2025-03-03T00:00:00"/>
    <m/>
    <m/>
    <m/>
    <m/>
    <m/>
    <m/>
    <m/>
    <s v="Prevalence pathology and socio-economic impact of myiasis in sheep and goats in kitui county kenya"/>
    <m/>
    <m/>
    <m/>
    <m/>
    <m/>
    <m/>
    <m/>
    <m/>
    <x v="2"/>
    <m/>
    <m/>
    <m/>
    <n v="2"/>
    <m/>
    <m/>
    <m/>
    <m/>
    <m/>
    <m/>
    <m/>
    <m/>
    <m/>
    <m/>
    <m/>
    <m/>
    <m/>
    <m/>
    <m/>
    <n v="1"/>
    <m/>
    <m/>
    <s v="SIDA"/>
  </r>
  <r>
    <n v="265"/>
    <s v="C11/016"/>
    <s v="Ochuko"/>
    <s v="Maureen"/>
    <s v="Orherhe"/>
    <x v="1"/>
    <n v="11"/>
    <s v="Nigeria"/>
    <s v="Obafemi Awolowo University"/>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d v="2025-03-03T00:00:00"/>
    <m/>
    <s v="Dr. Babatunde Adeagbo"/>
    <s v="Dr. Adeagbo Ayodeji Babatunde"/>
    <m/>
    <n v="2"/>
    <s v="Home"/>
    <s v="Home"/>
    <m/>
    <m/>
    <m/>
    <m/>
    <m/>
    <m/>
    <m/>
    <m/>
    <m/>
    <m/>
    <s v="0000-0002-3671-9717"/>
    <m/>
    <d v="2025-03-03T00:00:00"/>
    <m/>
    <m/>
    <m/>
    <m/>
    <m/>
    <m/>
    <m/>
    <s v="Pharmacogenetics and Model-Informed Optimisation of Hydroxyurea Therapy in Sickle Cell Disease Patients of Nigerian Descen"/>
    <m/>
    <m/>
    <m/>
    <m/>
    <m/>
    <m/>
    <m/>
    <m/>
    <x v="2"/>
    <m/>
    <m/>
    <m/>
    <n v="6"/>
    <m/>
    <m/>
    <m/>
    <m/>
    <m/>
    <m/>
    <m/>
    <m/>
    <m/>
    <m/>
    <m/>
    <m/>
    <m/>
    <m/>
    <m/>
    <n v="0"/>
    <m/>
    <m/>
    <s v="SIDA"/>
  </r>
  <r>
    <n v="266"/>
    <s v="C11/017"/>
    <s v="Patani"/>
    <s v="George Wills"/>
    <s v="Mhango"/>
    <x v="0"/>
    <n v="11"/>
    <s v="Malawi"/>
    <s v="University of Malawi and Associates"/>
    <s v="Public Health"/>
    <s v="Centre for Reproductive Health"/>
    <x v="3"/>
    <s v="No"/>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d v="2025-03-03T00:00:00"/>
    <m/>
    <s v=" Prof Nicola Christofides"/>
    <s v="Dr Blessings N. Kaunda-Khangamwa"/>
    <s v="Professor Khudejha Asghar"/>
    <n v="3"/>
    <s v="Host"/>
    <s v="Home"/>
    <s v="Other"/>
    <m/>
    <m/>
    <m/>
    <m/>
    <m/>
    <m/>
    <m/>
    <m/>
    <m/>
    <s v="0000-0002-1492-260X"/>
    <m/>
    <d v="2025-03-03T00:00:00"/>
    <m/>
    <m/>
    <m/>
    <m/>
    <m/>
    <m/>
    <m/>
    <m/>
    <m/>
    <m/>
    <m/>
    <m/>
    <m/>
    <m/>
    <m/>
    <m/>
    <x v="2"/>
    <m/>
    <m/>
    <m/>
    <n v="8"/>
    <m/>
    <m/>
    <m/>
    <m/>
    <m/>
    <m/>
    <m/>
    <m/>
    <m/>
    <m/>
    <m/>
    <m/>
    <m/>
    <m/>
    <m/>
    <n v="2"/>
    <m/>
    <m/>
    <s v="SIDA"/>
  </r>
  <r>
    <n v="267"/>
    <s v="C11/018"/>
    <s v="Pierre Celestin"/>
    <m/>
    <s v="Munezero"/>
    <x v="0"/>
    <n v="11"/>
    <s v="Rwanda"/>
    <s v="University of Rwanda"/>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d v="2025-03-03T00:00:00"/>
    <s v="13/11/2025"/>
    <m/>
    <m/>
    <m/>
    <m/>
    <m/>
    <m/>
    <m/>
    <m/>
    <m/>
    <m/>
    <m/>
    <m/>
    <m/>
    <m/>
    <m/>
    <m/>
    <s v="0000-0003-2876-9025"/>
    <m/>
    <d v="2025-03-03T00:00:00"/>
    <m/>
    <m/>
    <m/>
    <m/>
    <m/>
    <m/>
    <m/>
    <m/>
    <m/>
    <m/>
    <m/>
    <m/>
    <m/>
    <m/>
    <m/>
    <m/>
    <x v="1"/>
    <m/>
    <m/>
    <m/>
    <n v="8"/>
    <m/>
    <m/>
    <m/>
    <m/>
    <m/>
    <m/>
    <m/>
    <m/>
    <m/>
    <m/>
    <m/>
    <m/>
    <m/>
    <m/>
    <m/>
    <n v="0"/>
    <m/>
    <m/>
    <s v="SIDA"/>
  </r>
  <r>
    <n v="268"/>
    <s v="C11/019"/>
    <s v="Solange"/>
    <m/>
    <s v="Nikwigize"/>
    <x v="1"/>
    <n v="11"/>
    <s v="Rwanda"/>
    <s v="University of Rwanda"/>
    <s v="Public Health"/>
    <s v="Community Health Development "/>
    <x v="5"/>
    <s v="Yes"/>
    <m/>
    <s v="Married"/>
    <m/>
    <m/>
    <s v="snikwigize@cartafrica.org"/>
    <s v="solangeni4@gmail.com"/>
    <s v="+250788804831"/>
    <s v="Masters in Public Health (2021)"/>
    <d v="1987-11-10T00:00:00"/>
    <s v="Socio-economic and Cultural Factors Associated with Sexual Violence Among Children Born to Teen Mothers in Rwanda. A Mixed Method"/>
    <m/>
    <m/>
    <m/>
    <m/>
    <m/>
    <d v="2025-03-03T00:00:00"/>
    <m/>
    <s v="Assoc.Prof Erigene Rutayisire_x000a_"/>
    <s v="Assoc. Prof. Olive Bazirete"/>
    <m/>
    <n v="2"/>
    <s v="Home"/>
    <s v="Home"/>
    <m/>
    <m/>
    <m/>
    <m/>
    <m/>
    <m/>
    <m/>
    <m/>
    <m/>
    <m/>
    <s v="0009-0008-1667-3046"/>
    <m/>
    <d v="2025-03-03T00:00:00"/>
    <m/>
    <m/>
    <m/>
    <m/>
    <m/>
    <m/>
    <m/>
    <m/>
    <m/>
    <m/>
    <m/>
    <m/>
    <m/>
    <m/>
    <m/>
    <m/>
    <x v="2"/>
    <m/>
    <m/>
    <m/>
    <n v="3"/>
    <m/>
    <m/>
    <m/>
    <m/>
    <m/>
    <m/>
    <m/>
    <m/>
    <m/>
    <m/>
    <m/>
    <m/>
    <m/>
    <m/>
    <m/>
    <n v="1"/>
    <m/>
    <m/>
    <s v="OAK"/>
  </r>
  <r>
    <n v="269"/>
    <s v="C11/020"/>
    <s v="Winifrida"/>
    <s v="Paschal"/>
    <s v="Mponzi"/>
    <x v="1"/>
    <n v="11"/>
    <s v="Tanzania"/>
    <s v="Ifakara Health Institute"/>
    <s v="Social Sciences "/>
    <s v="Environmental Health and Ecological Sciences Department"/>
    <x v="3"/>
    <s v="No"/>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d v="2025-03-03T00:00:00"/>
    <m/>
    <s v=" Prof Nicola Christofides"/>
    <s v="Dr Emmanuel Willson Kaindoa"/>
    <s v="Prof. Ann Kelly"/>
    <n v="3"/>
    <s v="Host"/>
    <s v="Home"/>
    <s v="Other"/>
    <m/>
    <m/>
    <m/>
    <m/>
    <m/>
    <m/>
    <m/>
    <m/>
    <m/>
    <s v="0000-0003-0122-0550"/>
    <m/>
    <d v="2025-03-03T00:00:00"/>
    <m/>
    <m/>
    <m/>
    <m/>
    <m/>
    <m/>
    <m/>
    <s v="Village community banking and housing upgrades: A strategy to lower malaria and improve the well-being in Southeastern Tanzania."/>
    <m/>
    <m/>
    <m/>
    <m/>
    <m/>
    <m/>
    <m/>
    <m/>
    <x v="2"/>
    <m/>
    <m/>
    <m/>
    <n v="16"/>
    <m/>
    <m/>
    <m/>
    <m/>
    <m/>
    <m/>
    <m/>
    <m/>
    <m/>
    <m/>
    <m/>
    <m/>
    <m/>
    <m/>
    <m/>
    <n v="3"/>
    <m/>
    <m/>
    <s v="SIDA"/>
  </r>
  <r>
    <n v="270"/>
    <s v="C12/001"/>
    <s v="Alen"/>
    <m/>
    <s v="Kinyina"/>
    <x v="0"/>
    <n v="12"/>
    <s v="Tanzania"/>
    <s v="Ifakara Health Institute"/>
    <s v="Public Health"/>
    <m/>
    <x v="3"/>
    <s v="No"/>
    <m/>
    <s v="Married"/>
    <m/>
    <m/>
    <s v="akinyina@cartafrica.org"/>
    <s v="akinyina@ihi.or.tz"/>
    <s v="+255622710335"/>
    <s v="Master in Public Health (2022)"/>
    <d v="1994-10-28T00:00:00"/>
    <s v="Feasibility and acceptability of intermittent Kangaroo Mother Care and Zero Separation Model among parents of sick neonates and healthcare providers in Tanzania."/>
    <s v="Clinical research"/>
    <m/>
    <m/>
    <m/>
    <m/>
    <d v="2026-03-02T00:00:00"/>
    <m/>
    <m/>
    <m/>
    <m/>
    <m/>
    <m/>
    <m/>
    <m/>
    <m/>
    <m/>
    <m/>
    <m/>
    <s v="Program Coordinator"/>
    <m/>
    <m/>
    <m/>
    <m/>
    <s v="0000-0002-9559-2816"/>
    <m/>
    <d v="2026-03-02T00:00:00"/>
    <m/>
    <m/>
    <m/>
    <m/>
    <m/>
    <m/>
    <m/>
    <m/>
    <m/>
    <m/>
    <m/>
    <m/>
    <m/>
    <m/>
    <m/>
    <m/>
    <x v="2"/>
    <m/>
    <m/>
    <m/>
    <n v="10"/>
    <m/>
    <m/>
    <m/>
    <m/>
    <m/>
    <m/>
    <m/>
    <m/>
    <m/>
    <m/>
    <m/>
    <m/>
    <m/>
    <m/>
    <m/>
    <m/>
    <m/>
    <m/>
    <m/>
  </r>
  <r>
    <n v="271"/>
    <s v="C12/002"/>
    <s v="Itumeleng"/>
    <m/>
    <s v="Tsatsi-Mosala"/>
    <x v="1"/>
    <n v="12"/>
    <s v="South Africa"/>
    <s v="University of the Witwatersrand"/>
    <s v="Public Health"/>
    <s v="Public Health "/>
    <x v="3"/>
    <s v="Yes"/>
    <m/>
    <s v="Married"/>
    <m/>
    <m/>
    <s v="imosala@cartafrica.org"/>
    <s v="itumeleng.tsatsi-mosala@wits.ac.za"/>
    <s v="+27731686196"/>
    <s v="Master of Science Occupational Therapy"/>
    <d v="1991-08-09T00:00:00"/>
    <s v="Exploring the integration of artificial intelligence in health science education to improve clinical reasoning for health science students when working with culturally diverse populations in South Africa"/>
    <s v="Field based"/>
    <m/>
    <m/>
    <m/>
    <m/>
    <d v="2026-03-02T00:00:00"/>
    <m/>
    <m/>
    <m/>
    <m/>
    <m/>
    <m/>
    <m/>
    <m/>
    <m/>
    <m/>
    <m/>
    <m/>
    <s v="Lecturer"/>
    <m/>
    <m/>
    <m/>
    <m/>
    <s v="0000-0001-5509-9659"/>
    <m/>
    <d v="2026-03-02T00:00:00"/>
    <m/>
    <m/>
    <m/>
    <m/>
    <m/>
    <m/>
    <m/>
    <m/>
    <m/>
    <m/>
    <m/>
    <m/>
    <m/>
    <m/>
    <m/>
    <m/>
    <x v="2"/>
    <m/>
    <m/>
    <m/>
    <n v="6"/>
    <m/>
    <m/>
    <m/>
    <m/>
    <m/>
    <m/>
    <m/>
    <m/>
    <m/>
    <m/>
    <m/>
    <m/>
    <m/>
    <m/>
    <m/>
    <m/>
    <m/>
    <m/>
    <m/>
  </r>
  <r>
    <n v="272"/>
    <s v="C12/003"/>
    <s v="Qamar"/>
    <s v="Olamide"/>
    <s v="Adeosun"/>
    <x v="0"/>
    <n v="12"/>
    <s v="Nigeria"/>
    <s v="University of Ibadan"/>
    <s v="Sociology"/>
    <s v="Department of Sociology"/>
    <x v="0"/>
    <s v="Yes"/>
    <m/>
    <s v="Single"/>
    <m/>
    <m/>
    <s v="aolamide@cartafrica.org"/>
    <s v="oadeosun74@yahoo.com"/>
    <s v="+2348169407755"/>
    <s v="Master of Science, Industrial Sociology (2021)"/>
    <d v="1995-12-11T00:00:00"/>
    <s v="Resilience under Risk and Precarity: Occupational Practices and Workplace Relations in Cancer Care Centers in Southwest, Nigeria"/>
    <s v="Field based"/>
    <m/>
    <m/>
    <m/>
    <m/>
    <d v="2026-03-02T00:00:00"/>
    <m/>
    <m/>
    <m/>
    <m/>
    <m/>
    <m/>
    <m/>
    <m/>
    <m/>
    <m/>
    <m/>
    <m/>
    <s v="Assistant Lecturer"/>
    <m/>
    <m/>
    <m/>
    <m/>
    <s v="0009-0007-8633-996X"/>
    <m/>
    <d v="2026-03-02T00:00:00"/>
    <m/>
    <m/>
    <m/>
    <m/>
    <m/>
    <m/>
    <m/>
    <m/>
    <m/>
    <m/>
    <m/>
    <m/>
    <m/>
    <m/>
    <m/>
    <m/>
    <x v="2"/>
    <m/>
    <m/>
    <m/>
    <n v="1"/>
    <m/>
    <m/>
    <m/>
    <m/>
    <m/>
    <m/>
    <m/>
    <m/>
    <m/>
    <m/>
    <m/>
    <m/>
    <m/>
    <m/>
    <m/>
    <m/>
    <m/>
    <m/>
    <m/>
  </r>
  <r>
    <n v="273"/>
    <s v="C12/004"/>
    <s v="Claudine"/>
    <m/>
    <s v="Nshutiyukuri"/>
    <x v="1"/>
    <n v="12"/>
    <s v="Rwanda"/>
    <s v="University of Rwanda"/>
    <s v="General Nursing and Midwifery"/>
    <s v="General Nursing Sciences"/>
    <x v="5"/>
    <s v="Yes"/>
    <m/>
    <s v="Married"/>
    <m/>
    <m/>
    <s v="cnshutiyukuri@cartafrica.org"/>
    <s v="nshutiyukuric@gmail.com"/>
    <s v="+250788661755"/>
    <n v="2017"/>
    <d v="1986-01-01T00:00:00"/>
    <s v="A FRAMEWORK FOR THE IMPLEMENTATION OF AI-ENABLED DIGITAL HEALTH TOOLS FOR ENHANCING ADOLESCENTS' SEXUAL AND REPRODUCTIVE HEALTH IN RWANDA"/>
    <s v="Field based"/>
    <m/>
    <m/>
    <m/>
    <m/>
    <d v="2026-03-02T00:00:00"/>
    <m/>
    <m/>
    <m/>
    <m/>
    <m/>
    <m/>
    <m/>
    <m/>
    <m/>
    <m/>
    <m/>
    <m/>
    <s v="Assistant Lecturer"/>
    <m/>
    <m/>
    <m/>
    <m/>
    <s v="0000-0002-5601-0326"/>
    <m/>
    <d v="2026-03-02T00:00:00"/>
    <m/>
    <m/>
    <m/>
    <m/>
    <m/>
    <m/>
    <m/>
    <m/>
    <m/>
    <m/>
    <m/>
    <m/>
    <m/>
    <m/>
    <m/>
    <m/>
    <x v="2"/>
    <m/>
    <m/>
    <m/>
    <n v="4"/>
    <m/>
    <m/>
    <m/>
    <m/>
    <m/>
    <m/>
    <m/>
    <m/>
    <m/>
    <m/>
    <m/>
    <m/>
    <m/>
    <m/>
    <m/>
    <m/>
    <m/>
    <m/>
    <m/>
  </r>
  <r>
    <n v="274"/>
    <s v="C12/005"/>
    <s v="Edna"/>
    <m/>
    <s v="Mandala"/>
    <x v="1"/>
    <n v="12"/>
    <s v="Malawi"/>
    <s v="University of Malawi and Associates"/>
    <s v="Nursing"/>
    <m/>
    <x v="4"/>
    <s v="Yes"/>
    <m/>
    <s v="Single"/>
    <m/>
    <m/>
    <s v="emandala@cartafrica.org"/>
    <s v="emandala@kuhes.ac.mw"/>
    <s v="+265997786593"/>
    <s v="Master in Public Health (2019)"/>
    <d v="1987-05-08T00:00:00"/>
    <s v="Preventing Antimicrobial resistance in under f five children in Malawi"/>
    <s v="Field based"/>
    <m/>
    <m/>
    <m/>
    <m/>
    <d v="2026-03-02T00:00:00"/>
    <m/>
    <m/>
    <m/>
    <m/>
    <m/>
    <m/>
    <m/>
    <m/>
    <m/>
    <m/>
    <m/>
    <m/>
    <s v="Lecturer"/>
    <m/>
    <m/>
    <m/>
    <m/>
    <s v="0000-0002-0866-0818"/>
    <m/>
    <d v="2026-03-02T00:00:00"/>
    <m/>
    <m/>
    <m/>
    <m/>
    <m/>
    <m/>
    <m/>
    <m/>
    <m/>
    <m/>
    <m/>
    <m/>
    <m/>
    <m/>
    <m/>
    <m/>
    <x v="2"/>
    <m/>
    <m/>
    <m/>
    <n v="4"/>
    <m/>
    <m/>
    <m/>
    <m/>
    <m/>
    <m/>
    <m/>
    <m/>
    <m/>
    <m/>
    <m/>
    <m/>
    <m/>
    <m/>
    <m/>
    <m/>
    <m/>
    <m/>
    <m/>
  </r>
  <r>
    <n v="275"/>
    <s v="C12/006"/>
    <s v="Hellen"/>
    <m/>
    <s v="Butungi"/>
    <x v="1"/>
    <n v="12"/>
    <s v="Uganda"/>
    <s v="Makerere University"/>
    <s v="Microbial genomics"/>
    <s v="Biochemistry and Sports Science"/>
    <x v="9"/>
    <s v="Yes"/>
    <m/>
    <s v="Single"/>
    <m/>
    <m/>
    <s v="hbutungi@cartafrica.org"/>
    <s v="hellen.butungi@mak.ac.ug"/>
    <s v="+256781577222"/>
    <s v="Master of Science in Bioinformatics (2012)"/>
    <d v="1983-06-29T00:00:00"/>
    <s v="Optimisation of a microbial transglutaminase enzyme system for wound healing"/>
    <s v="Laboratory based"/>
    <m/>
    <m/>
    <m/>
    <m/>
    <d v="2026-03-02T00:00:00"/>
    <m/>
    <m/>
    <m/>
    <m/>
    <m/>
    <m/>
    <m/>
    <m/>
    <m/>
    <m/>
    <m/>
    <m/>
    <s v="Assistant Lecturer"/>
    <m/>
    <m/>
    <m/>
    <m/>
    <s v="0000-0002-1330-1545"/>
    <m/>
    <d v="2026-03-02T00:00:00"/>
    <m/>
    <m/>
    <m/>
    <m/>
    <m/>
    <m/>
    <m/>
    <m/>
    <m/>
    <m/>
    <m/>
    <m/>
    <m/>
    <m/>
    <m/>
    <m/>
    <x v="2"/>
    <m/>
    <m/>
    <m/>
    <n v="5"/>
    <m/>
    <m/>
    <m/>
    <m/>
    <m/>
    <m/>
    <m/>
    <m/>
    <m/>
    <m/>
    <m/>
    <m/>
    <m/>
    <m/>
    <m/>
    <m/>
    <m/>
    <m/>
    <m/>
  </r>
  <r>
    <n v="276"/>
    <s v="C12/007"/>
    <s v="Jean Bosco Henri "/>
    <m/>
    <s v="HITAYEZU "/>
    <x v="0"/>
    <n v="12"/>
    <s v="Rwanda"/>
    <s v="University of Rwanda"/>
    <s v="Nursing and Midwifery: Maternal and new-born health, and reproductive health"/>
    <s v="Midwifery"/>
    <x v="5"/>
    <s v="Yes"/>
    <m/>
    <s v="Married"/>
    <m/>
    <m/>
    <s v="jhitayezu@cartafrica.org_x000a_"/>
    <s v="hitab88@gmail.com"/>
    <s v="+250788273931"/>
    <n v="2022"/>
    <d v="1988-01-31T00:00:00"/>
    <s v="Integrating trauma-and violence-Informed maternity care for women with previous poor neonatal outcomes in Rwanda"/>
    <s v="Field based"/>
    <m/>
    <m/>
    <m/>
    <m/>
    <d v="2026-03-02T00:00:00"/>
    <m/>
    <m/>
    <m/>
    <m/>
    <m/>
    <m/>
    <m/>
    <m/>
    <m/>
    <m/>
    <m/>
    <m/>
    <s v="Assistant Lecturer "/>
    <m/>
    <m/>
    <m/>
    <m/>
    <s v="0009-0008-5750-7087"/>
    <m/>
    <d v="2026-03-02T00:00:00"/>
    <m/>
    <m/>
    <m/>
    <m/>
    <m/>
    <m/>
    <m/>
    <m/>
    <m/>
    <m/>
    <m/>
    <m/>
    <m/>
    <m/>
    <m/>
    <m/>
    <x v="2"/>
    <m/>
    <m/>
    <m/>
    <n v="15"/>
    <m/>
    <m/>
    <m/>
    <m/>
    <m/>
    <m/>
    <m/>
    <m/>
    <m/>
    <m/>
    <m/>
    <m/>
    <m/>
    <m/>
    <m/>
    <m/>
    <m/>
    <m/>
    <m/>
  </r>
  <r>
    <n v="277"/>
    <s v="C12/008"/>
    <s v="Jean Paul"/>
    <m/>
    <s v="Habimana"/>
    <x v="0"/>
    <n v="12"/>
    <s v="Rwanda"/>
    <s v="University of Rwanda"/>
    <s v="Veterinary medicine "/>
    <s v="School of Medicine and Pharmacy"/>
    <x v="5"/>
    <s v="Yes"/>
    <m/>
    <s v="Single"/>
    <m/>
    <m/>
    <s v="jphabimana@cartafrica.org"/>
    <s v="habipau@gmail.com"/>
    <s v="+250788534046"/>
    <s v="Master in tropical animal health "/>
    <d v="1988-02-24T00:00:00"/>
    <s v="Antimicrobial resistance in the dairy value chain: Detection, Risk Factors, and Plant  based alternatives against aephalosporin and carbapenem resistant enterobacterales in  Rwanda"/>
    <s v="A combination of laboratory and field-based"/>
    <m/>
    <m/>
    <m/>
    <m/>
    <d v="2026-03-02T00:00:00"/>
    <m/>
    <m/>
    <m/>
    <m/>
    <m/>
    <m/>
    <m/>
    <m/>
    <m/>
    <m/>
    <m/>
    <m/>
    <s v="Assistant Lecturer"/>
    <m/>
    <m/>
    <m/>
    <m/>
    <s v="0000-0001-9420-882X"/>
    <m/>
    <d v="2026-03-02T00:00:00"/>
    <m/>
    <m/>
    <m/>
    <m/>
    <m/>
    <m/>
    <m/>
    <m/>
    <m/>
    <m/>
    <m/>
    <m/>
    <m/>
    <m/>
    <m/>
    <m/>
    <x v="2"/>
    <m/>
    <m/>
    <m/>
    <n v="3"/>
    <m/>
    <m/>
    <m/>
    <m/>
    <m/>
    <m/>
    <m/>
    <m/>
    <m/>
    <m/>
    <m/>
    <m/>
    <m/>
    <m/>
    <m/>
    <m/>
    <m/>
    <m/>
    <m/>
  </r>
  <r>
    <n v="278"/>
    <s v="C12/009"/>
    <s v="Kingsley"/>
    <m/>
    <s v="Kanzoole"/>
    <x v="0"/>
    <n v="12"/>
    <s v="Malawi"/>
    <s v="AGINCOURT"/>
    <s v="Public Health"/>
    <m/>
    <x v="3"/>
    <m/>
    <m/>
    <s v="Married"/>
    <m/>
    <m/>
    <s v="kkanzoole@cartafrica.org"/>
    <s v="kingsleykanzoole@gmail.com"/>
    <s v="+265888022796, +27630537898"/>
    <s v="Master of Science in Epidemiology (2023)"/>
    <d v="1993-08-28T00:00:00"/>
    <s v="Cancer Epidemiology and Primary Healthcare Strengthening in Rural South Africa: Examining Mortality Trends, Diagnostic delays, and implementation of Detection Guideline"/>
    <s v="Field based"/>
    <m/>
    <m/>
    <m/>
    <m/>
    <d v="2026-03-02T00:00:00"/>
    <m/>
    <m/>
    <m/>
    <m/>
    <m/>
    <m/>
    <m/>
    <m/>
    <m/>
    <m/>
    <m/>
    <m/>
    <s v="Research Assistant "/>
    <m/>
    <m/>
    <m/>
    <m/>
    <s v="0000-0003-1287-9430"/>
    <m/>
    <d v="2026-03-02T00:00:00"/>
    <m/>
    <m/>
    <m/>
    <m/>
    <m/>
    <m/>
    <m/>
    <m/>
    <m/>
    <m/>
    <m/>
    <m/>
    <m/>
    <m/>
    <m/>
    <m/>
    <x v="2"/>
    <m/>
    <m/>
    <m/>
    <n v="4"/>
    <m/>
    <m/>
    <m/>
    <m/>
    <m/>
    <m/>
    <m/>
    <m/>
    <m/>
    <m/>
    <m/>
    <m/>
    <m/>
    <m/>
    <m/>
    <m/>
    <m/>
    <m/>
    <m/>
  </r>
  <r>
    <n v="279"/>
    <s v="C12/010"/>
    <s v="Mphatso"/>
    <s v="Saulos"/>
    <s v="Kantonya"/>
    <x v="0"/>
    <n v="12"/>
    <s v="Malawi"/>
    <s v="University of Malawi and Associates"/>
    <s v="Public Health (Infectious Diseases Pharmacoepidemiology)"/>
    <s v="School of Public and Global health"/>
    <x v="4"/>
    <s v="Yes"/>
    <m/>
    <s v="Married"/>
    <m/>
    <m/>
    <s v="mkantonya@cartafrica.org"/>
    <s v="mkantonya@mlw.mw"/>
    <s v="+265994622253, +265881133688"/>
    <s v="Clinical Epidemiology (2024)"/>
    <d v="1992-07-29T00:00:00"/>
    <s v="Optimising Triple Artemisinin-Based Combination Therapy (TACT) in High-Risk Populations (malnourished children and people living with HIV) in Malawi  "/>
    <s v="Clinical research"/>
    <m/>
    <m/>
    <m/>
    <m/>
    <d v="2026-03-02T00:00:00"/>
    <m/>
    <m/>
    <m/>
    <m/>
    <m/>
    <m/>
    <m/>
    <m/>
    <m/>
    <m/>
    <m/>
    <m/>
    <s v="Site Investigator"/>
    <m/>
    <m/>
    <m/>
    <m/>
    <s v="0009-0003-7896-3659"/>
    <m/>
    <d v="2026-03-02T00:00:00"/>
    <m/>
    <m/>
    <m/>
    <m/>
    <m/>
    <m/>
    <m/>
    <m/>
    <m/>
    <m/>
    <m/>
    <m/>
    <m/>
    <m/>
    <m/>
    <m/>
    <x v="2"/>
    <m/>
    <m/>
    <m/>
    <n v="2"/>
    <m/>
    <m/>
    <m/>
    <m/>
    <m/>
    <m/>
    <m/>
    <m/>
    <m/>
    <m/>
    <m/>
    <m/>
    <m/>
    <m/>
    <m/>
    <m/>
    <m/>
    <m/>
    <m/>
  </r>
  <r>
    <n v="280"/>
    <s v="C12/011"/>
    <s v="Martha"/>
    <m/>
    <s v="Masamba"/>
    <x v="1"/>
    <n v="12"/>
    <s v="Malawi"/>
    <s v="University of Malawi and Associates"/>
    <s v="Obstetrics and Gynaecology"/>
    <m/>
    <x v="4"/>
    <m/>
    <m/>
    <s v="Married"/>
    <m/>
    <m/>
    <s v="mmasamba@cartafrica.org"/>
    <s v="mmasamba@kuhes.ac.mw"/>
    <s v="+265888221557, +265 1 871449"/>
    <n v="2016"/>
    <d v="1983-09-19T00:00:00"/>
    <s v="Assessing Clinical and Health System Gaps in the Diagnosis and treatment of Infertility in Malawi: A Mixed Methods Study "/>
    <s v="Clinical research"/>
    <m/>
    <m/>
    <m/>
    <m/>
    <d v="2026-03-02T00:00:00"/>
    <m/>
    <m/>
    <m/>
    <m/>
    <m/>
    <m/>
    <m/>
    <m/>
    <m/>
    <m/>
    <m/>
    <m/>
    <s v="Lecturer and Head of Obs and Gynae."/>
    <m/>
    <m/>
    <m/>
    <m/>
    <s v="0009-0006-2504-803"/>
    <m/>
    <d v="2026-03-02T00:00:00"/>
    <m/>
    <m/>
    <m/>
    <m/>
    <m/>
    <m/>
    <m/>
    <m/>
    <m/>
    <m/>
    <m/>
    <m/>
    <m/>
    <m/>
    <m/>
    <m/>
    <x v="2"/>
    <m/>
    <m/>
    <m/>
    <n v="8"/>
    <m/>
    <m/>
    <m/>
    <m/>
    <m/>
    <m/>
    <m/>
    <m/>
    <m/>
    <m/>
    <m/>
    <m/>
    <m/>
    <m/>
    <m/>
    <m/>
    <m/>
    <m/>
    <m/>
  </r>
  <r>
    <n v="281"/>
    <s v="C12/012"/>
    <s v="Martha"/>
    <s v="Dorcas"/>
    <s v="Nalweyiso"/>
    <x v="1"/>
    <n v="12"/>
    <s v="Uganda"/>
    <s v="Makerere University"/>
    <s v="Public Health"/>
    <s v="Department of Disease Control and Environmental Health"/>
    <x v="9"/>
    <s v="Yes"/>
    <m/>
    <s v="Single"/>
    <m/>
    <m/>
    <s v="mnalweyiso@cartafrica.org"/>
    <s v="nalweyisomartha@gmail.com"/>
    <s v="+265888221557"/>
    <s v="Masters of Science in Animal Health (2023), Master of Public Health (2025)"/>
    <d v="1991-02-05T00:00:00"/>
    <s v="Unmasking the Dual Burden of Brucellosis: Molecular Characterisation and Health Systems Capacity among Agro-Pastoral Communities, Kiruhura District, Western Uganda&quot;."/>
    <s v="A combination of laboratory and field-based"/>
    <m/>
    <m/>
    <m/>
    <m/>
    <d v="2026-03-02T00:00:00"/>
    <m/>
    <m/>
    <m/>
    <m/>
    <m/>
    <m/>
    <m/>
    <m/>
    <m/>
    <m/>
    <m/>
    <m/>
    <s v="Assistant Lecturer"/>
    <m/>
    <m/>
    <m/>
    <m/>
    <s v="0009-0008-4921-4356?lang=en"/>
    <m/>
    <d v="2026-03-02T00:00:00"/>
    <m/>
    <m/>
    <m/>
    <m/>
    <m/>
    <m/>
    <m/>
    <m/>
    <m/>
    <m/>
    <m/>
    <m/>
    <m/>
    <m/>
    <m/>
    <m/>
    <x v="2"/>
    <m/>
    <m/>
    <m/>
    <n v="0"/>
    <m/>
    <m/>
    <m/>
    <m/>
    <m/>
    <m/>
    <m/>
    <m/>
    <m/>
    <m/>
    <m/>
    <m/>
    <m/>
    <m/>
    <m/>
    <m/>
    <m/>
    <m/>
    <m/>
  </r>
  <r>
    <n v="282"/>
    <s v="C12/013"/>
    <s v="Nancy"/>
    <s v="Mugure"/>
    <s v="Waweru"/>
    <x v="1"/>
    <n v="12"/>
    <s v="Kenya"/>
    <s v="University of Nairobi"/>
    <s v="Public Health Engineering"/>
    <s v="Civil Engineering"/>
    <x v="6"/>
    <s v="Yes"/>
    <m/>
    <s v="Single"/>
    <m/>
    <m/>
    <s v="nwaweru@cartafrica.org"/>
    <s v="nancy.mugure@uonbi.ac.ke"/>
    <s v="+254723031495"/>
    <s v="MSc. Environmental Engineering (2017)"/>
    <d v="1988-10-07T00:00:00"/>
    <s v="Comparative Study of Correlation of Consumptive Water Use, Emissions, and Gendered Roles in Greenhouse and Open-Field Irrigation from Vegetable Farms in Kenya"/>
    <s v="A combination of laboratory and field-based"/>
    <m/>
    <m/>
    <m/>
    <m/>
    <d v="2026-03-02T00:00:00"/>
    <m/>
    <m/>
    <m/>
    <m/>
    <m/>
    <m/>
    <m/>
    <m/>
    <m/>
    <m/>
    <m/>
    <m/>
    <s v="Tutorial Fellow"/>
    <m/>
    <m/>
    <m/>
    <m/>
    <s v="0009-0001-0042-9099"/>
    <m/>
    <d v="2026-03-02T00:00:00"/>
    <m/>
    <m/>
    <m/>
    <m/>
    <m/>
    <m/>
    <m/>
    <m/>
    <m/>
    <m/>
    <m/>
    <m/>
    <m/>
    <m/>
    <m/>
    <m/>
    <x v="2"/>
    <m/>
    <m/>
    <m/>
    <n v="1"/>
    <m/>
    <m/>
    <m/>
    <m/>
    <m/>
    <m/>
    <m/>
    <m/>
    <m/>
    <m/>
    <m/>
    <m/>
    <m/>
    <m/>
    <m/>
    <m/>
    <m/>
    <m/>
    <m/>
  </r>
  <r>
    <n v="283"/>
    <s v="C12/014"/>
    <s v="Olamilekan"/>
    <s v="Gabriel"/>
    <s v="Banwo"/>
    <x v="0"/>
    <n v="12"/>
    <s v="Nigeria"/>
    <s v="University of Ibadan"/>
    <s v="Veterinary Medicine"/>
    <s v="Veterinary Medicine"/>
    <x v="0"/>
    <s v="Yes"/>
    <m/>
    <s v="Married"/>
    <m/>
    <m/>
    <s v="obanwo@cartafrica.org"/>
    <s v="olamilekanbanwo@gmail.com"/>
    <s v="+2348038293440"/>
    <s v="Masters in Veterinary Science (2017)"/>
    <d v="1988-08-16T00:00:00"/>
    <s v="Molecular epidemiology, genetic characterisation, and resistome profiling of Dermatophilus congolensis from cattle in southwest Nigeria."/>
    <s v="Laboratory based"/>
    <m/>
    <m/>
    <m/>
    <m/>
    <d v="2026-03-02T00:00:00"/>
    <m/>
    <m/>
    <m/>
    <m/>
    <m/>
    <m/>
    <m/>
    <m/>
    <m/>
    <m/>
    <m/>
    <m/>
    <s v="Lecturer"/>
    <m/>
    <m/>
    <m/>
    <m/>
    <s v="0000-0002-0686-1544"/>
    <m/>
    <d v="2026-03-02T00:00:00"/>
    <m/>
    <m/>
    <m/>
    <m/>
    <m/>
    <m/>
    <m/>
    <m/>
    <m/>
    <m/>
    <m/>
    <m/>
    <m/>
    <m/>
    <m/>
    <m/>
    <x v="2"/>
    <m/>
    <m/>
    <m/>
    <n v="43"/>
    <m/>
    <m/>
    <m/>
    <m/>
    <m/>
    <m/>
    <m/>
    <m/>
    <m/>
    <m/>
    <m/>
    <m/>
    <m/>
    <m/>
    <m/>
    <m/>
    <m/>
    <m/>
    <m/>
  </r>
  <r>
    <n v="284"/>
    <s v="C12/015"/>
    <s v="Olumuyiwa"/>
    <s v="Shola"/>
    <s v="Folayan"/>
    <x v="0"/>
    <n v="12"/>
    <s v="Nigeria"/>
    <s v="University of Ibadan"/>
    <s v="Paediatrics and Child Health"/>
    <m/>
    <x v="0"/>
    <m/>
    <m/>
    <s v="Married"/>
    <m/>
    <m/>
    <s v="ofolayan@cartafrica.org"/>
    <s v="olufolayan19@gmail.com"/>
    <s v="+234 8058258556"/>
    <s v="Master in Public Health(2025)"/>
    <m/>
    <s v="Cardiovascular Risk Factors among  Adolescents living in Ibadan North  Local Government Area"/>
    <s v="Clinical research"/>
    <m/>
    <m/>
    <m/>
    <m/>
    <d v="2026-03-02T00:00:00"/>
    <m/>
    <m/>
    <m/>
    <m/>
    <m/>
    <m/>
    <m/>
    <m/>
    <m/>
    <m/>
    <m/>
    <m/>
    <s v="Research Fellow"/>
    <m/>
    <m/>
    <m/>
    <m/>
    <s v="0000-0002-5862-8170"/>
    <m/>
    <d v="2026-03-02T00:00:00"/>
    <m/>
    <m/>
    <m/>
    <m/>
    <m/>
    <m/>
    <m/>
    <m/>
    <m/>
    <m/>
    <m/>
    <m/>
    <m/>
    <m/>
    <m/>
    <m/>
    <x v="2"/>
    <m/>
    <m/>
    <m/>
    <n v="15"/>
    <m/>
    <m/>
    <m/>
    <m/>
    <m/>
    <m/>
    <m/>
    <m/>
    <m/>
    <m/>
    <m/>
    <m/>
    <m/>
    <m/>
    <m/>
    <m/>
    <m/>
    <m/>
    <m/>
  </r>
  <r>
    <n v="285"/>
    <s v="C12/016"/>
    <s v="Olanrewaju"/>
    <s v="Olaniyi"/>
    <s v="Omosehin"/>
    <x v="0"/>
    <n v="12"/>
    <s v="Nigeria"/>
    <s v="University of Ibadan"/>
    <s v="Agricultural Economics"/>
    <s v="Agricultural Economics"/>
    <x v="0"/>
    <m/>
    <m/>
    <s v="Married"/>
    <m/>
    <m/>
    <s v="oomosehin@cartafrica.org"/>
    <s v="oo.omosehin@ui.edu.ng"/>
    <s v="+2348147768741"/>
    <s v="M.AGRIC.Tech (Production Economics) 2021"/>
    <d v="1991-06-25T00:00:00"/>
    <s v="Economic Resilience and Mental Well-Being of Households in Flood-Affceted Rural Communities in Southwest Nigeria"/>
    <s v="A combination of laboratory and field-based"/>
    <m/>
    <m/>
    <m/>
    <m/>
    <d v="2026-03-02T00:00:00"/>
    <m/>
    <m/>
    <m/>
    <m/>
    <m/>
    <m/>
    <m/>
    <m/>
    <m/>
    <m/>
    <m/>
    <m/>
    <s v="Assistant Lecturer"/>
    <m/>
    <m/>
    <m/>
    <m/>
    <s v="0000-0002-4249-7380"/>
    <m/>
    <d v="2026-03-02T00:00:00"/>
    <m/>
    <m/>
    <m/>
    <m/>
    <m/>
    <m/>
    <m/>
    <m/>
    <m/>
    <m/>
    <m/>
    <m/>
    <m/>
    <m/>
    <m/>
    <m/>
    <x v="2"/>
    <m/>
    <m/>
    <m/>
    <n v="16"/>
    <m/>
    <m/>
    <m/>
    <m/>
    <m/>
    <m/>
    <m/>
    <m/>
    <m/>
    <m/>
    <m/>
    <m/>
    <m/>
    <m/>
    <m/>
    <m/>
    <m/>
    <m/>
    <m/>
  </r>
  <r>
    <n v="286"/>
    <s v="C12/017"/>
    <s v="Patrick"/>
    <m/>
    <s v="Amboka"/>
    <x v="0"/>
    <n v="12"/>
    <s v="Kenya"/>
    <s v="APHRC"/>
    <s v="Public Health"/>
    <m/>
    <x v="3"/>
    <m/>
    <m/>
    <s v="Single"/>
    <m/>
    <m/>
    <s v="pamboka@cartafrica.org"/>
    <s v="pamboka@aphrc.org"/>
    <s v="+254702602571"/>
    <s v="Master in Public Health (2025)"/>
    <d v="1992-08-08T00:00:00"/>
    <s v="Life-Course Pathways to Cardiovascular Disease Among Older Women in Two Rural Counties in Kenya: A Retrospective Case-Control Study"/>
    <s v="Field based"/>
    <m/>
    <m/>
    <m/>
    <m/>
    <d v="2026-03-02T00:00:00"/>
    <m/>
    <m/>
    <m/>
    <m/>
    <m/>
    <m/>
    <m/>
    <m/>
    <m/>
    <m/>
    <m/>
    <m/>
    <s v="Project Officer"/>
    <m/>
    <m/>
    <m/>
    <m/>
    <s v="0000-0003-4295-3515"/>
    <m/>
    <d v="2026-03-02T00:00:00"/>
    <m/>
    <m/>
    <m/>
    <m/>
    <m/>
    <m/>
    <m/>
    <m/>
    <m/>
    <m/>
    <m/>
    <m/>
    <m/>
    <m/>
    <m/>
    <m/>
    <x v="2"/>
    <m/>
    <m/>
    <m/>
    <n v="12"/>
    <m/>
    <m/>
    <m/>
    <m/>
    <m/>
    <m/>
    <m/>
    <m/>
    <m/>
    <m/>
    <m/>
    <m/>
    <m/>
    <m/>
    <m/>
    <m/>
    <m/>
    <m/>
    <m/>
  </r>
  <r>
    <n v="287"/>
    <s v="C12/018"/>
    <s v="REBECCA CLAIRE"/>
    <m/>
    <s v="LUSOBYA"/>
    <x v="1"/>
    <n v="12"/>
    <s v="Uganda"/>
    <s v="Makerere University"/>
    <s v="Ophthalmology"/>
    <s v="OPHTHALMOLOGY"/>
    <x v="9"/>
    <s v="Yes"/>
    <m/>
    <s v="Married"/>
    <m/>
    <m/>
    <s v="rlusobya@cartafrica.org"/>
    <s v="lusobyarebecca@gmail.com"/>
    <s v="+256773472633"/>
    <n v="2018"/>
    <d v="1987-02-27T00:00:00"/>
    <s v="Using Oculomics And Machine Learning to Predict Preeclampsia Disease Severity and Its Long-Term Sequelae Among Pregnant Women in Uganda."/>
    <s v="Clinical research"/>
    <m/>
    <m/>
    <m/>
    <m/>
    <d v="2026-03-02T00:00:00"/>
    <m/>
    <m/>
    <m/>
    <m/>
    <m/>
    <m/>
    <m/>
    <m/>
    <m/>
    <m/>
    <m/>
    <m/>
    <s v="Senior Lecturer"/>
    <m/>
    <m/>
    <m/>
    <m/>
    <s v="0000-0002-7149-703X"/>
    <m/>
    <d v="2026-03-02T00:00:00"/>
    <m/>
    <m/>
    <m/>
    <m/>
    <m/>
    <m/>
    <m/>
    <m/>
    <m/>
    <m/>
    <m/>
    <m/>
    <m/>
    <m/>
    <m/>
    <m/>
    <x v="2"/>
    <m/>
    <m/>
    <m/>
    <n v="18"/>
    <m/>
    <m/>
    <m/>
    <m/>
    <m/>
    <m/>
    <m/>
    <m/>
    <m/>
    <m/>
    <m/>
    <m/>
    <m/>
    <m/>
    <m/>
    <m/>
    <m/>
    <m/>
    <m/>
  </r>
  <r>
    <n v="288"/>
    <s v="C12/019"/>
    <s v="Regina"/>
    <s v="Tikhala"/>
    <s v="Makuluni"/>
    <x v="1"/>
    <n v="12"/>
    <s v="Malawi"/>
    <s v="University of Malawi and Associates"/>
    <s v="Public Health"/>
    <m/>
    <x v="4"/>
    <m/>
    <m/>
    <s v="Married"/>
    <m/>
    <m/>
    <s v="rmakuluni@cartafrica.org"/>
    <s v="rmakuluni@mlw.mw"/>
    <s v="+265999150295, +265992971222"/>
    <s v="Master of Science in Epidemiology (2020)"/>
    <d v="1991-11-21T00:00:00"/>
    <s v="Understanding and improving sustainability of  maternal health interventions- A case study of the Active Prevention and Treatment of Maternal Sepsis (APT-Sepsis) in Malawi."/>
    <s v="Clinical research"/>
    <m/>
    <m/>
    <m/>
    <m/>
    <d v="2026-03-02T00:00:00"/>
    <m/>
    <m/>
    <m/>
    <m/>
    <m/>
    <m/>
    <m/>
    <m/>
    <m/>
    <m/>
    <m/>
    <m/>
    <s v="Trial Manager"/>
    <m/>
    <m/>
    <m/>
    <m/>
    <s v="0000-0001-9368-5456"/>
    <m/>
    <d v="2026-03-02T00:00:00"/>
    <m/>
    <m/>
    <m/>
    <m/>
    <m/>
    <m/>
    <m/>
    <m/>
    <m/>
    <m/>
    <m/>
    <m/>
    <m/>
    <m/>
    <m/>
    <m/>
    <x v="2"/>
    <m/>
    <m/>
    <m/>
    <n v="10"/>
    <m/>
    <m/>
    <m/>
    <m/>
    <m/>
    <m/>
    <m/>
    <m/>
    <m/>
    <m/>
    <m/>
    <m/>
    <m/>
    <m/>
    <m/>
    <m/>
    <m/>
    <m/>
    <m/>
  </r>
  <r>
    <n v="289"/>
    <s v="C12/020"/>
    <s v="Schadrack"/>
    <m/>
    <s v="HABUMUREMYI"/>
    <x v="0"/>
    <n v="12"/>
    <s v="Rwanda"/>
    <s v="University of Rwanda"/>
    <s v="Human Anatomy"/>
    <s v="Human Anatomy Department"/>
    <x v="5"/>
    <s v="Yes"/>
    <m/>
    <s v="Married"/>
    <m/>
    <m/>
    <s v="shabumuremyi@cartafrica.org"/>
    <s v="habumshadra@gmail.com"/>
    <s v="+250783305359, +250722174009"/>
    <s v="Master of Science in Clinical Anatomy (2024)"/>
    <d v="1988-01-14T00:00:00"/>
    <s v="The implications of Lumbosacral transitional vertebrae to the lower back pain in Rwanda"/>
    <s v="Laboratory based"/>
    <m/>
    <m/>
    <m/>
    <m/>
    <d v="2026-03-02T00:00:00"/>
    <m/>
    <m/>
    <m/>
    <m/>
    <m/>
    <m/>
    <m/>
    <m/>
    <m/>
    <m/>
    <m/>
    <m/>
    <s v="Laboratory technician"/>
    <m/>
    <m/>
    <m/>
    <m/>
    <s v="0009-0006-7309-306X"/>
    <m/>
    <d v="2026-03-02T00:00:00"/>
    <m/>
    <m/>
    <m/>
    <m/>
    <m/>
    <m/>
    <m/>
    <m/>
    <m/>
    <m/>
    <m/>
    <m/>
    <m/>
    <m/>
    <m/>
    <m/>
    <x v="2"/>
    <m/>
    <m/>
    <m/>
    <n v="10"/>
    <m/>
    <m/>
    <m/>
    <m/>
    <m/>
    <m/>
    <m/>
    <m/>
    <m/>
    <m/>
    <m/>
    <m/>
    <m/>
    <m/>
    <m/>
    <m/>
    <m/>
    <m/>
    <m/>
  </r>
  <r>
    <n v="290"/>
    <s v="C12/021"/>
    <s v="Tabitha"/>
    <s v="Jepkurgat"/>
    <s v="Chepkwony"/>
    <x v="1"/>
    <n v="12"/>
    <s v="Kenya"/>
    <s v="Moi University"/>
    <s v="Public health/Laboratory Sciences"/>
    <s v="Public Health"/>
    <x v="2"/>
    <s v="Yes"/>
    <m/>
    <s v="Married"/>
    <m/>
    <m/>
    <s v="tchepkwony@cartafrica.org"/>
    <s v="jepkurgatbunet@gmail.com"/>
    <s v="+254706713382"/>
    <s v="MPH-Epidemiology and Medical Statistics (2025)"/>
    <d v="1989-04-27T00:00:00"/>
    <s v="Evaluation of Insecticidal and PBO Durability of PBO-based long-lasting  Insecticidal Nets and Determinants  of Their Performance in an Implementation Setting in Western Kenya: Implications for Malaria Control in Pyrethroid-Resistant Regions'"/>
    <s v="A combination of laboratory and field-based"/>
    <m/>
    <m/>
    <m/>
    <m/>
    <d v="2026-03-02T00:00:00"/>
    <m/>
    <m/>
    <m/>
    <m/>
    <m/>
    <m/>
    <m/>
    <m/>
    <m/>
    <m/>
    <m/>
    <m/>
    <s v="Research coordinator"/>
    <m/>
    <m/>
    <m/>
    <m/>
    <s v="0009-0001-5539-2975"/>
    <m/>
    <d v="2026-03-02T00:00:00"/>
    <m/>
    <m/>
    <m/>
    <m/>
    <m/>
    <m/>
    <m/>
    <m/>
    <m/>
    <m/>
    <m/>
    <m/>
    <m/>
    <m/>
    <m/>
    <m/>
    <x v="2"/>
    <m/>
    <m/>
    <m/>
    <n v="15"/>
    <m/>
    <m/>
    <m/>
    <m/>
    <m/>
    <m/>
    <m/>
    <m/>
    <m/>
    <m/>
    <m/>
    <m/>
    <m/>
    <m/>
    <m/>
    <m/>
    <m/>
    <m/>
    <m/>
  </r>
  <r>
    <n v="291"/>
    <s v="C12/022"/>
    <s v="WALTER"/>
    <m/>
    <s v="OKELLO"/>
    <x v="0"/>
    <n v="12"/>
    <s v="Uganda"/>
    <s v="Makerere University"/>
    <s v="Laboratory Sciences"/>
    <s v="Biosecurity, Ecosystems and Veterinary Public Health"/>
    <x v="9"/>
    <s v="Yes"/>
    <m/>
    <s v="Married"/>
    <m/>
    <m/>
    <s v="wokello@cartafrica.org"/>
    <s v="walteriqueokello@gmail.com"/>
    <s v="+256783923827"/>
    <s v="Veterinary Preventive Medicine(Field Epidemiology)"/>
    <d v="1995-05-01T00:00:00"/>
    <s v="Risk Assessment and Predictive Modelling of Aflatoxin Contamination at the Grain-Animal-Human Interface in Uganda. "/>
    <s v="A combination of laboratory and field-based"/>
    <m/>
    <m/>
    <m/>
    <m/>
    <d v="2026-03-02T00:00:00"/>
    <m/>
    <m/>
    <m/>
    <m/>
    <m/>
    <m/>
    <m/>
    <m/>
    <m/>
    <m/>
    <m/>
    <m/>
    <s v="Technician"/>
    <m/>
    <m/>
    <m/>
    <m/>
    <s v="0000-0002-7621-4844"/>
    <m/>
    <d v="2026-03-02T00:00:00"/>
    <m/>
    <m/>
    <m/>
    <m/>
    <m/>
    <m/>
    <m/>
    <m/>
    <m/>
    <m/>
    <m/>
    <m/>
    <m/>
    <m/>
    <m/>
    <m/>
    <x v="2"/>
    <m/>
    <m/>
    <m/>
    <n v="2"/>
    <m/>
    <m/>
    <m/>
    <m/>
    <m/>
    <m/>
    <m/>
    <m/>
    <m/>
    <m/>
    <m/>
    <m/>
    <m/>
    <m/>
    <m/>
    <m/>
    <m/>
    <m/>
    <m/>
  </r>
  <r>
    <m/>
    <m/>
    <m/>
    <m/>
    <m/>
    <x v="2"/>
    <m/>
    <m/>
    <m/>
    <m/>
    <m/>
    <x v="8"/>
    <m/>
    <m/>
    <m/>
    <m/>
    <m/>
    <m/>
    <m/>
    <m/>
    <m/>
    <m/>
    <m/>
    <m/>
    <m/>
    <m/>
    <m/>
    <m/>
    <m/>
    <m/>
    <m/>
    <m/>
    <m/>
    <m/>
    <m/>
    <m/>
    <m/>
    <m/>
    <m/>
    <m/>
    <m/>
    <m/>
    <m/>
    <m/>
    <m/>
    <m/>
    <m/>
    <m/>
    <m/>
    <m/>
    <m/>
    <m/>
    <m/>
    <m/>
    <m/>
    <m/>
    <m/>
    <m/>
    <m/>
    <m/>
    <m/>
    <m/>
    <m/>
    <m/>
    <m/>
    <x v="3"/>
    <m/>
    <m/>
    <m/>
    <m/>
    <m/>
    <m/>
    <m/>
    <m/>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
  <r>
    <n v="1"/>
    <s v="C1/001"/>
    <s v="Babatunde"/>
    <s v="Olubayo"/>
    <s v="Adedokun"/>
    <x v="0"/>
    <x v="0"/>
    <s v="Nigeria"/>
    <s v="University of Ibadan"/>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x v="0"/>
    <s v="Rwanda"/>
    <s v="University of Rwanda"/>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x v="0"/>
    <s v="Kenya"/>
    <s v="Moi University"/>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x v="0"/>
    <s v="Rwanda"/>
    <s v="University of Rwanda"/>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x v="0"/>
    <s v="Malawi"/>
    <s v="University of Malawi and Associates"/>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x v="0"/>
    <s v="Tanzania"/>
    <s v="Ifakara Health Institute"/>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x v="0"/>
    <s v="Malawi"/>
    <s v="University of Malawi and Associates"/>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x v="0"/>
    <s v="Nigeria"/>
    <s v="Obafemi Awolowo University"/>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x v="0"/>
    <s v="Malawi"/>
    <s v="University of Malawi and Associates"/>
    <s v="Community Health"/>
    <s v="Department of Community Health"/>
    <s v="University of Malawi and Associates"/>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x v="0"/>
    <s v="Rwanda"/>
    <s v="University of Rwanda"/>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x v="0"/>
    <s v="Nigeria"/>
    <s v="University of Ibadan"/>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x v="0"/>
    <s v="Malawi"/>
    <s v="University of Malawi and Associates"/>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x v="0"/>
    <s v="Kenya"/>
    <s v="Moi University"/>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s v="South Africa"/>
    <s v="University of the Witwatersrand"/>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x v="0"/>
    <s v="South Africa"/>
    <s v="University of the Witwatersrand"/>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x v="0"/>
    <s v="Malawi"/>
    <s v="University of the Witwatersrand"/>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x v="0"/>
    <s v="Kenya"/>
    <s v="University of Nairobi"/>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x v="0"/>
    <s v="Nigeria"/>
    <s v="Obafemi Awolowo University"/>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x v="0"/>
    <s v="Nigeria"/>
    <s v="Obafemi Awolowo University"/>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s v="Nigeria"/>
    <s v="AGINCOURT"/>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x v="0"/>
    <s v="Kenya"/>
    <s v="University of Nairobi"/>
    <m/>
    <m/>
    <m/>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x v="0"/>
    <s v="Kenya"/>
    <s v="University of Nairobi"/>
    <m/>
    <m/>
    <s v="University of Nairobi"/>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x v="0"/>
    <s v="Tanzania"/>
    <s v="University of Dar es Salaam"/>
    <m/>
    <m/>
    <m/>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x v="1"/>
    <s v="Nigeria"/>
    <s v="University of Ibadan"/>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x v="1"/>
    <s v="Malawi"/>
    <s v="University of Malawi and Associates"/>
    <s v="Health Systems and Policy"/>
    <s v="Health Systems and Policy"/>
    <s v="University of Malawi and Associates"/>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x v="1"/>
    <s v="Malawi"/>
    <s v="University of Malawi and Associates"/>
    <s v="Environmental Sciences"/>
    <m/>
    <s v="University of Malawi and Associates"/>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x v="1"/>
    <s v="Kenya"/>
    <s v="Moi University"/>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x v="1"/>
    <s v="Tanzania"/>
    <s v="University of Dar es Salaam"/>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x v="1"/>
    <s v="Uganda"/>
    <s v="Makerere University"/>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x v="1"/>
    <s v="Nigeria"/>
    <s v="University of Ibadan"/>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x v="1"/>
    <s v="Uganda"/>
    <s v="Makerere University"/>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x v="1"/>
    <s v="Malawi"/>
    <s v="University of Malawi and Associates"/>
    <s v="Epidemiology"/>
    <s v="Department of Population Studies"/>
    <s v="University of Malawi and Associates"/>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s v="Kenya"/>
    <s v="APHRC"/>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s v="Kenya"/>
    <s v="University of Nairobi"/>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x v="1"/>
    <s v="Nigeria"/>
    <s v="Obafemi Awolowo University"/>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x v="1"/>
    <s v="Nigeria"/>
    <s v="University of Ibadan"/>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x v="1"/>
    <s v="Malawi"/>
    <s v="University of Malawi and Associates"/>
    <s v="Disease Epidemiology"/>
    <s v="MATHEMATICS AND STATISTICS"/>
    <s v="University of Malawi and Associates"/>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x v="1"/>
    <s v="South Africa"/>
    <s v="University of the Witwatersrand"/>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x v="1"/>
    <s v="Uganda"/>
    <s v="Makerere University"/>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x v="1"/>
    <s v="Uganda"/>
    <s v="Makerere University"/>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x v="1"/>
    <s v="South Africa"/>
    <s v="University of the Witwatersrand"/>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x v="1"/>
    <s v="Kenya"/>
    <s v="University of Nairobi"/>
    <m/>
    <m/>
    <s v="University of the Witwatersrand"/>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x v="1"/>
    <s v="Tanzania"/>
    <s v="Ifakara Health Institute"/>
    <m/>
    <s v="TB Clinic"/>
    <s v="University of Dar es Salaam"/>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x v="2"/>
    <s v="Nigeria"/>
    <s v="University of Ibadan"/>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s v="Kenya"/>
    <s v="University of Nairobi"/>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x v="2"/>
    <s v="Kenya"/>
    <s v="University of Nairobi"/>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s v="Nigeria"/>
    <s v="University of Ibadan"/>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x v="2"/>
    <s v="Uganda"/>
    <s v="Makerere University"/>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x v="2"/>
    <s v="Rwanda"/>
    <s v="University of Rwanda"/>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s v="Nigeria"/>
    <s v="University of Ibadan"/>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x v="2"/>
    <s v="Malawi"/>
    <s v="University of Malawi and Associates"/>
    <s v="Immunity and Infection"/>
    <s v="Pathology"/>
    <s v="University of Malawi and Associates"/>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x v="2"/>
    <s v="Kenya"/>
    <s v="Moi University"/>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x v="2"/>
    <s v="South Africa"/>
    <s v="University of the Witwatersrand"/>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x v="2"/>
    <s v="Rwanda"/>
    <s v="University of Rwanda"/>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x v="2"/>
    <s v="Kenya"/>
    <s v="Moi University"/>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s v="Nigeria"/>
    <s v="Obafemi Awolowo University"/>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s v="Kenya"/>
    <s v="Moi University"/>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x v="2"/>
    <s v="Nigeria"/>
    <s v="Obafemi Awolowo University"/>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s v="Uganda"/>
    <s v="Makerere University"/>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s v="South Africa"/>
    <s v="University of the Witwatersrand"/>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x v="2"/>
    <s v="Nigeria"/>
    <s v="Obafemi Awolowo University"/>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x v="2"/>
    <s v="Nigeria"/>
    <s v="University of Ibadan"/>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s v="Tanzania"/>
    <s v="University of Dar es Salaam"/>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s v="Kenya"/>
    <s v="Moi University"/>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x v="2"/>
    <s v="Malawi"/>
    <s v="University of Malawi and Associates"/>
    <s v="Public Health"/>
    <s v="Public Health"/>
    <s v="University of Malawi and Associates"/>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x v="2"/>
    <s v="South Africa"/>
    <s v="University of the Witwatersrand"/>
    <m/>
    <m/>
    <s v="University of the Witwatersrand"/>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x v="3"/>
    <s v="Nigeria"/>
    <s v="University of Ibadan"/>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x v="3"/>
    <s v="South Africa"/>
    <s v="University of the Witwatersrand"/>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x v="3"/>
    <s v="Uganda"/>
    <s v="Makerere University"/>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x v="3"/>
    <s v="Nigeria"/>
    <s v="Obafemi Awolowo University"/>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s v="Nigeria"/>
    <s v="University of Ibadan"/>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x v="3"/>
    <s v="Uganda"/>
    <s v="Makerere University"/>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s v="Kenya"/>
    <s v="Moi University"/>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x v="3"/>
    <s v="South Africa"/>
    <s v="University of the Witwatersrand"/>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x v="3"/>
    <s v="Kenya"/>
    <s v="University of Nairobi"/>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s v="Malawi"/>
    <s v="University of Malawi and Associates"/>
    <s v="Medical Athropology"/>
    <s v="Health Systems and Policy Development"/>
    <s v="University of Malawi and Associates"/>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x v="3"/>
    <s v="Uganda"/>
    <s v="Makerere University"/>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x v="3"/>
    <s v="Kenya"/>
    <s v="Moi University"/>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x v="3"/>
    <s v="Uganda"/>
    <s v="Makerere University"/>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s v="Tanzania"/>
    <s v="Ifakara Health Institute"/>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x v="3"/>
    <s v="Kenya"/>
    <s v="Moi University"/>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s v="Kenya"/>
    <s v="Moi University"/>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x v="3"/>
    <s v="Rwanda"/>
    <s v="University of Rwanda"/>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s v="Malawi"/>
    <s v="University of Malawi and Associates"/>
    <s v="Public Health"/>
    <s v="Basic Medical Sciences"/>
    <s v="University of Malawi and Associates"/>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x v="3"/>
    <s v="Tanzania"/>
    <s v="University of Dar es Salaam"/>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s v="Kenya"/>
    <s v="APHRC"/>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x v="3"/>
    <s v="Nigeria"/>
    <s v="Obafemi Awolowo University"/>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x v="3"/>
    <s v="South Africa"/>
    <s v="University of the Witwatersrand"/>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s v="Kenya"/>
    <s v="University of Nairobi"/>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x v="3"/>
    <s v="Tanzania"/>
    <s v="University of Dar es Salaam"/>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x v="3"/>
    <s v="Nigeria"/>
    <s v="Obafemi Awolowo University"/>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s v="Nigeria"/>
    <s v="University of Ibadan"/>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x v="3"/>
    <s v="South Africa"/>
    <s v="University of the Witwatersrand"/>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x v="4"/>
    <s v="Senegal"/>
    <s v="APHRC"/>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x v="4"/>
    <s v="Rwanda"/>
    <s v="University of Rwanda"/>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x v="4"/>
    <s v="Nigeria"/>
    <s v="Obafemi Awolowo University"/>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x v="4"/>
    <s v="South Africa"/>
    <s v="University of the Witwatersrand"/>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s v="Nigeria"/>
    <s v="University of Ibadan"/>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s v="Tanzania"/>
    <s v="Ifakara Health Institute"/>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s v="Kenya"/>
    <s v="University of Nairobi"/>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x v="4"/>
    <s v="Nigeria"/>
    <s v="University of Ibadan"/>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x v="4"/>
    <s v="Malawi"/>
    <s v="University of Malawi and Associates"/>
    <s v="Pharmaceutical Analysis"/>
    <s v="Pharmacy"/>
    <s v="University of Malawi and Associates"/>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x v="4"/>
    <s v="Uganda"/>
    <s v="Makerere University"/>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x v="4"/>
    <s v="Kenya"/>
    <s v="Moi University"/>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s v="Kenya"/>
    <s v="Moi University"/>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x v="4"/>
    <s v="Nigeria"/>
    <s v="University of Ibadan"/>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x v="4"/>
    <s v="Uganda"/>
    <s v="Makerere University"/>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x v="4"/>
    <s v="Kenya"/>
    <s v="University of Nairobi"/>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x v="4"/>
    <s v="Kenya"/>
    <s v="Moi University"/>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x v="4"/>
    <s v="Nigeria"/>
    <s v="Obafemi Awolowo University"/>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x v="4"/>
    <s v="Malawi"/>
    <s v="University of Malawi and Associates"/>
    <s v="Epidemeology and Public Health"/>
    <s v="Public Health"/>
    <s v="University of Malawi and Associates"/>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x v="4"/>
    <s v="Malawi"/>
    <s v="University of Malawi and Associates"/>
    <s v="Nursing and Midwifery"/>
    <s v="Public Health"/>
    <s v="University of Malawi and Associates"/>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x v="4"/>
    <s v="South Africa"/>
    <s v="University of the Witwatersrand"/>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x v="4"/>
    <s v="Nigeria"/>
    <s v="University of Ibadan"/>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s v="Uganda"/>
    <s v="Makerere University"/>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x v="4"/>
    <s v="Malawi"/>
    <s v="University of Malawi and Associates"/>
    <m/>
    <m/>
    <s v="University of Malawi and Associates"/>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x v="4"/>
    <s v="Tanzania"/>
    <s v="University of Dar es Salaam"/>
    <m/>
    <m/>
    <s v="University of Dar es Salaam"/>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x v="4"/>
    <s v="Kenya"/>
    <s v="University of Nairobi"/>
    <m/>
    <m/>
    <s v="University of Nairobi"/>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x v="5"/>
    <s v="Kenya"/>
    <s v="APHRC"/>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s v="Kenya"/>
    <s v="University of Nairobi"/>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s v="Malawi"/>
    <s v="University of Malawi and Associates"/>
    <s v="Nursing"/>
    <s v="Medical and Surgical Nursing"/>
    <s v="University of Malawi and Associates"/>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x v="5"/>
    <s v="Nigeria"/>
    <s v="University of the Witwatersrand"/>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x v="5"/>
    <s v="Rwanda"/>
    <s v="University of Rwanda"/>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s v="Nigeria"/>
    <s v="University of Ibadan"/>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x v="5"/>
    <s v="South Africa"/>
    <s v="University of the Witwatersrand"/>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s v="Uganda"/>
    <s v="Makerere University"/>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s v="Nigeria"/>
    <s v="Obafemi Awolowo University"/>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x v="5"/>
    <s v="Malawi"/>
    <s v="University of Malawi and Associates"/>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x v="5"/>
    <s v="Uganda"/>
    <s v="Makerere University"/>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s v="Nigeria"/>
    <s v="University of Ibadan"/>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x v="5"/>
    <s v="Nigeria"/>
    <s v="Obafemi Awolowo University"/>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x v="5"/>
    <s v="Malawi"/>
    <s v="University of Malawi and Associates"/>
    <s v="Engineering"/>
    <s v="Environmental Health"/>
    <s v="University of Malawi and Associates"/>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x v="5"/>
    <s v="Nigeria"/>
    <s v="University of Ibadan"/>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x v="5"/>
    <s v="Nigeria"/>
    <s v="Obafemi Awolowo University"/>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x v="5"/>
    <s v="Rwanda"/>
    <s v="University of Rwanda"/>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s v="Kenya"/>
    <s v="University of Nairobi"/>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x v="5"/>
    <s v="South Africa"/>
    <s v="University of the Witwatersrand"/>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x v="5"/>
    <s v="Nigeria"/>
    <s v="Obafemi Awolowo University"/>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x v="5"/>
    <s v="Kenya"/>
    <s v="University of Nairobi"/>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x v="5"/>
    <s v="Nigeria"/>
    <s v="University of Ibadan"/>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x v="5"/>
    <s v="South Africa"/>
    <s v="University of the Witwatersrand"/>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x v="5"/>
    <s v="Tanzania"/>
    <s v="Ifakara Health Institute"/>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x v="5"/>
    <s v="Kenya"/>
    <s v="Moi University"/>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x v="6"/>
    <s v="South Africa"/>
    <s v="University of the Witwatersrand"/>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x v="6"/>
    <s v="Uganda"/>
    <s v="Makerere University"/>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s v="Nigeria"/>
    <s v="Obafemi Awolowo University"/>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x v="6"/>
    <s v="Malawi"/>
    <s v="University of Malawi and Associates"/>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s v="Rwanda"/>
    <s v="University of Rwanda"/>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x v="6"/>
    <s v="Kenya"/>
    <s v="University of Nairobi"/>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x v="6"/>
    <s v="Nigeria"/>
    <s v="University of Ibadan"/>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s v="Malawi"/>
    <s v="University of Malawi and Associates"/>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s v="Malawi"/>
    <s v="University of Malawi and Associates"/>
    <s v="Exercise Science"/>
    <s v="Physiotherapy"/>
    <s v="University of Malawi and Associates"/>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s v="Kenya"/>
    <s v="University of Nairobi"/>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x v="6"/>
    <s v="Kenya"/>
    <s v="Moi University"/>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s v="Nigeria"/>
    <s v="University of Ibadan"/>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x v="6"/>
    <s v="Nigeria"/>
    <s v="Obafemi Awolowo University"/>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x v="6"/>
    <s v="Kenya"/>
    <s v="APHRC"/>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x v="6"/>
    <s v="South Africa"/>
    <s v="University of the Witwatersrand"/>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s v="Kenya"/>
    <s v="University of Nairobi"/>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x v="6"/>
    <s v="Tanzania"/>
    <s v="Ifakara Health Institute"/>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s v="Malawi"/>
    <s v="University of Malawi and Associates"/>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x v="6"/>
    <s v="Rwanda"/>
    <s v="University of Rwanda"/>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x v="6"/>
    <s v="Rwanda"/>
    <s v="University of Rwanda"/>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s v="Nigeria"/>
    <s v="Obafemi Awolowo University"/>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x v="6"/>
    <s v="Nigeria"/>
    <s v="University of Ibadan"/>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x v="6"/>
    <s v="Nigeria"/>
    <s v="Obafemi Awolowo University"/>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x v="6"/>
    <s v="Nigeria"/>
    <s v="University of Ibadan"/>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x v="6"/>
    <s v="Uganda"/>
    <s v="Makerere University"/>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s v="South Africa"/>
    <s v="University of the Witwatersrand"/>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x v="6"/>
    <s v="Rwanda"/>
    <s v="University of Rwanda"/>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x v="7"/>
    <s v="South Africa"/>
    <s v="University of the Witwatersrand"/>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s v="Nigeria"/>
    <s v="Obafemi Awolowo University"/>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x v="7"/>
    <s v="Rwanda"/>
    <s v="University of Rwanda"/>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x v="7"/>
    <s v="Rwanda"/>
    <s v="University of Rwanda"/>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s v="Nigeria"/>
    <s v="Obafemi Awolowo University"/>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x v="7"/>
    <s v="Uganda"/>
    <s v="Makerere University"/>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x v="7"/>
    <s v="Kenya"/>
    <s v="University of Nairobi"/>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s v="Kenya"/>
    <s v="University of Nairobi"/>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x v="7"/>
    <s v="South Africa"/>
    <s v="University of the Witwatersrand"/>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s v="Nigeria"/>
    <s v="University of Ibadan"/>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x v="7"/>
    <s v="Uganda"/>
    <s v="Makerere University"/>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x v="7"/>
    <s v="Rwanda"/>
    <s v="University of Rwanda"/>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x v="7"/>
    <s v="Kenya"/>
    <s v="University of Nairobi"/>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s v="Malawi"/>
    <s v="University of Malawi and Associates"/>
    <s v="Mathematical Sciences"/>
    <s v="MATHEMATICS AND STATISTICS"/>
    <s v="University of Malawi and Associates"/>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s v="Nigeria"/>
    <s v="Obafemi Awolowo University"/>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x v="7"/>
    <s v="Nigeria"/>
    <s v="University of Ibadan"/>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x v="7"/>
    <s v="South Africa"/>
    <s v="University of the Witwatersrand"/>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x v="7"/>
    <s v="Kenya"/>
    <s v="University of Nairobi"/>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x v="7"/>
    <s v="Nigeria"/>
    <s v="Obafemi Awolowo University"/>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x v="7"/>
    <s v="Rwanda"/>
    <s v="University of Rwanda"/>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x v="7"/>
    <s v="Nigeria"/>
    <s v="University of Ibadan"/>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x v="7"/>
    <s v="Malawi"/>
    <s v="University of Malawi and Associates"/>
    <s v="Internal Medicine"/>
    <s v="Oncology/Medicine"/>
    <s v="University of Malawi and Associates"/>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x v="7"/>
    <s v="Uganda"/>
    <s v="Makerere University"/>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x v="7"/>
    <s v="Nigeria"/>
    <s v="University of Ibadan"/>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x v="7"/>
    <s v="Kenya"/>
    <s v="Moi University"/>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x v="7"/>
    <s v="Kenya"/>
    <s v="Moi University"/>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x v="8"/>
    <s v="Malawi"/>
    <s v="University of Malawi and Associates"/>
    <s v="Maternal Health"/>
    <s v="Public Health Department"/>
    <s v="University of Malawi and Associates"/>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x v="8"/>
    <s v="Nigeria"/>
    <s v="Obafemi Awolowo University"/>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s v="South Africa"/>
    <s v="University of the Witwatersrand"/>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x v="8"/>
    <s v="Rwanda"/>
    <s v="University of Rwanda"/>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x v="8"/>
    <s v="Rwanda"/>
    <s v="University of Rwanda"/>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x v="8"/>
    <s v="Kenya"/>
    <s v="University of Nairobi"/>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x v="8"/>
    <s v="Rwanda"/>
    <s v="University of Rwanda"/>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x v="8"/>
    <s v="Uganda"/>
    <s v="Makerere University"/>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s v="Kenya"/>
    <s v="University of Nairobi"/>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x v="8"/>
    <s v="Rwanda"/>
    <s v="University of Rwanda"/>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s v="Uganda"/>
    <s v="Makerere University"/>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x v="8"/>
    <s v="South Africa"/>
    <s v="University of the Witwatersrand"/>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s v="Nigeria"/>
    <s v="Obafemi Awolowo University"/>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x v="8"/>
    <s v="Nigeria"/>
    <s v="University of Ibadan"/>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x v="8"/>
    <s v="Nigeria"/>
    <s v="University of Ibadan"/>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s v="South Africa"/>
    <s v="University of the Witwatersrand"/>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s v="Kenya"/>
    <s v="University of Nairobi"/>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x v="8"/>
    <s v="Nigeria"/>
    <s v="University of Ibadan"/>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x v="8"/>
    <s v="Kenya"/>
    <s v="Moi University"/>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x v="8"/>
    <s v="Nigeria"/>
    <s v="Obafemi Awolowo University"/>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x v="8"/>
    <s v="Tanzania"/>
    <s v="Ifakara Health Institute"/>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s v="Malawi"/>
    <s v="University of Malawi and Associates"/>
    <s v="CLINICAL EPIDEMIOLOGY "/>
    <s v="Training and Research"/>
    <s v="University of Malawi and Associates"/>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x v="8"/>
    <s v="Nigeria"/>
    <s v="University of Ibadan"/>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x v="8"/>
    <s v="Uganda"/>
    <s v="Makerere University"/>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x v="9"/>
    <s v="Rwanda"/>
    <s v="University of Rwanda"/>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n v="42"/>
    <s v="DEVELOPMENT OF STRATEGIES FOR HEALTH CARE PROVIDERS TO SUSTAIN RESPECTFUL MATERNITY CARE TO WOMEN IN LABOUR"/>
    <n v="0"/>
    <m/>
    <m/>
    <m/>
    <m/>
    <m/>
    <m/>
    <s v="No"/>
    <m/>
    <m/>
    <m/>
    <m/>
    <m/>
    <m/>
    <m/>
    <m/>
    <n v="3"/>
    <m/>
    <m/>
    <s v="SIDA"/>
  </r>
  <r>
    <n v="226"/>
    <s v="C10/002"/>
    <s v="Aline"/>
    <m/>
    <s v="Uwase"/>
    <x v="1"/>
    <x v="9"/>
    <s v="Rwanda"/>
    <s v="University of Rwanda"/>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x v="9"/>
    <s v="Tanzania"/>
    <s v="Ifakara Health Institute"/>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n v="2511"/>
    <n v="15"/>
    <n v="4"/>
    <m/>
    <m/>
    <m/>
    <m/>
    <m/>
    <s v="No"/>
    <m/>
    <m/>
    <m/>
    <m/>
    <m/>
    <m/>
    <m/>
    <m/>
    <n v="0"/>
    <m/>
    <m/>
    <s v="SIDA"/>
  </r>
  <r>
    <n v="228"/>
    <s v="C10/015"/>
    <s v="Mary"/>
    <s v="Ogbenyi"/>
    <s v="Ugalahi"/>
    <x v="1"/>
    <x v="9"/>
    <s v="Nigeria"/>
    <s v="University of Ibadan"/>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x v="9"/>
    <s v="Malawi"/>
    <s v="University of Malawi and Associates"/>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d v="2026-07-01T00:00:00"/>
    <x v="0"/>
    <n v="76"/>
    <n v="60"/>
    <s v="Development of a paediatric oncology short learning programme fro nurse in Malawi"/>
    <n v="1"/>
    <n v="6"/>
    <m/>
    <m/>
    <m/>
    <m/>
    <m/>
    <s v="No"/>
    <m/>
    <m/>
    <m/>
    <m/>
    <m/>
    <m/>
    <m/>
    <m/>
    <n v="3"/>
    <m/>
    <m/>
    <s v="SIDA"/>
  </r>
  <r>
    <n v="230"/>
    <s v="C10/006"/>
    <s v="Beryl"/>
    <s v="Chelangat"/>
    <s v="Maritim"/>
    <x v="1"/>
    <x v="9"/>
    <s v="Kenya"/>
    <s v="Moi University"/>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s v="Nigeria"/>
    <s v="University of Ibadan"/>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s v="Kenya"/>
    <s v="University of Nairobi"/>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x v="9"/>
    <s v="Nigeria"/>
    <s v="Obafemi Awolowo University"/>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s v="Uganda"/>
    <s v="Makerere University"/>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x v="9"/>
    <s v="Nigeria"/>
    <s v="Obafemi Awolowo University"/>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d v="2026-03-13T00:00:00"/>
    <x v="0"/>
    <n v="72"/>
    <m/>
    <s v="Effect of antenatal family planning counselling for male partners on postpartum modern contraception use"/>
    <n v="7"/>
    <n v="8"/>
    <m/>
    <m/>
    <m/>
    <m/>
    <m/>
    <s v="No"/>
    <m/>
    <m/>
    <m/>
    <m/>
    <m/>
    <m/>
    <m/>
    <m/>
    <n v="2"/>
    <m/>
    <m/>
    <s v="SIDA"/>
  </r>
  <r>
    <n v="236"/>
    <s v="C10/012"/>
    <s v="James"/>
    <m/>
    <s v="Muleme"/>
    <x v="0"/>
    <x v="9"/>
    <s v="Uganda"/>
    <s v="Makerere University"/>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s v="Zimbabwe"/>
    <s v="University of the Witwatersrand"/>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s v="Zimbabwe"/>
    <s v="University of the Witwatersrand"/>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x v="9"/>
    <s v="Nigeria"/>
    <s v="University of Ibadan"/>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s v="South Africa"/>
    <s v="University of the Witwatersrand"/>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x v="9"/>
    <s v="Malawi"/>
    <s v="University of Malawi and Associates"/>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x v="9"/>
    <s v="Nigeria"/>
    <s v="University of Ibadan"/>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x v="9"/>
    <s v="Rwanda"/>
    <s v="University of Rwanda"/>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x v="9"/>
    <s v="Malawi"/>
    <s v="University of Malawi and Associates"/>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x v="9"/>
    <s v="Rwanda"/>
    <s v="University of Rwanda"/>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x v="9"/>
    <s v="Kenya"/>
    <s v="University of Nairobi"/>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x v="9"/>
    <s v="South Africa"/>
    <s v="University of the Witwatersrand"/>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s v="Nigeria"/>
    <s v="Obafemi Awolowo University"/>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x v="9"/>
    <s v="Nigeria"/>
    <s v="Obafemi Awolowo University"/>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5">
  <r>
    <n v="1"/>
    <s v="C1/001"/>
    <s v="Babatunde"/>
    <s v="Olubayo"/>
    <s v="Adedokun"/>
    <x v="0"/>
    <x v="0"/>
    <s v="Nigeria"/>
    <x v="0"/>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x v="0"/>
    <m/>
    <s v="Prof Afolabi Bamgboye"/>
    <s v="Prof. Olusola Ayeni"/>
    <m/>
    <n v="2"/>
    <s v="Home"/>
    <s v="Host"/>
    <m/>
    <s v="Yes"/>
    <s v="No"/>
    <m/>
    <s v="Academic"/>
    <m/>
    <s v="Lecturer "/>
    <x v="0"/>
    <m/>
    <s v="UNIVERSITY OF CHICAGO, UNITED STATES"/>
    <s v="0000-0002-6893-6468"/>
    <m/>
    <d v="2011-04-01T00:00:00"/>
    <d v="2011-12-01T00:00:00"/>
    <s v="Yes"/>
    <m/>
    <m/>
    <m/>
    <m/>
    <m/>
    <m/>
    <d v="2013-07-01T00:00:00"/>
    <s v="Yes"/>
    <d v="2014-03-01T00:00:00"/>
    <s v="Yes"/>
    <m/>
    <m/>
    <m/>
    <x v="0"/>
    <x v="0"/>
    <n v="70"/>
    <n v="62"/>
    <m/>
    <n v="20"/>
    <n v="29"/>
    <n v="26"/>
    <n v="2"/>
    <n v="3"/>
    <n v="0"/>
    <n v="0"/>
    <s v="No"/>
    <s v="No"/>
    <m/>
    <m/>
    <m/>
    <m/>
    <s v="No"/>
    <m/>
    <m/>
    <n v="0"/>
    <n v="1"/>
    <m/>
    <s v="NF"/>
  </r>
  <r>
    <n v="2"/>
    <s v="C1/002"/>
    <s v="Celine"/>
    <m/>
    <s v="Niwemahoro"/>
    <x v="1"/>
    <x v="0"/>
    <s v="Rwanda"/>
    <x v="1"/>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x v="0"/>
    <m/>
    <s v="Dr. Julius Kivelia"/>
    <m/>
    <m/>
    <n v="1"/>
    <s v="Host"/>
    <m/>
    <m/>
    <s v="Yes"/>
    <m/>
    <m/>
    <s v="Academic"/>
    <s v="Assistant Lecturer"/>
    <s v="Researcher"/>
    <x v="0"/>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s v="Kenya"/>
    <x v="2"/>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x v="0"/>
    <m/>
    <s v="Prof Christopher Joseph Odhiambo"/>
    <s v="Prof. Peter Tirop Simatei"/>
    <s v="Caroline Kabiru"/>
    <n v="3"/>
    <s v="Home"/>
    <s v="Host"/>
    <s v="Other"/>
    <s v="Yes"/>
    <s v="No"/>
    <s v="Yes"/>
    <s v="Academic"/>
    <s v="Lecturer"/>
    <s v="Lecturer"/>
    <x v="0"/>
    <m/>
    <s v="MOI UNIVERSITY"/>
    <s v="0000-0002-5122-3621"/>
    <m/>
    <d v="2011-04-01T00:00:00"/>
    <d v="2011-12-01T00:00:00"/>
    <s v="Yes"/>
    <m/>
    <m/>
    <m/>
    <m/>
    <m/>
    <m/>
    <d v="2013-07-01T00:00:00"/>
    <s v="Yes"/>
    <d v="2014-03-03T00:00:00"/>
    <s v="Yes"/>
    <m/>
    <m/>
    <m/>
    <x v="2"/>
    <x v="0"/>
    <n v="36"/>
    <n v="28"/>
    <m/>
    <n v="0"/>
    <n v="1"/>
    <n v="1"/>
    <n v="2"/>
    <n v="0"/>
    <n v="0"/>
    <n v="0"/>
    <s v="JAS 2, 2011"/>
    <s v="No"/>
    <m/>
    <m/>
    <m/>
    <m/>
    <s v="No"/>
    <m/>
    <m/>
    <s v="NF"/>
    <s v="NF"/>
    <m/>
    <s v="NF"/>
  </r>
  <r>
    <n v="4"/>
    <s v="C1/004"/>
    <s v="Dieudonne"/>
    <m/>
    <s v="Uwizeye"/>
    <x v="0"/>
    <x v="0"/>
    <s v="Rwanda"/>
    <x v="1"/>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x v="0"/>
    <m/>
    <s v="Dr. Sokoni Cosmas Hassan"/>
    <m/>
    <m/>
    <n v="1"/>
    <s v="Host"/>
    <s v="Other"/>
    <m/>
    <s v="Yes"/>
    <s v="Yes"/>
    <m/>
    <s v="Academic"/>
    <s v="Assistant Lecturer"/>
    <s v="Associate Professor"/>
    <x v="0"/>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x v="3"/>
    <x v="0"/>
    <n v="56"/>
    <n v="48"/>
    <m/>
    <n v="0"/>
    <n v="2"/>
    <n v="7"/>
    <n v="2"/>
    <n v="0"/>
    <n v="0"/>
    <n v="0"/>
    <s v="No"/>
    <s v="No"/>
    <m/>
    <m/>
    <m/>
    <m/>
    <s v="Yes"/>
    <m/>
    <m/>
    <n v="1"/>
    <n v="3"/>
    <m/>
    <s v="NF"/>
  </r>
  <r>
    <n v="5"/>
    <s v="C1/005"/>
    <s v="Wells"/>
    <m/>
    <s v="Utembe"/>
    <x v="0"/>
    <x v="0"/>
    <s v="Malawi"/>
    <x v="3"/>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x v="0"/>
    <m/>
    <s v="Prof Mary Gulumian"/>
    <s v="Dr. Louisa Alfazema"/>
    <m/>
    <n v="2"/>
    <s v="Host"/>
    <s v="Home"/>
    <m/>
    <s v="Yes"/>
    <s v="No"/>
    <m/>
    <s v="Academic"/>
    <s v="Lecturer"/>
    <s v="Senior Medical Epidemiologist _x000a_"/>
    <x v="0"/>
    <m/>
    <s v="NATIONAL INSTITUTE FOR OCCUPATIONAL HEALTH, SOUTH AFRICA (2012)"/>
    <s v="0000-0001-6547-7692"/>
    <m/>
    <d v="2011-04-01T00:00:00"/>
    <d v="2011-12-01T00:00:00"/>
    <s v="Yes"/>
    <m/>
    <m/>
    <m/>
    <m/>
    <m/>
    <m/>
    <d v="2013-07-01T00:00:00"/>
    <s v="Yes"/>
    <d v="2015-03-01T00:00:00"/>
    <s v="No"/>
    <m/>
    <m/>
    <m/>
    <x v="4"/>
    <x v="0"/>
    <n v="63"/>
    <n v="55"/>
    <m/>
    <n v="0"/>
    <n v="5"/>
    <n v="15"/>
    <n v="4"/>
    <n v="0"/>
    <n v="0"/>
    <n v="0"/>
    <s v="No"/>
    <s v="No"/>
    <m/>
    <m/>
    <m/>
    <m/>
    <s v="No"/>
    <m/>
    <m/>
    <s v="NF"/>
    <s v="NF"/>
    <m/>
    <s v="NF"/>
  </r>
  <r>
    <n v="6"/>
    <s v="C1/006"/>
    <s v="Victoria"/>
    <s v="Mathew"/>
    <s v="Mwakalinga Chuma"/>
    <x v="1"/>
    <x v="0"/>
    <s v="Tanzania"/>
    <x v="4"/>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x v="0"/>
    <m/>
    <s v="Dr. Maureen Coetzee"/>
    <s v="Dr. Gerry Killeen"/>
    <s v="Dr. Stefan Dongus"/>
    <n v="3"/>
    <s v="Host"/>
    <s v="Home"/>
    <s v="Home"/>
    <s v="Yes"/>
    <s v="Yes"/>
    <s v="No"/>
    <s v="Researcher"/>
    <s v="Assistant Lecturer"/>
    <s v="Senior Lecturer"/>
    <x v="0"/>
    <m/>
    <s v="ARTHI UNIVERSITY"/>
    <m/>
    <m/>
    <d v="2011-04-01T00:00:00"/>
    <d v="2011-12-01T00:00:00"/>
    <s v="Yes"/>
    <m/>
    <m/>
    <m/>
    <m/>
    <m/>
    <m/>
    <d v="2013-07-01T00:00:00"/>
    <s v="Yes"/>
    <d v="2014-03-01T00:00:00"/>
    <s v="Yes"/>
    <m/>
    <m/>
    <m/>
    <x v="5"/>
    <x v="0"/>
    <n v="81"/>
    <n v="73"/>
    <m/>
    <s v="NF"/>
    <n v="4"/>
    <n v="1"/>
    <n v="0"/>
    <n v="0"/>
    <n v="0"/>
    <n v="1"/>
    <s v="JAS 1, 2011"/>
    <s v="No"/>
    <m/>
    <m/>
    <m/>
    <m/>
    <s v="No"/>
    <m/>
    <m/>
    <n v="3"/>
    <n v="3"/>
    <m/>
    <s v="NF"/>
  </r>
  <r>
    <n v="7"/>
    <s v="C1/007"/>
    <s v="Esnat"/>
    <s v="Dorothy"/>
    <s v="Chirwa"/>
    <x v="1"/>
    <x v="0"/>
    <s v="Malawi"/>
    <x v="3"/>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x v="0"/>
    <m/>
    <s v="Prof Shane Norris"/>
    <s v="Dr. Paula Griffiths"/>
    <s v="Assoc Prof. Ken Maleta"/>
    <n v="3"/>
    <s v="Host"/>
    <s v="Other"/>
    <s v="Home"/>
    <s v="Yes"/>
    <s v="No"/>
    <s v="No"/>
    <s v="Academic"/>
    <s v="Lecturer"/>
    <s v="Senior Biostatistician"/>
    <x v="0"/>
    <m/>
    <s v="SOUTH AFRICA MEDICAL RESEARCH COUNCIL "/>
    <s v="0000-0003-0471-4978"/>
    <m/>
    <d v="2011-04-01T00:00:00"/>
    <d v="2011-12-01T00:00:00"/>
    <s v="Yes"/>
    <m/>
    <m/>
    <m/>
    <m/>
    <m/>
    <m/>
    <d v="2013-07-01T00:00:00"/>
    <s v="Yes"/>
    <d v="2014-03-02T00:00:00"/>
    <s v="Yes"/>
    <m/>
    <m/>
    <m/>
    <x v="6"/>
    <x v="0"/>
    <n v="67"/>
    <n v="59"/>
    <m/>
    <n v="1"/>
    <n v="7"/>
    <n v="47"/>
    <n v="3"/>
    <n v="0"/>
    <n v="0"/>
    <n v="0"/>
    <s v="No"/>
    <s v="No"/>
    <m/>
    <m/>
    <m/>
    <m/>
    <s v="No"/>
    <m/>
    <m/>
    <n v="2"/>
    <n v="2"/>
    <m/>
    <s v="NF"/>
  </r>
  <r>
    <n v="8"/>
    <s v="C1/008"/>
    <s v="Taofeek"/>
    <s v="Oluwole"/>
    <s v="Awotidebe"/>
    <x v="0"/>
    <x v="0"/>
    <s v="Nigeria"/>
    <x v="5"/>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x v="0"/>
    <m/>
    <s v="Professor Babalola Joseph Folorunso"/>
    <s v="Professor Lateef Babatunde Salako"/>
    <m/>
    <n v="2"/>
    <s v="Other "/>
    <m/>
    <m/>
    <s v="Yes"/>
    <m/>
    <m/>
    <s v="Academic"/>
    <s v="Lecturer II "/>
    <s v="Senior Lecturer"/>
    <x v="0"/>
    <s v="Vice Dean of the  Faculty of Basic Medical Sciences, College of Health Sciences"/>
    <s v="OBAFEMI AWOLOWO UNIVERSITY"/>
    <s v="0000-0002-8583-9467"/>
    <m/>
    <d v="2011-04-01T00:00:00"/>
    <d v="2011-12-01T00:00:00"/>
    <s v="Yes"/>
    <m/>
    <m/>
    <m/>
    <m/>
    <m/>
    <m/>
    <d v="2013-07-01T00:00:00"/>
    <s v="Yes"/>
    <d v="2014-03-03T00:00:00"/>
    <s v="Yes"/>
    <m/>
    <m/>
    <m/>
    <x v="7"/>
    <x v="0"/>
    <n v="56"/>
    <n v="48"/>
    <m/>
    <n v="5"/>
    <n v="12"/>
    <n v="10"/>
    <n v="6"/>
    <n v="4"/>
    <n v="2"/>
    <n v="0"/>
    <s v="No"/>
    <s v="No"/>
    <m/>
    <m/>
    <m/>
    <m/>
    <s v="No"/>
    <m/>
    <m/>
    <s v="NF"/>
    <s v="NF"/>
    <m/>
    <s v="NF"/>
  </r>
  <r>
    <n v="9"/>
    <s v="C1/009"/>
    <s v="Fresier"/>
    <m/>
    <s v="Maseko"/>
    <x v="0"/>
    <x v="0"/>
    <s v="Malawi"/>
    <x v="3"/>
    <s v="Community Health"/>
    <s v="Department of Community Health"/>
    <s v="University of Malawi and Associates"/>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x v="0"/>
    <m/>
    <s v="Dr. Maureen Leah Chirwa"/>
    <s v="Dr. Adamson Muula"/>
    <m/>
    <n v="2"/>
    <s v="Home"/>
    <s v="Host"/>
    <m/>
    <s v="Yes"/>
    <s v="Yes"/>
    <m/>
    <s v="Academic"/>
    <m/>
    <s v="Lecturer"/>
    <x v="1"/>
    <m/>
    <s v="UNIVERSITY OF MALAWI"/>
    <s v="0000-0002-0996-4207"/>
    <m/>
    <d v="2011-04-01T00:00:00"/>
    <d v="2011-12-01T00:00:00"/>
    <s v="Yes"/>
    <m/>
    <m/>
    <m/>
    <m/>
    <m/>
    <m/>
    <d v="2013-07-01T00:00:00"/>
    <s v="Yes"/>
    <d v="2014-03-04T00:00:00"/>
    <s v="Yes"/>
    <m/>
    <m/>
    <m/>
    <x v="8"/>
    <x v="0"/>
    <n v="65"/>
    <n v="57"/>
    <m/>
    <n v="7"/>
    <n v="6"/>
    <n v="1"/>
    <n v="3"/>
    <n v="1"/>
    <n v="0"/>
    <n v="0"/>
    <s v="No"/>
    <s v="No"/>
    <m/>
    <m/>
    <m/>
    <m/>
    <s v="No"/>
    <m/>
    <m/>
    <s v="NF"/>
    <s v="NF"/>
    <m/>
    <s v="NF"/>
  </r>
  <r>
    <n v="10"/>
    <s v="C1/010"/>
    <s v="François"/>
    <m/>
    <s v="Niragire"/>
    <x v="0"/>
    <x v="0"/>
    <s v="Rwanda"/>
    <x v="1"/>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x v="0"/>
    <m/>
    <s v="Dr. Thomas N. O. Achia"/>
    <s v="Dr. Lyambabaje Alexandre"/>
    <s v="Joseph Ntaganira"/>
    <n v="3"/>
    <s v="Other "/>
    <s v="Home"/>
    <s v="Home"/>
    <s v="Yes"/>
    <s v="Yes"/>
    <s v="No"/>
    <s v="Academic"/>
    <s v="Assistant Lecturer"/>
    <s v="Professor "/>
    <x v="0"/>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s v="Nigeria"/>
    <x v="0"/>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x v="0"/>
    <m/>
    <s v="Prof Afolabi Bamgboye"/>
    <s v="Prof. Olusola Ayeni"/>
    <m/>
    <n v="2"/>
    <s v="Home"/>
    <s v="Host"/>
    <m/>
    <s v="Yes"/>
    <s v="No"/>
    <m/>
    <s v="Academic"/>
    <s v="Lecturer"/>
    <s v="Professor "/>
    <x v="0"/>
    <m/>
    <s v="UNIVERSITY OF IBADAN"/>
    <s v="0000-0002-0675-2110"/>
    <m/>
    <d v="2011-04-01T00:00:00"/>
    <d v="2011-12-01T00:00:00"/>
    <s v="Yes"/>
    <m/>
    <m/>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s v="Malawi"/>
    <x v="3"/>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x v="0"/>
    <m/>
    <s v="Lawrence N.M. Kazembe"/>
    <s v="Dr. Liz Thomas"/>
    <m/>
    <n v="2"/>
    <s v="Home"/>
    <s v="Host"/>
    <m/>
    <s v="Yes"/>
    <s v="No"/>
    <m/>
    <s v="Academic"/>
    <s v="Lecturer"/>
    <s v="Associate Professor "/>
    <x v="0"/>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s v="Kenya"/>
    <x v="2"/>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x v="0"/>
    <m/>
    <s v="Prof Joshua Akong’a"/>
    <s v="Dr. Grace Ettyang"/>
    <m/>
    <n v="2"/>
    <s v="Home"/>
    <s v="Host"/>
    <m/>
    <s v="Yes"/>
    <s v="Yes"/>
    <m/>
    <s v="Academic"/>
    <m/>
    <s v="Senior Lecturer"/>
    <x v="1"/>
    <m/>
    <s v="MOI UNIVERSITY"/>
    <s v="0000-0002-0401-3373"/>
    <m/>
    <d v="2011-04-01T00:00:00"/>
    <d v="2011-12-01T00:00:00"/>
    <s v="Yes"/>
    <d v="2011-05-02T00:00:00"/>
    <d v="2011-07-03T00:00:00"/>
    <m/>
    <m/>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s v="South Africa"/>
    <x v="6"/>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x v="0"/>
    <m/>
    <s v="Prof Clifford Odimegwu"/>
    <m/>
    <m/>
    <n v="1"/>
    <s v="Home"/>
    <m/>
    <m/>
    <s v="No"/>
    <m/>
    <m/>
    <s v="Academic"/>
    <s v="Tutor"/>
    <s v="Associate Professor "/>
    <x v="0"/>
    <s v="Assistant Dean for Postgraduate Studies, Faculty of Humanities"/>
    <s v="UNIVERSITY OF THE WITWATERSRAND"/>
    <s v="0000-0001-5750-2851"/>
    <m/>
    <d v="2011-04-01T00:00:00"/>
    <d v="2011-12-01T00:00:00"/>
    <s v="Yes"/>
    <m/>
    <m/>
    <m/>
    <m/>
    <m/>
    <m/>
    <d v="2013-07-01T00:00:00"/>
    <s v="Yes"/>
    <d v="2014-03-09T00:00:00"/>
    <s v="Yes"/>
    <m/>
    <m/>
    <m/>
    <x v="13"/>
    <x v="0"/>
    <n v="32"/>
    <n v="24"/>
    <m/>
    <n v="0"/>
    <n v="2"/>
    <n v="56"/>
    <n v="4"/>
    <n v="6"/>
    <n v="11"/>
    <n v="7"/>
    <s v="No"/>
    <s v="No"/>
    <m/>
    <m/>
    <m/>
    <m/>
    <s v="No"/>
    <m/>
    <m/>
    <n v="0"/>
    <n v="0"/>
    <m/>
    <s v="NF"/>
  </r>
  <r>
    <n v="15"/>
    <s v="C1/015"/>
    <s v="Kennedy"/>
    <s v="S.Naviava"/>
    <s v="Otwombe"/>
    <x v="0"/>
    <x v="0"/>
    <s v="South Africa"/>
    <x v="6"/>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x v="0"/>
    <m/>
    <s v="Dr. Tobias Chirwa"/>
    <s v="Dr. Guy de Bruyn"/>
    <m/>
    <n v="2"/>
    <s v="Home"/>
    <s v="Home"/>
    <m/>
    <s v="Yes"/>
    <s v="No"/>
    <m/>
    <s v="Other"/>
    <s v="Senior Statistician"/>
    <s v="Associate Professor "/>
    <x v="0"/>
    <m/>
    <s v="UNIVERSITY OF THE WITWATERSRAND"/>
    <s v="0000-0002-7433-4383"/>
    <m/>
    <d v="2011-04-01T00:00:00"/>
    <d v="2011-12-01T00:00:00"/>
    <s v="Yes"/>
    <m/>
    <m/>
    <m/>
    <m/>
    <m/>
    <m/>
    <d v="2013-07-01T00:00:00"/>
    <s v="Yes"/>
    <d v="2014-03-10T00:00:00"/>
    <s v="Yes"/>
    <m/>
    <m/>
    <m/>
    <x v="14"/>
    <x v="0"/>
    <n v="88"/>
    <n v="80"/>
    <m/>
    <n v="8"/>
    <n v="45"/>
    <n v="55"/>
    <n v="5"/>
    <n v="2"/>
    <n v="0"/>
    <n v="0"/>
    <s v="No"/>
    <s v="No"/>
    <m/>
    <m/>
    <m/>
    <m/>
    <s v="No"/>
    <m/>
    <m/>
    <n v="2"/>
    <n v="2"/>
    <m/>
    <s v="NF"/>
  </r>
  <r>
    <n v="16"/>
    <s v="C1/016"/>
    <s v="Peter"/>
    <s v="Suriwakenda"/>
    <s v="Nyasulu"/>
    <x v="0"/>
    <x v="0"/>
    <s v="Malawi"/>
    <x v="6"/>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x v="0"/>
    <m/>
    <s v="Prof Jill Murray"/>
    <s v="Prof. Hendrik J. Koornhof"/>
    <s v="Dr. Olga Perovic"/>
    <n v="3"/>
    <s v="Home"/>
    <s v="Home"/>
    <s v="Home"/>
    <s v="Yes"/>
    <s v="No"/>
    <s v="No"/>
    <s v="Academic"/>
    <m/>
    <s v="Associate Professor "/>
    <x v="0"/>
    <m/>
    <s v="STELLENBOSCH UNIVERSITY"/>
    <s v="0000-0003-2757-0663"/>
    <m/>
    <d v="2011-04-01T00:00:00"/>
    <d v="2011-12-01T00:00:00"/>
    <s v="Yes"/>
    <m/>
    <m/>
    <m/>
    <m/>
    <m/>
    <m/>
    <d v="2013-07-01T00:00:00"/>
    <s v="Yes"/>
    <d v="2014-03-11T00:00:00"/>
    <s v="Yes"/>
    <m/>
    <m/>
    <m/>
    <x v="15"/>
    <x v="0"/>
    <n v="42"/>
    <n v="34"/>
    <m/>
    <n v="3"/>
    <n v="10"/>
    <n v="77"/>
    <n v="4"/>
    <n v="10"/>
    <n v="6"/>
    <n v="9"/>
    <s v="No"/>
    <s v="No"/>
    <m/>
    <m/>
    <m/>
    <m/>
    <s v="No"/>
    <m/>
    <m/>
    <s v="NF"/>
    <s v="NF"/>
    <m/>
    <s v="NF"/>
  </r>
  <r>
    <n v="17"/>
    <s v="C1/017"/>
    <s v="Rose"/>
    <s v="Okoyo"/>
    <s v="Opiyo"/>
    <x v="1"/>
    <x v="0"/>
    <s v="Kenya"/>
    <x v="7"/>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x v="0"/>
    <m/>
    <s v="Prof. Wambui Kogi-Makau"/>
    <s v="Prof. Koigi R. Kamau"/>
    <s v="Dr. Anne Obondo"/>
    <n v="3"/>
    <s v="Home"/>
    <s v="Home"/>
    <s v="Home"/>
    <s v="Yes"/>
    <s v="No"/>
    <s v="No"/>
    <s v="Academic"/>
    <s v=" Lecturer"/>
    <s v="Senior Lecturer"/>
    <x v="0"/>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s v="Nigeria"/>
    <x v="5"/>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x v="0"/>
    <m/>
    <s v="Prof Clifford Odimegwu"/>
    <s v="Dr. Samson Bamiwuye"/>
    <m/>
    <n v="2"/>
    <s v="Host"/>
    <s v="Home"/>
    <m/>
    <s v="Yes"/>
    <s v="Yes"/>
    <m/>
    <s v="Academic"/>
    <s v="Lecturer"/>
    <s v="Professor "/>
    <x v="0"/>
    <s v="Head Demographer; Head of Demography and Social Statistics (2021)"/>
    <s v="FEDERAL UNIVERSITY, OYE-EKITI (2020)"/>
    <s v="0000-0003-0378-1941"/>
    <m/>
    <d v="2011-04-01T00:00:00"/>
    <d v="2011-12-01T00:00:00"/>
    <s v="Yes"/>
    <m/>
    <m/>
    <m/>
    <m/>
    <m/>
    <m/>
    <d v="2013-07-01T00:00:00"/>
    <s v="Yes"/>
    <d v="2014-03-13T00:00:00"/>
    <s v="Yes"/>
    <m/>
    <m/>
    <m/>
    <x v="17"/>
    <x v="0"/>
    <n v="24"/>
    <n v="16"/>
    <m/>
    <s v="NF"/>
    <n v="4"/>
    <n v="43"/>
    <n v="6"/>
    <n v="4"/>
    <n v="6"/>
    <n v="6"/>
    <s v="No"/>
    <s v="No"/>
    <m/>
    <m/>
    <m/>
    <m/>
    <s v="No"/>
    <m/>
    <m/>
    <n v="3"/>
    <n v="3"/>
    <m/>
    <s v="NF"/>
  </r>
  <r>
    <n v="19"/>
    <s v="C1/019"/>
    <s v="Sulaimon"/>
    <s v="Taiwo"/>
    <s v="Adedokun"/>
    <x v="0"/>
    <x v="0"/>
    <s v="Nigeria"/>
    <x v="5"/>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x v="0"/>
    <m/>
    <s v="Ogunjuyigbe Peter Olasupo"/>
    <m/>
    <m/>
    <n v="1"/>
    <s v="Home"/>
    <m/>
    <m/>
    <s v="Yes"/>
    <m/>
    <m/>
    <s v="Academic"/>
    <s v="Lecturer II"/>
    <s v="Associate Professor "/>
    <x v="0"/>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s v="Nigeria"/>
    <x v="8"/>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x v="0"/>
    <m/>
    <s v="Dr. Mark Collinson"/>
    <s v="Prof. Philippe Bocquier"/>
    <m/>
    <n v="2"/>
    <s v="Home"/>
    <s v="Host"/>
    <m/>
    <s v="Yes"/>
    <s v="No"/>
    <m/>
    <s v="Other"/>
    <m/>
    <s v="Lead Data Scientist"/>
    <x v="1"/>
    <m/>
    <s v="UNIVERSITY OF THE WITWATERSRAND"/>
    <s v="0000-0001-9382-6386"/>
    <m/>
    <d v="2011-04-01T00:00:00"/>
    <d v="2011-12-01T00:00:00"/>
    <s v="Yes"/>
    <m/>
    <m/>
    <m/>
    <m/>
    <m/>
    <m/>
    <d v="2013-07-01T00:00:00"/>
    <s v="Yes"/>
    <d v="2014-03-14T00:00:00"/>
    <s v="Yes"/>
    <m/>
    <m/>
    <m/>
    <x v="5"/>
    <x v="0"/>
    <n v="81"/>
    <n v="73"/>
    <m/>
    <n v="1"/>
    <n v="8"/>
    <n v="3"/>
    <n v="0"/>
    <n v="0"/>
    <n v="0"/>
    <n v="0"/>
    <s v="No"/>
    <s v="No"/>
    <m/>
    <m/>
    <m/>
    <m/>
    <s v="No"/>
    <m/>
    <m/>
    <s v="NF"/>
    <s v="NF"/>
    <m/>
    <s v="NF"/>
  </r>
  <r>
    <n v="22"/>
    <s v="C1/022"/>
    <s v="Theresa"/>
    <s v="Njeri"/>
    <s v="Kinyari"/>
    <x v="1"/>
    <x v="0"/>
    <s v="Kenya"/>
    <x v="7"/>
    <m/>
    <m/>
    <m/>
    <m/>
    <s v="NF"/>
    <s v="NF"/>
    <s v="NF"/>
    <s v="NF"/>
    <m/>
    <m/>
    <m/>
    <m/>
    <m/>
    <m/>
    <m/>
    <m/>
    <m/>
    <m/>
    <m/>
    <x v="0"/>
    <d v="2011-11-18T00:00:00"/>
    <m/>
    <m/>
    <m/>
    <n v="0"/>
    <m/>
    <m/>
    <m/>
    <m/>
    <m/>
    <m/>
    <m/>
    <m/>
    <m/>
    <x v="1"/>
    <m/>
    <m/>
    <m/>
    <m/>
    <d v="2011-04-01T00:00:00"/>
    <m/>
    <m/>
    <m/>
    <m/>
    <m/>
    <m/>
    <m/>
    <m/>
    <m/>
    <m/>
    <m/>
    <m/>
    <m/>
    <m/>
    <m/>
    <x v="19"/>
    <x v="1"/>
    <s v="Terminated"/>
    <m/>
    <m/>
    <m/>
    <m/>
    <m/>
    <m/>
    <m/>
    <m/>
    <m/>
    <s v="No"/>
    <s v=""/>
    <m/>
    <m/>
    <m/>
    <m/>
    <m/>
    <m/>
    <m/>
    <m/>
    <m/>
    <m/>
    <s v="NF"/>
  </r>
  <r>
    <n v="23"/>
    <s v="C1/023"/>
    <s v="Peter "/>
    <s v="Mwamba "/>
    <s v="Maturi"/>
    <x v="0"/>
    <x v="0"/>
    <s v="Kenya"/>
    <x v="7"/>
    <m/>
    <m/>
    <s v="University of Nairobi"/>
    <s v="Yes"/>
    <s v="NF"/>
    <s v="NF"/>
    <s v="NF"/>
    <s v="NF"/>
    <m/>
    <m/>
    <m/>
    <m/>
    <m/>
    <m/>
    <m/>
    <m/>
    <m/>
    <m/>
    <m/>
    <x v="0"/>
    <d v="2016-08-31T00:00:00"/>
    <m/>
    <m/>
    <m/>
    <n v="0"/>
    <m/>
    <m/>
    <m/>
    <m/>
    <m/>
    <m/>
    <m/>
    <m/>
    <m/>
    <x v="1"/>
    <m/>
    <m/>
    <m/>
    <m/>
    <d v="2011-04-01T00:00:00"/>
    <m/>
    <m/>
    <m/>
    <m/>
    <m/>
    <m/>
    <m/>
    <m/>
    <m/>
    <m/>
    <m/>
    <m/>
    <m/>
    <m/>
    <m/>
    <x v="19"/>
    <x v="1"/>
    <s v="Terminated"/>
    <m/>
    <m/>
    <m/>
    <m/>
    <m/>
    <m/>
    <m/>
    <m/>
    <m/>
    <s v="No"/>
    <s v=""/>
    <m/>
    <m/>
    <m/>
    <m/>
    <m/>
    <m/>
    <m/>
    <m/>
    <m/>
    <m/>
    <s v="NF"/>
  </r>
  <r>
    <n v="24"/>
    <s v="C1/024"/>
    <s v="Jaclkline"/>
    <s v="Halima"/>
    <s v="Mgumia"/>
    <x v="1"/>
    <x v="0"/>
    <s v="Tanzania"/>
    <x v="9"/>
    <m/>
    <m/>
    <m/>
    <m/>
    <s v="NF"/>
    <s v="NF"/>
    <s v="NF"/>
    <s v="NF"/>
    <m/>
    <m/>
    <m/>
    <m/>
    <m/>
    <m/>
    <m/>
    <m/>
    <m/>
    <m/>
    <m/>
    <x v="0"/>
    <d v="2012-12-31T00:00:00"/>
    <m/>
    <m/>
    <m/>
    <n v="0"/>
    <m/>
    <m/>
    <m/>
    <m/>
    <m/>
    <m/>
    <m/>
    <m/>
    <m/>
    <x v="1"/>
    <m/>
    <m/>
    <m/>
    <m/>
    <d v="2011-04-01T00:00:00"/>
    <m/>
    <m/>
    <m/>
    <m/>
    <m/>
    <m/>
    <m/>
    <m/>
    <m/>
    <m/>
    <m/>
    <m/>
    <m/>
    <m/>
    <m/>
    <x v="19"/>
    <x v="1"/>
    <s v="Terminated"/>
    <m/>
    <m/>
    <m/>
    <m/>
    <m/>
    <m/>
    <m/>
    <m/>
    <m/>
    <s v="No"/>
    <m/>
    <m/>
    <m/>
    <m/>
    <m/>
    <m/>
    <m/>
    <m/>
    <m/>
    <m/>
    <m/>
    <s v="NF"/>
  </r>
  <r>
    <n v="26"/>
    <s v="C2/001"/>
    <s v="Adebolajo"/>
    <m/>
    <s v="Adeyemo"/>
    <x v="0"/>
    <x v="1"/>
    <s v="Nigeria"/>
    <x v="0"/>
    <s v="Epidemiology"/>
    <m/>
    <s v="University of Ibadan"/>
    <s v="Yes"/>
    <m/>
    <s v="Married"/>
    <s v="Married"/>
    <m/>
    <s v="aadeyemo@cartafrica.org"/>
    <s v="adebolajo@hotmail.com"/>
    <m/>
    <s v="M.Sc Immunology"/>
    <d v="1974-02-02T00:00:00"/>
    <s v="Genetic epidemiology in Nigeria"/>
    <s v="Field"/>
    <s v="yes"/>
    <s v="Primary"/>
    <n v="13.5"/>
    <d v="2012-01-16T00:00:00"/>
    <x v="1"/>
    <m/>
    <s v="Prof. Odunayo Moronfoluwa Oluwatosin"/>
    <s v="Prof. Omotade Olayemi Olufemi-Julius"/>
    <m/>
    <n v="2"/>
    <s v="Home"/>
    <s v="Home"/>
    <m/>
    <s v="Yes"/>
    <s v="No"/>
    <m/>
    <s v="Academic"/>
    <s v="Assistant Lecturer"/>
    <s v="Senior Medical Research Fellow"/>
    <x v="0"/>
    <m/>
    <s v="UNIVERSITY OF IBADAN"/>
    <s v="0000-0002-7486-5758"/>
    <m/>
    <d v="2012-03-01T00:00:00"/>
    <d v="2012-11-01T00:00:00"/>
    <s v="Yes"/>
    <m/>
    <m/>
    <m/>
    <m/>
    <m/>
    <m/>
    <d v="2014-08-01T00:00:00"/>
    <s v="Yes"/>
    <d v="2015-03-01T00:00:00"/>
    <s v="Yes"/>
    <m/>
    <m/>
    <m/>
    <x v="20"/>
    <x v="0"/>
    <n v="139"/>
    <n v="131"/>
    <m/>
    <n v="1"/>
    <n v="14"/>
    <n v="0"/>
    <n v="1"/>
    <n v="0"/>
    <n v="0"/>
    <n v="0"/>
    <s v="No"/>
    <n v="0"/>
    <m/>
    <m/>
    <m/>
    <m/>
    <s v="No"/>
    <m/>
    <m/>
    <n v="2"/>
    <s v="NF"/>
    <m/>
    <s v="NF"/>
  </r>
  <r>
    <n v="27"/>
    <s v="C2/002"/>
    <s v="Alinane Linda"/>
    <m/>
    <s v="Nyondo-Mipando"/>
    <x v="1"/>
    <x v="1"/>
    <s v="Malawi"/>
    <x v="3"/>
    <s v="Health Systems and Policy"/>
    <s v="Health Systems and Policy"/>
    <s v="University of Malawi and Associates"/>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x v="1"/>
    <m/>
    <s v="Dr. Angela Chimwaza"/>
    <s v="Dr. Adamson Muula"/>
    <m/>
    <n v="2"/>
    <s v="Home"/>
    <s v="Home"/>
    <m/>
    <s v="Yes"/>
    <s v="Yes"/>
    <m/>
    <s v="Academic"/>
    <s v="Project Coordinator"/>
    <s v="Associate Professor"/>
    <x v="0"/>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x v="11"/>
    <x v="0"/>
    <n v="49"/>
    <n v="41"/>
    <m/>
    <n v="0"/>
    <n v="4"/>
    <n v="36"/>
    <n v="1"/>
    <n v="0"/>
    <n v="1"/>
    <n v="1"/>
    <s v="No"/>
    <n v="0"/>
    <m/>
    <m/>
    <m/>
    <m/>
    <s v="No"/>
    <m/>
    <m/>
    <n v="2"/>
    <n v="2"/>
    <m/>
    <s v="FF"/>
  </r>
  <r>
    <n v="28"/>
    <s v="C2/003"/>
    <s v="Austin"/>
    <s v="Henderson"/>
    <s v="Mtethiwa"/>
    <x v="0"/>
    <x v="1"/>
    <s v="Malawi"/>
    <x v="3"/>
    <s v="Environmental Sciences"/>
    <m/>
    <s v="University of Malawi and Associates"/>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x v="1"/>
    <m/>
    <s v="Wilson Mandala"/>
    <s v="Dr. Lucy Namkinga"/>
    <m/>
    <n v="2"/>
    <s v="Home"/>
    <s v="Other"/>
    <m/>
    <s v="Yes"/>
    <s v="Yes"/>
    <m/>
    <s v="Academic"/>
    <s v="Lecturer"/>
    <s v="Associate Professor"/>
    <x v="0"/>
    <m/>
    <s v="UNIVERSITY OF MALAWI"/>
    <s v="0000-0003-0793-5186"/>
    <m/>
    <d v="2012-03-01T00:00:00"/>
    <d v="2012-11-01T00:00:00"/>
    <s v="Yes"/>
    <m/>
    <m/>
    <m/>
    <m/>
    <m/>
    <m/>
    <d v="2014-08-01T00:00:00"/>
    <s v="Yes"/>
    <d v="2015-03-01T00:00:00"/>
    <s v="Yes"/>
    <m/>
    <m/>
    <m/>
    <x v="21"/>
    <x v="0"/>
    <n v="57"/>
    <n v="49"/>
    <m/>
    <n v="2"/>
    <n v="1"/>
    <n v="9"/>
    <n v="1"/>
    <n v="1"/>
    <n v="0"/>
    <n v="0"/>
    <s v="No"/>
    <n v="0"/>
    <m/>
    <m/>
    <m/>
    <m/>
    <s v="No"/>
    <m/>
    <m/>
    <s v="NF"/>
    <s v="NF"/>
    <m/>
    <s v="CARNEGIE 2"/>
  </r>
  <r>
    <n v="29"/>
    <s v="C2/004"/>
    <s v="Diana"/>
    <s v="-"/>
    <s v="Menya"/>
    <x v="1"/>
    <x v="1"/>
    <s v="Kenya"/>
    <x v="2"/>
    <s v="Medical Epidemiology"/>
    <s v="Library"/>
    <s v="Moi University"/>
    <s v="Yes"/>
    <m/>
    <s v="Married"/>
    <s v="Married"/>
    <m/>
    <s v="dmenya@cartafrica.org"/>
    <s v="dianamenya@gmail.com"/>
    <s v="+254 720352579/+254 733777500"/>
    <s v="MSc. Clinical Epidemiology"/>
    <d v="1975-05-17T00:00:00"/>
    <m/>
    <s v="Clinical research"/>
    <s v="unkown"/>
    <s v="Primary"/>
    <m/>
    <d v="2013-03-01T00:00:00"/>
    <x v="1"/>
    <m/>
    <s v="Prof. Odipo Osano"/>
    <s v="Prof Rafael Carel"/>
    <m/>
    <n v="2"/>
    <s v="Other "/>
    <s v="Other"/>
    <m/>
    <s v="No"/>
    <s v="No"/>
    <m/>
    <s v="Academic"/>
    <s v="Senior Lecturer"/>
    <s v="Associate Professor"/>
    <x v="0"/>
    <m/>
    <s v="MOI UNIVERSITY"/>
    <s v="000 0000337081871"/>
    <m/>
    <d v="2012-03-01T00:00:00"/>
    <d v="2012-11-01T00:00:00"/>
    <s v="Yes"/>
    <m/>
    <m/>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s v="Tanzania"/>
    <x v="9"/>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x v="1"/>
    <m/>
    <s v="Dr. Lawrence Ikamari"/>
    <s v="Dr. Alfred Agwanda Otieno"/>
    <m/>
    <n v="2"/>
    <s v="Host"/>
    <s v="Host"/>
    <m/>
    <s v="Yes"/>
    <s v="Yes"/>
    <m/>
    <s v="Researcher"/>
    <s v="Assistant Lecturer"/>
    <s v="Lecturer"/>
    <x v="0"/>
    <m/>
    <s v="UNIVERSITY OF DAR ES SALAAM"/>
    <m/>
    <m/>
    <d v="2012-03-01T00:00:00"/>
    <d v="2012-11-01T00:00:00"/>
    <s v="Yes"/>
    <m/>
    <m/>
    <m/>
    <m/>
    <m/>
    <m/>
    <d v="2014-08-01T00:00:00"/>
    <s v="Yes"/>
    <d v="2015-03-01T00:00:00"/>
    <s v="Yes"/>
    <m/>
    <m/>
    <m/>
    <x v="22"/>
    <x v="0"/>
    <n v="58"/>
    <n v="50"/>
    <m/>
    <s v="NF"/>
    <n v="0"/>
    <n v="1"/>
    <n v="0"/>
    <n v="0"/>
    <n v="0"/>
    <n v="1"/>
    <s v="No"/>
    <n v="0"/>
    <m/>
    <m/>
    <m/>
    <m/>
    <s v="No"/>
    <m/>
    <m/>
    <s v="NF"/>
    <s v="NF"/>
    <m/>
    <s v="WT"/>
  </r>
  <r>
    <n v="31"/>
    <s v="C2/006"/>
    <s v="Stephen"/>
    <s v="Ojiambo"/>
    <s v="Wandera"/>
    <x v="0"/>
    <x v="1"/>
    <s v="Uganda"/>
    <x v="10"/>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x v="1"/>
    <m/>
    <s v="Dr. James Ntozi"/>
    <s v="Dr. Betty Kwagala"/>
    <m/>
    <n v="2"/>
    <s v="Home"/>
    <s v="Home"/>
    <m/>
    <s v="Yes"/>
    <s v="No"/>
    <m/>
    <s v="Academic"/>
    <s v="Assistant Lecturer"/>
    <s v="Senior Lecturer"/>
    <x v="0"/>
    <s v="Head of Department"/>
    <s v="MAKERERE UNIVERISTY"/>
    <s v="0000-0002-5617-0274"/>
    <m/>
    <d v="2012-03-01T00:00:00"/>
    <d v="2012-11-01T00:00:00"/>
    <s v="Yes"/>
    <m/>
    <m/>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s v="Nigeria"/>
    <x v="0"/>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x v="1"/>
    <m/>
    <s v="Prof. Elijah Afolabi Bamgboye"/>
    <m/>
    <m/>
    <n v="1"/>
    <s v="Home"/>
    <m/>
    <m/>
    <s v="Yes"/>
    <m/>
    <m/>
    <s v="Academic"/>
    <s v="Lecturer II "/>
    <s v="Professor "/>
    <x v="0"/>
    <m/>
    <s v="UNIVERSITY OF IBADAN"/>
    <s v="0000-0001-9184-8258"/>
    <m/>
    <d v="2012-03-01T00:00:00"/>
    <d v="2012-11-01T00:00:00"/>
    <s v="Yes"/>
    <m/>
    <m/>
    <m/>
    <m/>
    <m/>
    <m/>
    <d v="2014-08-01T00:00:00"/>
    <s v="Yes"/>
    <d v="2015-03-01T00:00:00"/>
    <s v="Yes"/>
    <m/>
    <m/>
    <m/>
    <x v="2"/>
    <x v="0"/>
    <n v="25"/>
    <n v="17"/>
    <m/>
    <n v="6"/>
    <n v="6"/>
    <n v="93"/>
    <n v="8"/>
    <n v="4"/>
    <n v="18"/>
    <n v="4"/>
    <s v="No"/>
    <n v="0"/>
    <m/>
    <m/>
    <m/>
    <m/>
    <s v="No"/>
    <m/>
    <m/>
    <s v="NF"/>
    <n v="2"/>
    <m/>
    <s v="MAC"/>
  </r>
  <r>
    <n v="33"/>
    <s v="C2/008"/>
    <s v="Tumwine"/>
    <m/>
    <s v="Gabriel"/>
    <x v="0"/>
    <x v="1"/>
    <s v="Uganda"/>
    <x v="10"/>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x v="1"/>
    <m/>
    <s v="Dr. Enock Matovu"/>
    <s v="Dr. Jean Langhorne"/>
    <m/>
    <n v="2"/>
    <s v="Home"/>
    <s v="Other"/>
    <m/>
    <s v="Yes"/>
    <s v="No"/>
    <m/>
    <s v="Academic"/>
    <s v="Teaching Assistant"/>
    <m/>
    <x v="1"/>
    <m/>
    <s v="MAKERERE UNIVERSITY"/>
    <s v="0000-0003-3338-5333"/>
    <m/>
    <d v="2012-03-01T00:00:00"/>
    <d v="2012-11-01T00:00:00"/>
    <s v="Yes"/>
    <m/>
    <m/>
    <m/>
    <m/>
    <m/>
    <m/>
    <d v="2014-08-01T00:00:00"/>
    <s v="Yes"/>
    <d v="2015-03-01T00:00:00"/>
    <s v="Yes"/>
    <m/>
    <m/>
    <m/>
    <x v="19"/>
    <x v="2"/>
    <m/>
    <m/>
    <m/>
    <n v="1"/>
    <n v="9"/>
    <n v="0"/>
    <n v="1"/>
    <n v="0"/>
    <n v="0"/>
    <n v="0"/>
    <s v="No"/>
    <n v="0"/>
    <m/>
    <m/>
    <m/>
    <m/>
    <s v="No"/>
    <m/>
    <m/>
    <n v="3"/>
    <s v="NF"/>
    <m/>
    <s v="CARNEGIE 2"/>
  </r>
  <r>
    <n v="34"/>
    <s v="C2/009"/>
    <s v="Herbert"/>
    <s v="Hudson"/>
    <s v="Longwe"/>
    <x v="0"/>
    <x v="1"/>
    <s v="Malawi"/>
    <x v="3"/>
    <s v="Epidemiology"/>
    <s v="Department of Population Studies"/>
    <s v="University of Malawi and Associates"/>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x v="1"/>
    <m/>
    <s v="Dr. Wilson Mandala"/>
    <s v="Dr. Adam Cunningham"/>
    <s v="Cal MacLennan"/>
    <n v="3"/>
    <s v="Home"/>
    <s v="Other"/>
    <m/>
    <s v="Yes"/>
    <s v="No"/>
    <m/>
    <m/>
    <s v="Research Scientist"/>
    <s v="Deputy Director Laboratory Support, ICAP at Columbia University"/>
    <x v="0"/>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s v="Kenya"/>
    <x v="11"/>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x v="1"/>
    <m/>
    <s v="Dr. Moses Ngware"/>
    <s v="Dr. Caroline Kabiru"/>
    <s v="Dr. Kandala Ngianga"/>
    <n v="3"/>
    <s v="Home"/>
    <s v="Home"/>
    <s v="Other"/>
    <s v="Yes"/>
    <s v="Yes"/>
    <s v="No"/>
    <s v="Researcher"/>
    <s v="Data Analyst"/>
    <s v="Director Research at Zizi Afrique_x000a_"/>
    <x v="0"/>
    <m/>
    <s v="ZIZI AFRIQUE FOUNDATION, KENYA (2022)"/>
    <s v="0000-0001-5981-6344"/>
    <m/>
    <d v="2012-03-05T00:00:00"/>
    <d v="2012-11-12T00:00:00"/>
    <s v="Yes"/>
    <d v="2014-04-11T00:00:00"/>
    <m/>
    <d v="2014-08-29T00:00:00"/>
    <m/>
    <m/>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s v="Kenya"/>
    <x v="7"/>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x v="1"/>
    <m/>
    <s v="Dr. Lawrence Ikamari"/>
    <s v="Dr. Murungaru Kimani"/>
    <m/>
    <n v="2"/>
    <s v="Home"/>
    <s v="Home"/>
    <m/>
    <s v="Yes"/>
    <s v="No"/>
    <m/>
    <s v="Academic"/>
    <m/>
    <m/>
    <x v="1"/>
    <m/>
    <s v="NF"/>
    <s v="0000-0001-7130-1626"/>
    <m/>
    <d v="2012-03-01T00:00:00"/>
    <d v="2012-11-01T00:00:00"/>
    <s v="Yes"/>
    <m/>
    <m/>
    <m/>
    <m/>
    <m/>
    <m/>
    <d v="2014-08-01T00:00:00"/>
    <s v="Yes"/>
    <d v="2015-03-01T00:00:00"/>
    <s v="Yes"/>
    <m/>
    <m/>
    <m/>
    <x v="22"/>
    <x v="0"/>
    <n v="58"/>
    <n v="50"/>
    <m/>
    <n v="1"/>
    <n v="6"/>
    <n v="6"/>
    <n v="0"/>
    <n v="0"/>
    <n v="0"/>
    <n v="0"/>
    <s v="No"/>
    <n v="0"/>
    <m/>
    <m/>
    <m/>
    <m/>
    <s v="No"/>
    <m/>
    <m/>
    <s v="NF"/>
    <s v="NF"/>
    <m/>
    <s v="WT"/>
  </r>
  <r>
    <n v="37"/>
    <s v="C2/012"/>
    <s v="Mary"/>
    <s v="Oluwafunke"/>
    <s v="Obiyan"/>
    <x v="1"/>
    <x v="1"/>
    <s v="Nigeria"/>
    <x v="5"/>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x v="1"/>
    <m/>
    <s v="Prof. Peter O. Ogunjuyigbe"/>
    <s v="Ambrose Akinlo"/>
    <m/>
    <n v="2"/>
    <s v="Home"/>
    <m/>
    <m/>
    <s v="Yes"/>
    <m/>
    <m/>
    <s v="Academic"/>
    <s v="Lecturer II"/>
    <s v="Senior Lecturer"/>
    <x v="0"/>
    <m/>
    <s v="OBAFEMI AWOLOWO UNIVERSITY"/>
    <s v="0000-0003-3583-0138"/>
    <m/>
    <d v="2012-03-01T00:00:00"/>
    <d v="2012-11-01T00:00:00"/>
    <s v="Yes"/>
    <m/>
    <m/>
    <m/>
    <m/>
    <m/>
    <m/>
    <d v="2014-08-01T00:00:00"/>
    <s v="Yes"/>
    <d v="2015-03-01T00:00:00"/>
    <s v="Yes"/>
    <m/>
    <m/>
    <m/>
    <x v="2"/>
    <x v="0"/>
    <n v="25"/>
    <n v="17"/>
    <m/>
    <n v="1"/>
    <n v="0"/>
    <n v="12"/>
    <n v="1"/>
    <n v="0"/>
    <n v="1"/>
    <n v="0"/>
    <s v="GW, 2016"/>
    <n v="0"/>
    <m/>
    <m/>
    <m/>
    <m/>
    <s v="No"/>
    <m/>
    <m/>
    <n v="2"/>
    <n v="3"/>
    <m/>
    <s v="WT"/>
  </r>
  <r>
    <n v="38"/>
    <s v="C2/013"/>
    <s v="Abiodun"/>
    <s v="Olufunke"/>
    <s v="Oluwatoba"/>
    <x v="1"/>
    <x v="1"/>
    <s v="Nigeria"/>
    <x v="0"/>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x v="1"/>
    <m/>
    <s v="Dr. Roseangela Nwuba"/>
    <m/>
    <m/>
    <n v="1"/>
    <s v="Home"/>
    <m/>
    <m/>
    <s v="Yes"/>
    <m/>
    <m/>
    <s v="Academic"/>
    <m/>
    <s v="Lecturer"/>
    <x v="1"/>
    <m/>
    <s v="UNIVERSITY OF IBADAN"/>
    <s v="0000-0003-1781-2550"/>
    <m/>
    <d v="2012-03-01T00:00:00"/>
    <d v="2012-11-01T00:00:00"/>
    <s v="Yes"/>
    <m/>
    <m/>
    <m/>
    <m/>
    <m/>
    <m/>
    <d v="2014-08-01T00:00:00"/>
    <s v="Yes"/>
    <d v="2015-03-01T00:00:00"/>
    <s v="Yes"/>
    <m/>
    <m/>
    <m/>
    <x v="25"/>
    <x v="0"/>
    <n v="93"/>
    <n v="85"/>
    <m/>
    <n v="4"/>
    <n v="0"/>
    <n v="0"/>
    <n v="0"/>
    <n v="0"/>
    <n v="0"/>
    <n v="0"/>
    <s v="No"/>
    <n v="0"/>
    <m/>
    <m/>
    <m/>
    <m/>
    <s v="No"/>
    <m/>
    <m/>
    <n v="3"/>
    <n v="3"/>
    <m/>
    <s v="NF"/>
  </r>
  <r>
    <n v="39"/>
    <s v="C2/014"/>
    <s v="Peter"/>
    <s v="Mpasho"/>
    <s v="Mwamtobe"/>
    <x v="0"/>
    <x v="1"/>
    <s v="Malawi"/>
    <x v="3"/>
    <s v="Disease Epidemiology"/>
    <s v="MATHEMATICS AND STATISTICS"/>
    <s v="University of Malawi and Associates"/>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x v="1"/>
    <m/>
    <s v="Prof. Ebrahim Momoniat"/>
    <s v="Prof. Shirley Abelman"/>
    <s v="Prof. Jean M. Tchuenche"/>
    <n v="3"/>
    <s v="Other "/>
    <s v="Other "/>
    <s v="Other "/>
    <s v="No"/>
    <s v="No"/>
    <s v="No"/>
    <s v="Academic"/>
    <s v="Lecturer"/>
    <s v="Lecturer"/>
    <x v="2"/>
    <s v="Senior Lecturer, Head of Applied Studies Dept"/>
    <s v="UNIVERSITY OF MALAWI"/>
    <s v="0000-0003-1861-3377"/>
    <m/>
    <d v="2012-03-01T00:00:00"/>
    <d v="2012-11-01T00:00:00"/>
    <s v="Yes"/>
    <m/>
    <m/>
    <m/>
    <m/>
    <m/>
    <m/>
    <d v="2014-08-01T00:00:00"/>
    <s v="Yes"/>
    <d v="2015-03-01T00:00:00"/>
    <s v="Yes"/>
    <m/>
    <m/>
    <m/>
    <x v="26"/>
    <x v="0"/>
    <n v="37"/>
    <n v="29"/>
    <m/>
    <n v="0"/>
    <n v="2"/>
    <n v="6"/>
    <n v="1"/>
    <n v="0"/>
    <n v="1"/>
    <n v="0"/>
    <s v="No"/>
    <n v="0"/>
    <m/>
    <m/>
    <m/>
    <m/>
    <s v="No"/>
    <m/>
    <m/>
    <n v="5"/>
    <n v="6"/>
    <m/>
    <s v="NF"/>
  </r>
  <r>
    <n v="40"/>
    <s v="C2/015"/>
    <s v="Siphesihle"/>
    <s v="Primrose Theodora"/>
    <s v="Mtshali"/>
    <x v="1"/>
    <x v="1"/>
    <s v="South Africa"/>
    <x v="6"/>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x v="1"/>
    <d v="2025-03-25T00:00:00"/>
    <s v="Prof. Mbambo-Kekana Nonceba Priscilla"/>
    <s v="Dr. Hellen Myezwa"/>
    <s v="Dr. Kerith Aginsky"/>
    <n v="3"/>
    <s v="Other "/>
    <s v="Home"/>
    <s v="Home/ Host"/>
    <s v="Yes"/>
    <s v="Yes"/>
    <s v="Yes"/>
    <s v="Academic"/>
    <s v="Lecturer"/>
    <m/>
    <x v="1"/>
    <m/>
    <s v="NF"/>
    <s v="0000-0002-8343-0342"/>
    <m/>
    <d v="2012-03-01T00:00:00"/>
    <d v="2012-11-01T00:00:00"/>
    <s v="Yes"/>
    <m/>
    <m/>
    <m/>
    <m/>
    <m/>
    <m/>
    <d v="2014-08-01T00:00:00"/>
    <s v="Yes"/>
    <d v="2015-03-01T00:00:00"/>
    <s v="Yes"/>
    <m/>
    <m/>
    <m/>
    <x v="19"/>
    <x v="1"/>
    <m/>
    <m/>
    <m/>
    <n v="1"/>
    <n v="0"/>
    <n v="0"/>
    <n v="0"/>
    <n v="0"/>
    <n v="0"/>
    <n v="0"/>
    <s v="No"/>
    <n v="0"/>
    <m/>
    <m/>
    <m/>
    <m/>
    <s v="No"/>
    <m/>
    <m/>
    <n v="1"/>
    <s v="NF"/>
    <m/>
    <s v="NF"/>
  </r>
  <r>
    <n v="41"/>
    <s v="C2/016"/>
    <s v="Nalugo"/>
    <s v="Scovia"/>
    <s v="Mbalinda"/>
    <x v="1"/>
    <x v="1"/>
    <s v="Uganda"/>
    <x v="10"/>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x v="1"/>
    <m/>
    <s v="Dr. Daniel Kabonge Kaye"/>
    <s v="Dr. Noah Kiwanuka"/>
    <s v="Prof. Fred Wabwire-Mangen"/>
    <n v="3"/>
    <s v="Home"/>
    <s v="Home"/>
    <s v="Home/ Host"/>
    <s v="Yes"/>
    <s v="No"/>
    <s v="No"/>
    <s v="Academic"/>
    <s v="Lecturer"/>
    <s v="Lecturer"/>
    <x v="2"/>
    <m/>
    <s v="MAKERERE UNIVERISTY"/>
    <s v="0000-0002-4945-130X"/>
    <m/>
    <d v="2012-03-01T00:00:00"/>
    <d v="2012-11-01T00:00:00"/>
    <s v="Yes"/>
    <m/>
    <m/>
    <m/>
    <m/>
    <m/>
    <m/>
    <d v="2014-08-01T00:00:00"/>
    <s v="Yes"/>
    <d v="2015-03-01T00:00:00"/>
    <s v="Yes"/>
    <m/>
    <m/>
    <m/>
    <x v="27"/>
    <x v="0"/>
    <n v="71"/>
    <n v="63"/>
    <m/>
    <n v="6"/>
    <n v="20"/>
    <n v="18"/>
    <n v="5"/>
    <n v="0"/>
    <n v="0"/>
    <n v="0"/>
    <s v="JAS 2, 2012"/>
    <n v="0"/>
    <m/>
    <m/>
    <m/>
    <m/>
    <s v="No"/>
    <m/>
    <m/>
    <n v="3"/>
    <n v="3"/>
    <m/>
    <s v="NF"/>
  </r>
  <r>
    <n v="42"/>
    <s v="C2/017"/>
    <s v="Nakubulwa"/>
    <m/>
    <s v="Sarah"/>
    <x v="1"/>
    <x v="1"/>
    <s v="Uganda"/>
    <x v="10"/>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x v="1"/>
    <m/>
    <s v="Dr. Nazarius Mbona Tumwesigye"/>
    <s v="Dr. Florence Mirembe"/>
    <s v="Dr. Daniel Kabonge Kaye"/>
    <n v="3"/>
    <s v="Home"/>
    <s v="Home"/>
    <s v="Home/ Host"/>
    <s v="Yes"/>
    <s v="No"/>
    <s v="Yes"/>
    <m/>
    <s v="Lecturer"/>
    <s v="Senior Lecturer"/>
    <x v="0"/>
    <m/>
    <s v="MAKERERE UNIVERISTY"/>
    <s v=" 000 0002 1433 7312"/>
    <m/>
    <d v="2012-03-01T00:00:00"/>
    <d v="2012-11-01T00:00:00"/>
    <s v="Yes"/>
    <m/>
    <m/>
    <m/>
    <m/>
    <m/>
    <m/>
    <d v="2014-08-01T00:00:00"/>
    <s v="Yes"/>
    <d v="2015-03-01T00:00:00"/>
    <s v="Yes"/>
    <m/>
    <m/>
    <m/>
    <x v="0"/>
    <x v="0"/>
    <n v="59"/>
    <n v="51"/>
    <m/>
    <s v="NF"/>
    <n v="2"/>
    <n v="0"/>
    <n v="1"/>
    <n v="0"/>
    <n v="0"/>
    <n v="0"/>
    <s v="No"/>
    <n v="0"/>
    <m/>
    <m/>
    <m/>
    <m/>
    <s v="No"/>
    <m/>
    <m/>
    <s v="NF"/>
    <s v="NF"/>
    <m/>
    <s v="NF"/>
  </r>
  <r>
    <n v="43"/>
    <s v="C2/018"/>
    <s v="Simbaharshe"/>
    <m/>
    <s v="Takuva"/>
    <x v="0"/>
    <x v="1"/>
    <s v="South Africa"/>
    <x v="6"/>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x v="1"/>
    <d v="2025-03-25T00:00:00"/>
    <s v="Dr. Tobias Chirwa"/>
    <s v="Dr. Patrick MacPhail"/>
    <s v="Prof. Ian M. Sanne"/>
    <n v="3"/>
    <s v="Home"/>
    <s v="Home"/>
    <s v="Home/ Host"/>
    <s v="Yes"/>
    <s v="No"/>
    <s v="No"/>
    <s v="Researcher"/>
    <s v="Joint Faculty"/>
    <m/>
    <x v="1"/>
    <m/>
    <s v="UNIVERSITY OF THE WITWATERSRAND"/>
    <s v="0000-0001-6030-2359"/>
    <m/>
    <d v="2012-03-01T00:00:00"/>
    <d v="2012-11-01T00:00:00"/>
    <s v="Yes"/>
    <m/>
    <m/>
    <m/>
    <m/>
    <m/>
    <m/>
    <d v="2014-08-01T00:00:00"/>
    <s v="Yes"/>
    <s v="Not attended"/>
    <s v="No"/>
    <m/>
    <m/>
    <m/>
    <x v="19"/>
    <x v="1"/>
    <m/>
    <m/>
    <m/>
    <n v="1"/>
    <n v="31"/>
    <n v="0"/>
    <n v="7"/>
    <n v="3"/>
    <n v="0"/>
    <n v="0"/>
    <s v="No"/>
    <n v="0"/>
    <m/>
    <m/>
    <m/>
    <m/>
    <s v="No"/>
    <m/>
    <m/>
    <s v="NF"/>
    <s v="NF"/>
    <m/>
    <s v="NF"/>
  </r>
  <r>
    <n v="44"/>
    <s v="C2/019"/>
    <s v="Gloria"/>
    <s v="Susan"/>
    <s v="Omosa - Momanyi"/>
    <x v="1"/>
    <x v="1"/>
    <s v="Kenya"/>
    <x v="7"/>
    <m/>
    <m/>
    <s v="University of the Witwatersrand"/>
    <s v="No"/>
    <s v="NF"/>
    <s v="NF"/>
    <s v="NF"/>
    <s v="NF"/>
    <m/>
    <m/>
    <m/>
    <m/>
    <m/>
    <m/>
    <m/>
    <m/>
    <m/>
    <n v="4"/>
    <m/>
    <x v="1"/>
    <d v="2016-10-19T00:00:00"/>
    <m/>
    <m/>
    <m/>
    <n v="0"/>
    <m/>
    <m/>
    <m/>
    <m/>
    <m/>
    <m/>
    <m/>
    <m/>
    <m/>
    <x v="1"/>
    <m/>
    <m/>
    <m/>
    <m/>
    <d v="2012-03-01T00:00:00"/>
    <m/>
    <m/>
    <m/>
    <m/>
    <m/>
    <m/>
    <m/>
    <m/>
    <m/>
    <m/>
    <m/>
    <m/>
    <m/>
    <m/>
    <m/>
    <x v="19"/>
    <x v="1"/>
    <s v="Terminated"/>
    <m/>
    <m/>
    <m/>
    <m/>
    <m/>
    <m/>
    <m/>
    <m/>
    <m/>
    <s v="No"/>
    <m/>
    <m/>
    <m/>
    <m/>
    <m/>
    <m/>
    <m/>
    <m/>
    <m/>
    <m/>
    <m/>
    <s v="WT"/>
  </r>
  <r>
    <n v="45"/>
    <s v="C2/020"/>
    <s v="Phanuel"/>
    <s v="Humphrey Jacob"/>
    <s v="Shao"/>
    <x v="0"/>
    <x v="1"/>
    <s v="Tanzania"/>
    <x v="4"/>
    <m/>
    <s v="TB Clinic"/>
    <s v="University of Dar es Salaam"/>
    <s v="No"/>
    <s v="NF"/>
    <s v="NF"/>
    <s v="NF"/>
    <s v="NF"/>
    <s v="hshao@cartafrica.org"/>
    <s v="humphreyshao@gmail.com"/>
    <m/>
    <m/>
    <m/>
    <m/>
    <m/>
    <m/>
    <m/>
    <n v="22.5"/>
    <m/>
    <x v="1"/>
    <d v="2016-01-11T00:00:00"/>
    <m/>
    <m/>
    <m/>
    <n v="0"/>
    <m/>
    <m/>
    <m/>
    <m/>
    <m/>
    <m/>
    <m/>
    <m/>
    <m/>
    <x v="1"/>
    <m/>
    <m/>
    <m/>
    <m/>
    <d v="2012-03-01T00:00:00"/>
    <m/>
    <m/>
    <m/>
    <m/>
    <m/>
    <m/>
    <m/>
    <m/>
    <m/>
    <m/>
    <m/>
    <m/>
    <m/>
    <m/>
    <m/>
    <x v="19"/>
    <x v="1"/>
    <s v="Terminated"/>
    <m/>
    <m/>
    <m/>
    <m/>
    <m/>
    <m/>
    <m/>
    <m/>
    <m/>
    <s v="No"/>
    <m/>
    <m/>
    <m/>
    <m/>
    <m/>
    <m/>
    <m/>
    <m/>
    <m/>
    <m/>
    <m/>
    <s v="NF"/>
  </r>
  <r>
    <n v="47"/>
    <s v="C3/001"/>
    <s v="Adefolarin"/>
    <s v="Olufolake"/>
    <s v="Adeyinka"/>
    <x v="1"/>
    <x v="2"/>
    <s v="Nigeria"/>
    <x v="0"/>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x v="2"/>
    <m/>
    <s v="Oyedunni Arulogun"/>
    <s v="PROF Oye Gureje"/>
    <m/>
    <n v="2"/>
    <s v="Home"/>
    <m/>
    <m/>
    <s v="Yes"/>
    <m/>
    <m/>
    <s v="Other"/>
    <s v="Principal Social Worker 1"/>
    <s v="Lecturer "/>
    <x v="0"/>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s v="Kenya"/>
    <x v="7"/>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x v="2"/>
    <m/>
    <s v="Prof. Nyagol Akelo Joshua"/>
    <s v="Prof. Jaoko Walter"/>
    <m/>
    <n v="2"/>
    <s v="Home"/>
    <m/>
    <m/>
    <s v="Yes"/>
    <m/>
    <m/>
    <s v="Academic"/>
    <m/>
    <s v="Lecturer"/>
    <x v="0"/>
    <m/>
    <s v="UNIVERSITY OF NAIROBI"/>
    <s v="0000-0002-4033-7869"/>
    <m/>
    <d v="2013-03-01T00:00:00"/>
    <d v="2013-11-01T00:00:00"/>
    <s v="Yes"/>
    <m/>
    <m/>
    <m/>
    <m/>
    <m/>
    <m/>
    <d v="2015-08-01T00:00:00"/>
    <s v="Yes"/>
    <d v="2016-02-28T00:00:00"/>
    <s v="Yes"/>
    <m/>
    <m/>
    <m/>
    <x v="29"/>
    <x v="0"/>
    <n v="82"/>
    <n v="74"/>
    <m/>
    <n v="2"/>
    <n v="1"/>
    <n v="1"/>
    <n v="0"/>
    <n v="0"/>
    <n v="0"/>
    <n v="0"/>
    <s v="No"/>
    <n v="0"/>
    <m/>
    <m/>
    <m/>
    <m/>
    <s v="No"/>
    <m/>
    <m/>
    <n v="1"/>
    <n v="4"/>
    <m/>
    <s v="WT"/>
  </r>
  <r>
    <n v="49"/>
    <s v="C3/003"/>
    <s v="Anne"/>
    <s v="Majuma"/>
    <s v="Khisa"/>
    <x v="1"/>
    <x v="2"/>
    <s v="Kenya"/>
    <x v="7"/>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x v="2"/>
    <m/>
    <s v="Grace Omoni"/>
    <s v="Prof Isaac Nyamongo"/>
    <s v="Dr Sabina Wakasiaka"/>
    <n v="3"/>
    <s v="Home"/>
    <s v="Home"/>
    <s v="Home"/>
    <s v="Yes"/>
    <s v="No"/>
    <s v="No"/>
    <s v="Other"/>
    <s v="Part Time Lecturer"/>
    <s v="Post Doc Research Fellow"/>
    <x v="0"/>
    <m/>
    <m/>
    <s v="0000-0001-6110-0118"/>
    <m/>
    <d v="2013-03-01T00:00:00"/>
    <d v="2013-11-01T00:00:00"/>
    <s v="Yes"/>
    <m/>
    <m/>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s v="Nigeria"/>
    <x v="0"/>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x v="2"/>
    <m/>
    <s v="Olayemi Omotade"/>
    <m/>
    <m/>
    <n v="1"/>
    <s v="Home"/>
    <m/>
    <m/>
    <s v="Yes"/>
    <m/>
    <m/>
    <s v="Academic"/>
    <s v="Senior Research Fellow"/>
    <s v="Senior Medical Research Fellow"/>
    <x v="2"/>
    <s v="Head and Actg director Institute of Child Health"/>
    <s v="UNIVERSITY OF IBADAN"/>
    <s v="0000-0003-4372-9822"/>
    <m/>
    <d v="2013-03-01T00:00:00"/>
    <d v="2013-11-01T00:00:00"/>
    <s v="Yes"/>
    <m/>
    <m/>
    <m/>
    <m/>
    <m/>
    <m/>
    <d v="2015-08-01T00:00:00"/>
    <s v="Yes"/>
    <d v="2016-02-28T00:00:00"/>
    <s v="Yes"/>
    <m/>
    <m/>
    <m/>
    <x v="30"/>
    <x v="0"/>
    <n v="52"/>
    <n v="44"/>
    <m/>
    <n v="0"/>
    <n v="18"/>
    <n v="17"/>
    <n v="11"/>
    <n v="1"/>
    <n v="0"/>
    <n v="0"/>
    <s v="No"/>
    <n v="0"/>
    <m/>
    <m/>
    <m/>
    <m/>
    <s v="No"/>
    <m/>
    <m/>
    <n v="0"/>
    <n v="0"/>
    <m/>
    <s v="MAC"/>
  </r>
  <r>
    <n v="51"/>
    <s v="C3/005"/>
    <s v="Kato"/>
    <s v="Charles"/>
    <s v="Drago "/>
    <x v="0"/>
    <x v="2"/>
    <s v="Uganda"/>
    <x v="10"/>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x v="2"/>
    <m/>
    <s v="Prof. Matovu Enock"/>
    <s v="Dr. Vincent Pius Alibu"/>
    <m/>
    <n v="2"/>
    <s v="Home"/>
    <m/>
    <m/>
    <s v="Yes"/>
    <m/>
    <m/>
    <s v="Academic"/>
    <s v="Assistant Lecturer"/>
    <s v="Lecturer"/>
    <x v="0"/>
    <m/>
    <s v="MAKERERE UNIVERISTY"/>
    <s v="0000-0003-3160-6657"/>
    <m/>
    <d v="2013-03-01T00:00:00"/>
    <d v="2013-11-01T00:00:00"/>
    <s v="Yes"/>
    <m/>
    <m/>
    <m/>
    <m/>
    <m/>
    <m/>
    <d v="2015-08-01T00:00:00"/>
    <s v="Yes"/>
    <d v="2016-02-28T00:00:00"/>
    <s v="Yes"/>
    <m/>
    <m/>
    <m/>
    <x v="11"/>
    <x v="0"/>
    <n v="37"/>
    <n v="29"/>
    <m/>
    <n v="0"/>
    <n v="6"/>
    <n v="31"/>
    <n v="0"/>
    <n v="1"/>
    <n v="0"/>
    <n v="0"/>
    <s v="No"/>
    <n v="0"/>
    <m/>
    <m/>
    <m/>
    <m/>
    <s v="No"/>
    <m/>
    <m/>
    <n v="1"/>
    <n v="2"/>
    <m/>
    <s v="SIDA"/>
  </r>
  <r>
    <n v="52"/>
    <s v="C3/006"/>
    <s v="Charles "/>
    <s v="Masulani"/>
    <s v="Mwale"/>
    <x v="0"/>
    <x v="2"/>
    <s v="Rwanda"/>
    <x v="1"/>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x v="2"/>
    <m/>
    <s v="Pascal Mathanga"/>
    <m/>
    <m/>
    <n v="1"/>
    <s v="Home"/>
    <m/>
    <m/>
    <s v="Yes"/>
    <m/>
    <m/>
    <s v="Academic"/>
    <s v="Part Time Senior Lecturer"/>
    <s v="Part Time Senior Lecturer"/>
    <x v="2"/>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s v="Nigeria"/>
    <x v="0"/>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x v="2"/>
    <m/>
    <s v="Prof. Adegoke Aremu Olajire"/>
    <m/>
    <m/>
    <n v="1"/>
    <s v="Home"/>
    <m/>
    <m/>
    <s v="Yes"/>
    <m/>
    <m/>
    <s v="Academic"/>
    <s v="Lecturer"/>
    <s v="Senior Lecturer"/>
    <x v="0"/>
    <m/>
    <s v="UNIVERSITY OF IBADAN"/>
    <s v="0000-0001-8519-2125"/>
    <m/>
    <d v="2013-03-01T00:00:00"/>
    <d v="2013-11-01T00:00:00"/>
    <s v="Yes"/>
    <m/>
    <m/>
    <m/>
    <m/>
    <m/>
    <m/>
    <d v="2015-08-01T00:00:00"/>
    <s v="Yes"/>
    <d v="2017-02-28T00:00:00"/>
    <s v="No"/>
    <m/>
    <m/>
    <m/>
    <x v="32"/>
    <x v="0"/>
    <n v="54"/>
    <n v="46"/>
    <m/>
    <n v="0"/>
    <n v="3"/>
    <n v="4"/>
    <n v="2"/>
    <n v="0"/>
    <n v="0"/>
    <n v="0"/>
    <s v="No"/>
    <n v="0"/>
    <m/>
    <m/>
    <m/>
    <m/>
    <s v="No"/>
    <m/>
    <m/>
    <m/>
    <n v="1"/>
    <m/>
    <s v="MAC"/>
  </r>
  <r>
    <n v="54"/>
    <s v="C3/008"/>
    <s v="Tonney"/>
    <s v="Stophen"/>
    <s v="Nyirenda"/>
    <x v="0"/>
    <x v="2"/>
    <s v="Malawi"/>
    <x v="3"/>
    <s v="Immunity and Infection"/>
    <s v="Pathology"/>
    <s v="University of Malawi and Associates"/>
    <s v="Yes"/>
    <m/>
    <m/>
    <s v="Married"/>
    <m/>
    <s v="tnyirenda@cartafrica.org"/>
    <s v="tnyirenda@medcol.mw"/>
    <s v="+265995573845"/>
    <s v="MSc. Immunology"/>
    <d v="1981-04-21T00:00:00"/>
    <s v="Development of adaptive immunity to non-typhoidal Salmonella in Children "/>
    <s v="Field"/>
    <s v="yes"/>
    <s v="Primary"/>
    <n v="10.5"/>
    <d v="2011-11-01T00:00:00"/>
    <x v="2"/>
    <m/>
    <s v="Wilson Mandala"/>
    <m/>
    <m/>
    <n v="1"/>
    <s v="Home"/>
    <m/>
    <m/>
    <s v="Yes"/>
    <m/>
    <m/>
    <s v="Academic"/>
    <s v="PhD Student"/>
    <s v="Lecturer"/>
    <x v="0"/>
    <m/>
    <s v="UNIVERSITY OF MALAWI"/>
    <s v="0000-0002-4874-9518"/>
    <m/>
    <d v="2013-03-01T00:00:00"/>
    <d v="2013-11-01T00:00:00"/>
    <s v="Yes"/>
    <m/>
    <m/>
    <m/>
    <m/>
    <m/>
    <m/>
    <d v="2015-08-01T00:00:00"/>
    <s v="Yes"/>
    <d v="2016-02-28T00:00:00"/>
    <s v="Yes"/>
    <m/>
    <m/>
    <m/>
    <x v="33"/>
    <x v="0"/>
    <n v="28"/>
    <n v="20"/>
    <m/>
    <n v="1"/>
    <n v="1"/>
    <n v="15"/>
    <n v="2"/>
    <n v="0"/>
    <n v="2"/>
    <n v="0"/>
    <s v="No"/>
    <n v="0"/>
    <m/>
    <m/>
    <m/>
    <m/>
    <s v="No"/>
    <m/>
    <m/>
    <s v="NF"/>
    <s v="NF"/>
    <m/>
    <s v="SIDA"/>
  </r>
  <r>
    <n v="55"/>
    <s v="C3/009"/>
    <s v="Evangeline"/>
    <s v="Wawira"/>
    <s v="Njiru"/>
    <x v="1"/>
    <x v="2"/>
    <s v="Kenya"/>
    <x v="2"/>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x v="2"/>
    <m/>
    <s v="Jamin Masinde"/>
    <s v="Dr. Harrison Maithya"/>
    <m/>
    <n v="2"/>
    <s v="Home"/>
    <s v="Home"/>
    <m/>
    <s v="Yes"/>
    <s v="Yes"/>
    <m/>
    <s v="Academic"/>
    <s v="Lecturer"/>
    <m/>
    <x v="1"/>
    <m/>
    <s v="MOI UNIVERSITY"/>
    <s v="0000-0002-0064-8777"/>
    <m/>
    <d v="2013-03-01T00:00:00"/>
    <d v="2013-11-01T00:00:00"/>
    <s v="Yes"/>
    <m/>
    <m/>
    <m/>
    <m/>
    <m/>
    <m/>
    <d v="2016-08-03T00:00:00"/>
    <s v="No"/>
    <d v="2017-02-27T00:00:00"/>
    <s v="No"/>
    <m/>
    <m/>
    <m/>
    <x v="19"/>
    <x v="2"/>
    <m/>
    <m/>
    <m/>
    <n v="0"/>
    <n v="7"/>
    <n v="0"/>
    <n v="0"/>
    <n v="0"/>
    <n v="0"/>
    <n v="0"/>
    <s v="No"/>
    <n v="0"/>
    <m/>
    <m/>
    <m/>
    <m/>
    <s v="No"/>
    <m/>
    <m/>
    <n v="3"/>
    <s v="NF"/>
    <m/>
    <s v="SIDA"/>
  </r>
  <r>
    <n v="56"/>
    <s v="C3/010"/>
    <s v="Samanta"/>
    <s v="Tresha"/>
    <s v="Lalla-Edward"/>
    <x v="1"/>
    <x v="2"/>
    <s v="South Africa"/>
    <x v="6"/>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x v="2"/>
    <m/>
    <s v="Maria Elizabeth Rabe"/>
    <m/>
    <m/>
    <n v="1"/>
    <s v="Other "/>
    <m/>
    <m/>
    <s v="No"/>
    <m/>
    <m/>
    <s v="Other"/>
    <s v="M&amp;E Technical Specialist - Wits"/>
    <s v="Program Manager"/>
    <x v="0"/>
    <m/>
    <s v="EZINTSHA, SOUTH AFRICA (2021)"/>
    <s v="0000-0003-3597-1643"/>
    <m/>
    <d v="2013-03-01T00:00:00"/>
    <d v="2013-11-01T00:00:00"/>
    <s v="Yes"/>
    <m/>
    <m/>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s v="Rwanda"/>
    <x v="1"/>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x v="2"/>
    <m/>
    <s v="Prof Mukwa Wekesa Christopher"/>
    <s v="Dr. Wanyonyi Wamamili David"/>
    <m/>
    <n v="2"/>
    <s v="Host"/>
    <m/>
    <m/>
    <s v="Yes"/>
    <m/>
    <m/>
    <s v="Academic"/>
    <s v="Assistant Lecturer"/>
    <s v="Assistant Lecturer"/>
    <x v="2"/>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s v="Kenya"/>
    <x v="2"/>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x v="2"/>
    <m/>
    <s v="Prof. Paul Omondi"/>
    <s v="Prof. Beneah D. O. Odhiambo"/>
    <m/>
    <n v="2"/>
    <s v="Home"/>
    <m/>
    <m/>
    <s v="Yes"/>
    <m/>
    <m/>
    <s v="Academic"/>
    <s v="Assistant Lecturer"/>
    <s v="Senior Lecturer"/>
    <x v="0"/>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s v="Nigeria"/>
    <x v="5"/>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x v="2"/>
    <m/>
    <s v="Olaogun Adenike Ayobola"/>
    <m/>
    <m/>
    <n v="1"/>
    <s v="Home"/>
    <m/>
    <m/>
    <s v="Yes"/>
    <m/>
    <m/>
    <s v="Academic"/>
    <s v="Lecturer II"/>
    <s v="Senior Lecturer"/>
    <x v="0"/>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s v="Kenya"/>
    <x v="2"/>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x v="2"/>
    <m/>
    <s v="Anne Wanjiru Mwangi"/>
    <m/>
    <m/>
    <n v="1"/>
    <s v="Home"/>
    <m/>
    <m/>
    <s v="Yes"/>
    <m/>
    <m/>
    <s v="Academic"/>
    <s v="Assistant Lecturer"/>
    <s v="Lecturer"/>
    <x v="0"/>
    <s v="Head ISO Quality Management system"/>
    <s v="MOI UNIVERSITY"/>
    <s v="0000-0001-7333-9329"/>
    <m/>
    <d v="2013-03-01T00:00:00"/>
    <d v="2013-11-01T00:00:00"/>
    <s v="Yes"/>
    <m/>
    <m/>
    <m/>
    <m/>
    <m/>
    <m/>
    <d v="2015-08-01T00:00:00"/>
    <s v="Yes"/>
    <d v="2016-02-28T00:00:00"/>
    <s v="Yes"/>
    <m/>
    <m/>
    <m/>
    <x v="37"/>
    <x v="0"/>
    <n v="50"/>
    <n v="42"/>
    <m/>
    <n v="3"/>
    <n v="3"/>
    <n v="10"/>
    <n v="4"/>
    <n v="1"/>
    <n v="0"/>
    <n v="0"/>
    <s v="No"/>
    <n v="0"/>
    <m/>
    <m/>
    <m/>
    <m/>
    <s v="No"/>
    <m/>
    <m/>
    <n v="3"/>
    <n v="3"/>
    <m/>
    <s v="SIDA"/>
  </r>
  <r>
    <n v="61"/>
    <s v="C3/015"/>
    <s v="Ojo"/>
    <s v="Melvin"/>
    <s v="Agunbiade"/>
    <x v="0"/>
    <x v="2"/>
    <s v="Nigeria"/>
    <x v="5"/>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x v="2"/>
    <m/>
    <s v="Emeritus Professor Gilbert Leah"/>
    <m/>
    <m/>
    <n v="1"/>
    <s v="Host"/>
    <m/>
    <m/>
    <s v="No"/>
    <m/>
    <m/>
    <s v="Academic"/>
    <s v="Lecturer II"/>
    <s v="Professor"/>
    <x v="0"/>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s v="Uganda"/>
    <x v="10"/>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x v="2"/>
    <m/>
    <s v="Monica Chibita"/>
    <s v="Fred Ntoni Nuwaha"/>
    <m/>
    <n v="2"/>
    <s v="Other "/>
    <s v="Home"/>
    <m/>
    <s v="No"/>
    <m/>
    <m/>
    <s v="Administrative"/>
    <s v="Assistant Lecturer"/>
    <m/>
    <x v="1"/>
    <m/>
    <s v="MAKERERE UNIVERSITY"/>
    <m/>
    <m/>
    <d v="2013-03-01T00:00:00"/>
    <d v="2013-11-01T00:00:00"/>
    <s v="Yes"/>
    <m/>
    <m/>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s v="South Africa"/>
    <x v="6"/>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x v="2"/>
    <d v="2025-03-25T00:00:00"/>
    <s v="Sinead-Delany Moretlwe"/>
    <s v="Prof Alain Labrique"/>
    <m/>
    <n v="2"/>
    <s v="Home"/>
    <s v="Other"/>
    <m/>
    <s v="Yes"/>
    <s v="No"/>
    <m/>
    <s v="Academic"/>
    <s v="Researcher"/>
    <m/>
    <x v="1"/>
    <m/>
    <s v="UNIVERSITY OF THE WITWATERSRAND"/>
    <s v="0000-0002-7197-9426"/>
    <m/>
    <d v="2013-03-01T00:00:00"/>
    <d v="2013-11-01T00:00:00"/>
    <s v="Yes"/>
    <m/>
    <m/>
    <m/>
    <m/>
    <m/>
    <m/>
    <d v="2015-08-01T00:00:00"/>
    <s v="Yes"/>
    <d v="2016-02-28T00:00:00"/>
    <s v="Yes"/>
    <m/>
    <m/>
    <m/>
    <x v="19"/>
    <x v="1"/>
    <m/>
    <m/>
    <m/>
    <n v="1"/>
    <n v="13"/>
    <n v="0"/>
    <n v="0"/>
    <n v="0"/>
    <n v="0"/>
    <n v="0"/>
    <s v="No"/>
    <n v="0"/>
    <m/>
    <m/>
    <m/>
    <m/>
    <s v="No"/>
    <m/>
    <m/>
    <s v="NF"/>
    <s v="NF"/>
    <m/>
    <s v="NF"/>
  </r>
  <r>
    <n v="64"/>
    <s v="C3/018"/>
    <s v="Olufunmilayo"/>
    <s v="Olufunmilola"/>
    <s v="Banjo"/>
    <x v="1"/>
    <x v="2"/>
    <s v="Nigeria"/>
    <x v="5"/>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x v="2"/>
    <m/>
    <s v="Bisiriyu Adeleke Luqman"/>
    <s v="Dr. BAMIWUYE, Samson Olusina "/>
    <m/>
    <n v="2"/>
    <s v="Home"/>
    <s v="Home"/>
    <m/>
    <s v="Yes"/>
    <s v="Yes"/>
    <m/>
    <s v="Academic"/>
    <s v="Lecturer II"/>
    <s v="Professor"/>
    <x v="0"/>
    <s v="Acting Director, Centre for Gender and Social policy"/>
    <s v="OBAFEMI AWOLOWO UNIVERSITY"/>
    <s v="0000-0001-6433-9300"/>
    <m/>
    <d v="2013-03-01T00:00:00"/>
    <d v="2013-11-01T00:00:00"/>
    <s v="Yes"/>
    <m/>
    <m/>
    <m/>
    <m/>
    <m/>
    <m/>
    <d v="2015-08-01T00:00:00"/>
    <s v="Yes"/>
    <d v="2016-02-28T00:00:00"/>
    <s v="Yes"/>
    <m/>
    <m/>
    <m/>
    <x v="40"/>
    <x v="0"/>
    <n v="27"/>
    <n v="19"/>
    <m/>
    <n v="1"/>
    <n v="0"/>
    <n v="12"/>
    <n v="0"/>
    <n v="0"/>
    <n v="1"/>
    <n v="1"/>
    <s v="JAS 1, 2013"/>
    <n v="0"/>
    <m/>
    <m/>
    <m/>
    <m/>
    <s v="No"/>
    <m/>
    <m/>
    <n v="5"/>
    <n v="5"/>
    <m/>
    <s v="WT"/>
  </r>
  <r>
    <n v="65"/>
    <s v="C3/019"/>
    <s v="Obasola"/>
    <s v="Ireti"/>
    <s v="Oluwaseun"/>
    <x v="1"/>
    <x v="2"/>
    <s v="Nigeria"/>
    <x v="0"/>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x v="2"/>
    <m/>
    <s v="Iyabo Mabawonku"/>
    <m/>
    <m/>
    <n v="1"/>
    <s v="Home"/>
    <m/>
    <m/>
    <s v="Yes"/>
    <m/>
    <m/>
    <s v="Academic"/>
    <s v="Librarian II"/>
    <s v="Senior Librarian_x000a_"/>
    <x v="0"/>
    <m/>
    <s v="UNIVERSITY OF IBADAN TO 2020_x000a_INTERNATIONAL ATOMIC ENERGY AGENCY"/>
    <s v="0000-0001-8164-3953"/>
    <m/>
    <d v="2013-03-04T00:00:00"/>
    <d v="2013-11-18T00:00:00"/>
    <s v="Yes"/>
    <d v="2014-09-01T00:00:00"/>
    <m/>
    <d v="2015-02-05T00:00:00"/>
    <m/>
    <m/>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s v="Tanzania"/>
    <x v="9"/>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x v="1"/>
    <m/>
    <s v="Nkwengulila Gamba"/>
    <s v="DR SYLVESTER LYANTAGAYE"/>
    <m/>
    <n v="2"/>
    <s v="Home"/>
    <s v="Home"/>
    <m/>
    <s v="Yes"/>
    <s v="No"/>
    <m/>
    <s v="Academic"/>
    <s v="Assistant Lecturer"/>
    <s v="Senior Lecturer"/>
    <x v="0"/>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s v="Kenya"/>
    <x v="2"/>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x v="2"/>
    <m/>
    <s v="Peter M. Gatongi"/>
    <s v="Prof Odipo Osano"/>
    <m/>
    <n v="2"/>
    <s v="Home"/>
    <s v="Other"/>
    <m/>
    <n v="2013"/>
    <m/>
    <m/>
    <m/>
    <s v="Assistant Lecturer"/>
    <m/>
    <x v="1"/>
    <m/>
    <s v="MOI UNIVERSITY"/>
    <s v="0000-0001-6975-5434"/>
    <m/>
    <d v="2013-03-01T00:00:00"/>
    <d v="2013-11-01T00:00:00"/>
    <s v="Yes"/>
    <m/>
    <m/>
    <m/>
    <m/>
    <m/>
    <m/>
    <d v="2016-08-01T00:00:00"/>
    <s v="No"/>
    <d v="2017-02-27T00:00:00"/>
    <s v="No"/>
    <m/>
    <m/>
    <m/>
    <x v="19"/>
    <x v="2"/>
    <m/>
    <m/>
    <m/>
    <n v="0"/>
    <n v="0"/>
    <n v="0"/>
    <n v="0"/>
    <n v="0"/>
    <n v="0"/>
    <n v="0"/>
    <s v="JAS 4, 2017"/>
    <n v="0"/>
    <m/>
    <m/>
    <m/>
    <m/>
    <s v="No"/>
    <m/>
    <m/>
    <s v="NF"/>
    <s v="NF"/>
    <m/>
    <s v="SIDA"/>
  </r>
  <r>
    <n v="68"/>
    <s v="C3/022"/>
    <s v="Save"/>
    <m/>
    <s v="Kumwenda"/>
    <x v="0"/>
    <x v="2"/>
    <s v="Malawi"/>
    <x v="3"/>
    <s v="Public Health"/>
    <s v="Public Health"/>
    <s v="University of Malawi and Associates"/>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x v="2"/>
    <m/>
    <s v="Dr. Chisomo Msefula"/>
    <s v="Dr. Bagrey Ngwira"/>
    <m/>
    <n v="2"/>
    <s v="Home"/>
    <s v="Home"/>
    <m/>
    <s v="No"/>
    <s v="No"/>
    <m/>
    <s v="Academic"/>
    <s v="Lecturer"/>
    <s v="Associate Professor"/>
    <x v="0"/>
    <m/>
    <s v="UNIVERSITY OF MALAWI"/>
    <s v="0000-0002-3329-5875"/>
    <m/>
    <d v="2013-03-01T00:00:00"/>
    <d v="2013-11-01T00:00:00"/>
    <s v="Yes"/>
    <d v="2013-05-21T00:00:00"/>
    <d v="2014-03-02T00:00:00"/>
    <m/>
    <m/>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s v="South Africa"/>
    <x v="6"/>
    <m/>
    <m/>
    <s v="University of the Witwatersrand"/>
    <s v="No"/>
    <s v="NF"/>
    <s v="NF"/>
    <s v="NF"/>
    <s v="NF"/>
    <m/>
    <m/>
    <m/>
    <m/>
    <m/>
    <m/>
    <m/>
    <m/>
    <m/>
    <m/>
    <m/>
    <x v="2"/>
    <d v="2014-12-31T00:00:00"/>
    <m/>
    <m/>
    <m/>
    <n v="0"/>
    <m/>
    <m/>
    <m/>
    <m/>
    <m/>
    <m/>
    <m/>
    <m/>
    <m/>
    <x v="1"/>
    <m/>
    <m/>
    <m/>
    <m/>
    <d v="2013-03-01T00:00:00"/>
    <m/>
    <m/>
    <m/>
    <m/>
    <m/>
    <m/>
    <m/>
    <m/>
    <m/>
    <m/>
    <m/>
    <m/>
    <m/>
    <m/>
    <m/>
    <x v="19"/>
    <x v="1"/>
    <s v="Terminated"/>
    <m/>
    <m/>
    <m/>
    <m/>
    <m/>
    <m/>
    <m/>
    <m/>
    <m/>
    <s v="No"/>
    <m/>
    <m/>
    <m/>
    <m/>
    <m/>
    <m/>
    <m/>
    <m/>
    <m/>
    <m/>
    <m/>
    <s v="NF"/>
  </r>
  <r>
    <n v="71"/>
    <s v="C4/001"/>
    <s v="Ayodele"/>
    <s v="John"/>
    <s v="Alonge"/>
    <x v="0"/>
    <x v="3"/>
    <s v="Nigeria"/>
    <x v="0"/>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x v="3"/>
    <m/>
    <s v="Prof wanbii Kiai"/>
    <s v="Dr  Ndei Ndati"/>
    <m/>
    <n v="2"/>
    <s v="Host"/>
    <m/>
    <m/>
    <s v="Yes"/>
    <m/>
    <m/>
    <s v="Academic"/>
    <s v="Librarian II"/>
    <s v="Lecturer II"/>
    <x v="0"/>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s v="South Africa"/>
    <x v="6"/>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x v="3"/>
    <m/>
    <s v="Sinead Delany - Moretlwe"/>
    <m/>
    <m/>
    <n v="1"/>
    <s v="Home"/>
    <m/>
    <m/>
    <s v="Yes"/>
    <m/>
    <m/>
    <s v="Researcher"/>
    <s v="Researcher"/>
    <s v="Epidemiologist"/>
    <x v="0"/>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s v="Uganda"/>
    <x v="10"/>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x v="3"/>
    <m/>
    <s v="Assoc. Prof. Francis Ejobi"/>
    <s v="Prof MUYANJA Charles"/>
    <s v="Dr. Naigaga Irene"/>
    <n v="3"/>
    <s v="Home"/>
    <m/>
    <m/>
    <s v="No"/>
    <m/>
    <m/>
    <s v="Academic"/>
    <s v="Assistant Lecturer"/>
    <s v="Lecturer"/>
    <x v="2"/>
    <m/>
    <s v="MAKERERE UNIVERISTY"/>
    <s v="0000-0002-9742-1172"/>
    <m/>
    <d v="2014-03-02T00:00:00"/>
    <d v="2014-11-03T00:00:00"/>
    <s v="Yes"/>
    <m/>
    <m/>
    <m/>
    <m/>
    <m/>
    <m/>
    <d v="2016-08-03T00:00:00"/>
    <s v="Yes"/>
    <d v="2017-02-27T00:00:00"/>
    <s v="Yes"/>
    <m/>
    <m/>
    <m/>
    <x v="46"/>
    <x v="0"/>
    <n v="37"/>
    <n v="29"/>
    <m/>
    <n v="1"/>
    <n v="4"/>
    <n v="8"/>
    <n v="1"/>
    <n v="0"/>
    <n v="0"/>
    <n v="0"/>
    <s v="No"/>
    <n v="0"/>
    <m/>
    <m/>
    <m/>
    <m/>
    <s v="No"/>
    <m/>
    <m/>
    <n v="3"/>
    <n v="4"/>
    <m/>
    <s v="SIDA"/>
  </r>
  <r>
    <n v="74"/>
    <s v="C4/004"/>
    <s v="Boladale"/>
    <s v="Moyosore"/>
    <s v="Mapayi"/>
    <x v="1"/>
    <x v="3"/>
    <s v="Nigeria"/>
    <x v="5"/>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x v="3"/>
    <m/>
    <s v="Ukpong Morenike"/>
    <s v="Harrison Abigail"/>
    <m/>
    <n v="2"/>
    <s v="Home"/>
    <m/>
    <m/>
    <s v="Yes"/>
    <m/>
    <m/>
    <s v="Academic"/>
    <s v="Lecturer"/>
    <s v="Associate Professor"/>
    <x v="0"/>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s v="Nigeria"/>
    <x v="0"/>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x v="3"/>
    <m/>
    <s v="Prof. Ajayi Ikeoluwapo"/>
    <s v="Prof Baiyeroju Aderonke"/>
    <m/>
    <n v="2"/>
    <s v="Home"/>
    <m/>
    <m/>
    <s v="Yes"/>
    <m/>
    <m/>
    <s v="Academic"/>
    <s v="Lecturer"/>
    <s v="Associate Professor"/>
    <x v="0"/>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s v="Uganda"/>
    <x v="10"/>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x v="3"/>
    <m/>
    <s v="Prof. Ngianga Kandala Bakwin"/>
    <s v="Dr. Henry Wamani"/>
    <s v="Dr. Elizabeth Ekirapa-Kiracho"/>
    <n v="3"/>
    <s v="Host"/>
    <m/>
    <m/>
    <s v="Yes"/>
    <m/>
    <m/>
    <s v="Academic"/>
    <s v="Assistant Lecturer"/>
    <s v="Assistant Lecturer"/>
    <x v="2"/>
    <m/>
    <s v="MAKERERE UNIVERSITY"/>
    <s v="0000-0002-6640-6519"/>
    <m/>
    <d v="2014-03-02T00:00:00"/>
    <d v="2014-11-03T00:00:00"/>
    <s v="Yes"/>
    <d v="2015-04-10T00:00:00"/>
    <d v="2015-04-15T00:00:00"/>
    <m/>
    <m/>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s v="Kenya"/>
    <x v="2"/>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x v="3"/>
    <m/>
    <s v="Prof W Kogi-Makau"/>
    <s v="Prof Grace A. Ettyang "/>
    <s v="Dr Charkes O Kimamo"/>
    <n v="2"/>
    <s v="Host"/>
    <m/>
    <m/>
    <s v="Yes"/>
    <m/>
    <m/>
    <s v="Academic"/>
    <s v="Administrator"/>
    <s v="Lecturer"/>
    <x v="0"/>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s v="South Africa"/>
    <x v="6"/>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x v="3"/>
    <m/>
    <s v="Prof. Alex van den Heever"/>
    <m/>
    <m/>
    <n v="1"/>
    <s v="Home"/>
    <m/>
    <m/>
    <s v="No"/>
    <m/>
    <m/>
    <s v="Academic"/>
    <s v="Lecturer"/>
    <m/>
    <x v="1"/>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s v="Kenya"/>
    <x v="7"/>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x v="3"/>
    <m/>
    <s v="Prof. Omu Anzala"/>
    <m/>
    <m/>
    <n v="1"/>
    <s v="Home"/>
    <m/>
    <m/>
    <s v="Yes"/>
    <m/>
    <m/>
    <s v="Academic"/>
    <s v="Tutorial Fellow"/>
    <s v="Tutorial Fellow"/>
    <x v="1"/>
    <m/>
    <s v="UNIVERSITY OF NAIROBI"/>
    <s v="0000-0003-0612-9430"/>
    <m/>
    <d v="2014-03-02T00:00:00"/>
    <d v="2014-11-03T00:00:00"/>
    <s v="Yes"/>
    <d v="2019-08-22T00:00:00"/>
    <d v="2015-08-22T00:00:00"/>
    <m/>
    <m/>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s v="Malawi"/>
    <x v="3"/>
    <s v="Medical Athropology"/>
    <s v="Health Systems and Policy Development"/>
    <s v="University of Malawi and Associates"/>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x v="3"/>
    <m/>
    <s v="Prof  Umar Eric "/>
    <s v="Prof Griffiths Frances"/>
    <s v="Prof Van den Berg  Marrit"/>
    <n v="3"/>
    <s v="Home"/>
    <m/>
    <m/>
    <s v="Yes"/>
    <m/>
    <m/>
    <s v="Researcher"/>
    <s v="Research Administrator"/>
    <s v="Research and Policy Analyst"/>
    <x v="0"/>
    <m/>
    <s v="African Institute For Development Policy (AFIDEP)"/>
    <s v="0000-0002-7269-0405"/>
    <m/>
    <d v="2014-03-02T00:00:00"/>
    <d v="2014-11-03T00:00:00"/>
    <s v="Yes"/>
    <m/>
    <m/>
    <m/>
    <m/>
    <m/>
    <m/>
    <d v="2016-08-03T00:00:00"/>
    <s v="Yes"/>
    <d v="2017-02-27T00:00:00"/>
    <s v="Yes"/>
    <m/>
    <d v="2020-12-11T00:00:00"/>
    <m/>
    <x v="52"/>
    <x v="0"/>
    <n v="94"/>
    <n v="86"/>
    <m/>
    <n v="0"/>
    <n v="6"/>
    <n v="0"/>
    <n v="1"/>
    <n v="0"/>
    <n v="0"/>
    <n v="0"/>
    <s v="No"/>
    <n v="0"/>
    <m/>
    <m/>
    <m/>
    <m/>
    <s v="No"/>
    <m/>
    <m/>
    <n v="0"/>
    <n v="1"/>
    <m/>
    <s v="FF"/>
  </r>
  <r>
    <n v="81"/>
    <s v="C4/011"/>
    <s v="Flavia"/>
    <s v="Kiweewa"/>
    <s v="Matovu"/>
    <x v="1"/>
    <x v="3"/>
    <s v="Uganda"/>
    <x v="10"/>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x v="3"/>
    <m/>
    <s v="Dr. Mags Beksinska"/>
    <m/>
    <m/>
    <n v="1"/>
    <s v="Host"/>
    <m/>
    <m/>
    <s v="Yes"/>
    <m/>
    <m/>
    <s v="Researcher"/>
    <s v="Researcher"/>
    <s v="Director of Research"/>
    <x v="0"/>
    <m/>
    <s v="MAKERERE UNIVERSITY"/>
    <s v="0000-0002-0046-4353"/>
    <m/>
    <d v="2014-03-02T00:00:00"/>
    <d v="2014-11-03T00:00:00"/>
    <s v="Yes"/>
    <d v="2015-07-22T00:00:00"/>
    <d v="2019-02-07T00:00:00"/>
    <m/>
    <m/>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s v="Kenya"/>
    <x v="2"/>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x v="3"/>
    <m/>
    <s v="Prof. Charles Owour Olungah"/>
    <s v="Dr. Tom Ondicho"/>
    <m/>
    <n v="2"/>
    <s v="Host"/>
    <m/>
    <m/>
    <s v="Yes"/>
    <m/>
    <m/>
    <s v="Academic"/>
    <s v="Assistant Lecturer"/>
    <s v="Lecturer"/>
    <x v="0"/>
    <m/>
    <s v="JKUAT"/>
    <s v="0000-0003-0994-5249"/>
    <m/>
    <d v="2014-03-03T00:00:00"/>
    <d v="2014-11-03T00:00:00"/>
    <s v="Yes"/>
    <m/>
    <m/>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s v="Uganda"/>
    <x v="10"/>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x v="3"/>
    <m/>
    <s v="Prof. Freddie Ssemgooba"/>
    <s v="Prof Sara Bennett"/>
    <m/>
    <n v="2"/>
    <s v="Home"/>
    <m/>
    <m/>
    <s v="Yes"/>
    <m/>
    <m/>
    <s v="Academic"/>
    <s v="Assistant Registrar"/>
    <s v="Post Doc Research Fellow"/>
    <x v="0"/>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s v="Tanzania"/>
    <x v="4"/>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x v="3"/>
    <m/>
    <s v="Distinguished Proffesor, Lenore Manderson"/>
    <s v="Associated Prof. Ladislaus Mnyone"/>
    <s v="Distinguished Professor. Moureen Coetzee"/>
    <n v="3"/>
    <s v="Home"/>
    <m/>
    <m/>
    <s v="Yes"/>
    <m/>
    <m/>
    <s v="Researcher"/>
    <s v="Research Officer"/>
    <s v="Research Scientist"/>
    <x v="0"/>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s v="Kenya"/>
    <x v="2"/>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x v="3"/>
    <m/>
    <s v="Prof. Nilesh B. Patel"/>
    <s v="Prof. Kihumbu Thairu"/>
    <m/>
    <n v="2"/>
    <s v="Host"/>
    <m/>
    <m/>
    <s v="Yes"/>
    <m/>
    <m/>
    <s v="Academic"/>
    <s v="Graduate Assistant"/>
    <s v="Lecturer"/>
    <x v="0"/>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s v="Kenya"/>
    <x v="2"/>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x v="3"/>
    <m/>
    <s v="Mabel Nangami"/>
    <m/>
    <m/>
    <n v="1"/>
    <s v="Home"/>
    <m/>
    <m/>
    <s v="No"/>
    <m/>
    <m/>
    <s v="Academic"/>
    <s v="Assistant Lecturer"/>
    <s v="Lecturer"/>
    <x v="0"/>
    <m/>
    <s v="MOI UNIVERSITY"/>
    <s v="0000-0001-6182-2209"/>
    <m/>
    <d v="2014-03-02T00:00:00"/>
    <d v="2014-11-03T00:00:00"/>
    <s v="Yes"/>
    <d v="2016-07-04T00:00:00"/>
    <d v="2017-09-11T00:00:00"/>
    <m/>
    <m/>
    <m/>
    <m/>
    <d v="2016-08-03T00:00:00"/>
    <s v="Yes"/>
    <d v="2017-02-27T00:00:00"/>
    <s v="Yes"/>
    <m/>
    <m/>
    <m/>
    <x v="19"/>
    <x v="2"/>
    <m/>
    <m/>
    <m/>
    <n v="2"/>
    <n v="3"/>
    <n v="0"/>
    <n v="3"/>
    <n v="0"/>
    <n v="0"/>
    <n v="0"/>
    <s v="No"/>
    <n v="0"/>
    <m/>
    <m/>
    <m/>
    <m/>
    <s v="No"/>
    <m/>
    <m/>
    <s v="NF"/>
    <s v="NF"/>
    <m/>
    <s v="CARNEGIE"/>
  </r>
  <r>
    <n v="87"/>
    <s v="C4/017"/>
    <s v="Kaitesi"/>
    <s v="Batamuliza"/>
    <s v="Mukara"/>
    <x v="1"/>
    <x v="3"/>
    <s v="Rwanda"/>
    <x v="1"/>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x v="3"/>
    <m/>
    <s v="Dr. Peter Waiswa"/>
    <m/>
    <m/>
    <n v="1"/>
    <s v="Host"/>
    <m/>
    <m/>
    <s v="Yes"/>
    <m/>
    <m/>
    <s v="Academic"/>
    <s v="Lecturer"/>
    <s v="CEO"/>
    <x v="0"/>
    <m/>
    <s v="HEARING HEALTH RWANDA (2019)"/>
    <s v="0000-0003-0585-2846"/>
    <m/>
    <d v="2014-03-02T00:00:00"/>
    <d v="2014-11-03T00:00:00"/>
    <s v="Yes"/>
    <m/>
    <m/>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s v="Malawi"/>
    <x v="3"/>
    <s v="Public Health"/>
    <s v="Basic Medical Sciences"/>
    <s v="University of Malawi and Associates"/>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x v="3"/>
    <d v="2020-02-06T00:00:00"/>
    <s v="Professor Amadi O. Ihunwo "/>
    <m/>
    <m/>
    <n v="1"/>
    <s v="Other "/>
    <m/>
    <m/>
    <s v="Yes"/>
    <m/>
    <m/>
    <s v="Academic"/>
    <s v="Lecturer"/>
    <m/>
    <x v="1"/>
    <m/>
    <s v="UNIVERSITY OF MALAWI"/>
    <m/>
    <m/>
    <d v="2014-03-02T00:00:00"/>
    <d v="2014-11-03T00:00:00"/>
    <s v="Yes"/>
    <m/>
    <m/>
    <m/>
    <m/>
    <m/>
    <m/>
    <n v="42585"/>
    <s v="Yes"/>
    <m/>
    <s v="No"/>
    <m/>
    <m/>
    <m/>
    <x v="19"/>
    <x v="1"/>
    <s v="Terminated"/>
    <m/>
    <m/>
    <n v="0"/>
    <n v="2"/>
    <n v="0"/>
    <n v="1"/>
    <n v="0"/>
    <n v="0"/>
    <n v="0"/>
    <s v="No"/>
    <n v="0"/>
    <m/>
    <m/>
    <m/>
    <m/>
    <s v="No"/>
    <m/>
    <m/>
    <s v="NF"/>
    <s v="NF"/>
    <m/>
    <s v="SIDA"/>
  </r>
  <r>
    <n v="89"/>
    <s v="C4/019"/>
    <s v="Mohamed"/>
    <s v="Kassim"/>
    <s v="Ally"/>
    <x v="0"/>
    <x v="3"/>
    <s v="Tanzania"/>
    <x v="9"/>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x v="3"/>
    <m/>
    <s v="Prof. Jangawe Msuya"/>
    <m/>
    <m/>
    <n v="1"/>
    <s v="Home"/>
    <m/>
    <m/>
    <s v="No"/>
    <m/>
    <m/>
    <s v="Researcher"/>
    <s v="Assistant Lecturer"/>
    <s v="Senior Lecturer"/>
    <x v="0"/>
    <m/>
    <s v="UNIVERSITY OF DAR ES SALAAM"/>
    <s v="0000-0002-3016-9283"/>
    <m/>
    <d v="2014-03-02T00:00:00"/>
    <d v="2014-11-03T00:00:00"/>
    <s v="Yes"/>
    <m/>
    <m/>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s v="Kenya"/>
    <x v="11"/>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x v="3"/>
    <m/>
    <s v="Prof Manderson Lenore"/>
    <s v="Prof Musenge Eustasius"/>
    <s v="Dr Achia Thomas"/>
    <n v="3"/>
    <s v="Host"/>
    <m/>
    <m/>
    <s v="Yes"/>
    <m/>
    <m/>
    <s v="Researcher"/>
    <s v="Statistical Data Analyst"/>
    <s v="Consultant"/>
    <x v="0"/>
    <m/>
    <s v="SELF EMPLOYED (2019)"/>
    <s v="0000-0002-7326-3886"/>
    <m/>
    <d v="2014-03-02T00:00:00"/>
    <d v="2014-11-03T00:00:00"/>
    <s v="Yes"/>
    <d v="2015-08-19T00:00:00"/>
    <d v="2015-07-10T00:00:00"/>
    <m/>
    <m/>
    <m/>
    <s v="Quality of post abortion Care in Kenya"/>
    <d v="2016-08-03T00:00:00"/>
    <s v="Yes"/>
    <d v="2017-02-27T00:00:00"/>
    <s v="Yes"/>
    <m/>
    <m/>
    <m/>
    <x v="60"/>
    <x v="0"/>
    <n v="65"/>
    <n v="57"/>
    <m/>
    <n v="2"/>
    <n v="17"/>
    <n v="6"/>
    <n v="3"/>
    <n v="1"/>
    <n v="0"/>
    <n v="0"/>
    <s v="No"/>
    <n v="0"/>
    <m/>
    <m/>
    <m/>
    <m/>
    <s v="No"/>
    <m/>
    <m/>
    <n v="3"/>
    <n v="3"/>
    <m/>
    <s v="SIDA"/>
  </r>
  <r>
    <n v="91"/>
    <s v="C4/021"/>
    <s v="Modupe"/>
    <s v="Oladunni"/>
    <s v="Taiwo"/>
    <x v="1"/>
    <x v="3"/>
    <s v="Nigeria"/>
    <x v="5"/>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x v="3"/>
    <m/>
    <s v="Professor Funmi Togonu-Bickersteth"/>
    <m/>
    <m/>
    <n v="1"/>
    <s v="Home"/>
    <m/>
    <m/>
    <s v="Yes"/>
    <m/>
    <m/>
    <s v="Academic"/>
    <s v="Junior Research Fellow"/>
    <m/>
    <x v="1"/>
    <m/>
    <s v="OBAFEMI AWOLOWO UNIVERSITY"/>
    <s v="0000-0002-1377-3470"/>
    <m/>
    <d v="2014-03-02T00:00:00"/>
    <d v="2014-11-03T00:00:00"/>
    <s v="Yes"/>
    <m/>
    <m/>
    <m/>
    <m/>
    <m/>
    <m/>
    <d v="2016-08-03T00:00:00"/>
    <s v="Yes"/>
    <d v="2017-02-27T00:00:00"/>
    <s v="Yes"/>
    <m/>
    <m/>
    <m/>
    <x v="11"/>
    <x v="0"/>
    <n v="25"/>
    <n v="17"/>
    <m/>
    <n v="3"/>
    <n v="0"/>
    <n v="2"/>
    <n v="0"/>
    <n v="0"/>
    <n v="0"/>
    <n v="0"/>
    <s v="No"/>
    <n v="0"/>
    <m/>
    <m/>
    <m/>
    <m/>
    <s v="No"/>
    <m/>
    <m/>
    <n v="1"/>
    <n v="1"/>
    <m/>
    <s v="SIDA"/>
  </r>
  <r>
    <n v="92"/>
    <s v="C4/022"/>
    <s v="Nkosiyazi"/>
    <s v="-"/>
    <s v="Dube"/>
    <x v="0"/>
    <x v="3"/>
    <s v="South Africa"/>
    <x v="6"/>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x v="3"/>
    <m/>
    <s v="Professor Edwell Kaseke"/>
    <s v="Professor Edmarie Pretorius"/>
    <m/>
    <n v="2"/>
    <s v="Home"/>
    <m/>
    <m/>
    <s v="Yes"/>
    <m/>
    <m/>
    <s v="Academic"/>
    <s v="Tutor"/>
    <s v="Senior Lecturer"/>
    <x v="0"/>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s v="Kenya"/>
    <x v="7"/>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x v="3"/>
    <m/>
    <s v="Prof. Mwangi Julius "/>
    <m/>
    <m/>
    <n v="1"/>
    <s v="Home"/>
    <m/>
    <m/>
    <s v="Yes"/>
    <m/>
    <m/>
    <s v="Academic"/>
    <s v="Graduate Assistant"/>
    <s v="Lecturer"/>
    <x v="1"/>
    <m/>
    <s v="UNIVERSITY OF NAIROBI"/>
    <s v="0000-0002-7510-247X"/>
    <m/>
    <d v="2014-03-02T00:00:00"/>
    <d v="2014-11-03T00:00:00"/>
    <s v="Yes"/>
    <d v="2015-07-14T00:00:00"/>
    <d v="2015-05-13T00:00:00"/>
    <m/>
    <m/>
    <m/>
    <m/>
    <d v="2016-08-03T00:00:00"/>
    <s v="Yes"/>
    <d v="2017-02-27T00:00:00"/>
    <s v="Yes"/>
    <m/>
    <m/>
    <m/>
    <x v="61"/>
    <x v="0"/>
    <n v="103"/>
    <n v="95"/>
    <m/>
    <n v="0"/>
    <n v="1"/>
    <n v="0"/>
    <n v="1"/>
    <n v="0"/>
    <n v="0"/>
    <n v="0"/>
    <s v="No"/>
    <n v="0"/>
    <m/>
    <m/>
    <m/>
    <m/>
    <s v="No"/>
    <m/>
    <m/>
    <n v="2"/>
    <n v="3"/>
    <m/>
    <s v="SIDA"/>
  </r>
  <r>
    <n v="94"/>
    <s v="C4/024"/>
    <s v="Respicius"/>
    <s v="Shombusho"/>
    <s v="Damian"/>
    <x v="0"/>
    <x v="3"/>
    <s v="Tanzania"/>
    <x v="9"/>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x v="3"/>
    <m/>
    <s v="Dr Benson Alfred Bana"/>
    <s v="Professor/Kessy/Thebald/Ambrose"/>
    <m/>
    <n v="2"/>
    <s v="Home"/>
    <m/>
    <m/>
    <s v="Yes"/>
    <m/>
    <m/>
    <s v="Academic"/>
    <s v="Assistant Lecturer"/>
    <s v="Lecturer"/>
    <x v="0"/>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s v="Nigeria"/>
    <x v="5"/>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x v="3"/>
    <m/>
    <s v="Prof Irinoye  Oladunni Omolola"/>
    <m/>
    <m/>
    <n v="1"/>
    <s v="Home"/>
    <m/>
    <m/>
    <s v="Yes"/>
    <m/>
    <m/>
    <s v="Academic"/>
    <s v="Lecturer II"/>
    <s v="Senior Lecturer"/>
    <x v="0"/>
    <m/>
    <s v="OBAFEMI AWOLOWO UNIVERSITY"/>
    <s v="0000-0003-3307-6485"/>
    <m/>
    <d v="2014-03-02T00:00:00"/>
    <d v="2014-11-03T00:00:00"/>
    <s v="Yes"/>
    <m/>
    <m/>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s v="Nigeria"/>
    <x v="0"/>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x v="3"/>
    <m/>
    <s v="Mary Kawonga"/>
    <m/>
    <m/>
    <n v="1"/>
    <s v="Other "/>
    <m/>
    <m/>
    <s v="No"/>
    <m/>
    <m/>
    <s v="Academic"/>
    <s v="Lecturer I"/>
    <s v="Senior Lecturer"/>
    <x v="0"/>
    <m/>
    <s v="UNIVERSITY OF IBADAN"/>
    <s v="0000-0003-4135-1459"/>
    <m/>
    <d v="2014-03-02T00:00:00"/>
    <d v="2014-11-03T00:00:00"/>
    <s v="Yes"/>
    <d v="2016-07-29T00:00:00"/>
    <d v="2016-07-29T00:00:00"/>
    <m/>
    <m/>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s v="South Africa"/>
    <x v="6"/>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x v="3"/>
    <m/>
    <s v="Prof. Lenore Manderson"/>
    <m/>
    <m/>
    <n v="1"/>
    <s v="Home"/>
    <m/>
    <m/>
    <s v="Yes"/>
    <m/>
    <m/>
    <s v="Academic"/>
    <s v="Lecturer"/>
    <s v="Senior Lecturer"/>
    <x v="0"/>
    <s v=" &amp; Social and Behaviour Change Communication Coordinator"/>
    <s v="UNIVERSITY OF THE WITWATERSRAND"/>
    <s v=" 0000-0002-6658-2061"/>
    <m/>
    <d v="2014-03-02T00:00:00"/>
    <d v="2014-11-03T00:00:00"/>
    <s v="Yes"/>
    <m/>
    <m/>
    <m/>
    <m/>
    <m/>
    <m/>
    <d v="2017-08-06T00:00:00"/>
    <s v="No"/>
    <d v="2018-03-05T00:00:00"/>
    <s v="No"/>
    <m/>
    <m/>
    <m/>
    <x v="65"/>
    <x v="0"/>
    <n v="65"/>
    <n v="57"/>
    <m/>
    <n v="0"/>
    <n v="2"/>
    <n v="2"/>
    <n v="2"/>
    <n v="1"/>
    <n v="0"/>
    <n v="0"/>
    <s v="No"/>
    <n v="365"/>
    <m/>
    <m/>
    <m/>
    <m/>
    <s v="Yes"/>
    <m/>
    <m/>
    <n v="1"/>
    <n v="1"/>
    <m/>
    <s v="WT"/>
  </r>
  <r>
    <n v="98"/>
    <s v="C5/001"/>
    <s v="Cheikh Mbacké"/>
    <m/>
    <s v="Faye"/>
    <x v="0"/>
    <x v="4"/>
    <s v="Senegal"/>
    <x v="11"/>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x v="4"/>
    <m/>
    <s v="DonatienBeguy, PhD"/>
    <s v="Elizabeth Kimani, PhD"/>
    <s v="Sharon Fonn"/>
    <n v="3"/>
    <s v="Home"/>
    <s v="Home"/>
    <s v="Host"/>
    <s v="Yes"/>
    <s v="No"/>
    <s v="Yes"/>
    <s v="Researcher"/>
    <s v="Senior Research Officer"/>
    <s v="Research Scientist"/>
    <x v="0"/>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s v="Rwanda"/>
    <x v="1"/>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x v="4"/>
    <m/>
    <s v="Dr. Ruth J. Tubey"/>
    <s v="Dr. Alice Kurgat"/>
    <m/>
    <n v="2"/>
    <s v="Host"/>
    <s v="Host"/>
    <m/>
    <s v="Yes"/>
    <s v="No"/>
    <m/>
    <s v="Academic"/>
    <s v="Assistant Lecturer"/>
    <s v="Senior Lecturer"/>
    <x v="0"/>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s v="Nigeria"/>
    <x v="5"/>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x v="4"/>
    <m/>
    <s v="Prof. Oluwafemi N. Mimiko"/>
    <s v="Dr. A. A. E Olaogun"/>
    <m/>
    <n v="2"/>
    <s v="Home"/>
    <s v="Home"/>
    <m/>
    <s v="No"/>
    <s v="Yes"/>
    <m/>
    <s v="Academic"/>
    <s v="Lecturer II"/>
    <s v="Associate Professor"/>
    <x v="0"/>
    <m/>
    <s v="ARDEN UNIVERSITY (2023)"/>
    <s v="0000-0002-0381-737X."/>
    <s v="Yes"/>
    <d v="2015-03-02T00:00:00"/>
    <d v="2015-11-02T00:00:00"/>
    <s v="Yes"/>
    <m/>
    <m/>
    <m/>
    <m/>
    <m/>
    <m/>
    <d v="2017-07-31T00:00:00"/>
    <s v="Yes"/>
    <d v="2018-03-05T00:00:00"/>
    <s v="Yes"/>
    <m/>
    <m/>
    <m/>
    <x v="67"/>
    <x v="0"/>
    <n v="39"/>
    <n v="31"/>
    <m/>
    <n v="0"/>
    <n v="0"/>
    <n v="3"/>
    <n v="0"/>
    <n v="0"/>
    <n v="0"/>
    <n v="0"/>
    <s v="No"/>
    <n v="0"/>
    <m/>
    <m/>
    <m/>
    <m/>
    <s v="No"/>
    <m/>
    <m/>
    <n v="3"/>
    <n v="3"/>
    <m/>
    <s v="SIDA"/>
  </r>
  <r>
    <n v="101"/>
    <s v="C5/004"/>
    <s v="Yolanda"/>
    <s v="Malele"/>
    <s v="Kolisa"/>
    <x v="1"/>
    <x v="4"/>
    <s v="South Africa"/>
    <x v="6"/>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x v="4"/>
    <m/>
    <s v="Dr. Jude Igumbor"/>
    <s v="Prof. Magnus Hakeburg"/>
    <m/>
    <n v="2"/>
    <s v="Home"/>
    <s v="Other"/>
    <m/>
    <s v="Yes"/>
    <s v="No"/>
    <m/>
    <s v="Academic"/>
    <m/>
    <s v="Lecturer"/>
    <x v="1"/>
    <m/>
    <s v="UNIVERSITY OF THE WITWATERSRAND"/>
    <s v="0000-0003-3368-9193"/>
    <s v="No"/>
    <d v="2015-03-02T00:00:00"/>
    <d v="2015-11-02T00:00:00"/>
    <s v="Yes"/>
    <m/>
    <m/>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s v="Nigeria"/>
    <x v="0"/>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x v="4"/>
    <m/>
    <s v="Dr. Oyediran Oyewole"/>
    <s v="Sharon Fonn"/>
    <m/>
    <n v="2"/>
    <s v="Home"/>
    <s v="Host"/>
    <m/>
    <s v="Yes"/>
    <s v="Yes"/>
    <m/>
    <s v="Academic"/>
    <m/>
    <m/>
    <x v="1"/>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s v="Tanzania"/>
    <x v="4"/>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x v="4"/>
    <m/>
    <s v="Fredros Okumu"/>
    <m/>
    <m/>
    <n v="1"/>
    <s v="Home"/>
    <m/>
    <m/>
    <s v="Yes"/>
    <m/>
    <m/>
    <s v="Researcher"/>
    <s v="Research Scientist"/>
    <s v="Research Scientist"/>
    <x v="0"/>
    <s v="Deputy Head, Environmental Health Dept"/>
    <s v="IFAKARA HEALTH INSTITUTE"/>
    <s v="0000-0001-6170-5694"/>
    <m/>
    <d v="2015-03-02T00:00:00"/>
    <d v="2015-11-02T00:00:00"/>
    <s v="Yes"/>
    <m/>
    <m/>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s v="Kenya"/>
    <x v="7"/>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x v="4"/>
    <m/>
    <s v="Prof. Julius Wanjohi Mwangi"/>
    <s v="Dr. Kennedy Omondi Abuga"/>
    <m/>
    <n v="2"/>
    <s v="Home"/>
    <s v="Home"/>
    <m/>
    <s v="Yes"/>
    <s v="No"/>
    <m/>
    <s v="Academic"/>
    <s v="Lecturer"/>
    <s v="Lecturer"/>
    <x v="1"/>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s v="Nigeria"/>
    <x v="0"/>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x v="4"/>
    <m/>
    <s v="Prof. Olayemi Olufemi  Omotade"/>
    <s v="Prof.  Mikael  Svensson"/>
    <m/>
    <n v="2"/>
    <s v="Home"/>
    <m/>
    <m/>
    <s v="Yes"/>
    <m/>
    <m/>
    <s v="Academic"/>
    <m/>
    <m/>
    <x v="1"/>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s v="Malawi"/>
    <x v="3"/>
    <s v="Pharmaceutical Analysis"/>
    <s v="Pharmacy"/>
    <s v="University of Malawi and Associates"/>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x v="4"/>
    <m/>
    <s v="Professor Lutz Heide"/>
    <s v="Prof. Dr. Ulrike Holzgrabe"/>
    <m/>
    <n v="2"/>
    <s v="Home"/>
    <s v="Other"/>
    <m/>
    <s v="Yes"/>
    <s v="No"/>
    <m/>
    <s v="Academic"/>
    <s v="Lecturer "/>
    <s v="Associate Professor"/>
    <x v="0"/>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s v="Uganda"/>
    <x v="10"/>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x v="4"/>
    <m/>
    <s v="Prof. James Ntozi"/>
    <s v="Dr. Betty Kwagala"/>
    <m/>
    <n v="2"/>
    <s v="Home"/>
    <s v="Home"/>
    <m/>
    <s v="Yes"/>
    <s v="No"/>
    <m/>
    <s v="Academic"/>
    <s v="Assistant Lecturer"/>
    <s v="Assistant Lecturer"/>
    <x v="2"/>
    <m/>
    <s v="MAKERERE UNIVERISTY"/>
    <s v="0000-0001-5977-1924"/>
    <s v="No"/>
    <d v="2015-03-02T00:00:00"/>
    <d v="2015-11-02T00:00:00"/>
    <s v="Yes"/>
    <d v="2016-05-04T00:00:00"/>
    <d v="2016-07-02T00:00:00"/>
    <m/>
    <m/>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s v="Kenya"/>
    <x v="2"/>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x v="4"/>
    <m/>
    <s v="Prof  Mabel Nangami"/>
    <s v="Prof  Joyce Baliddawa"/>
    <s v="Dr. Caleb Isaboke Nyamwange"/>
    <n v="3"/>
    <s v="Home"/>
    <m/>
    <m/>
    <s v="No"/>
    <m/>
    <m/>
    <s v="Academic"/>
    <m/>
    <s v="Lecturer"/>
    <x v="1"/>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s v="Kenya"/>
    <x v="2"/>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x v="4"/>
    <m/>
    <s v="Dr. Tom Abuom"/>
    <m/>
    <m/>
    <n v="1"/>
    <s v="Home"/>
    <m/>
    <m/>
    <s v="Yes"/>
    <m/>
    <m/>
    <s v="Academic"/>
    <m/>
    <s v="Lecturer"/>
    <x v="1"/>
    <m/>
    <s v="MOI UNIVERSITY"/>
    <m/>
    <m/>
    <d v="2015-03-02T00:00:00"/>
    <d v="2015-11-02T00:00:00"/>
    <s v="Yes"/>
    <m/>
    <m/>
    <m/>
    <m/>
    <m/>
    <m/>
    <d v="2017-07-31T00:00:00"/>
    <s v="Yes"/>
    <d v="2018-03-05T00:00:00"/>
    <s v="Yes"/>
    <m/>
    <m/>
    <m/>
    <x v="19"/>
    <x v="2"/>
    <m/>
    <m/>
    <m/>
    <m/>
    <n v="2"/>
    <n v="0"/>
    <n v="2"/>
    <n v="0"/>
    <n v="0"/>
    <n v="0"/>
    <s v="No"/>
    <n v="0"/>
    <m/>
    <m/>
    <m/>
    <m/>
    <s v="Yes"/>
    <m/>
    <m/>
    <s v="NF"/>
    <s v="NF"/>
    <m/>
    <s v="SIDA"/>
  </r>
  <r>
    <n v="110"/>
    <s v="C5/013"/>
    <s v="Ikeola"/>
    <s v="Adejoke"/>
    <s v="Adeoye"/>
    <x v="1"/>
    <x v="4"/>
    <s v="Nigeria"/>
    <x v="0"/>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x v="4"/>
    <m/>
    <s v="Prof. Afolabi Bamigboye"/>
    <m/>
    <m/>
    <n v="1"/>
    <s v="Home"/>
    <m/>
    <m/>
    <s v="Yes"/>
    <m/>
    <m/>
    <s v="Academic"/>
    <m/>
    <s v="Lecturer"/>
    <x v="1"/>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s v="Uganda"/>
    <x v="10"/>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x v="4"/>
    <m/>
    <s v="Christopher Garimoi Orach, PhD"/>
    <s v="David Guwatudde, PhD"/>
    <m/>
    <n v="2"/>
    <s v="Home"/>
    <s v="Home"/>
    <m/>
    <s v="No"/>
    <s v="Yes"/>
    <m/>
    <s v="Academic"/>
    <s v="Lecturer"/>
    <s v="Lecturer"/>
    <x v="2"/>
    <m/>
    <s v="MAKERERE UNIVERSITY"/>
    <s v="0000-0001-9139-6183"/>
    <s v="Yes"/>
    <d v="2015-03-02T00:00:00"/>
    <d v="2015-11-02T00:00:00"/>
    <s v="Yes"/>
    <m/>
    <m/>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s v="Kenya"/>
    <x v="7"/>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x v="4"/>
    <m/>
    <s v="Prof.Omu Anzala"/>
    <m/>
    <m/>
    <n v="1"/>
    <s v="Home"/>
    <m/>
    <m/>
    <s v="Yes"/>
    <m/>
    <m/>
    <s v="Other"/>
    <s v="Medical Epidemiologist"/>
    <s v="Medical Epidemiologist and Center Director"/>
    <x v="0"/>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s v="Kenya"/>
    <x v="2"/>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x v="4"/>
    <m/>
    <s v="Ann Mwangi, PhD"/>
    <s v="Charles Chasela, PhD"/>
    <m/>
    <n v="2"/>
    <s v="Home"/>
    <s v="Host"/>
    <m/>
    <s v="Yes"/>
    <s v="No"/>
    <m/>
    <s v="Academic"/>
    <m/>
    <s v="Lecturer "/>
    <x v="0"/>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s v="Nigeria"/>
    <x v="5"/>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x v="4"/>
    <m/>
    <s v="Prof. Oluwafemi N. Mimiko"/>
    <m/>
    <m/>
    <n v="1"/>
    <s v="Home"/>
    <m/>
    <m/>
    <s v="Yes"/>
    <m/>
    <m/>
    <s v="Academic"/>
    <s v="Assistant Lecturer"/>
    <s v="Lecturer I"/>
    <x v="0"/>
    <m/>
    <s v="OBAFEMI AWOLOWO UNIVERSITY"/>
    <s v="0000-0002-2157-1940"/>
    <m/>
    <d v="2015-03-02T00:00:00"/>
    <d v="2015-11-02T00:00:00"/>
    <s v="Yes"/>
    <d v="2021-07-04T00:00:00"/>
    <d v="2021-07-04T00:00:00"/>
    <m/>
    <m/>
    <m/>
    <m/>
    <d v="2017-07-31T00:00:00"/>
    <s v="Yes"/>
    <d v="2019-03-04T00:00:00"/>
    <s v="No"/>
    <m/>
    <m/>
    <m/>
    <x v="77"/>
    <x v="0"/>
    <n v="42"/>
    <n v="34"/>
    <m/>
    <n v="1"/>
    <n v="0"/>
    <n v="1"/>
    <n v="6"/>
    <n v="0"/>
    <n v="0"/>
    <n v="0"/>
    <s v="JAS 1, 2015 &amp; JAS 4, 2019"/>
    <n v="0"/>
    <m/>
    <m/>
    <m/>
    <m/>
    <s v="No"/>
    <m/>
    <m/>
    <n v="2"/>
    <n v="4"/>
    <m/>
    <s v="SIDA"/>
  </r>
  <r>
    <n v="115"/>
    <s v="C5/018"/>
    <s v="Lester"/>
    <m/>
    <s v="Kapanda"/>
    <x v="0"/>
    <x v="4"/>
    <s v="Malawi"/>
    <x v="3"/>
    <s v="Epidemeology and Public Health"/>
    <s v="Public Health"/>
    <s v="University of Malawi and Associates"/>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x v="4"/>
    <m/>
    <s v="Prof. Adamson Muula"/>
    <s v="Dr. Chima Izgubara"/>
    <s v="Dr. Nicola Desmond "/>
    <n v="3"/>
    <s v="Home"/>
    <s v="Other"/>
    <s v="Other"/>
    <s v="Yes"/>
    <s v="Yes"/>
    <s v="No"/>
    <s v="Academic"/>
    <m/>
    <m/>
    <x v="1"/>
    <m/>
    <s v="UNIVERSITY OF MALAWI"/>
    <s v="0000-0003-2887-2954"/>
    <s v="Yes"/>
    <d v="2015-03-02T00:00:00"/>
    <d v="2015-11-02T00:00:00"/>
    <s v="Yes"/>
    <m/>
    <m/>
    <m/>
    <m/>
    <m/>
    <m/>
    <d v="2017-07-31T00:00:00"/>
    <s v="Yes"/>
    <d v="2018-03-05T00:00:00"/>
    <s v="Yes"/>
    <m/>
    <m/>
    <m/>
    <x v="78"/>
    <x v="0"/>
    <n v="61"/>
    <n v="53"/>
    <m/>
    <n v="0"/>
    <n v="3"/>
    <n v="1"/>
    <n v="0"/>
    <n v="0"/>
    <n v="0"/>
    <n v="0"/>
    <s v="No"/>
    <n v="0"/>
    <m/>
    <m/>
    <m/>
    <m/>
    <s v="No"/>
    <m/>
    <m/>
    <n v="2"/>
    <n v="2"/>
    <m/>
    <s v="SIDA"/>
  </r>
  <r>
    <n v="116"/>
    <s v="C5/019"/>
    <s v="Maria"/>
    <s v="Chifuniro"/>
    <s v="Chikalipo"/>
    <x v="1"/>
    <x v="4"/>
    <s v="Malawi"/>
    <x v="3"/>
    <s v="Nursing and Midwifery"/>
    <s v="Public Health"/>
    <s v="University of Malawi and Associates"/>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x v="4"/>
    <m/>
    <s v="Prof. Adamson Muula"/>
    <s v="Prof. Ellen Chirwa"/>
    <m/>
    <n v="2"/>
    <s v="Home"/>
    <s v="Home"/>
    <m/>
    <s v="Yes"/>
    <s v="No"/>
    <m/>
    <s v="Academic"/>
    <s v="Lecturer"/>
    <m/>
    <x v="1"/>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s v="South Africa"/>
    <x v="6"/>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x v="4"/>
    <d v="2025-03-25T00:00:00"/>
    <s v="Prof. Charles S. Chasela"/>
    <s v="Dr. Lee Fairlie"/>
    <m/>
    <n v="2"/>
    <s v="Home"/>
    <s v="Home"/>
    <m/>
    <s v="No"/>
    <s v="Yes"/>
    <m/>
    <s v="Researcher"/>
    <s v="Technical advisor"/>
    <s v="Technical advisor"/>
    <x v="1"/>
    <m/>
    <s v="WITS RHI"/>
    <s v="0000-0001-7866-2651"/>
    <s v="Yes"/>
    <d v="2015-03-02T00:00:00"/>
    <d v="2015-11-02T00:00:00"/>
    <s v="Yes"/>
    <m/>
    <m/>
    <m/>
    <m/>
    <m/>
    <m/>
    <d v="2017-07-31T00:00:00"/>
    <s v="Yes"/>
    <d v="2018-03-05T00:00:00"/>
    <s v="Yes"/>
    <m/>
    <m/>
    <m/>
    <x v="19"/>
    <x v="1"/>
    <m/>
    <m/>
    <m/>
    <n v="0"/>
    <n v="0"/>
    <n v="14"/>
    <n v="0"/>
    <n v="0"/>
    <n v="0"/>
    <n v="0"/>
    <s v="JAS 4, 2018"/>
    <n v="0"/>
    <m/>
    <m/>
    <m/>
    <m/>
    <s v="No"/>
    <m/>
    <m/>
    <s v="NF"/>
    <s v="NF"/>
    <m/>
    <s v="SIDA"/>
  </r>
  <r>
    <n v="118"/>
    <s v="C5/021"/>
    <s v="Oyewale"/>
    <s v="Mayowa"/>
    <s v="Morakinyo"/>
    <x v="0"/>
    <x v="4"/>
    <s v="Nigeria"/>
    <x v="0"/>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x v="4"/>
    <m/>
    <s v="Prof. Ana Godson Rowland"/>
    <m/>
    <m/>
    <n v="1"/>
    <s v="Home"/>
    <m/>
    <m/>
    <s v="Yes"/>
    <m/>
    <m/>
    <s v="Academic"/>
    <s v="Lecturer"/>
    <s v="Lecturer"/>
    <x v="1"/>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s v="Uganda"/>
    <x v="10"/>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x v="4"/>
    <d v="2020-04-09T00:00:00"/>
    <s v="Prof. Wilson Winston Muhwezi"/>
    <s v="Prof. Seggane Musisi"/>
    <s v="Dr.Akena Dickens Howard"/>
    <n v="3"/>
    <s v="Home"/>
    <s v="Home"/>
    <s v="Home"/>
    <s v="Yes"/>
    <s v="No"/>
    <s v="No"/>
    <m/>
    <s v="Lecturer"/>
    <s v="Lecturer"/>
    <x v="1"/>
    <m/>
    <s v="MAKERERE UNIVERSITY"/>
    <m/>
    <s v="No"/>
    <d v="2015-03-02T00:00:00"/>
    <d v="2015-11-02T00:00:00"/>
    <s v="Yes"/>
    <m/>
    <m/>
    <m/>
    <m/>
    <m/>
    <m/>
    <s v="Not attended"/>
    <s v="No"/>
    <s v="Not attended"/>
    <s v="No"/>
    <m/>
    <m/>
    <m/>
    <x v="19"/>
    <x v="1"/>
    <s v="Terminated"/>
    <m/>
    <m/>
    <m/>
    <n v="2"/>
    <n v="0"/>
    <n v="0"/>
    <n v="0"/>
    <n v="0"/>
    <n v="0"/>
    <s v="No"/>
    <n v="0"/>
    <m/>
    <m/>
    <m/>
    <m/>
    <s v="No"/>
    <m/>
    <m/>
    <s v="NF"/>
    <s v="NF"/>
    <m/>
    <s v="SIDA"/>
  </r>
  <r>
    <n v="120"/>
    <s v="C5/023"/>
    <s v="Gift"/>
    <m/>
    <s v="Khangamwa"/>
    <x v="0"/>
    <x v="4"/>
    <s v="Malawi"/>
    <x v="3"/>
    <m/>
    <m/>
    <s v="University of Malawi and Associates"/>
    <s v="Yes"/>
    <s v="NF"/>
    <s v="NF"/>
    <s v="NF"/>
    <s v="NF"/>
    <m/>
    <m/>
    <m/>
    <m/>
    <m/>
    <m/>
    <m/>
    <m/>
    <m/>
    <m/>
    <m/>
    <x v="4"/>
    <d v="2017-12-31T00:00:00"/>
    <m/>
    <m/>
    <m/>
    <n v="0"/>
    <m/>
    <m/>
    <m/>
    <m/>
    <m/>
    <m/>
    <m/>
    <m/>
    <m/>
    <x v="1"/>
    <m/>
    <s v=""/>
    <m/>
    <d v="2017-07-05T00:00:00"/>
    <d v="2015-03-02T00:00:00"/>
    <m/>
    <m/>
    <m/>
    <m/>
    <m/>
    <m/>
    <m/>
    <m/>
    <m/>
    <m/>
    <m/>
    <m/>
    <m/>
    <m/>
    <m/>
    <x v="19"/>
    <x v="1"/>
    <s v="Terminated"/>
    <m/>
    <m/>
    <m/>
    <m/>
    <m/>
    <m/>
    <m/>
    <m/>
    <m/>
    <s v="No"/>
    <m/>
    <m/>
    <m/>
    <m/>
    <m/>
    <m/>
    <m/>
    <m/>
    <m/>
    <m/>
    <m/>
    <s v="SIDA"/>
  </r>
  <r>
    <n v="121"/>
    <s v="C5/024"/>
    <s v="Masoud"/>
    <s v="Hussein"/>
    <s v="Mahundi"/>
    <x v="0"/>
    <x v="4"/>
    <s v="Tanzania"/>
    <x v="9"/>
    <m/>
    <m/>
    <s v="University of Dar es Salaam"/>
    <s v="Yes"/>
    <s v="NF"/>
    <s v="NF"/>
    <s v="NF"/>
    <s v="NF"/>
    <m/>
    <m/>
    <m/>
    <m/>
    <m/>
    <m/>
    <m/>
    <m/>
    <m/>
    <m/>
    <m/>
    <x v="4"/>
    <d v="2018-08-30T00:00:00"/>
    <m/>
    <m/>
    <m/>
    <n v="0"/>
    <m/>
    <m/>
    <m/>
    <m/>
    <m/>
    <m/>
    <m/>
    <m/>
    <m/>
    <x v="1"/>
    <m/>
    <s v=""/>
    <m/>
    <m/>
    <d v="2015-03-02T00:00:00"/>
    <m/>
    <m/>
    <m/>
    <m/>
    <m/>
    <m/>
    <m/>
    <m/>
    <m/>
    <m/>
    <m/>
    <m/>
    <m/>
    <m/>
    <m/>
    <x v="19"/>
    <x v="1"/>
    <s v="Terminated"/>
    <m/>
    <m/>
    <m/>
    <m/>
    <m/>
    <m/>
    <m/>
    <m/>
    <m/>
    <s v="No"/>
    <m/>
    <m/>
    <m/>
    <m/>
    <m/>
    <m/>
    <m/>
    <m/>
    <m/>
    <m/>
    <m/>
    <s v="SIDA"/>
  </r>
  <r>
    <n v="122"/>
    <s v="C5/025"/>
    <s v="Callen"/>
    <s v="Kwamboka"/>
    <s v="Onyambu"/>
    <x v="1"/>
    <x v="4"/>
    <s v="Kenya"/>
    <x v="7"/>
    <m/>
    <m/>
    <s v="University of Nairobi"/>
    <s v="Yes"/>
    <s v="NF"/>
    <s v="NF"/>
    <s v="NF"/>
    <s v="NF"/>
    <m/>
    <m/>
    <m/>
    <m/>
    <m/>
    <m/>
    <m/>
    <m/>
    <m/>
    <m/>
    <m/>
    <x v="4"/>
    <d v="2018-08-30T00:00:00"/>
    <m/>
    <m/>
    <m/>
    <n v="0"/>
    <m/>
    <m/>
    <m/>
    <m/>
    <m/>
    <m/>
    <m/>
    <m/>
    <m/>
    <x v="1"/>
    <m/>
    <s v=""/>
    <m/>
    <d v="2017-07-05T00:00:00"/>
    <d v="2015-03-02T00:00:00"/>
    <m/>
    <m/>
    <m/>
    <m/>
    <m/>
    <m/>
    <m/>
    <m/>
    <m/>
    <m/>
    <m/>
    <m/>
    <m/>
    <m/>
    <m/>
    <x v="19"/>
    <x v="1"/>
    <s v="Terminated"/>
    <m/>
    <m/>
    <m/>
    <m/>
    <m/>
    <m/>
    <m/>
    <m/>
    <m/>
    <s v="No"/>
    <m/>
    <m/>
    <m/>
    <m/>
    <m/>
    <m/>
    <m/>
    <m/>
    <m/>
    <m/>
    <m/>
    <s v="SIDA"/>
  </r>
  <r>
    <n v="123"/>
    <s v="C6/001"/>
    <s v="Beatrice"/>
    <s v="Waitherero"/>
    <s v="Maina"/>
    <x v="1"/>
    <x v="5"/>
    <s v="Kenya"/>
    <x v="11"/>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x v="5"/>
    <m/>
    <s v="Dr. Caroline Kabiru"/>
    <s v="Dr Yandisa Sikweyiya"/>
    <m/>
    <n v="2"/>
    <s v="Home"/>
    <s v="Host"/>
    <m/>
    <s v="Yes"/>
    <s v="Yes"/>
    <m/>
    <s v="Researcher"/>
    <s v="Research Officer"/>
    <s v="Associate Research Scientist"/>
    <x v="0"/>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s v="Kenya"/>
    <x v="7"/>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x v="5"/>
    <m/>
    <s v="Dr. Lilac A. Osanjo"/>
    <s v="Dr. Ambole Amollo Lorraine"/>
    <m/>
    <n v="2"/>
    <s v="Home"/>
    <m/>
    <m/>
    <s v="Yes"/>
    <m/>
    <m/>
    <s v="Academic"/>
    <s v="Tutorial Fellow"/>
    <s v="Tutorial Fellow"/>
    <x v="1"/>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s v="Malawi"/>
    <x v="3"/>
    <s v="Nursing"/>
    <s v="Medical and Surgical Nursing"/>
    <s v="University of Malawi and Associates"/>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x v="5"/>
    <m/>
    <s v="Prof. Moffat Nyirenda"/>
    <s v="Dr. Belinda Gombachika"/>
    <m/>
    <n v="2"/>
    <s v="Other "/>
    <s v="Home"/>
    <m/>
    <s v="No"/>
    <s v="Yes"/>
    <m/>
    <s v="Academic"/>
    <s v="Lecturer"/>
    <s v="Lecturer"/>
    <x v="1"/>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s v="Nigeria"/>
    <x v="6"/>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x v="5"/>
    <m/>
    <s v="Prof. Clifford Odimegwu"/>
    <m/>
    <m/>
    <n v="1"/>
    <s v="Home"/>
    <m/>
    <m/>
    <s v="No"/>
    <m/>
    <m/>
    <s v="Researcher"/>
    <s v="Research Associate"/>
    <s v="Research Associate"/>
    <x v="2"/>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s v="Rwanda"/>
    <x v="1"/>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x v="5"/>
    <m/>
    <s v="Daphney Conco"/>
    <s v="Dr. Laetitia Nyirazinyoye"/>
    <m/>
    <n v="2"/>
    <s v="Other "/>
    <s v="Home"/>
    <m/>
    <s v="No"/>
    <s v="No"/>
    <m/>
    <s v="Academic"/>
    <s v="Assistant Lecturer"/>
    <s v="Lecturer"/>
    <x v="2"/>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s v="Nigeria"/>
    <x v="0"/>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x v="5"/>
    <m/>
    <s v="Dr. Ikeoluwapo  Ajayi"/>
    <m/>
    <m/>
    <n v="1"/>
    <s v="Home"/>
    <m/>
    <m/>
    <s v="Yes"/>
    <m/>
    <m/>
    <s v="Academic"/>
    <s v="Lecturer 1"/>
    <s v="Senior Lecturer"/>
    <x v="0"/>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s v="South Africa"/>
    <x v="6"/>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x v="5"/>
    <m/>
    <s v="Prof. KatijahKhoza-Shangase"/>
    <m/>
    <m/>
    <n v="1"/>
    <s v="Home"/>
    <m/>
    <m/>
    <s v="Yes"/>
    <m/>
    <m/>
    <s v="Academic"/>
    <s v="Tutor"/>
    <s v="Associate Professor "/>
    <x v="0"/>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s v="Uganda"/>
    <x v="10"/>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x v="5"/>
    <m/>
    <s v="Ass. Prof. Kakudidi Eseszah"/>
    <s v="Ass. Prof. Byamukama Robert"/>
    <s v="Prof. Dr. Emmrich Frank, Fraunhofer "/>
    <n v="3"/>
    <s v="Home"/>
    <s v="Home"/>
    <s v="Other"/>
    <s v="Yes"/>
    <s v="No"/>
    <s v="No"/>
    <s v="Academic"/>
    <s v="Teaching Assistant"/>
    <s v="Lecturer"/>
    <x v="0"/>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s v="Nigeria"/>
    <x v="5"/>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x v="5"/>
    <m/>
    <s v="Prof. Akinyemi Ibukun Akanni"/>
    <s v="Dr. Oyedokun Olugbenga Amos"/>
    <m/>
    <n v="2"/>
    <s v="Home"/>
    <m/>
    <m/>
    <s v="Yes"/>
    <m/>
    <m/>
    <s v="Academic"/>
    <s v="Assistant Lecturer"/>
    <s v="Senior Lecturer"/>
    <x v="0"/>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s v="Malawi"/>
    <x v="3"/>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x v="5"/>
    <m/>
    <s v="Prof. Maureen Coetzee"/>
    <s v="Dr. Themba Mzilahowa"/>
    <m/>
    <n v="2"/>
    <s v="Host"/>
    <s v="Home"/>
    <m/>
    <s v="Yes"/>
    <s v="Yes"/>
    <m/>
    <s v="Researcher"/>
    <s v="Research Assistant"/>
    <s v="Research Scientist"/>
    <x v="1"/>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s v="Uganda"/>
    <x v="10"/>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x v="5"/>
    <m/>
    <s v="Professor Ponsiano Ocama"/>
    <s v="Assoc. Professor Frederick Makumbi"/>
    <m/>
    <n v="2"/>
    <s v="Home"/>
    <s v="Home"/>
    <m/>
    <s v="No"/>
    <s v="Yes"/>
    <m/>
    <s v="Academic"/>
    <s v="Lecturer"/>
    <s v="Senior Lecturer"/>
    <x v="0"/>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s v="Nigeria"/>
    <x v="0"/>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x v="5"/>
    <m/>
    <s v="Prof Omololu O. Femi"/>
    <m/>
    <m/>
    <n v="1"/>
    <s v="Home"/>
    <m/>
    <m/>
    <s v="Yes"/>
    <m/>
    <m/>
    <s v="Academic"/>
    <s v="Tutorial Assistant"/>
    <s v="Research Fellow I"/>
    <x v="0"/>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s v="Nigeria"/>
    <x v="5"/>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x v="5"/>
    <m/>
    <s v="Prof. Anna Baranowska-Rataj"/>
    <m/>
    <m/>
    <n v="1"/>
    <s v="Home"/>
    <m/>
    <m/>
    <s v="Yes"/>
    <m/>
    <m/>
    <s v="Academic"/>
    <s v="Assistant Lecturer"/>
    <s v="Senior Lecturer "/>
    <x v="0"/>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s v="Malawi"/>
    <x v="3"/>
    <s v="Engineering"/>
    <s v="Environmental Health"/>
    <s v="University of Malawi and Associates"/>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x v="5"/>
    <m/>
    <s v="Asso. Prof. Bernard Thole (PhD)"/>
    <s v="Ass. Prof. Theresa Mkandawire (PhD) "/>
    <s v="Prof. Grant Kululanga (PhD) "/>
    <n v="3"/>
    <s v="Home"/>
    <s v="Home"/>
    <s v="Home"/>
    <s v="Yes"/>
    <s v="No"/>
    <s v="No"/>
    <s v="Academic"/>
    <s v="Senior Lecturer"/>
    <s v="Senior Lecturer"/>
    <x v="0"/>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s v="Nigeria"/>
    <x v="0"/>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x v="5"/>
    <m/>
    <s v="Dr. Elizabeth O. OLORUNTOBA"/>
    <s v="Prof. M.K.C. SRIDHAR"/>
    <m/>
    <n v="2"/>
    <s v="Home"/>
    <s v="Home"/>
    <m/>
    <s v="Yes"/>
    <m/>
    <m/>
    <s v="Academic"/>
    <s v="Lecturer II"/>
    <s v="Lecturer I"/>
    <x v="0"/>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s v="Nigeria"/>
    <x v="5"/>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x v="5"/>
    <m/>
    <s v="Prof. Adesegun O. Fatusi"/>
    <s v="Dr. Olapeju A. Esimai"/>
    <m/>
    <n v="2"/>
    <s v="Home"/>
    <s v="Home"/>
    <m/>
    <s v="No"/>
    <s v="Yes"/>
    <m/>
    <s v="Academic"/>
    <s v="Senior Lecturer"/>
    <s v="Professor "/>
    <x v="0"/>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s v="Rwanda"/>
    <x v="1"/>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x v="5"/>
    <m/>
    <s v="Dr. Gorrette Nalwadda K"/>
    <s v="Prof. Nazarius Mbona T"/>
    <m/>
    <n v="2"/>
    <s v="Other "/>
    <s v="Other"/>
    <m/>
    <s v="No"/>
    <s v="Yes"/>
    <m/>
    <s v="Academic"/>
    <s v="Head of Midwifery"/>
    <s v="Senior Lecturer"/>
    <x v="0"/>
    <m/>
    <s v="UNIVERSITY OF RWANDA"/>
    <s v="0000-0001-6105-2611"/>
    <m/>
    <d v="2016-02-28T00:00:00"/>
    <d v="2016-11-07T00:00:00"/>
    <s v="Yes"/>
    <d v="2017-09-15T00:00:00"/>
    <d v="2018-03-15T00:00:00"/>
    <m/>
    <m/>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s v="Kenya"/>
    <x v="7"/>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x v="5"/>
    <m/>
    <s v="Dr. Waithira Mirie"/>
    <s v="Dr. Samuel T. Kimani  "/>
    <m/>
    <n v="2"/>
    <s v="Home"/>
    <s v="Home"/>
    <m/>
    <s v="Yes"/>
    <m/>
    <m/>
    <s v="Academic"/>
    <s v="Lecturer"/>
    <s v="Senior Lecturer"/>
    <x v="0"/>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s v="South Africa"/>
    <x v="6"/>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x v="5"/>
    <m/>
    <s v="Catherine MacPhail"/>
    <s v="Prof. Delany-Moretlwe"/>
    <m/>
    <n v="2"/>
    <s v="Other "/>
    <s v="Other"/>
    <m/>
    <s v="No"/>
    <s v="No"/>
    <m/>
    <s v="Researcher"/>
    <s v="Honorary Researcher"/>
    <s v="Researcher"/>
    <x v="1"/>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s v="Nigeria"/>
    <x v="5"/>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x v="5"/>
    <m/>
    <s v="Prof. R. B. Fajemilehin"/>
    <s v="Prof. B. S. Afolabi"/>
    <m/>
    <n v="2"/>
    <s v="Home"/>
    <m/>
    <m/>
    <s v="Yes"/>
    <m/>
    <m/>
    <s v="Academic"/>
    <s v="Lecturer"/>
    <s v="Professor"/>
    <x v="0"/>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s v="Kenya"/>
    <x v="7"/>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x v="5"/>
    <m/>
    <s v="Prof. David Kinuthia Kariuki"/>
    <s v="Dr. Elizabeth Dimba"/>
    <s v="Prof. Loice Gathece"/>
    <n v="3"/>
    <s v="Home"/>
    <s v="Home"/>
    <s v="Home"/>
    <s v="Yes"/>
    <s v="No"/>
    <s v="No"/>
    <s v="Academic"/>
    <s v="Lecturer"/>
    <s v="Senior Lecturer"/>
    <x v="0"/>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s v="Nigeria"/>
    <x v="0"/>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x v="5"/>
    <m/>
    <s v="Prof. Christofides Nicola"/>
    <s v="Prof. Mall Sumaya"/>
    <m/>
    <n v="2"/>
    <m/>
    <m/>
    <m/>
    <m/>
    <m/>
    <m/>
    <s v="Academic"/>
    <s v="Lecturer 1"/>
    <s v="Lecturer"/>
    <x v="0"/>
    <m/>
    <s v="UNIVERSITY OF IBADAN"/>
    <s v="0000-0001-6993-1100"/>
    <m/>
    <d v="2016-02-28T00:00:00"/>
    <d v="2016-11-07T00:00:00"/>
    <s v="Yes"/>
    <d v="2017-11-30T00:00:00"/>
    <d v="2018-02-07T00:00:00"/>
    <m/>
    <m/>
    <m/>
    <m/>
    <d v="2019-07-29T00:00:00"/>
    <s v="No"/>
    <m/>
    <s v="No"/>
    <m/>
    <m/>
    <m/>
    <x v="99"/>
    <x v="0"/>
    <n v="89"/>
    <n v="80"/>
    <m/>
    <n v="3"/>
    <n v="9"/>
    <n v="0"/>
    <n v="2"/>
    <n v="0"/>
    <n v="0"/>
    <n v="0"/>
    <s v="No"/>
    <n v="0"/>
    <m/>
    <m/>
    <m/>
    <m/>
    <s v="No"/>
    <m/>
    <m/>
    <n v="2"/>
    <m/>
    <m/>
    <s v="SIDA"/>
  </r>
  <r>
    <n v="145"/>
    <s v="C6/023"/>
    <s v="Mpho"/>
    <s v="Primrose"/>
    <s v="Molete"/>
    <x v="1"/>
    <x v="5"/>
    <s v="South Africa"/>
    <x v="6"/>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x v="5"/>
    <m/>
    <s v="Dr. Jude Igumbor"/>
    <s v="Prof. Aimee Stewart"/>
    <m/>
    <n v="2"/>
    <s v="Home"/>
    <s v="Home"/>
    <m/>
    <s v="Yes"/>
    <s v="Yes"/>
    <m/>
    <s v="Academic"/>
    <s v="Specialist in Community Dentistry"/>
    <s v="Senior Lecturer"/>
    <x v="1"/>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s v="Tanzania"/>
    <x v="4"/>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x v="5"/>
    <m/>
    <s v="Dr. Rose J Masalu"/>
    <m/>
    <m/>
    <n v="1"/>
    <s v="Host"/>
    <m/>
    <m/>
    <s v="No"/>
    <m/>
    <m/>
    <s v="Researcher"/>
    <s v="Quality Assurance Officer"/>
    <s v="Research Scientist"/>
    <x v="1"/>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s v="Kenya"/>
    <x v="2"/>
    <s v="BIOSTATISTICS"/>
    <s v="Public and Population Health"/>
    <s v="University of the Witwatersrand"/>
    <s v="No"/>
    <s v="NF"/>
    <s v="NF"/>
    <s v="NF"/>
    <s v="NF"/>
    <s v="esang@cartafrica.org"/>
    <s v="edwin.ampath@gmail.com"/>
    <s v="+254711531441"/>
    <m/>
    <m/>
    <m/>
    <m/>
    <m/>
    <m/>
    <m/>
    <m/>
    <x v="6"/>
    <d v="2018-08-30T00:00:00"/>
    <m/>
    <m/>
    <m/>
    <n v="0"/>
    <m/>
    <m/>
    <m/>
    <m/>
    <m/>
    <m/>
    <m/>
    <m/>
    <m/>
    <x v="1"/>
    <m/>
    <s v="MOI UNIVERSITY"/>
    <m/>
    <m/>
    <d v="2016-02-28T00:00:00"/>
    <m/>
    <m/>
    <m/>
    <m/>
    <m/>
    <m/>
    <m/>
    <m/>
    <m/>
    <m/>
    <m/>
    <m/>
    <m/>
    <m/>
    <m/>
    <x v="19"/>
    <x v="1"/>
    <s v="Terminated"/>
    <m/>
    <m/>
    <m/>
    <m/>
    <m/>
    <m/>
    <m/>
    <m/>
    <m/>
    <s v="No"/>
    <m/>
    <m/>
    <m/>
    <m/>
    <m/>
    <m/>
    <m/>
    <m/>
    <m/>
    <m/>
    <m/>
    <s v="WT-DELTAS"/>
  </r>
  <r>
    <n v="148"/>
    <s v="C7/001"/>
    <s v="Abigail"/>
    <s v="Ruth"/>
    <s v="Dreyer"/>
    <x v="1"/>
    <x v="6"/>
    <s v="South Africa"/>
    <x v="6"/>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x v="6"/>
    <m/>
    <s v="Prof. Laetitia Rispel  "/>
    <m/>
    <m/>
    <n v="1"/>
    <s v="Home"/>
    <m/>
    <m/>
    <s v="Yes"/>
    <m/>
    <m/>
    <s v="Academic"/>
    <s v="Lecturer"/>
    <s v="Lecturer"/>
    <x v="0"/>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s v="Uganda"/>
    <x v="10"/>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x v="6"/>
    <m/>
    <s v="Prof. Eleanor Manderson"/>
    <m/>
    <m/>
    <n v="1"/>
    <s v="Host"/>
    <m/>
    <m/>
    <s v="No"/>
    <m/>
    <m/>
    <s v="Academic"/>
    <s v="Assistant Lecturer "/>
    <s v="Assistant Lecturer"/>
    <x v="1"/>
    <m/>
    <s v="MAKERERE UNIVERSITY"/>
    <s v="0000-0002-7787-8597"/>
    <m/>
    <d v="2017-02-27T00:00:00"/>
    <d v="2017-11-06T00:00:00"/>
    <s v="Yes"/>
    <d v="2018-05-04T00:00:00"/>
    <d v="2018-05-02T00:00:00"/>
    <m/>
    <m/>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s v="Nigeria"/>
    <x v="5"/>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x v="6"/>
    <m/>
    <s v="Prof. Irinoye Oladunni Omolola "/>
    <m/>
    <m/>
    <n v="1"/>
    <s v="Home"/>
    <m/>
    <m/>
    <s v="Yes"/>
    <m/>
    <m/>
    <s v="Researcher"/>
    <s v="Instructor"/>
    <s v="Lecturer"/>
    <x v="1"/>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s v="Malawi"/>
    <x v="3"/>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x v="6"/>
    <m/>
    <s v="Prof. Eleanor Manderson"/>
    <s v="Prof. Munthali, Alister"/>
    <s v="Dr. Chipeta, Effie"/>
    <n v="3"/>
    <s v="Host"/>
    <m/>
    <m/>
    <s v="No"/>
    <m/>
    <m/>
    <s v="Researcher"/>
    <s v="Research Scientist"/>
    <s v="Research Fellow"/>
    <x v="1"/>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s v="Rwanda"/>
    <x v="1"/>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x v="6"/>
    <m/>
    <s v="Dr. David Musoke, PhD "/>
    <s v=" Assoc. Prof. Nazarius Mbona Tumwesigye"/>
    <s v="Assoc.Prof.Theoneste Ntakirutimana"/>
    <n v="3"/>
    <s v="Host"/>
    <m/>
    <m/>
    <s v="Yes"/>
    <m/>
    <m/>
    <s v="Academic"/>
    <s v="Assistant Lecturer"/>
    <s v="Senior Lecturer"/>
    <x v="0"/>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s v="Kenya"/>
    <x v="7"/>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x v="6"/>
    <m/>
    <s v="Dr. Muthoni Mathai"/>
    <s v="Dr William Byansi"/>
    <s v="Dr Thomas Crea"/>
    <n v="3"/>
    <s v="Home"/>
    <m/>
    <m/>
    <s v="Yes"/>
    <m/>
    <m/>
    <s v="Other"/>
    <s v="Clinical Psychologist"/>
    <s v="Clinical Psychologist &amp; ADAP Program Coordinator"/>
    <x v="1"/>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s v="Nigeria"/>
    <x v="0"/>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x v="6"/>
    <m/>
    <s v="Prof. Eme Owoaje Theodara"/>
    <s v="Dr Adebusoye Adekunle Lawrence"/>
    <m/>
    <n v="2"/>
    <s v="Home"/>
    <m/>
    <m/>
    <s v="Yes"/>
    <m/>
    <m/>
    <s v="Academic"/>
    <m/>
    <s v="Senior Lecturer"/>
    <x v="0"/>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s v="Malawi"/>
    <x v="3"/>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x v="6"/>
    <m/>
    <s v="Associate Professor Yandisa Sikweyiya"/>
    <s v="Associate Professor Mphatso Kamndaya"/>
    <m/>
    <n v="2"/>
    <s v="Home"/>
    <m/>
    <m/>
    <s v="Yes"/>
    <m/>
    <m/>
    <s v="Researcher"/>
    <s v="Research Coordinator"/>
    <s v="Research coordinator"/>
    <x v="1"/>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s v="Malawi"/>
    <x v="3"/>
    <s v="Exercise Science"/>
    <s v="Physiotherapy"/>
    <s v="University of Malawi and Associates"/>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x v="6"/>
    <m/>
    <s v="Professor Lampiao Fanuel"/>
    <s v="Professor Demitri Constantino"/>
    <m/>
    <n v="2"/>
    <s v="Home"/>
    <m/>
    <m/>
    <s v="No"/>
    <m/>
    <m/>
    <s v="Academic"/>
    <s v="Lecturer"/>
    <s v="Associate Professor"/>
    <x v="0"/>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s v="Kenya"/>
    <x v="7"/>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x v="6"/>
    <d v="2021-01-18T00:00:00"/>
    <s v="Professor Lucy Muchiri"/>
    <m/>
    <m/>
    <n v="1"/>
    <s v="Home"/>
    <m/>
    <m/>
    <s v="Yes"/>
    <m/>
    <m/>
    <s v="Academic"/>
    <m/>
    <m/>
    <x v="1"/>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s v="Kenya"/>
    <x v="2"/>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x v="6"/>
    <m/>
    <s v="Prof. Michael Korir"/>
    <s v="Dr. Juddy Wachira"/>
    <m/>
    <n v="2"/>
    <s v="Home"/>
    <m/>
    <m/>
    <s v="No"/>
    <m/>
    <m/>
    <s v="Academic"/>
    <s v="Graduate Assistant"/>
    <s v="Lecturer"/>
    <x v="0"/>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s v="Nigeria"/>
    <x v="0"/>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x v="6"/>
    <m/>
    <s v="Professor Oke Aderemi Gbemisola"/>
    <m/>
    <m/>
    <n v="1"/>
    <s v="Home"/>
    <m/>
    <m/>
    <s v="Yes"/>
    <m/>
    <m/>
    <s v="Academic"/>
    <s v="Coordinator Community oral health programme"/>
    <s v="Professor"/>
    <x v="0"/>
    <m/>
    <s v="UNIVERSITY OF IBADAN"/>
    <s v="0000-0002-3193-387X"/>
    <m/>
    <d v="2017-02-27T00:00:00"/>
    <d v="2017-11-06T00:00:00"/>
    <s v="Yes"/>
    <m/>
    <d v="2018-03-16T00:00:00"/>
    <m/>
    <m/>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s v="Nigeria"/>
    <x v="5"/>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x v="6"/>
    <m/>
    <s v="Prof. Bamiwuye Olusina"/>
    <s v="Dr. Adedokun Sulaimon "/>
    <m/>
    <n v="2"/>
    <s v="Home"/>
    <m/>
    <m/>
    <s v="Yes"/>
    <m/>
    <m/>
    <s v="Academic"/>
    <s v="Assistant Lecturer"/>
    <s v="Senior Lecturer"/>
    <x v="0"/>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s v="Kenya"/>
    <x v="11"/>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x v="6"/>
    <d v="2020-04-09T00:00:00"/>
    <s v="Dr. Caryn Abrahams"/>
    <s v="Prof. Alex Van Den Heever"/>
    <m/>
    <n v="2"/>
    <s v="Host"/>
    <m/>
    <m/>
    <s v="Yes"/>
    <m/>
    <m/>
    <s v="Administrative"/>
    <m/>
    <m/>
    <x v="1"/>
    <m/>
    <s v=""/>
    <s v="0000-0001-8586-186X"/>
    <m/>
    <d v="2017-02-27T00:00:00"/>
    <d v="2017-11-06T00:00:00"/>
    <s v="Yes"/>
    <m/>
    <m/>
    <m/>
    <m/>
    <m/>
    <m/>
    <s v="Not attended"/>
    <s v="No"/>
    <s v="Not attended"/>
    <s v="No"/>
    <m/>
    <m/>
    <m/>
    <x v="19"/>
    <x v="1"/>
    <s v="Terminated"/>
    <m/>
    <m/>
    <m/>
    <m/>
    <m/>
    <m/>
    <m/>
    <m/>
    <m/>
    <s v="No"/>
    <m/>
    <m/>
    <m/>
    <m/>
    <m/>
    <m/>
    <m/>
    <m/>
    <m/>
    <m/>
    <m/>
    <s v="SIDA"/>
  </r>
  <r>
    <n v="162"/>
    <s v="C7/015"/>
    <s v="Judith"/>
    <s v="Reegan Mulubwa"/>
    <s v="Mwansa-Kambafwile"/>
    <x v="1"/>
    <x v="6"/>
    <s v="South Africa"/>
    <x v="6"/>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x v="6"/>
    <m/>
    <s v="Prof. Colin Menezes  "/>
    <m/>
    <m/>
    <n v="1"/>
    <s v="Home"/>
    <m/>
    <m/>
    <s v="No"/>
    <m/>
    <m/>
    <s v="Researcher"/>
    <s v="Program Manager"/>
    <s v="Senior Epidemiologist"/>
    <x v="0"/>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s v="Kenya"/>
    <x v="7"/>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x v="6"/>
    <m/>
    <s v="Prof. Mutuku A. Mwanthi"/>
    <m/>
    <m/>
    <n v="1"/>
    <s v="Home"/>
    <m/>
    <m/>
    <s v="Yes"/>
    <m/>
    <m/>
    <s v="Researcher"/>
    <s v="Research Associate"/>
    <s v="Lecturer"/>
    <x v="0"/>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s v="Tanzania"/>
    <x v="4"/>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x v="6"/>
    <m/>
    <s v="Dr. Fredros Okumu"/>
    <m/>
    <m/>
    <n v="1"/>
    <s v="Host"/>
    <m/>
    <m/>
    <s v="No"/>
    <m/>
    <m/>
    <s v="Researcher"/>
    <m/>
    <s v="Senior Research Scientist"/>
    <x v="0"/>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s v="Malawi"/>
    <x v="3"/>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x v="6"/>
    <m/>
    <s v="Prof. Adamson Muula"/>
    <s v="Jude Igumbor"/>
    <m/>
    <n v="2"/>
    <s v="Host"/>
    <m/>
    <m/>
    <s v="Yes"/>
    <m/>
    <m/>
    <s v="Academic"/>
    <s v="Clinical Lecturer"/>
    <s v="Clinical Lecturer &amp; Senior advisor"/>
    <x v="0"/>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s v="Rwanda"/>
    <x v="1"/>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x v="6"/>
    <m/>
    <s v="Dr. Nokuthula Mafutha"/>
    <s v="Professor Daleen Casteleijn"/>
    <m/>
    <n v="2"/>
    <s v="Host"/>
    <m/>
    <m/>
    <s v="Yes"/>
    <m/>
    <m/>
    <s v="Academic"/>
    <m/>
    <s v="Post-Doctoral Associate"/>
    <x v="0"/>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s v="Rwanda"/>
    <x v="1"/>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x v="6"/>
    <m/>
    <s v="Dr. Daphney Nozizwe Conco "/>
    <m/>
    <m/>
    <n v="1"/>
    <s v="Host"/>
    <m/>
    <m/>
    <s v="No"/>
    <m/>
    <m/>
    <s v="Academic"/>
    <s v="Assistant Lecturer"/>
    <s v="Senior Lecturer"/>
    <x v="0"/>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s v="Nigeria"/>
    <x v="5"/>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x v="6"/>
    <m/>
    <s v="Dr. Sola Asa"/>
    <m/>
    <m/>
    <n v="1"/>
    <s v="Home"/>
    <m/>
    <m/>
    <s v="Yes"/>
    <m/>
    <m/>
    <s v="Academic"/>
    <m/>
    <s v="Lecturer I"/>
    <x v="1"/>
    <m/>
    <s v="OBAFEMI AWOLOWO UNIVERSITY"/>
    <s v="0000-0001-5699-7055"/>
    <m/>
    <d v="2017-02-27T00:00:00"/>
    <d v="2017-11-06T00:00:00"/>
    <s v="Yes"/>
    <d v="2016-02-19T00:00:00"/>
    <d v="2016-02-19T00:00:00"/>
    <m/>
    <m/>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s v="Nigeria"/>
    <x v="0"/>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x v="6"/>
    <m/>
    <s v="Prof. Charles O. Bekibele"/>
    <m/>
    <m/>
    <n v="1"/>
    <s v="Home"/>
    <m/>
    <m/>
    <s v="No"/>
    <m/>
    <m/>
    <s v="Academic"/>
    <m/>
    <s v="Professor"/>
    <x v="1"/>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s v="Nigeria"/>
    <x v="5"/>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x v="6"/>
    <m/>
    <s v="Prof. M.A.O Aluko"/>
    <m/>
    <m/>
    <n v="1"/>
    <s v="Home"/>
    <m/>
    <m/>
    <s v="Yes"/>
    <m/>
    <m/>
    <s v="Researcher"/>
    <m/>
    <s v="Research Fellow"/>
    <x v="1"/>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s v="Nigeria"/>
    <x v="0"/>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x v="6"/>
    <m/>
    <s v="Prof. Olufunmilayo Fawole"/>
    <s v="Prof. Ashaye"/>
    <m/>
    <n v="2"/>
    <s v="Home"/>
    <m/>
    <m/>
    <s v="Yes"/>
    <m/>
    <m/>
    <s v="Academic"/>
    <s v="Lecturer"/>
    <s v="Professor"/>
    <x v="1"/>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s v="Uganda"/>
    <x v="10"/>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x v="6"/>
    <m/>
    <s v="Prof. Fredrick Edward Makumbi"/>
    <m/>
    <m/>
    <n v="1"/>
    <s v="Home"/>
    <m/>
    <m/>
    <s v="Yes"/>
    <m/>
    <m/>
    <s v="Academic"/>
    <s v="Assistant Lecturer"/>
    <s v="Lecturer"/>
    <x v="0"/>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s v="South Africa"/>
    <x v="6"/>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x v="6"/>
    <m/>
    <s v="Hellen Myezwa"/>
    <s v="Prof. Joanne Potterton "/>
    <s v="Prof. Joanne Potterton "/>
    <n v="3"/>
    <s v="Home"/>
    <m/>
    <m/>
    <s v="No"/>
    <m/>
    <m/>
    <s v="Academic"/>
    <s v="Lecturer"/>
    <s v="Associate Professor"/>
    <x v="0"/>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s v="Rwanda"/>
    <x v="1"/>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x v="6"/>
    <d v="2017-12-31T00:00:00"/>
    <m/>
    <m/>
    <m/>
    <n v="0"/>
    <m/>
    <m/>
    <m/>
    <m/>
    <m/>
    <m/>
    <m/>
    <m/>
    <m/>
    <x v="1"/>
    <m/>
    <s v="UNIVERSITY OF RWANDA"/>
    <m/>
    <m/>
    <d v="2017-02-27T00:00:00"/>
    <d v="2017-11-06T00:00:00"/>
    <s v="Yes"/>
    <m/>
    <m/>
    <m/>
    <m/>
    <m/>
    <m/>
    <m/>
    <m/>
    <m/>
    <m/>
    <m/>
    <m/>
    <m/>
    <x v="19"/>
    <x v="1"/>
    <s v="Terminated"/>
    <m/>
    <m/>
    <m/>
    <m/>
    <m/>
    <m/>
    <m/>
    <m/>
    <m/>
    <s v="No"/>
    <m/>
    <m/>
    <m/>
    <m/>
    <m/>
    <m/>
    <m/>
    <m/>
    <m/>
    <m/>
    <m/>
    <s v="WT-DELTAS"/>
  </r>
  <r>
    <n v="175"/>
    <s v="C8/001"/>
    <s v="Lindiwe"/>
    <m/>
    <s v="Farlane"/>
    <x v="1"/>
    <x v="7"/>
    <s v="South Africa"/>
    <x v="6"/>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x v="7"/>
    <m/>
    <s v="Lee Fairlie"/>
    <s v="Saiqa Mullick"/>
    <s v="Nancy Yinger"/>
    <n v="3"/>
    <s v="Home"/>
    <s v="Home"/>
    <m/>
    <s v="Yes"/>
    <s v="No"/>
    <s v="No"/>
    <s v="Other"/>
    <s v="TECHNICAL HEAD: MONITORING &amp; EVALUATION"/>
    <s v="Consultant - Social &amp; Behavior Change"/>
    <x v="1"/>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s v="Nigeria"/>
    <x v="5"/>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x v="7"/>
    <m/>
    <s v="Dr Kerstin Klipstein-Grobusch "/>
    <m/>
    <m/>
    <n v="1"/>
    <s v="Host"/>
    <m/>
    <m/>
    <s v="Yes"/>
    <m/>
    <m/>
    <s v="Academic"/>
    <m/>
    <s v="Senior Lecturer"/>
    <x v="1"/>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s v="Rwanda"/>
    <x v="1"/>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x v="7"/>
    <m/>
    <s v="Dr. John Wangoh"/>
    <m/>
    <m/>
    <n v="1"/>
    <s v="Host"/>
    <m/>
    <m/>
    <s v="No"/>
    <m/>
    <m/>
    <s v="Academic"/>
    <s v="Academic Staff"/>
    <s v="Assistant Lecturer"/>
    <x v="2"/>
    <s v="Member of Exams moderattion commeittee"/>
    <s v="UNIVERSITY OF RWANDA"/>
    <s v="0000-0002-7473-853X"/>
    <m/>
    <d v="2018-03-05T00:00:00"/>
    <d v="2018-11-05T00:00:00"/>
    <s v="Yes"/>
    <d v="2020-09-08T00:00:00"/>
    <d v="2021-04-30T00:00:00"/>
    <m/>
    <m/>
    <m/>
    <s v="Positive deviance in child growth"/>
    <d v="2021-10-01T00:00:00"/>
    <s v="No"/>
    <d v="2022-06-20T00:00:00"/>
    <s v="No"/>
    <m/>
    <m/>
    <m/>
    <x v="19"/>
    <x v="2"/>
    <m/>
    <m/>
    <m/>
    <m/>
    <m/>
    <m/>
    <m/>
    <m/>
    <m/>
    <m/>
    <s v="No"/>
    <s v="No"/>
    <m/>
    <m/>
    <m/>
    <m/>
    <s v="No"/>
    <m/>
    <m/>
    <n v="1"/>
    <m/>
    <m/>
    <s v="SIDA"/>
  </r>
  <r>
    <n v="178"/>
    <s v="C8/004"/>
    <s v="Julienne"/>
    <m/>
    <s v="Murererehe"/>
    <x v="1"/>
    <x v="7"/>
    <s v="Rwanda"/>
    <x v="1"/>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x v="7"/>
    <m/>
    <s v="Prof. V Yengopal "/>
    <s v="Dr Yolanda Malele-Kolisa; Yolanda.Kolisa@wits.ac.za; University of the Witwatersrand"/>
    <m/>
    <n v="2"/>
    <s v="Host"/>
    <m/>
    <m/>
    <s v="Yes"/>
    <m/>
    <m/>
    <s v="Academic"/>
    <s v="Assistant Lecturer "/>
    <s v="Associate Professor"/>
    <x v="0"/>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s v="Nigeria"/>
    <x v="5"/>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x v="7"/>
    <m/>
    <s v="Prof. Akanni Ibukun Akinyemi"/>
    <s v="Dr. Bola Lukman Solanke"/>
    <m/>
    <n v="2"/>
    <s v="Home"/>
    <s v="Home"/>
    <m/>
    <s v="Yes"/>
    <s v="No"/>
    <m/>
    <s v="Academic"/>
    <s v="Assistant Lecturer"/>
    <s v="Senior Lecturer"/>
    <x v="0"/>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s v="Uganda"/>
    <x v="10"/>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x v="7"/>
    <d v="2020-02-06T00:00:00"/>
    <m/>
    <m/>
    <m/>
    <n v="0"/>
    <m/>
    <m/>
    <m/>
    <m/>
    <m/>
    <m/>
    <s v="Researcher"/>
    <m/>
    <m/>
    <x v="1"/>
    <m/>
    <s v="MAKERERE UNIVERSITY"/>
    <m/>
    <m/>
    <d v="2018-03-05T00:00:00"/>
    <m/>
    <s v="No"/>
    <m/>
    <m/>
    <m/>
    <m/>
    <m/>
    <m/>
    <m/>
    <m/>
    <m/>
    <m/>
    <m/>
    <m/>
    <m/>
    <x v="19"/>
    <x v="1"/>
    <s v="Terminated"/>
    <m/>
    <m/>
    <n v="3"/>
    <m/>
    <m/>
    <m/>
    <m/>
    <m/>
    <m/>
    <s v="No"/>
    <m/>
    <m/>
    <m/>
    <m/>
    <m/>
    <m/>
    <m/>
    <m/>
    <n v="2"/>
    <m/>
    <m/>
    <s v="SIDA"/>
  </r>
  <r>
    <n v="181"/>
    <s v="C8/007"/>
    <s v="Samuel"/>
    <s v="Waweru"/>
    <s v="Mwaniki"/>
    <x v="0"/>
    <x v="7"/>
    <s v="Kenya"/>
    <x v="7"/>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x v="7"/>
    <m/>
    <s v="Dr. Thesla Palanee "/>
    <s v="Dr. Peter Mugo"/>
    <m/>
    <n v="2"/>
    <s v="Host"/>
    <m/>
    <m/>
    <s v="No"/>
    <m/>
    <m/>
    <s v="Administrative"/>
    <s v="PHARMACIST"/>
    <s v="PHARMACIST"/>
    <x v="1"/>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s v="Kenya"/>
    <x v="7"/>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x v="7"/>
    <m/>
    <s v="Prof. George Gitao"/>
    <s v="Prof. Paul Plummer"/>
    <s v="Prof. Charles Mulei"/>
    <n v="3"/>
    <s v="Home"/>
    <s v="Other"/>
    <s v="Home"/>
    <s v="Yes"/>
    <s v="No"/>
    <s v="No"/>
    <s v="Academic"/>
    <s v="Tutorial Fellow"/>
    <s v="Lecturer"/>
    <x v="0"/>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s v="South Africa"/>
    <x v="6"/>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x v="7"/>
    <m/>
    <s v="Samanta T Lalla-Edward"/>
    <s v="John de Wit"/>
    <m/>
    <n v="2"/>
    <s v="Home"/>
    <s v="Other"/>
    <m/>
    <s v="Yes"/>
    <s v="No"/>
    <m/>
    <s v="Other"/>
    <s v="Technical Specialist"/>
    <s v="Researcher"/>
    <x v="1"/>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s v="Nigeria"/>
    <x v="0"/>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x v="7"/>
    <m/>
    <s v="Dr. O. Abimbola Oluwatosin"/>
    <m/>
    <m/>
    <n v="1"/>
    <m/>
    <m/>
    <m/>
    <s v="Yes"/>
    <m/>
    <m/>
    <s v="Academic"/>
    <s v="Lecturer II"/>
    <s v="Lecturer II"/>
    <x v="1"/>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s v="Uganda"/>
    <x v="10"/>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x v="7"/>
    <m/>
    <s v="Dr. Kato Charles Drago"/>
    <s v="Dr. Kristina Roesel"/>
    <m/>
    <n v="2"/>
    <s v="Home"/>
    <s v="Other"/>
    <m/>
    <s v="No"/>
    <s v="No"/>
    <m/>
    <s v="Academic"/>
    <s v="Assistant Lecturer"/>
    <s v="Assistant Lecturer"/>
    <x v="1"/>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s v="Rwanda"/>
    <x v="1"/>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x v="7"/>
    <m/>
    <s v="Dr David Tumusiime"/>
    <m/>
    <m/>
    <n v="1"/>
    <m/>
    <m/>
    <m/>
    <s v="Yes"/>
    <m/>
    <m/>
    <s v="Academic"/>
    <s v="Assistant Lecturer"/>
    <s v="Lecturer"/>
    <x v="0"/>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x v="19"/>
    <x v="2"/>
    <m/>
    <m/>
    <m/>
    <n v="1"/>
    <n v="6"/>
    <n v="0"/>
    <m/>
    <m/>
    <m/>
    <m/>
    <s v="No"/>
    <m/>
    <m/>
    <m/>
    <m/>
    <m/>
    <m/>
    <m/>
    <m/>
    <n v="1"/>
    <m/>
    <m/>
    <s v="SIDA"/>
  </r>
  <r>
    <n v="187"/>
    <s v="C8/013"/>
    <s v="Getrude"/>
    <s v="Shepelo"/>
    <s v="Peter"/>
    <x v="1"/>
    <x v="7"/>
    <s v="Kenya"/>
    <x v="7"/>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x v="7"/>
    <m/>
    <s v="Prof. Daniel Waweru Gakuya "/>
    <s v="Dr. Gabriel Oluga Aboge"/>
    <s v="Prof. Ndichu Maingi"/>
    <n v="3"/>
    <s v="Home"/>
    <s v="Home"/>
    <s v="Home"/>
    <s v="Yes"/>
    <m/>
    <m/>
    <s v="Academic"/>
    <s v="Tutorial Fellow"/>
    <s v="Lecturer"/>
    <x v="0"/>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s v="Malawi"/>
    <x v="3"/>
    <s v="Mathematical Sciences"/>
    <s v="MATHEMATICS AND STATISTICS"/>
    <s v="University of Malawi and Associates"/>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x v="7"/>
    <m/>
    <s v="Dr.Mphatso Kamndaya"/>
    <s v="Dr Lumbwe Chola"/>
    <m/>
    <n v="2"/>
    <s v="Home"/>
    <s v="Other"/>
    <m/>
    <s v="Yes"/>
    <m/>
    <m/>
    <s v="Academic"/>
    <m/>
    <m/>
    <x v="1"/>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s v="Nigeria"/>
    <x v="5"/>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x v="7"/>
    <m/>
    <s v="Dr. Duane Blaauw "/>
    <s v="Dr. Salome Maswime "/>
    <m/>
    <n v="2"/>
    <s v="Host"/>
    <s v="Host"/>
    <m/>
    <s v="No"/>
    <s v="No"/>
    <m/>
    <s v="Academic"/>
    <s v="Senior Lecturer"/>
    <s v="Associate Professor"/>
    <x v="0"/>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s v="Nigeria"/>
    <x v="0"/>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x v="7"/>
    <m/>
    <s v="PD. Dr. med. Wilm Quentin"/>
    <m/>
    <m/>
    <n v="1"/>
    <m/>
    <m/>
    <m/>
    <s v="No"/>
    <m/>
    <m/>
    <s v="Academic"/>
    <s v="Lecturer II"/>
    <s v="Lecturer I"/>
    <x v="0"/>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s v="South Africa"/>
    <x v="6"/>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x v="7"/>
    <m/>
    <s v="Prof. Hellen Myezwa"/>
    <s v="Dr Fasloen Adams"/>
    <m/>
    <n v="2"/>
    <s v="Home"/>
    <s v="Home"/>
    <m/>
    <s v="No"/>
    <s v="No"/>
    <m/>
    <s v="Academic"/>
    <s v="Lecturer"/>
    <s v="Lecturer"/>
    <x v="1"/>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s v="Kenya"/>
    <x v="7"/>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x v="7"/>
    <m/>
    <s v="Dr. Marianne Mureithi"/>
    <s v="Dr. John Ndemi Kiiru"/>
    <s v="Prof. Gunturu Revathi"/>
    <n v="3"/>
    <s v="Home"/>
    <s v="Home"/>
    <m/>
    <s v="Yes"/>
    <s v="No"/>
    <m/>
    <s v="Academic"/>
    <s v="Tutorial Fellow"/>
    <s v="Tutorial Fellow"/>
    <x v="1"/>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s v="Nigeria"/>
    <x v="5"/>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x v="7"/>
    <m/>
    <s v="Dr Nokuthula Mafutha"/>
    <m/>
    <m/>
    <n v="1"/>
    <s v="Host"/>
    <m/>
    <m/>
    <s v="Yes"/>
    <m/>
    <m/>
    <s v="Academic"/>
    <m/>
    <s v="Senior Lecturer"/>
    <x v="0"/>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s v="Rwanda"/>
    <x v="1"/>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x v="7"/>
    <m/>
    <s v="Prof RULISA Steven"/>
    <m/>
    <m/>
    <n v="1"/>
    <s v="Home"/>
    <m/>
    <m/>
    <s v="Yes"/>
    <m/>
    <m/>
    <s v="Academic"/>
    <s v="Senior Lecturer of Surgery and Head of department"/>
    <s v="Associate Professor"/>
    <x v="0"/>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s v="Nigeria"/>
    <x v="0"/>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x v="7"/>
    <m/>
    <s v="Dr Felix Mbajiorgu"/>
    <s v="Prof. Amadi Ihunwo"/>
    <s v="Prof. Adefolarin Malomo"/>
    <n v="3"/>
    <s v="Host"/>
    <s v="Host"/>
    <m/>
    <s v="Yes"/>
    <s v="No"/>
    <s v="No"/>
    <s v="Academic"/>
    <s v="Lecturer"/>
    <s v="Senior Lecturer"/>
    <x v="1"/>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s v="Malawi"/>
    <x v="3"/>
    <s v="Internal Medicine"/>
    <s v="Oncology/Medicine"/>
    <s v="University of Malawi and Associates"/>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x v="7"/>
    <d v="2021-07-21T00:00:00"/>
    <s v="Prof Adamson Muula"/>
    <m/>
    <m/>
    <n v="1"/>
    <s v="Home"/>
    <m/>
    <m/>
    <s v="Yes"/>
    <m/>
    <m/>
    <s v="Academic"/>
    <m/>
    <m/>
    <x v="1"/>
    <m/>
    <s v="UNIVERSITY OF MALAWI"/>
    <s v="0000-0002-7775-0139"/>
    <m/>
    <d v="2018-03-05T00:00:00"/>
    <d v="2018-11-05T00:00:00"/>
    <s v="Yes"/>
    <d v="2020-09-25T00:00:00"/>
    <d v="2020-10-18T00:00:00"/>
    <m/>
    <m/>
    <m/>
    <m/>
    <m/>
    <m/>
    <m/>
    <m/>
    <m/>
    <m/>
    <m/>
    <x v="19"/>
    <x v="1"/>
    <m/>
    <m/>
    <m/>
    <n v="0"/>
    <m/>
    <m/>
    <m/>
    <m/>
    <m/>
    <m/>
    <s v="No"/>
    <m/>
    <m/>
    <m/>
    <m/>
    <m/>
    <m/>
    <m/>
    <m/>
    <m/>
    <m/>
    <m/>
    <s v="WT-DELTAS"/>
  </r>
  <r>
    <n v="197"/>
    <s v="C8/023"/>
    <s v="Florence"/>
    <s v="Basiimwa"/>
    <s v="Tushemerirwe"/>
    <x v="1"/>
    <x v="7"/>
    <s v="Uganda"/>
    <x v="10"/>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x v="7"/>
    <d v="2022-03-31T00:00:00"/>
    <s v="Assoc. Prof. Freddie Ssengooba"/>
    <s v="Dr. Henry Wamani"/>
    <m/>
    <n v="2"/>
    <s v="Home"/>
    <s v="Home"/>
    <m/>
    <s v="No"/>
    <m/>
    <m/>
    <s v="Academic"/>
    <m/>
    <m/>
    <x v="1"/>
    <m/>
    <s v="MAKERERE UNIVERSITY"/>
    <s v="0000-0001-7147-6012"/>
    <m/>
    <d v="2018-03-05T00:00:00"/>
    <d v="2018-11-05T00:00:00"/>
    <s v="Yes"/>
    <m/>
    <m/>
    <m/>
    <m/>
    <m/>
    <m/>
    <m/>
    <m/>
    <m/>
    <m/>
    <m/>
    <m/>
    <m/>
    <x v="19"/>
    <x v="1"/>
    <m/>
    <m/>
    <m/>
    <n v="4"/>
    <m/>
    <m/>
    <m/>
    <m/>
    <m/>
    <m/>
    <s v="No"/>
    <m/>
    <m/>
    <m/>
    <m/>
    <m/>
    <m/>
    <m/>
    <m/>
    <m/>
    <m/>
    <m/>
    <s v="WT-DELTAS"/>
  </r>
  <r>
    <n v="198"/>
    <s v="C8/024"/>
    <s v="Oluwafemi"/>
    <s v="Akinyele"/>
    <s v="Popoola"/>
    <x v="0"/>
    <x v="7"/>
    <s v="Nigeria"/>
    <x v="0"/>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x v="7"/>
    <m/>
    <s v="Dr Akindele Olupelumi Adebiyi"/>
    <s v="Prof Eme Theodora Owoaje"/>
    <m/>
    <n v="2"/>
    <m/>
    <s v="Home"/>
    <m/>
    <s v="Yes"/>
    <s v="Yes"/>
    <m/>
    <s v="Academic"/>
    <m/>
    <s v="Lecturerr"/>
    <x v="1"/>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s v="Kenya"/>
    <x v="2"/>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x v="7"/>
    <m/>
    <s v="Prof. Dina Ligaga"/>
    <s v="Dr. Juddy Wachira"/>
    <m/>
    <n v="2"/>
    <s v="Host"/>
    <s v="Home"/>
    <m/>
    <s v="No"/>
    <s v="No"/>
    <m/>
    <s v="Researcher"/>
    <s v="Manager, Social Behavioural Department-AMPATHPlus"/>
    <s v="Departmental Manager"/>
    <x v="1"/>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s v="Kenya"/>
    <x v="2"/>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x v="7"/>
    <m/>
    <s v="Dr. Kennedy J. Omoke"/>
    <s v="Dr. James M. Moronge"/>
    <m/>
    <n v="2"/>
    <s v="Host"/>
    <s v="Host"/>
    <m/>
    <s v="No"/>
    <m/>
    <m/>
    <s v="Academic"/>
    <s v="Assistant Lecturer"/>
    <s v="Assistant Lecturer"/>
    <x v="1"/>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s v="Malawi"/>
    <x v="3"/>
    <s v="Maternal Health"/>
    <s v="Public Health Department"/>
    <s v="University of Malawi and Associates"/>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x v="8"/>
    <m/>
    <s v="Prof. Phiri Kamija"/>
    <s v="Dr. Martin Mwangi"/>
    <m/>
    <n v="2"/>
    <s v="Home"/>
    <s v="Home"/>
    <m/>
    <s v="No"/>
    <s v="Yes"/>
    <m/>
    <s v="Researcher"/>
    <s v="Research fellow"/>
    <s v="Senior Research fellow"/>
    <x v="0"/>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s v="Nigeria"/>
    <x v="5"/>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x v="8"/>
    <m/>
    <s v="Dr Olumide, Adesola O."/>
    <m/>
    <m/>
    <n v="1"/>
    <s v="University of Ibadan, Ibadan"/>
    <m/>
    <m/>
    <s v="Yes"/>
    <m/>
    <m/>
    <s v="Researcher"/>
    <s v="Research Fellow"/>
    <s v="Research Fellow 1; Senior lecture r (Jan 2022)"/>
    <x v="0"/>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s v="South Africa"/>
    <x v="6"/>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x v="8"/>
    <m/>
    <s v="Dr Jaishika Seedat "/>
    <m/>
    <m/>
    <n v="1"/>
    <s v="Home"/>
    <m/>
    <m/>
    <s v="Yes"/>
    <m/>
    <m/>
    <s v="Academic"/>
    <m/>
    <s v="Lecturer "/>
    <x v="1"/>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s v="Rwanda"/>
    <x v="1"/>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x v="8"/>
    <m/>
    <s v="Ass.Prof. Theoneste Ntakirutimana"/>
    <m/>
    <m/>
    <n v="1"/>
    <s v="Home"/>
    <m/>
    <m/>
    <s v="Yes"/>
    <m/>
    <m/>
    <s v="Academic"/>
    <s v="Lecturer"/>
    <s v="Lecturer"/>
    <x v="2"/>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s v="Rwanda"/>
    <x v="1"/>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x v="8"/>
    <m/>
    <s v="Professor Lize Maree"/>
    <m/>
    <m/>
    <n v="1"/>
    <s v="Host"/>
    <m/>
    <m/>
    <s v="Yes"/>
    <m/>
    <m/>
    <s v="Academic"/>
    <s v="Lecturer"/>
    <s v="Lecturer"/>
    <x v="2"/>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s v="Kenya"/>
    <x v="7"/>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x v="8"/>
    <m/>
    <s v="Dr Kennedy Abuga"/>
    <s v="Dr Marianne Mureithi"/>
    <s v="Dr Videlis Nduba"/>
    <n v="3"/>
    <s v="Home"/>
    <s v="Home"/>
    <s v="Other"/>
    <s v="Yes"/>
    <s v="No"/>
    <s v="No"/>
    <s v="Other"/>
    <s v="Senior Project Officer"/>
    <s v="Senior Clinical Research Scientist"/>
    <x v="0"/>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s v="Rwanda"/>
    <x v="1"/>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x v="8"/>
    <m/>
    <s v="Dr. Onyango Owuor Nelson"/>
    <s v="Dr. Chukwu Unna Angela"/>
    <m/>
    <n v="2"/>
    <s v="Host"/>
    <s v="Other"/>
    <m/>
    <s v="Yes"/>
    <s v="No"/>
    <m/>
    <s v="Academic"/>
    <s v="Lecturer "/>
    <s v="Lecturer"/>
    <x v="2"/>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s v="Uganda"/>
    <x v="10"/>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x v="8"/>
    <m/>
    <s v="Prof. David Guwatudde"/>
    <s v="Dr. John C. Ssempebwa "/>
    <s v="Prof. Asa Bradman"/>
    <n v="3"/>
    <s v="Home"/>
    <s v="Home"/>
    <s v="Other"/>
    <s v="No"/>
    <s v="No"/>
    <s v="No"/>
    <s v="Academic"/>
    <s v="Research Associate "/>
    <s v="Research Associate "/>
    <x v="1"/>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s v="Kenya"/>
    <x v="7"/>
    <s v="Dentistry"/>
    <s v="Conservative and Prosthetic Dentisry"/>
    <s v="University of the Witwatersrand"/>
    <s v="No"/>
    <m/>
    <s v="Married"/>
    <s v="Married"/>
    <m/>
    <s v="cogada@cartafrica.org"/>
    <s v="nyalikogada@yahoo.com"/>
    <s v="+254772438224; 254720342901"/>
    <m/>
    <d v="1983-03-08T00:00:00"/>
    <m/>
    <s v="Field"/>
    <m/>
    <m/>
    <n v="17"/>
    <d v="2020-08-12T00:00:00"/>
    <x v="8"/>
    <m/>
    <s v=" Prof. Laetitia Rispel"/>
    <s v="Dr Richard Ayah "/>
    <m/>
    <n v="2"/>
    <s v="Host"/>
    <s v="Home"/>
    <m/>
    <s v="No"/>
    <s v="Yes"/>
    <m/>
    <s v="Academic"/>
    <s v="Tutorial Fellow"/>
    <s v="Lecturer "/>
    <x v="1"/>
    <m/>
    <s v="UNIVERSITY OF NAIROBI"/>
    <s v="0000-0003-0919-3411"/>
    <m/>
    <d v="2019-03-04T00:00:00"/>
    <d v="2019-11-01T00:00:00"/>
    <s v="Yes"/>
    <m/>
    <m/>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s v="Rwanda"/>
    <x v="1"/>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x v="8"/>
    <m/>
    <s v="Prof. Muvunyi Mambo"/>
    <s v="Dr. Uwineza Annette"/>
    <m/>
    <n v="2"/>
    <s v="Home"/>
    <s v="Home"/>
    <m/>
    <s v="No"/>
    <s v="Yes"/>
    <m/>
    <s v="Academic"/>
    <s v="Assistant Lecturer"/>
    <s v="Lecturer"/>
    <x v="2"/>
    <m/>
    <s v="UNIVERSITY OF RWANDA"/>
    <s v="0000-0002-5428-8914"/>
    <m/>
    <d v="2019-03-04T00:00:00"/>
    <d v="2019-11-01T00:00:00"/>
    <s v="Yes"/>
    <m/>
    <m/>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s v="Uganda"/>
    <x v="10"/>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x v="8"/>
    <m/>
    <s v="Prof. Byarugaba K. Denis"/>
    <s v="Assoc. Prof. Robert Tweyongyere"/>
    <m/>
    <n v="2"/>
    <m/>
    <m/>
    <m/>
    <m/>
    <m/>
    <m/>
    <s v="Academic"/>
    <s v="Assistant Lecturer"/>
    <m/>
    <x v="1"/>
    <m/>
    <s v="MAKERERE UNIVERSITY"/>
    <s v="0000-0001-5013-7118"/>
    <m/>
    <d v="2019-03-04T00:00:00"/>
    <d v="2019-11-01T00:00:00"/>
    <s v="Yes"/>
    <m/>
    <d v="2020-04-13T00:00:00"/>
    <m/>
    <m/>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s v="South Africa"/>
    <x v="6"/>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x v="8"/>
    <m/>
    <s v="Professor Hellen Myezwa,"/>
    <s v="Dr Tania Rauch-van der Merwe"/>
    <s v="Professor Lisa O’Brien"/>
    <n v="3"/>
    <s v="Home"/>
    <s v="Other"/>
    <m/>
    <s v="Yes"/>
    <s v="No"/>
    <m/>
    <s v="Academic"/>
    <s v="Lecturer 1"/>
    <s v="Senior Lecturer"/>
    <x v="0"/>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s v="Nigeria"/>
    <x v="5"/>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x v="8"/>
    <m/>
    <s v="Prof/Omotade/Olayemi"/>
    <s v="Prof/Fatusi/Adesegun"/>
    <m/>
    <n v="2"/>
    <s v="Host"/>
    <s v="Home"/>
    <m/>
    <s v="Yes"/>
    <m/>
    <m/>
    <s v="Academic"/>
    <s v="Lecturer"/>
    <s v="Senior Lecturer"/>
    <x v="0"/>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s v="Nigeria"/>
    <x v="0"/>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x v="8"/>
    <m/>
    <s v="Prof Fawole Olufunmilayo"/>
    <m/>
    <m/>
    <n v="1"/>
    <s v="Home"/>
    <m/>
    <m/>
    <s v="Yes"/>
    <m/>
    <m/>
    <s v="Academic"/>
    <s v="Lecturer I"/>
    <s v="Senior Lecturer"/>
    <x v="0"/>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s v="Nigeria"/>
    <x v="0"/>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x v="8"/>
    <m/>
    <s v="Dr. Nwuba I. Roseangela"/>
    <m/>
    <m/>
    <n v="1"/>
    <s v="Home"/>
    <m/>
    <m/>
    <s v="Yes"/>
    <m/>
    <m/>
    <s v="Academic"/>
    <s v="Teaching and Research Assistant at the Department of Zoology, University of Ibadan"/>
    <s v="Teaching and Research Assistant at the Department of Zoology"/>
    <x v="1"/>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s v="South Africa"/>
    <x v="6"/>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x v="8"/>
    <m/>
    <s v="Dr Adams Fasloen"/>
    <s v="Dr Nkosi-Mafutha Nokuthula"/>
    <m/>
    <n v="2"/>
    <s v="Home"/>
    <s v="Home"/>
    <m/>
    <s v="No"/>
    <s v="No"/>
    <m/>
    <s v="Academic"/>
    <s v="Lecturer"/>
    <s v="Senior Lecturer"/>
    <x v="1"/>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s v="Kenya"/>
    <x v="7"/>
    <s v="Chemistry"/>
    <s v="Department of Chemistry"/>
    <s v="University of Nairobi"/>
    <s v="Yes"/>
    <s v="I80/52247/2017"/>
    <s v="Married"/>
    <s v="Married"/>
    <m/>
    <s v="jmacharia@cartafrica.org"/>
    <s v="jmacharia251@gmail.com"/>
    <s v="+254 726418703"/>
    <s v="Msc in Chemistry"/>
    <d v="1986-04-09T00:00:00"/>
    <m/>
    <s v="Other"/>
    <m/>
    <m/>
    <n v="5"/>
    <d v="2018-09-03T00:00:00"/>
    <x v="8"/>
    <d v="2022-09-14T00:00:00"/>
    <s v="Prof. Kariuki K. David"/>
    <s v="Prof. Thole Benard"/>
    <m/>
    <n v="2"/>
    <s v="Home"/>
    <s v="Home"/>
    <s v="Other"/>
    <s v="No"/>
    <m/>
    <m/>
    <s v="Researcher"/>
    <s v="Part-time researcher"/>
    <s v="Researcher"/>
    <x v="1"/>
    <m/>
    <s v="UNIVERSITY OF NAIROBI"/>
    <s v="0000-0003-3415-2048"/>
    <m/>
    <d v="2019-03-04T00:00:00"/>
    <d v="2019-11-01T00:00:00"/>
    <s v="Yes"/>
    <d v="2018-11-23T00:00:00"/>
    <d v="2019-05-14T00:00:00"/>
    <m/>
    <m/>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s v="Nigeria"/>
    <x v="0"/>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x v="8"/>
    <m/>
    <s v="Prof Shabir Moosa"/>
    <m/>
    <m/>
    <n v="1"/>
    <s v="Host"/>
    <m/>
    <m/>
    <s v="No"/>
    <m/>
    <m/>
    <s v="Academic"/>
    <s v="Lecturer"/>
    <s v="Senior Lecturer"/>
    <x v="1"/>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s v="Kenya"/>
    <x v="2"/>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x v="8"/>
    <m/>
    <s v=" Dr. Aijaz Ahmad_x0009_"/>
    <s v=" Prof. Simeon Mining_x0009_"/>
    <s v="Dr. Rispah Torrorey"/>
    <n v="3"/>
    <s v="Host"/>
    <s v="Home"/>
    <s v="Home"/>
    <s v="Yes"/>
    <m/>
    <m/>
    <s v="Academic"/>
    <s v="Lecturer"/>
    <s v="Lecturer"/>
    <x v="1"/>
    <m/>
    <s v="MOI UNIVERSITY"/>
    <s v="0000-0001-5087-1435"/>
    <m/>
    <d v="2019-03-04T00:00:00"/>
    <d v="2019-11-01T00:00:00"/>
    <s v="Yes"/>
    <d v="2022-11-22T00:00:00"/>
    <d v="2022-11-22T00:00:00"/>
    <m/>
    <m/>
    <m/>
    <s v="Genetic predictors of tuberculosis in western Kenya"/>
    <d v="2021-10-01T00:00:00"/>
    <s v="Yes"/>
    <d v="2022-06-20T00:00:00"/>
    <s v="Yes"/>
    <m/>
    <m/>
    <m/>
    <x v="19"/>
    <x v="2"/>
    <m/>
    <m/>
    <m/>
    <n v="3"/>
    <m/>
    <m/>
    <m/>
    <m/>
    <m/>
    <m/>
    <s v="No"/>
    <m/>
    <m/>
    <m/>
    <m/>
    <m/>
    <m/>
    <m/>
    <m/>
    <n v="3"/>
    <m/>
    <m/>
    <s v="SIDA"/>
  </r>
  <r>
    <n v="220"/>
    <s v="C9/020"/>
    <s v="Omolayo "/>
    <s v="Bukola "/>
    <s v="Oluwatope"/>
    <x v="1"/>
    <x v="8"/>
    <s v="Nigeria"/>
    <x v="5"/>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x v="8"/>
    <m/>
    <s v="DR SOLANKE LUKMAN BOLA"/>
    <s v="DR T. SULAIMAN ADEDOKUN"/>
    <m/>
    <n v="2"/>
    <s v="Home"/>
    <s v="Home"/>
    <m/>
    <s v="Yes"/>
    <m/>
    <m/>
    <s v="Researcher"/>
    <s v="Research Officer"/>
    <m/>
    <x v="1"/>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s v="Tanzania"/>
    <x v="4"/>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x v="8"/>
    <m/>
    <s v="Dr. Kagura Juliana"/>
    <s v="Joel Msafiri Francis"/>
    <s v="Dr. Maja Wisser"/>
    <n v="3"/>
    <s v="Host"/>
    <s v="Host"/>
    <s v="Home"/>
    <s v="Yes"/>
    <s v="No"/>
    <s v="No"/>
    <s v="Researcher"/>
    <s v="Research Scientist"/>
    <m/>
    <x v="1"/>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s v="Malawi"/>
    <x v="3"/>
    <s v="CLINICAL EPIDEMIOLOGY "/>
    <s v="Training and Research"/>
    <s v="University of Malawi and Associates"/>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x v="8"/>
    <m/>
    <s v="Prof Phiri Samuel Kamija"/>
    <s v="Dr Mwangi Ndegwa Martin"/>
    <m/>
    <n v="2"/>
    <s v="Home"/>
    <s v="Home"/>
    <m/>
    <s v="No"/>
    <s v="Yes"/>
    <m/>
    <s v="Researcher"/>
    <s v="Research Fellow"/>
    <s v="Research Fellow"/>
    <x v="1"/>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s v="Nigeria"/>
    <x v="0"/>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x v="8"/>
    <m/>
    <s v="Prof.Baldwin-Ragaven Laurel "/>
    <m/>
    <m/>
    <n v="1"/>
    <s v="University of Witwatersrand, South Africa"/>
    <m/>
    <m/>
    <s v="Yes"/>
    <m/>
    <m/>
    <s v="Academic"/>
    <s v="Lecturer I"/>
    <s v="Lecturer I"/>
    <x v="1"/>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s v="Uganda"/>
    <x v="10"/>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x v="8"/>
    <d v="2022-09-14T00:00:00"/>
    <m/>
    <m/>
    <m/>
    <n v="0"/>
    <m/>
    <m/>
    <m/>
    <m/>
    <m/>
    <m/>
    <s v="Researcher"/>
    <s v="Research fellow"/>
    <s v="Research fellow"/>
    <x v="1"/>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s v="Rwanda"/>
    <x v="1"/>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x v="9"/>
    <m/>
    <s v="Dr Irene J. Kearns"/>
    <m/>
    <m/>
    <n v="1"/>
    <m/>
    <m/>
    <m/>
    <m/>
    <m/>
    <m/>
    <s v="Academic"/>
    <s v="Assistant Lecturer"/>
    <s v="Assistant Lecturer"/>
    <x v="2"/>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x v="150"/>
    <x v="0"/>
    <n v="55"/>
    <n v="42"/>
    <s v="DEVELOPMENT OF STRATEGIES FOR HEALTH CARE PROVIDERS TO SUSTAIN RESPECTFUL MATERNITY CARE TO WOMEN IN LABOUR"/>
    <n v="0"/>
    <m/>
    <m/>
    <m/>
    <m/>
    <m/>
    <m/>
    <s v="No"/>
    <m/>
    <m/>
    <m/>
    <m/>
    <m/>
    <m/>
    <m/>
    <m/>
    <n v="3"/>
    <m/>
    <m/>
    <s v="SIDA"/>
  </r>
  <r>
    <n v="226"/>
    <s v="C10/002"/>
    <s v="Aline"/>
    <m/>
    <s v="Uwase"/>
    <x v="1"/>
    <x v="9"/>
    <s v="Rwanda"/>
    <x v="1"/>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x v="9"/>
    <m/>
    <s v="Prof. Jonathan Levin"/>
    <m/>
    <m/>
    <n v="1"/>
    <m/>
    <m/>
    <m/>
    <m/>
    <m/>
    <m/>
    <s v="Academic"/>
    <s v="Assistant Lecturer"/>
    <s v="Assistant Lecturer"/>
    <x v="2"/>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s v="Tanzania"/>
    <x v="4"/>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x v="9"/>
    <m/>
    <s v="Prof. Kennedy Otwombe "/>
    <s v="Dr. Fiona Vanobberghen"/>
    <m/>
    <n v="2"/>
    <m/>
    <m/>
    <m/>
    <m/>
    <m/>
    <m/>
    <s v="Administrative"/>
    <s v="Research Scientist"/>
    <m/>
    <x v="1"/>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x v="152"/>
    <x v="0"/>
    <m/>
    <m/>
    <n v="2511"/>
    <n v="15"/>
    <n v="4"/>
    <m/>
    <m/>
    <m/>
    <m/>
    <m/>
    <s v="No"/>
    <m/>
    <m/>
    <m/>
    <m/>
    <m/>
    <m/>
    <m/>
    <m/>
    <n v="0"/>
    <m/>
    <m/>
    <s v="SIDA"/>
  </r>
  <r>
    <n v="228"/>
    <s v="C10/015"/>
    <s v="Mary"/>
    <s v="Ogbenyi"/>
    <s v="Ugalahi"/>
    <x v="1"/>
    <x v="9"/>
    <s v="Nigeria"/>
    <x v="0"/>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x v="9"/>
    <m/>
    <s v="Dr. Adebiyi Olupelumi Akindele"/>
    <m/>
    <m/>
    <n v="1"/>
    <m/>
    <m/>
    <m/>
    <m/>
    <m/>
    <m/>
    <s v="Academic"/>
    <s v="Lecturer I"/>
    <s v="Senior Lecturer"/>
    <x v="0"/>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s v="Malawi"/>
    <x v="3"/>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x v="9"/>
    <m/>
    <s v="Professor Lize Maree"/>
    <s v="Dr. Irene Kearns"/>
    <m/>
    <n v="2"/>
    <m/>
    <m/>
    <m/>
    <m/>
    <m/>
    <m/>
    <s v="Academic"/>
    <s v="Senior Lecturer"/>
    <s v="Senior Lecturer"/>
    <x v="0"/>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x v="154"/>
    <x v="0"/>
    <n v="76"/>
    <n v="60"/>
    <s v="Development of a paediatric oncology short learning programme fro nurse in Malawi"/>
    <n v="1"/>
    <n v="6"/>
    <m/>
    <m/>
    <m/>
    <m/>
    <m/>
    <s v="No"/>
    <m/>
    <m/>
    <m/>
    <m/>
    <m/>
    <m/>
    <m/>
    <m/>
    <n v="3"/>
    <m/>
    <m/>
    <s v="SIDA"/>
  </r>
  <r>
    <n v="230"/>
    <s v="C10/006"/>
    <s v="Beryl"/>
    <s v="Chelangat"/>
    <s v="Maritim"/>
    <x v="1"/>
    <x v="9"/>
    <s v="Kenya"/>
    <x v="2"/>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x v="9"/>
    <m/>
    <s v="Prof. Jane Goudge"/>
    <s v="Dr. Adam Koon"/>
    <s v="Dr. Adam Koon"/>
    <n v="3"/>
    <m/>
    <m/>
    <m/>
    <m/>
    <m/>
    <m/>
    <s v="Academic"/>
    <s v="Program Manager"/>
    <s v="Early Carrer Researcher"/>
    <x v="0"/>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x v="155"/>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s v="Nigeria"/>
    <x v="0"/>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x v="9"/>
    <m/>
    <s v="Prof Charles M. Mbogo"/>
    <s v="Prof. Wolfang Richard Mukabana"/>
    <s v="Prof. Godson Ana"/>
    <n v="3"/>
    <m/>
    <m/>
    <m/>
    <m/>
    <m/>
    <m/>
    <s v="Academic"/>
    <s v="Lecturer II"/>
    <s v="Lecturer I"/>
    <x v="0"/>
    <m/>
    <s v="UNIVERSITY OF IBADAN"/>
    <s v="0000-0001-8337-3221"/>
    <m/>
    <d v="2020-03-08T00:00:00"/>
    <d v="2020-11-01T00:00:00"/>
    <s v="Yes"/>
    <m/>
    <m/>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s v="Kenya"/>
    <x v="7"/>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x v="9"/>
    <d v="2023-06-30T00:00:00"/>
    <s v="Dr. Jared Mecha"/>
    <m/>
    <m/>
    <n v="1"/>
    <m/>
    <m/>
    <m/>
    <m/>
    <m/>
    <m/>
    <s v="Academic"/>
    <m/>
    <m/>
    <x v="1"/>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s v="Nigeria"/>
    <x v="5"/>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x v="9"/>
    <m/>
    <s v="Dr Scheuermaier Karine"/>
    <s v="Dr Gomez-Olive F. Xavier"/>
    <s v="Prof. Fatusi Olayiwola Adesegun"/>
    <n v="3"/>
    <m/>
    <m/>
    <m/>
    <m/>
    <m/>
    <m/>
    <s v="Academic"/>
    <s v="Lecturer I"/>
    <s v="Senior Lecturer "/>
    <x v="0"/>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x v="156"/>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s v="Uganda"/>
    <x v="10"/>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x v="9"/>
    <m/>
    <s v="Prof Fred Nuwaha Ntoni"/>
    <s v="Dr Jagnoor Jagnoor"/>
    <s v="Dr Simon Peter Kibira"/>
    <n v="3"/>
    <m/>
    <m/>
    <m/>
    <m/>
    <m/>
    <m/>
    <s v="Researcher"/>
    <s v="Research Associate"/>
    <m/>
    <x v="0"/>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x v="157"/>
    <x v="0"/>
    <n v="45"/>
    <n v="37"/>
    <s v="Improving lifejacket wear among occupational boaters on Lake Altert, Uganda: A cluster-randomized controlled trial"/>
    <n v="8"/>
    <n v="7"/>
    <m/>
    <m/>
    <m/>
    <m/>
    <m/>
    <s v="No"/>
    <m/>
    <m/>
    <m/>
    <m/>
    <m/>
    <m/>
    <m/>
    <m/>
    <n v="1"/>
    <m/>
    <m/>
    <s v="SIDA"/>
  </r>
  <r>
    <n v="235"/>
    <s v="C10/019"/>
    <s v="Omotade"/>
    <s v="Adebimpe"/>
    <s v="Ijarotimi"/>
    <x v="1"/>
    <x v="9"/>
    <s v="Nigeria"/>
    <x v="5"/>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x v="9"/>
    <m/>
    <s v="Prof Olayemi Oladapo "/>
    <s v="Dr Olumide Adesola"/>
    <m/>
    <n v="2"/>
    <m/>
    <m/>
    <m/>
    <m/>
    <m/>
    <m/>
    <s v="Researcher"/>
    <s v="Senior Lecturer"/>
    <s v=" Professor"/>
    <x v="0"/>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x v="158"/>
    <x v="0"/>
    <n v="72"/>
    <m/>
    <s v="Effect of antenatal family planning counselling for male partners on postpartum modern contraception use"/>
    <n v="7"/>
    <n v="8"/>
    <m/>
    <m/>
    <m/>
    <m/>
    <m/>
    <s v="No"/>
    <m/>
    <m/>
    <m/>
    <m/>
    <m/>
    <m/>
    <m/>
    <m/>
    <n v="2"/>
    <m/>
    <m/>
    <s v="SIDA"/>
  </r>
  <r>
    <n v="236"/>
    <s v="C10/012"/>
    <s v="James"/>
    <m/>
    <s v="Muleme"/>
    <x v="0"/>
    <x v="9"/>
    <s v="Uganda"/>
    <x v="10"/>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x v="9"/>
    <m/>
    <s v="Dr. Ssempebwa John"/>
    <s v="Dr. Musoke David"/>
    <s v="Assoc. Prof. Kankya Clovice"/>
    <n v="3"/>
    <m/>
    <m/>
    <m/>
    <m/>
    <m/>
    <m/>
    <s v="Academic"/>
    <s v="Research Associate"/>
    <m/>
    <x v="1"/>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9"/>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s v="Zimbabwe"/>
    <x v="6"/>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x v="9"/>
    <m/>
    <s v="Professor Saiqa Mullick"/>
    <s v="Prof. Christofides Nicola"/>
    <m/>
    <n v="2"/>
    <m/>
    <m/>
    <m/>
    <m/>
    <m/>
    <m/>
    <s v="Academic"/>
    <s v="Researcher"/>
    <s v="Researcher"/>
    <x v="1"/>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x v="16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s v="Zimbabwe"/>
    <x v="6"/>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x v="9"/>
    <m/>
    <s v="Professor Clifford Odimegwu"/>
    <m/>
    <m/>
    <n v="1"/>
    <m/>
    <m/>
    <m/>
    <m/>
    <m/>
    <m/>
    <s v="Academic"/>
    <s v="Teaching Assistant"/>
    <s v="Post-Doctoral Fellow"/>
    <x v="0"/>
    <m/>
    <s v="UNIVERSITY OF THE WITWATERSRAND"/>
    <s v="0000-0002-1957-9513"/>
    <m/>
    <d v="2020-03-15T00:00:00"/>
    <s v="11/1/2020 &amp; 22/5/2022"/>
    <s v="Yes"/>
    <m/>
    <m/>
    <m/>
    <m/>
    <m/>
    <s v="Family Changes and Child Maintenance Effect on Men’s Mental Health in South Africa "/>
    <d v="2023-05-15T00:00:00"/>
    <s v="No"/>
    <d v="2024-07-03T00:00:00"/>
    <s v="Yes"/>
    <m/>
    <m/>
    <m/>
    <x v="161"/>
    <x v="0"/>
    <n v="44"/>
    <e v="#VALUE!"/>
    <s v="Family change, child maintenance and mental health outcomes of men in South Africa”"/>
    <n v="0"/>
    <m/>
    <m/>
    <m/>
    <m/>
    <m/>
    <m/>
    <s v="JAS 2, 2022"/>
    <m/>
    <m/>
    <m/>
    <m/>
    <m/>
    <m/>
    <m/>
    <m/>
    <n v="1"/>
    <m/>
    <m/>
    <s v="WT - DELTAS"/>
  </r>
  <r>
    <n v="239"/>
    <s v="C10/021"/>
    <s v="Shakeerah "/>
    <s v="Olaide"/>
    <s v="Gbadebo"/>
    <x v="1"/>
    <x v="9"/>
    <s v="Nigeria"/>
    <x v="0"/>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x v="9"/>
    <m/>
    <s v="Prof Gbemisola Oke"/>
    <s v="Prof Dosumu OO"/>
    <m/>
    <n v="2"/>
    <m/>
    <m/>
    <m/>
    <m/>
    <m/>
    <m/>
    <s v="Researcher"/>
    <s v="Senior Lecturer"/>
    <s v="Senior Lecturer"/>
    <x v="1"/>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x v="162"/>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s v="South Africa"/>
    <x v="6"/>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x v="9"/>
    <m/>
    <s v="Dr Janan Dietrich"/>
    <s v="Prof Tiffany Chennevile"/>
    <m/>
    <n v="2"/>
    <m/>
    <m/>
    <m/>
    <m/>
    <m/>
    <m/>
    <s v="Academic"/>
    <s v="Senior Researcher"/>
    <s v="Senior Researcher"/>
    <x v="1"/>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s v="Malawi"/>
    <x v="3"/>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x v="9"/>
    <m/>
    <s v="Gillian Saloojee"/>
    <s v="Wiedaad Slemming"/>
    <m/>
    <n v="2"/>
    <m/>
    <m/>
    <m/>
    <m/>
    <m/>
    <m/>
    <s v="Academic"/>
    <s v="Lecturer"/>
    <s v="Lecturer"/>
    <x v="1"/>
    <m/>
    <s v="UNIVERSITY OF MALAWI"/>
    <s v="0000-0003-1817-9689"/>
    <m/>
    <d v="2020-03-24T00:00:00"/>
    <s v="11/1/2020 &amp; 22/5/2022"/>
    <s v="Yes"/>
    <m/>
    <m/>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s v="Nigeria"/>
    <x v="0"/>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x v="9"/>
    <m/>
    <s v="Dr Chesang Jacqueline Jelagat"/>
    <s v="Prof Omigbodun Akinyinka"/>
    <m/>
    <n v="2"/>
    <m/>
    <m/>
    <m/>
    <m/>
    <m/>
    <m/>
    <s v="Academic"/>
    <s v="Lecturer I"/>
    <s v="Senior Lecturer"/>
    <x v="0"/>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s v="Rwanda"/>
    <x v="1"/>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x v="9"/>
    <m/>
    <s v="Prof Tumussime K. David "/>
    <s v="Dr. Jean Baptiste Sagahutu "/>
    <m/>
    <n v="2"/>
    <m/>
    <m/>
    <m/>
    <m/>
    <m/>
    <m/>
    <s v="Researcher"/>
    <s v="Lecturer of Surgery"/>
    <s v="Senior Lecturer"/>
    <x v="0"/>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x v="163"/>
    <x v="0"/>
    <n v="56"/>
    <e v="#VALUE!"/>
    <m/>
    <n v="0"/>
    <n v="2"/>
    <m/>
    <m/>
    <m/>
    <m/>
    <m/>
    <s v="No"/>
    <m/>
    <m/>
    <m/>
    <m/>
    <m/>
    <m/>
    <m/>
    <m/>
    <n v="2"/>
    <m/>
    <m/>
    <s v="SIDA"/>
  </r>
  <r>
    <n v="244"/>
    <s v="C10/005"/>
    <s v="Apatsa"/>
    <m/>
    <s v="Selemani"/>
    <x v="0"/>
    <x v="9"/>
    <s v="Malawi"/>
    <x v="3"/>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x v="9"/>
    <m/>
    <s v="Prof. Jude Igumbor"/>
    <s v="Dr Innocent Maposa"/>
    <m/>
    <n v="2"/>
    <m/>
    <m/>
    <m/>
    <m/>
    <m/>
    <m/>
    <s v="Administrative"/>
    <s v="Assistant Librarian"/>
    <m/>
    <x v="1"/>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x v="164"/>
    <x v="0"/>
    <n v="68"/>
    <e v="#VALUE!"/>
    <m/>
    <n v="2"/>
    <m/>
    <m/>
    <m/>
    <m/>
    <m/>
    <m/>
    <s v="No"/>
    <m/>
    <m/>
    <m/>
    <m/>
    <m/>
    <m/>
    <m/>
    <m/>
    <n v="0"/>
    <m/>
    <m/>
    <s v="SIDA"/>
  </r>
  <r>
    <n v="245"/>
    <s v="C10/009"/>
    <s v="Emmanuel"/>
    <m/>
    <s v="Nzabonimana"/>
    <x v="0"/>
    <x v="9"/>
    <s v="Rwanda"/>
    <x v="1"/>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x v="9"/>
    <m/>
    <s v="Prof Phumzile Hlongwa"/>
    <s v="Prof Veerasamy Yengopal"/>
    <s v="Dr Yolanda Malele-Kolisa"/>
    <n v="3"/>
    <m/>
    <m/>
    <m/>
    <m/>
    <m/>
    <m/>
    <s v="Academic"/>
    <s v="Assistant Lecturer"/>
    <s v="Assistant Lecturer"/>
    <x v="2"/>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x v="165"/>
    <x v="0"/>
    <n v="58"/>
    <m/>
    <s v="Oral Health in Nyarugenge District of Rwanda: The Role of Mobile Application in Oral Health Education"/>
    <n v="0"/>
    <n v="3"/>
    <m/>
    <m/>
    <m/>
    <m/>
    <m/>
    <s v="No"/>
    <m/>
    <m/>
    <m/>
    <m/>
    <m/>
    <m/>
    <m/>
    <m/>
    <n v="0"/>
    <m/>
    <m/>
    <s v="SIDA"/>
  </r>
  <r>
    <n v="246"/>
    <s v="C10/011"/>
    <s v="James"/>
    <s v="Mburu"/>
    <s v="Kang'ethe"/>
    <x v="0"/>
    <x v="9"/>
    <s v="Kenya"/>
    <x v="7"/>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x v="9"/>
    <m/>
    <s v="Dr. Marianne Wanjiru Mureithi"/>
    <s v="Dr. Odari Eddy"/>
    <s v="Dr. Eddy Odari"/>
    <n v="3"/>
    <m/>
    <m/>
    <m/>
    <m/>
    <m/>
    <m/>
    <s v="Academic"/>
    <s v="HIV research scientist and tutor"/>
    <m/>
    <x v="1"/>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s v="South Africa"/>
    <x v="6"/>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x v="9"/>
    <m/>
    <s v="Professor Hellen Myezwa"/>
    <s v="Prof. F. Gomez Olive- Casas"/>
    <m/>
    <n v="2"/>
    <m/>
    <m/>
    <m/>
    <m/>
    <m/>
    <m/>
    <s v="Academic"/>
    <s v="Lecturer"/>
    <s v="Senior Lecturer"/>
    <x v="0"/>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x v="166"/>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s v="Nigeria"/>
    <x v="5"/>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x v="9"/>
    <m/>
    <s v="Dr. Oladejo Thomas Adepoju"/>
    <m/>
    <m/>
    <n v="1"/>
    <m/>
    <m/>
    <m/>
    <m/>
    <m/>
    <m/>
    <s v="Academic"/>
    <s v="Lecturer II"/>
    <s v="Lecturer II"/>
    <x v="1"/>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x v="167"/>
    <x v="0"/>
    <n v="66"/>
    <m/>
    <m/>
    <n v="2"/>
    <n v="1"/>
    <m/>
    <m/>
    <m/>
    <m/>
    <m/>
    <s v="No"/>
    <m/>
    <m/>
    <m/>
    <m/>
    <m/>
    <m/>
    <m/>
    <m/>
    <n v="1"/>
    <m/>
    <m/>
    <s v="SIDA"/>
  </r>
  <r>
    <n v="249"/>
    <s v="C10/024"/>
    <s v="Temitope"/>
    <s v="Olumuyiwa"/>
    <s v="Ojo"/>
    <x v="0"/>
    <x v="9"/>
    <s v="Nigeria"/>
    <x v="5"/>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x v="9"/>
    <m/>
    <s v="Dr Nisha Naicker"/>
    <s v="Prof Onayade Adedeji"/>
    <m/>
    <n v="2"/>
    <m/>
    <m/>
    <m/>
    <m/>
    <m/>
    <m/>
    <s v="Academic"/>
    <s v="Lecturer I"/>
    <s v="Senior Lecturer"/>
    <x v="0"/>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s v="Nigeria"/>
    <x v="0"/>
    <s v="Paediatric Dentistry"/>
    <s v="Child Oral Health"/>
    <s v="University of Ibadan"/>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x v="10"/>
    <m/>
    <s v="Prof. Denloye O.  Obafunke"/>
    <s v="Prof. Lawal Barakat Folake"/>
    <s v="Dr Yetunde  Adeniyi"/>
    <n v="3"/>
    <s v="Home"/>
    <s v="Home"/>
    <s v="Home"/>
    <m/>
    <m/>
    <m/>
    <m/>
    <m/>
    <m/>
    <x v="1"/>
    <m/>
    <m/>
    <s v="0000-0003-1915-2138"/>
    <m/>
    <d v="2025-03-03T00:00:00"/>
    <m/>
    <m/>
    <m/>
    <m/>
    <m/>
    <m/>
    <m/>
    <s v="Development and acceptability of an integrated oral health intervention among Adolescents Living with Mental Health Conditions (ALMHC) in Ibadan, Nigeria"/>
    <m/>
    <m/>
    <m/>
    <m/>
    <m/>
    <m/>
    <m/>
    <x v="19"/>
    <x v="2"/>
    <m/>
    <m/>
    <m/>
    <n v="7"/>
    <m/>
    <m/>
    <m/>
    <m/>
    <m/>
    <m/>
    <m/>
    <m/>
    <m/>
    <m/>
    <m/>
    <m/>
    <m/>
    <m/>
    <m/>
    <n v="2"/>
    <m/>
    <m/>
    <s v="SIDA"/>
  </r>
  <r>
    <n v="251"/>
    <s v="C11/002"/>
    <s v="Amina"/>
    <s v="Hassan"/>
    <s v="Hussein"/>
    <x v="1"/>
    <x v="10"/>
    <s v="Somalia"/>
    <x v="12"/>
    <s v="Maternal and Reproductive health"/>
    <s v="School of Public health"/>
    <s v="Makerere University"/>
    <s v="Yes"/>
    <m/>
    <s v="Married"/>
    <m/>
    <m/>
    <s v="ahusien@cartafrica.org"/>
    <s v="dramiina12@gmail.com"/>
    <s v="+252615506933"/>
    <s v="Master in Public Health (2023 )"/>
    <d v="1991-01-01T00:00:00"/>
    <s v="Reproductive and maternal health in Somalia"/>
    <s v="Field based"/>
    <m/>
    <m/>
    <m/>
    <d v="2025-07-31T00:00:00"/>
    <x v="10"/>
    <m/>
    <s v="ProfChristopher Garimoi Orach"/>
    <s v="Dr. Dinah Amongin"/>
    <s v="Dr. Abdullahi Muse Mohamoud"/>
    <n v="3"/>
    <s v="Host"/>
    <s v="Host"/>
    <s v="Host"/>
    <m/>
    <m/>
    <m/>
    <m/>
    <m/>
    <m/>
    <x v="1"/>
    <m/>
    <m/>
    <s v="0009-0006-9247-6453"/>
    <m/>
    <d v="2025-03-03T00:00:00"/>
    <m/>
    <m/>
    <m/>
    <m/>
    <m/>
    <m/>
    <m/>
    <m/>
    <m/>
    <m/>
    <m/>
    <m/>
    <m/>
    <m/>
    <m/>
    <x v="19"/>
    <x v="2"/>
    <m/>
    <m/>
    <m/>
    <n v="0"/>
    <m/>
    <m/>
    <m/>
    <m/>
    <m/>
    <m/>
    <m/>
    <m/>
    <m/>
    <m/>
    <m/>
    <m/>
    <m/>
    <m/>
    <m/>
    <n v="1"/>
    <m/>
    <m/>
    <s v="SIDA"/>
  </r>
  <r>
    <n v="252"/>
    <s v="C11/003"/>
    <s v="Christabellah"/>
    <m/>
    <s v="Namugenyi"/>
    <x v="1"/>
    <x v="10"/>
    <s v="Uganda"/>
    <x v="10"/>
    <s v="Public Health"/>
    <s v="Department of Planning and Applied Statistics"/>
    <s v="Makerere University"/>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x v="10"/>
    <m/>
    <s v="Dr. Roy William Mayega "/>
    <s v="Prof Rhoda Wanyenze"/>
    <s v="Dr John Ssenkusu"/>
    <n v="3"/>
    <s v="Home"/>
    <s v="Home"/>
    <s v="Home"/>
    <m/>
    <m/>
    <m/>
    <m/>
    <m/>
    <m/>
    <x v="1"/>
    <m/>
    <m/>
    <s v="0000-0003-2534-5526"/>
    <m/>
    <d v="2025-03-03T00:00:00"/>
    <m/>
    <m/>
    <m/>
    <m/>
    <m/>
    <m/>
    <m/>
    <s v="Assessing service delivery and dual control outcomes of HIV and hypertension PLHIV with hypertension in South-Central Uganda"/>
    <m/>
    <m/>
    <m/>
    <m/>
    <m/>
    <m/>
    <m/>
    <x v="19"/>
    <x v="2"/>
    <m/>
    <e v="#VALUE!"/>
    <m/>
    <n v="8"/>
    <m/>
    <m/>
    <m/>
    <m/>
    <m/>
    <m/>
    <m/>
    <m/>
    <m/>
    <m/>
    <m/>
    <m/>
    <m/>
    <m/>
    <m/>
    <n v="2"/>
    <m/>
    <m/>
    <s v="SIDA"/>
  </r>
  <r>
    <n v="253"/>
    <s v="C11/004"/>
    <s v="Cyril"/>
    <s v="Tamuka"/>
    <s v="Chironda"/>
    <x v="0"/>
    <x v="10"/>
    <s v="Zimbabwe"/>
    <x v="8"/>
    <s v="Health Data Science"/>
    <s v="Agincourt Research Center"/>
    <s v="University of the Witwatersrand"/>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x v="10"/>
    <m/>
    <s v="Tobias Chirwa"/>
    <s v="Chodziwadziwa Kabudula"/>
    <s v="Farai Mlambo"/>
    <n v="3"/>
    <s v="Host"/>
    <s v="Home"/>
    <s v="Host"/>
    <m/>
    <m/>
    <m/>
    <m/>
    <m/>
    <m/>
    <x v="1"/>
    <m/>
    <m/>
    <s v="0000-0002-0412-1059"/>
    <m/>
    <d v="2025-03-03T00:00:00"/>
    <m/>
    <m/>
    <m/>
    <m/>
    <m/>
    <m/>
    <m/>
    <m/>
    <m/>
    <m/>
    <m/>
    <m/>
    <m/>
    <m/>
    <m/>
    <x v="19"/>
    <x v="2"/>
    <m/>
    <m/>
    <m/>
    <n v="2"/>
    <m/>
    <m/>
    <m/>
    <m/>
    <m/>
    <m/>
    <m/>
    <m/>
    <m/>
    <m/>
    <m/>
    <m/>
    <m/>
    <m/>
    <m/>
    <n v="1"/>
    <m/>
    <m/>
    <s v="SIDA"/>
  </r>
  <r>
    <n v="254"/>
    <s v="C11/005"/>
    <s v="Elizabeth"/>
    <s v="Oluwatoyin"/>
    <s v="Abe"/>
    <x v="1"/>
    <x v="10"/>
    <s v="Nigeria"/>
    <x v="0"/>
    <s v="Dentistry"/>
    <s v="Oral Pathology/ Oral Medicine"/>
    <s v="University of Ibadan"/>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x v="10"/>
    <m/>
    <s v="Prof Adeyemi Folasade  Bukola"/>
    <s v="Prof Arowojolu Olayinka  Modupeola"/>
    <m/>
    <n v="2"/>
    <s v="Home"/>
    <s v="Home"/>
    <m/>
    <m/>
    <m/>
    <m/>
    <m/>
    <m/>
    <m/>
    <x v="1"/>
    <m/>
    <m/>
    <s v="0000-0001-6632-9026"/>
    <m/>
    <d v="2025-03-03T00:00:00"/>
    <m/>
    <m/>
    <m/>
    <m/>
    <m/>
    <m/>
    <m/>
    <s v="Characterization of Oral Microbiome and Salivary Biomarkers Related to Periodontal Diseases and Pregnancy Outcomes among Pregnant and Postpartum Women in Ibadan "/>
    <m/>
    <m/>
    <m/>
    <m/>
    <m/>
    <m/>
    <m/>
    <x v="19"/>
    <x v="2"/>
    <m/>
    <m/>
    <m/>
    <n v="8"/>
    <m/>
    <m/>
    <m/>
    <m/>
    <m/>
    <m/>
    <m/>
    <m/>
    <m/>
    <m/>
    <m/>
    <m/>
    <m/>
    <m/>
    <m/>
    <n v="3"/>
    <m/>
    <m/>
    <s v="SIDA"/>
  </r>
  <r>
    <n v="255"/>
    <s v="C11/006"/>
    <s v="Fanuel"/>
    <s v="Meckson"/>
    <s v="Bickton"/>
    <x v="0"/>
    <x v="10"/>
    <s v="Malawi"/>
    <x v="3"/>
    <s v="Physiotherapy"/>
    <s v="Department of Rehabilitation Sciences "/>
    <s v="University of the Witwatersrand"/>
    <s v="No"/>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x v="10"/>
    <m/>
    <s v="Prof Ronel Roos _x000a_"/>
    <s v="Prof Roos Ronel"/>
    <s v="Dr Manifield R. James "/>
    <n v="3"/>
    <s v="Host"/>
    <s v="Host"/>
    <s v="Other"/>
    <m/>
    <m/>
    <m/>
    <m/>
    <m/>
    <m/>
    <x v="1"/>
    <m/>
    <m/>
    <s v="0000-0002-0925-909X"/>
    <m/>
    <d v="2025-03-03T00:00:00"/>
    <m/>
    <m/>
    <m/>
    <m/>
    <m/>
    <m/>
    <m/>
    <s v="Development of the International Classification of Functioning, Disability, and Health Core Sets for Adults Living with Multimorbidity in Malawi"/>
    <m/>
    <m/>
    <m/>
    <m/>
    <m/>
    <m/>
    <m/>
    <x v="19"/>
    <x v="2"/>
    <m/>
    <m/>
    <m/>
    <n v="15"/>
    <m/>
    <m/>
    <m/>
    <m/>
    <m/>
    <m/>
    <m/>
    <m/>
    <m/>
    <m/>
    <m/>
    <m/>
    <m/>
    <m/>
    <m/>
    <n v="0"/>
    <m/>
    <m/>
    <s v="SIDA"/>
  </r>
  <r>
    <n v="256"/>
    <s v="C11/007"/>
    <s v="Funmilola"/>
    <s v="Olanike"/>
    <s v="Wuraola"/>
    <x v="1"/>
    <x v="10"/>
    <s v="Nigeria"/>
    <x v="5"/>
    <s v="Breast Surgical Oncology"/>
    <s v="Surgery"/>
    <m/>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x v="10"/>
    <m/>
    <s v="Prof. Penny Clement"/>
    <s v="Dr Ayeni Oluwatosin"/>
    <s v="Prof Alatise Oluwasegun Isaac"/>
    <n v="3"/>
    <s v="Host"/>
    <s v="Host"/>
    <s v="Home"/>
    <m/>
    <m/>
    <m/>
    <m/>
    <m/>
    <m/>
    <x v="1"/>
    <m/>
    <m/>
    <s v="0000-0003-3315-990x"/>
    <m/>
    <d v="2025-03-03T00:00:00"/>
    <m/>
    <m/>
    <m/>
    <m/>
    <m/>
    <m/>
    <m/>
    <m/>
    <m/>
    <m/>
    <m/>
    <m/>
    <m/>
    <m/>
    <m/>
    <x v="19"/>
    <x v="2"/>
    <m/>
    <m/>
    <m/>
    <n v="40"/>
    <m/>
    <m/>
    <m/>
    <m/>
    <m/>
    <m/>
    <m/>
    <m/>
    <m/>
    <m/>
    <m/>
    <m/>
    <m/>
    <m/>
    <m/>
    <n v="1"/>
    <m/>
    <m/>
    <s v="SIDA"/>
  </r>
  <r>
    <n v="257"/>
    <s v="C11/008"/>
    <s v="Gallad"/>
    <s v="Dahir"/>
    <s v="Hassan"/>
    <x v="0"/>
    <x v="10"/>
    <s v="Somalia"/>
    <x v="12"/>
    <s v="Public Health "/>
    <s v="Department of Public Health "/>
    <s v="Makerere University"/>
    <s v="No"/>
    <m/>
    <s v="Married"/>
    <m/>
    <m/>
    <s v="ghassan@cartafrica.org"/>
    <m/>
    <s v="00252616301030"/>
    <s v="Public Health (2017)"/>
    <d v="1988-01-01T00:00:00"/>
    <s v="Vaccine preventable disease surveillance"/>
    <s v="Field based"/>
    <m/>
    <m/>
    <m/>
    <d v="2025-04-15T00:00:00"/>
    <x v="10"/>
    <m/>
    <s v="Prof. Wanyenze Rhoda"/>
    <s v="Dr Isunju Bosco John"/>
    <s v="Dr Omar Salaad Elmi"/>
    <n v="3"/>
    <s v="Host"/>
    <s v="Host"/>
    <s v="Home"/>
    <m/>
    <m/>
    <m/>
    <m/>
    <m/>
    <m/>
    <x v="1"/>
    <m/>
    <m/>
    <s v="0000-0002-8569-8748"/>
    <m/>
    <d v="2025-03-03T00:00:00"/>
    <m/>
    <m/>
    <m/>
    <m/>
    <m/>
    <m/>
    <m/>
    <s v="Effect of Integrating Community Health Workers and Community Pharmacies into Measles and Cholera Disease Surveillance among Internally Displaced Populations in Mogadishu, Somalia"/>
    <m/>
    <m/>
    <m/>
    <m/>
    <m/>
    <m/>
    <m/>
    <x v="19"/>
    <x v="2"/>
    <m/>
    <m/>
    <m/>
    <n v="8"/>
    <m/>
    <m/>
    <m/>
    <m/>
    <m/>
    <m/>
    <m/>
    <m/>
    <m/>
    <m/>
    <m/>
    <m/>
    <m/>
    <m/>
    <m/>
    <n v="1"/>
    <m/>
    <m/>
    <s v="SIDA"/>
  </r>
  <r>
    <n v="258"/>
    <s v="C11/009"/>
    <s v="Justine "/>
    <m/>
    <s v="Okello"/>
    <x v="0"/>
    <x v="10"/>
    <s v="Uganda"/>
    <x v="10"/>
    <s v="Preventive Medicine, Laboratory diagnostics, Epidemiology, Biostatistics, Research methods, Food safety and One Health"/>
    <s v="Department of Biosecurity, Ecosystems and Veterinary Public Health"/>
    <s v="Makerere University"/>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x v="10"/>
    <m/>
    <s v="Dr. Luke Nyakarahuka"/>
    <s v="Prof. Clovice Kankya"/>
    <s v="Prof Robert F. Breiman"/>
    <n v="3"/>
    <s v="Home"/>
    <s v="Home"/>
    <s v="Other"/>
    <m/>
    <m/>
    <m/>
    <m/>
    <m/>
    <m/>
    <x v="1"/>
    <m/>
    <m/>
    <s v="0000-0001-6218-8318"/>
    <m/>
    <d v="2025-03-03T00:00:00"/>
    <m/>
    <m/>
    <m/>
    <m/>
    <m/>
    <m/>
    <m/>
    <m/>
    <m/>
    <m/>
    <m/>
    <m/>
    <m/>
    <m/>
    <m/>
    <x v="19"/>
    <x v="2"/>
    <m/>
    <m/>
    <m/>
    <n v="10"/>
    <m/>
    <m/>
    <m/>
    <m/>
    <m/>
    <m/>
    <m/>
    <m/>
    <m/>
    <m/>
    <m/>
    <m/>
    <m/>
    <m/>
    <m/>
    <n v="0"/>
    <m/>
    <m/>
    <s v="SIDA"/>
  </r>
  <r>
    <n v="259"/>
    <s v="C11/010"/>
    <s v="Lydiah"/>
    <s v="Wanjiru"/>
    <s v="Njihia"/>
    <x v="1"/>
    <x v="10"/>
    <s v="Kenya"/>
    <x v="7"/>
    <s v="PhD Pathobiology (Virology Option)"/>
    <s v="Department of Veterinary Pathology, Microbiology and Parasitology"/>
    <s v="University of Nairobi"/>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x v="10"/>
    <m/>
    <s v="Gitao George Chege_x000a_"/>
    <s v="Moses Masika"/>
    <s v="Prof Gitao Chege George"/>
    <n v="3"/>
    <s v="Home"/>
    <s v="Home"/>
    <s v="Home"/>
    <m/>
    <m/>
    <m/>
    <m/>
    <m/>
    <m/>
    <x v="1"/>
    <m/>
    <m/>
    <s v="0009-0007-0633-3294"/>
    <m/>
    <d v="2025-03-03T00:00:00"/>
    <m/>
    <m/>
    <m/>
    <m/>
    <m/>
    <m/>
    <m/>
    <m/>
    <m/>
    <m/>
    <m/>
    <m/>
    <m/>
    <m/>
    <m/>
    <x v="19"/>
    <x v="2"/>
    <m/>
    <m/>
    <m/>
    <n v="1"/>
    <m/>
    <m/>
    <m/>
    <m/>
    <m/>
    <m/>
    <m/>
    <m/>
    <m/>
    <m/>
    <m/>
    <m/>
    <m/>
    <m/>
    <m/>
    <n v="1"/>
    <m/>
    <m/>
    <s v="SIDA"/>
  </r>
  <r>
    <n v="260"/>
    <s v="C11/011"/>
    <s v="Mary"/>
    <s v="Nigandi"/>
    <s v="Kubo"/>
    <x v="1"/>
    <x v="10"/>
    <s v="Kenya"/>
    <x v="7"/>
    <s v="Internal Medicine"/>
    <s v="Department of Clinical Medicine &amp; Therapeutics"/>
    <s v="University of Nairobi"/>
    <s v="Yes"/>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x v="10"/>
    <m/>
    <s v="Dr Opiyo Okoyo Rose"/>
    <s v="Dr Mweu Mutinda Marshal"/>
    <m/>
    <n v="2"/>
    <s v="Home"/>
    <s v="Home"/>
    <m/>
    <m/>
    <m/>
    <m/>
    <m/>
    <m/>
    <m/>
    <x v="1"/>
    <m/>
    <m/>
    <s v="0000-0002-0708-605X"/>
    <m/>
    <d v="2025-03-03T00:00:00"/>
    <m/>
    <m/>
    <m/>
    <m/>
    <m/>
    <m/>
    <m/>
    <m/>
    <m/>
    <m/>
    <m/>
    <m/>
    <m/>
    <m/>
    <m/>
    <x v="19"/>
    <x v="2"/>
    <m/>
    <m/>
    <m/>
    <n v="10"/>
    <m/>
    <m/>
    <m/>
    <m/>
    <m/>
    <m/>
    <m/>
    <m/>
    <m/>
    <m/>
    <m/>
    <m/>
    <m/>
    <m/>
    <m/>
    <n v="2"/>
    <m/>
    <m/>
    <s v="SIDA"/>
  </r>
  <r>
    <n v="261"/>
    <s v="C11/012"/>
    <s v="Miles-Dei"/>
    <s v="Benedict"/>
    <s v="Olufeagba"/>
    <x v="0"/>
    <x v="10"/>
    <s v="Nigeria"/>
    <x v="0"/>
    <s v="Genetics and Molecular Sciences"/>
    <s v="Institute of Child health"/>
    <s v="University of Ibadan"/>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x v="10"/>
    <m/>
    <s v="Prof Amodu Kehinde Olukemi"/>
    <s v="Prof  Kotila Rachel Taiwo"/>
    <m/>
    <n v="2"/>
    <s v="Home"/>
    <s v="Home"/>
    <m/>
    <m/>
    <m/>
    <m/>
    <m/>
    <m/>
    <m/>
    <x v="1"/>
    <m/>
    <m/>
    <s v="0000-0003-0065-5990"/>
    <m/>
    <d v="2025-03-03T00:00:00"/>
    <m/>
    <m/>
    <m/>
    <m/>
    <m/>
    <m/>
    <m/>
    <m/>
    <m/>
    <m/>
    <m/>
    <m/>
    <m/>
    <m/>
    <m/>
    <x v="19"/>
    <x v="2"/>
    <m/>
    <m/>
    <m/>
    <n v="2"/>
    <m/>
    <m/>
    <m/>
    <m/>
    <m/>
    <m/>
    <m/>
    <m/>
    <m/>
    <m/>
    <m/>
    <m/>
    <m/>
    <m/>
    <m/>
    <n v="2"/>
    <m/>
    <m/>
    <s v="SIDA"/>
  </r>
  <r>
    <n v="262"/>
    <s v="C11/013"/>
    <s v="Molly"/>
    <s v="Mercy"/>
    <s v="Jerono"/>
    <x v="1"/>
    <x v="10"/>
    <s v="Kenya"/>
    <x v="2"/>
    <s v="Economics"/>
    <s v="Research and Sponsored Projects Office (RSPO)-AMPATH "/>
    <s v="Moi University"/>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x v="10"/>
    <m/>
    <s v="Dr. Simeon Nganai"/>
    <s v="Dr. Felishana Cherop "/>
    <s v="Dr. Richard Siele"/>
    <n v="3"/>
    <s v="Home"/>
    <s v="Home"/>
    <s v="Home"/>
    <m/>
    <m/>
    <m/>
    <m/>
    <m/>
    <m/>
    <x v="1"/>
    <m/>
    <m/>
    <s v="0000-0003-4763-0344"/>
    <m/>
    <d v="2025-03-03T00:00:00"/>
    <m/>
    <m/>
    <m/>
    <m/>
    <m/>
    <m/>
    <m/>
    <s v="Evaluation of socioeconomic drivers in reducing sexual violence against children in western kenya"/>
    <m/>
    <m/>
    <m/>
    <m/>
    <m/>
    <m/>
    <m/>
    <x v="19"/>
    <x v="2"/>
    <m/>
    <m/>
    <m/>
    <n v="1"/>
    <m/>
    <m/>
    <m/>
    <m/>
    <m/>
    <m/>
    <m/>
    <m/>
    <m/>
    <m/>
    <m/>
    <m/>
    <m/>
    <m/>
    <m/>
    <n v="1"/>
    <m/>
    <m/>
    <s v="OAK"/>
  </r>
  <r>
    <n v="263"/>
    <s v="C11/014"/>
    <s v="Razak"/>
    <s v="Lewis"/>
    <s v="Mussa"/>
    <x v="0"/>
    <x v="10"/>
    <s v="Malawi"/>
    <x v="3"/>
    <s v="Social Scientist"/>
    <s v="School of Global and Public Health"/>
    <s v="University of Malawi and Associates"/>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x v="10"/>
    <m/>
    <s v="Dr. Mipando Nyondo Linda"/>
    <s v="Dr  Conco  Nozizwe Daphney"/>
    <m/>
    <n v="2"/>
    <s v="Home"/>
    <s v="Host"/>
    <m/>
    <m/>
    <m/>
    <m/>
    <m/>
    <m/>
    <m/>
    <x v="1"/>
    <m/>
    <m/>
    <s v="0009-0000-6991-6912"/>
    <m/>
    <d v="2025-03-03T00:00:00"/>
    <m/>
    <m/>
    <m/>
    <m/>
    <m/>
    <m/>
    <m/>
    <m/>
    <m/>
    <m/>
    <m/>
    <m/>
    <m/>
    <m/>
    <m/>
    <x v="19"/>
    <x v="2"/>
    <m/>
    <m/>
    <m/>
    <n v="0"/>
    <m/>
    <m/>
    <m/>
    <m/>
    <m/>
    <m/>
    <m/>
    <m/>
    <m/>
    <m/>
    <m/>
    <m/>
    <m/>
    <m/>
    <m/>
    <n v="1"/>
    <m/>
    <m/>
    <s v="OAK"/>
  </r>
  <r>
    <n v="264"/>
    <s v="C11/015"/>
    <s v="Nichodemus"/>
    <s v="Mutinda"/>
    <s v="Kamuti"/>
    <x v="0"/>
    <x v="10"/>
    <s v="Kenya"/>
    <x v="7"/>
    <s v="Veterinary Pathology and Diagnostics "/>
    <s v="Department of Veterinary Pathology, Microbiology and Parasitology"/>
    <s v="University of Nairobi"/>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x v="10"/>
    <m/>
    <s v="Prof Gathumbi Karuri Peter_x000a_"/>
    <s v="Prof  Githigia Maina Samuel"/>
    <s v="Dr. Mulei Rumpel Isaac"/>
    <n v="3"/>
    <s v="Home"/>
    <s v="Home"/>
    <s v="Home"/>
    <m/>
    <m/>
    <m/>
    <m/>
    <m/>
    <m/>
    <x v="1"/>
    <m/>
    <m/>
    <s v="0000-0001-5741-1271"/>
    <m/>
    <d v="2025-03-03T00:00:00"/>
    <m/>
    <m/>
    <m/>
    <m/>
    <m/>
    <m/>
    <m/>
    <s v="Prevalence pathology and socio-economic impact of myiasis in sheep and goats in kitui county kenya"/>
    <m/>
    <m/>
    <m/>
    <m/>
    <m/>
    <m/>
    <m/>
    <x v="19"/>
    <x v="2"/>
    <m/>
    <m/>
    <m/>
    <n v="2"/>
    <m/>
    <m/>
    <m/>
    <m/>
    <m/>
    <m/>
    <m/>
    <m/>
    <m/>
    <m/>
    <m/>
    <m/>
    <m/>
    <m/>
    <m/>
    <n v="1"/>
    <m/>
    <m/>
    <s v="SIDA"/>
  </r>
  <r>
    <n v="265"/>
    <s v="C11/016"/>
    <s v="Ochuko"/>
    <s v="Maureen"/>
    <s v="Orherhe"/>
    <x v="1"/>
    <x v="10"/>
    <s v="Nigeria"/>
    <x v="5"/>
    <s v="Clinical Pharmacy"/>
    <s v="Department of Clinical Pharmacy and Pharmacy Administration"/>
    <s v="Obafemi Awolowo University"/>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x v="10"/>
    <m/>
    <s v="Dr. Babatunde Adeagbo"/>
    <s v="Dr. Adeagbo Ayodeji Babatunde"/>
    <m/>
    <n v="2"/>
    <s v="Home"/>
    <s v="Home"/>
    <m/>
    <m/>
    <m/>
    <m/>
    <m/>
    <m/>
    <m/>
    <x v="1"/>
    <m/>
    <m/>
    <s v="0000-0002-3671-9717"/>
    <m/>
    <d v="2025-03-03T00:00:00"/>
    <m/>
    <m/>
    <m/>
    <m/>
    <m/>
    <m/>
    <m/>
    <s v="Pharmacogenetics and Model-Informed Optimisation of Hydroxyurea Therapy in Sickle Cell Disease Patients of Nigerian Descen"/>
    <m/>
    <m/>
    <m/>
    <m/>
    <m/>
    <m/>
    <m/>
    <x v="19"/>
    <x v="2"/>
    <m/>
    <m/>
    <m/>
    <n v="6"/>
    <m/>
    <m/>
    <m/>
    <m/>
    <m/>
    <m/>
    <m/>
    <m/>
    <m/>
    <m/>
    <m/>
    <m/>
    <m/>
    <m/>
    <m/>
    <n v="0"/>
    <m/>
    <m/>
    <s v="SIDA"/>
  </r>
  <r>
    <n v="266"/>
    <s v="C11/017"/>
    <s v="Patani"/>
    <s v="George Wills"/>
    <s v="Mhango"/>
    <x v="0"/>
    <x v="10"/>
    <s v="Malawi"/>
    <x v="3"/>
    <s v="Public Health"/>
    <s v="Centre for Reproductive Health"/>
    <s v="University of the Witwatersrand"/>
    <s v="No"/>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x v="10"/>
    <m/>
    <s v=" Prof Nicola Christofides"/>
    <s v="Dr Blessings N. Kaunda-Khangamwa"/>
    <s v="Professor Khudejha Asghar"/>
    <n v="3"/>
    <s v="Host"/>
    <s v="Home"/>
    <s v="Other"/>
    <m/>
    <m/>
    <m/>
    <m/>
    <m/>
    <m/>
    <x v="1"/>
    <m/>
    <m/>
    <s v="0000-0002-1492-260X"/>
    <m/>
    <d v="2025-03-03T00:00:00"/>
    <m/>
    <m/>
    <m/>
    <m/>
    <m/>
    <m/>
    <m/>
    <m/>
    <m/>
    <m/>
    <m/>
    <m/>
    <m/>
    <m/>
    <m/>
    <x v="19"/>
    <x v="2"/>
    <m/>
    <m/>
    <m/>
    <n v="8"/>
    <m/>
    <m/>
    <m/>
    <m/>
    <m/>
    <m/>
    <m/>
    <m/>
    <m/>
    <m/>
    <m/>
    <m/>
    <m/>
    <m/>
    <m/>
    <n v="2"/>
    <m/>
    <m/>
    <s v="SIDA"/>
  </r>
  <r>
    <n v="267"/>
    <s v="C11/018"/>
    <s v="Pierre Celestin"/>
    <m/>
    <s v="Munezero"/>
    <x v="0"/>
    <x v="10"/>
    <s v="Rwanda"/>
    <x v="1"/>
    <s v="Basic Sciences"/>
    <s v="Microbiology and Parasitology"/>
    <m/>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x v="10"/>
    <s v="13/11/2025"/>
    <m/>
    <m/>
    <m/>
    <m/>
    <m/>
    <m/>
    <m/>
    <m/>
    <m/>
    <m/>
    <m/>
    <m/>
    <m/>
    <x v="1"/>
    <m/>
    <m/>
    <s v="0000-0003-2876-9025"/>
    <m/>
    <d v="2025-03-03T00:00:00"/>
    <m/>
    <m/>
    <m/>
    <m/>
    <m/>
    <m/>
    <m/>
    <m/>
    <m/>
    <m/>
    <m/>
    <m/>
    <m/>
    <m/>
    <m/>
    <x v="19"/>
    <x v="1"/>
    <m/>
    <m/>
    <m/>
    <n v="8"/>
    <m/>
    <m/>
    <m/>
    <m/>
    <m/>
    <m/>
    <m/>
    <m/>
    <m/>
    <m/>
    <m/>
    <m/>
    <m/>
    <m/>
    <m/>
    <n v="0"/>
    <m/>
    <m/>
    <s v="SIDA"/>
  </r>
  <r>
    <n v="268"/>
    <s v="C11/019"/>
    <s v="Solange"/>
    <m/>
    <s v="Nikwigize"/>
    <x v="1"/>
    <x v="10"/>
    <s v="Rwanda"/>
    <x v="1"/>
    <s v="Public Health"/>
    <s v="Community Health Development "/>
    <s v="University of Rwanda"/>
    <s v="Yes"/>
    <m/>
    <s v="Married"/>
    <m/>
    <m/>
    <s v="snikwigize@cartafrica.org"/>
    <s v="solangeni4@gmail.com"/>
    <s v="+250788804831"/>
    <s v="Masters in Public Health (2021)"/>
    <d v="1987-11-10T00:00:00"/>
    <s v="Socio-economic and Cultural Factors Associated with Sexual Violence Among Children Born to Teen Mothers in Rwanda. A Mixed Method"/>
    <m/>
    <m/>
    <m/>
    <m/>
    <m/>
    <x v="10"/>
    <m/>
    <s v="Assoc.Prof Erigene Rutayisire_x000a_"/>
    <s v="Assoc. Prof. Olive Bazirete"/>
    <m/>
    <n v="2"/>
    <s v="Home"/>
    <s v="Home"/>
    <m/>
    <m/>
    <m/>
    <m/>
    <m/>
    <m/>
    <m/>
    <x v="1"/>
    <m/>
    <m/>
    <s v="0009-0008-1667-3046"/>
    <m/>
    <d v="2025-03-03T00:00:00"/>
    <m/>
    <m/>
    <m/>
    <m/>
    <m/>
    <m/>
    <m/>
    <m/>
    <m/>
    <m/>
    <m/>
    <m/>
    <m/>
    <m/>
    <m/>
    <x v="19"/>
    <x v="2"/>
    <m/>
    <m/>
    <m/>
    <n v="3"/>
    <m/>
    <m/>
    <m/>
    <m/>
    <m/>
    <m/>
    <m/>
    <m/>
    <m/>
    <m/>
    <m/>
    <m/>
    <m/>
    <m/>
    <m/>
    <n v="1"/>
    <m/>
    <m/>
    <s v="OAK"/>
  </r>
  <r>
    <n v="269"/>
    <s v="C11/020"/>
    <s v="Winifrida"/>
    <s v="Paschal"/>
    <s v="Mponzi"/>
    <x v="1"/>
    <x v="10"/>
    <s v="Tanzania"/>
    <x v="4"/>
    <s v="Social Sciences "/>
    <s v="Environmental Health and Ecological Sciences Department"/>
    <s v="University of the Witwatersrand"/>
    <s v="No"/>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x v="10"/>
    <m/>
    <s v=" Prof Nicola Christofides"/>
    <s v="Dr Emmanuel Willson Kaindoa"/>
    <s v="Prof. Ann Kelly"/>
    <n v="3"/>
    <s v="Host"/>
    <s v="Home"/>
    <s v="Other"/>
    <m/>
    <m/>
    <m/>
    <m/>
    <m/>
    <m/>
    <x v="1"/>
    <m/>
    <m/>
    <s v="0000-0003-0122-0550"/>
    <m/>
    <d v="2025-03-03T00:00:00"/>
    <m/>
    <m/>
    <m/>
    <m/>
    <m/>
    <m/>
    <m/>
    <s v="Village community banking and housing upgrades: A strategy to lower malaria and improve the well-being in Southeastern Tanzania."/>
    <m/>
    <m/>
    <m/>
    <m/>
    <m/>
    <m/>
    <m/>
    <x v="19"/>
    <x v="2"/>
    <m/>
    <m/>
    <m/>
    <n v="16"/>
    <m/>
    <m/>
    <m/>
    <m/>
    <m/>
    <m/>
    <m/>
    <m/>
    <m/>
    <m/>
    <m/>
    <m/>
    <m/>
    <m/>
    <m/>
    <n v="3"/>
    <m/>
    <m/>
    <s v="SIDA"/>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7">
  <r>
    <n v="1"/>
    <s v="C1/001"/>
    <s v="Babatunde"/>
    <s v="Olubayo"/>
    <s v="Adedokun"/>
    <x v="0"/>
    <x v="0"/>
    <x v="0"/>
    <x v="0"/>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s v="University of Malawi and Associates"/>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x v="8"/>
    <x v="0"/>
    <n v="65"/>
    <n v="57"/>
    <m/>
    <n v="7"/>
    <n v="6"/>
    <n v="1"/>
    <n v="3"/>
    <n v="1"/>
    <n v="0"/>
    <n v="0"/>
    <s v="No"/>
    <s v="No"/>
    <m/>
    <m/>
    <m/>
    <m/>
    <s v="No"/>
    <m/>
    <m/>
    <s v="NF"/>
    <s v="NF"/>
    <m/>
    <s v="NF"/>
  </r>
  <r>
    <n v="10"/>
    <s v="C1/010"/>
    <s v="François"/>
    <m/>
    <s v="Niragire"/>
    <x v="0"/>
    <x v="0"/>
    <x v="1"/>
    <x v="1"/>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x v="5"/>
    <x v="0"/>
    <n v="81"/>
    <n v="73"/>
    <m/>
    <n v="1"/>
    <n v="8"/>
    <n v="3"/>
    <n v="0"/>
    <n v="0"/>
    <n v="0"/>
    <n v="0"/>
    <s v="No"/>
    <s v="No"/>
    <m/>
    <m/>
    <m/>
    <m/>
    <s v="No"/>
    <m/>
    <m/>
    <s v="NF"/>
    <s v="NF"/>
    <m/>
    <s v="NF"/>
  </r>
  <r>
    <n v="22"/>
    <s v="C1/022"/>
    <s v="Theresa"/>
    <s v="Njeri"/>
    <s v="Kinyari"/>
    <x v="1"/>
    <x v="0"/>
    <x v="2"/>
    <x v="7"/>
    <m/>
    <m/>
    <m/>
    <m/>
    <s v="NF"/>
    <s v="NF"/>
    <s v="NF"/>
    <s v="NF"/>
    <m/>
    <m/>
    <m/>
    <m/>
    <m/>
    <m/>
    <m/>
    <m/>
    <m/>
    <m/>
    <m/>
    <d v="2011-03-01T00:00:00"/>
    <d v="2011-11-18T00:00:00"/>
    <m/>
    <m/>
    <m/>
    <n v="0"/>
    <m/>
    <m/>
    <m/>
    <m/>
    <m/>
    <m/>
    <m/>
    <m/>
    <m/>
    <m/>
    <m/>
    <m/>
    <m/>
    <m/>
    <d v="2011-04-01T00:00:00"/>
    <m/>
    <m/>
    <m/>
    <m/>
    <m/>
    <m/>
    <m/>
    <m/>
    <m/>
    <m/>
    <m/>
    <m/>
    <m/>
    <m/>
    <m/>
    <x v="19"/>
    <x v="1"/>
    <s v="Terminated"/>
    <m/>
    <m/>
    <m/>
    <m/>
    <m/>
    <m/>
    <m/>
    <m/>
    <m/>
    <s v="No"/>
    <s v=""/>
    <m/>
    <m/>
    <m/>
    <m/>
    <m/>
    <m/>
    <m/>
    <m/>
    <m/>
    <m/>
    <s v="NF"/>
  </r>
  <r>
    <n v="23"/>
    <s v="C1/023"/>
    <s v="Peter "/>
    <s v="Mwamba "/>
    <s v="Maturi"/>
    <x v="0"/>
    <x v="0"/>
    <x v="2"/>
    <x v="7"/>
    <m/>
    <m/>
    <s v="University of Nairobi"/>
    <s v="Yes"/>
    <s v="NF"/>
    <s v="NF"/>
    <s v="NF"/>
    <s v="NF"/>
    <m/>
    <m/>
    <m/>
    <m/>
    <m/>
    <m/>
    <m/>
    <m/>
    <m/>
    <m/>
    <m/>
    <d v="2011-03-01T00:00:00"/>
    <d v="2016-08-31T00:00:00"/>
    <m/>
    <m/>
    <m/>
    <n v="0"/>
    <m/>
    <m/>
    <m/>
    <m/>
    <m/>
    <m/>
    <m/>
    <m/>
    <m/>
    <m/>
    <m/>
    <m/>
    <m/>
    <m/>
    <d v="2011-04-01T00:00:00"/>
    <m/>
    <m/>
    <m/>
    <m/>
    <m/>
    <m/>
    <m/>
    <m/>
    <m/>
    <m/>
    <m/>
    <m/>
    <m/>
    <m/>
    <m/>
    <x v="19"/>
    <x v="1"/>
    <s v="Terminated"/>
    <m/>
    <m/>
    <m/>
    <m/>
    <m/>
    <m/>
    <m/>
    <m/>
    <m/>
    <s v="No"/>
    <s v=""/>
    <m/>
    <m/>
    <m/>
    <m/>
    <m/>
    <m/>
    <m/>
    <m/>
    <m/>
    <m/>
    <s v="NF"/>
  </r>
  <r>
    <n v="24"/>
    <s v="C1/024"/>
    <s v="Jaclkline"/>
    <s v="Halima"/>
    <s v="Mgumia"/>
    <x v="1"/>
    <x v="0"/>
    <x v="4"/>
    <x v="9"/>
    <m/>
    <m/>
    <m/>
    <m/>
    <s v="NF"/>
    <s v="NF"/>
    <s v="NF"/>
    <s v="NF"/>
    <m/>
    <m/>
    <m/>
    <m/>
    <m/>
    <m/>
    <m/>
    <m/>
    <m/>
    <m/>
    <m/>
    <d v="2011-03-01T00:00:00"/>
    <d v="2012-12-31T00:00:00"/>
    <m/>
    <m/>
    <m/>
    <n v="0"/>
    <m/>
    <m/>
    <m/>
    <m/>
    <m/>
    <m/>
    <m/>
    <m/>
    <m/>
    <m/>
    <m/>
    <m/>
    <m/>
    <m/>
    <d v="2011-04-01T00:00:00"/>
    <m/>
    <m/>
    <m/>
    <m/>
    <m/>
    <m/>
    <m/>
    <m/>
    <m/>
    <m/>
    <m/>
    <m/>
    <m/>
    <m/>
    <m/>
    <x v="19"/>
    <x v="1"/>
    <s v="Terminated"/>
    <m/>
    <m/>
    <m/>
    <m/>
    <m/>
    <m/>
    <m/>
    <m/>
    <m/>
    <s v="No"/>
    <m/>
    <m/>
    <m/>
    <m/>
    <m/>
    <m/>
    <m/>
    <m/>
    <m/>
    <m/>
    <m/>
    <s v="NF"/>
  </r>
  <r>
    <n v="26"/>
    <s v="C2/001"/>
    <s v="Adebolajo"/>
    <m/>
    <s v="Adeyemo"/>
    <x v="0"/>
    <x v="1"/>
    <x v="0"/>
    <x v="0"/>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s v="University of Malawi and Associates"/>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x v="11"/>
    <x v="0"/>
    <n v="49"/>
    <n v="41"/>
    <m/>
    <n v="0"/>
    <n v="4"/>
    <n v="36"/>
    <n v="1"/>
    <n v="0"/>
    <n v="1"/>
    <n v="1"/>
    <s v="No"/>
    <n v="0"/>
    <m/>
    <m/>
    <m/>
    <m/>
    <s v="No"/>
    <m/>
    <m/>
    <n v="2"/>
    <n v="2"/>
    <m/>
    <s v="FF"/>
  </r>
  <r>
    <n v="28"/>
    <s v="C2/003"/>
    <s v="Austin"/>
    <s v="Henderson"/>
    <s v="Mtethiwa"/>
    <x v="0"/>
    <x v="1"/>
    <x v="3"/>
    <x v="3"/>
    <s v="Environmental Sciences"/>
    <m/>
    <s v="University of Malawi and Associates"/>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x v="2"/>
    <x v="0"/>
    <n v="25"/>
    <n v="17"/>
    <m/>
    <n v="6"/>
    <n v="6"/>
    <n v="93"/>
    <n v="8"/>
    <n v="4"/>
    <n v="18"/>
    <n v="4"/>
    <s v="No"/>
    <n v="0"/>
    <m/>
    <m/>
    <m/>
    <m/>
    <s v="No"/>
    <m/>
    <m/>
    <s v="NF"/>
    <n v="2"/>
    <m/>
    <s v="MAC"/>
  </r>
  <r>
    <n v="33"/>
    <s v="C2/008"/>
    <s v="Tumwine"/>
    <m/>
    <s v="Gabriel"/>
    <x v="0"/>
    <x v="1"/>
    <x v="6"/>
    <x v="10"/>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s v="University of Malawi and Associates"/>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s v="University of Malawi and Associates"/>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x v="19"/>
    <x v="1"/>
    <m/>
    <m/>
    <m/>
    <n v="1"/>
    <n v="0"/>
    <n v="0"/>
    <n v="0"/>
    <n v="0"/>
    <n v="0"/>
    <n v="0"/>
    <s v="No"/>
    <n v="0"/>
    <m/>
    <m/>
    <m/>
    <m/>
    <s v="No"/>
    <m/>
    <m/>
    <n v="1"/>
    <s v="NF"/>
    <m/>
    <s v="NF"/>
  </r>
  <r>
    <n v="41"/>
    <s v="C2/016"/>
    <s v="Nalugo"/>
    <s v="Scovia"/>
    <s v="Mbalinda"/>
    <x v="1"/>
    <x v="1"/>
    <x v="6"/>
    <x v="10"/>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x v="0"/>
    <x v="0"/>
    <n v="59"/>
    <n v="51"/>
    <m/>
    <s v="NF"/>
    <n v="2"/>
    <n v="0"/>
    <n v="1"/>
    <n v="0"/>
    <n v="0"/>
    <n v="0"/>
    <s v="No"/>
    <n v="0"/>
    <m/>
    <m/>
    <m/>
    <m/>
    <s v="No"/>
    <m/>
    <m/>
    <s v="NF"/>
    <s v="NF"/>
    <m/>
    <s v="NF"/>
  </r>
  <r>
    <n v="43"/>
    <s v="C2/018"/>
    <s v="Simbaharshe"/>
    <m/>
    <s v="Takuva"/>
    <x v="0"/>
    <x v="1"/>
    <x v="5"/>
    <x v="6"/>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x v="19"/>
    <x v="1"/>
    <m/>
    <m/>
    <m/>
    <n v="1"/>
    <n v="31"/>
    <n v="0"/>
    <n v="7"/>
    <n v="3"/>
    <n v="0"/>
    <n v="0"/>
    <s v="No"/>
    <n v="0"/>
    <m/>
    <m/>
    <m/>
    <m/>
    <s v="No"/>
    <m/>
    <m/>
    <s v="NF"/>
    <s v="NF"/>
    <m/>
    <s v="NF"/>
  </r>
  <r>
    <n v="44"/>
    <s v="C2/019"/>
    <s v="Gloria"/>
    <s v="Susan"/>
    <s v="Omosa - Momanyi"/>
    <x v="1"/>
    <x v="1"/>
    <x v="2"/>
    <x v="7"/>
    <m/>
    <m/>
    <s v="University of the Witwatersrand"/>
    <s v="No"/>
    <s v="NF"/>
    <s v="NF"/>
    <s v="NF"/>
    <s v="NF"/>
    <m/>
    <m/>
    <m/>
    <m/>
    <m/>
    <m/>
    <m/>
    <m/>
    <m/>
    <n v="4"/>
    <m/>
    <d v="2012-03-01T00:00:00"/>
    <d v="2016-10-19T00:00:00"/>
    <m/>
    <m/>
    <m/>
    <n v="0"/>
    <m/>
    <m/>
    <m/>
    <m/>
    <m/>
    <m/>
    <m/>
    <m/>
    <m/>
    <m/>
    <m/>
    <m/>
    <m/>
    <m/>
    <d v="2012-03-01T00:00:00"/>
    <m/>
    <m/>
    <m/>
    <m/>
    <m/>
    <m/>
    <m/>
    <m/>
    <m/>
    <m/>
    <m/>
    <m/>
    <m/>
    <m/>
    <m/>
    <x v="19"/>
    <x v="1"/>
    <s v="Terminated"/>
    <m/>
    <m/>
    <m/>
    <m/>
    <m/>
    <m/>
    <m/>
    <m/>
    <m/>
    <s v="No"/>
    <m/>
    <m/>
    <m/>
    <m/>
    <m/>
    <m/>
    <m/>
    <m/>
    <m/>
    <m/>
    <m/>
    <s v="WT"/>
  </r>
  <r>
    <n v="45"/>
    <s v="C2/020"/>
    <s v="Phanuel"/>
    <s v="Humphrey Jacob"/>
    <s v="Shao"/>
    <x v="0"/>
    <x v="1"/>
    <x v="4"/>
    <x v="4"/>
    <m/>
    <s v="TB Clinic"/>
    <s v="University of Dar es Salaam"/>
    <s v="No"/>
    <s v="NF"/>
    <s v="NF"/>
    <s v="NF"/>
    <s v="NF"/>
    <s v="hshao@cartafrica.org"/>
    <s v="humphreyshao@gmail.com"/>
    <m/>
    <m/>
    <m/>
    <m/>
    <m/>
    <m/>
    <m/>
    <n v="22.5"/>
    <m/>
    <d v="2012-03-01T00:00:00"/>
    <d v="2016-01-11T00:00:00"/>
    <m/>
    <m/>
    <m/>
    <n v="0"/>
    <m/>
    <m/>
    <m/>
    <m/>
    <m/>
    <m/>
    <m/>
    <m/>
    <m/>
    <m/>
    <m/>
    <m/>
    <m/>
    <m/>
    <d v="2012-03-01T00:00:00"/>
    <m/>
    <m/>
    <m/>
    <m/>
    <m/>
    <m/>
    <m/>
    <m/>
    <m/>
    <m/>
    <m/>
    <m/>
    <m/>
    <m/>
    <m/>
    <x v="19"/>
    <x v="1"/>
    <s v="Terminated"/>
    <m/>
    <m/>
    <m/>
    <m/>
    <m/>
    <m/>
    <m/>
    <m/>
    <m/>
    <s v="No"/>
    <m/>
    <m/>
    <m/>
    <m/>
    <m/>
    <m/>
    <m/>
    <m/>
    <m/>
    <m/>
    <m/>
    <s v="NF"/>
  </r>
  <r>
    <n v="47"/>
    <s v="C3/001"/>
    <s v="Adefolarin"/>
    <s v="Olufolake"/>
    <s v="Adeyinka"/>
    <x v="1"/>
    <x v="2"/>
    <x v="0"/>
    <x v="0"/>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x v="30"/>
    <x v="0"/>
    <n v="52"/>
    <n v="44"/>
    <m/>
    <n v="0"/>
    <n v="18"/>
    <n v="17"/>
    <n v="11"/>
    <n v="1"/>
    <n v="0"/>
    <n v="0"/>
    <s v="No"/>
    <n v="0"/>
    <m/>
    <m/>
    <m/>
    <m/>
    <s v="No"/>
    <m/>
    <m/>
    <n v="0"/>
    <n v="0"/>
    <m/>
    <s v="MAC"/>
  </r>
  <r>
    <n v="51"/>
    <s v="C3/005"/>
    <s v="Kato"/>
    <s v="Charles"/>
    <s v="Drago "/>
    <x v="0"/>
    <x v="2"/>
    <x v="6"/>
    <x v="10"/>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x v="11"/>
    <x v="0"/>
    <n v="37"/>
    <n v="29"/>
    <m/>
    <n v="0"/>
    <n v="6"/>
    <n v="31"/>
    <n v="0"/>
    <n v="1"/>
    <n v="0"/>
    <n v="0"/>
    <s v="No"/>
    <n v="0"/>
    <m/>
    <m/>
    <m/>
    <m/>
    <s v="No"/>
    <m/>
    <m/>
    <n v="1"/>
    <n v="2"/>
    <m/>
    <s v="SIDA"/>
  </r>
  <r>
    <n v="52"/>
    <s v="C3/006"/>
    <s v="Charles "/>
    <s v="Masulani"/>
    <s v="Mwale"/>
    <x v="0"/>
    <x v="2"/>
    <x v="1"/>
    <x v="1"/>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s v="University of Malawi and Associates"/>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x v="37"/>
    <x v="0"/>
    <n v="50"/>
    <n v="42"/>
    <m/>
    <n v="3"/>
    <n v="3"/>
    <n v="10"/>
    <n v="4"/>
    <n v="1"/>
    <n v="0"/>
    <n v="0"/>
    <s v="No"/>
    <n v="0"/>
    <m/>
    <m/>
    <m/>
    <m/>
    <s v="No"/>
    <m/>
    <m/>
    <n v="3"/>
    <n v="3"/>
    <m/>
    <s v="SIDA"/>
  </r>
  <r>
    <n v="61"/>
    <s v="C3/015"/>
    <s v="Ojo"/>
    <s v="Melvin"/>
    <s v="Agunbiade"/>
    <x v="0"/>
    <x v="2"/>
    <x v="0"/>
    <x v="5"/>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x v="40"/>
    <x v="0"/>
    <n v="27"/>
    <n v="19"/>
    <m/>
    <n v="1"/>
    <n v="0"/>
    <n v="12"/>
    <n v="0"/>
    <n v="0"/>
    <n v="1"/>
    <n v="1"/>
    <s v="JAS 1, 2013"/>
    <n v="0"/>
    <m/>
    <m/>
    <m/>
    <m/>
    <s v="No"/>
    <m/>
    <m/>
    <n v="5"/>
    <n v="5"/>
    <m/>
    <s v="WT"/>
  </r>
  <r>
    <n v="65"/>
    <s v="C3/019"/>
    <s v="Obasola"/>
    <s v="Ireti"/>
    <s v="Oluwaseun"/>
    <x v="1"/>
    <x v="2"/>
    <x v="0"/>
    <x v="0"/>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x v="19"/>
    <x v="2"/>
    <m/>
    <m/>
    <m/>
    <n v="0"/>
    <n v="0"/>
    <n v="0"/>
    <n v="0"/>
    <n v="0"/>
    <n v="0"/>
    <n v="0"/>
    <s v="JAS 4, 2017"/>
    <n v="0"/>
    <m/>
    <m/>
    <m/>
    <m/>
    <s v="No"/>
    <m/>
    <m/>
    <s v="NF"/>
    <s v="NF"/>
    <m/>
    <s v="SIDA"/>
  </r>
  <r>
    <n v="68"/>
    <s v="C3/022"/>
    <s v="Save"/>
    <m/>
    <s v="Kumwenda"/>
    <x v="0"/>
    <x v="2"/>
    <x v="3"/>
    <x v="3"/>
    <s v="Public Health"/>
    <s v="Public Health"/>
    <s v="University of Malawi and Associates"/>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s v="University of the Witwatersrand"/>
    <s v="No"/>
    <s v="NF"/>
    <s v="NF"/>
    <s v="NF"/>
    <s v="NF"/>
    <m/>
    <m/>
    <m/>
    <m/>
    <m/>
    <m/>
    <m/>
    <m/>
    <m/>
    <m/>
    <m/>
    <d v="2013-03-01T00:00:00"/>
    <d v="2014-12-31T00:00:00"/>
    <m/>
    <m/>
    <m/>
    <n v="0"/>
    <m/>
    <m/>
    <m/>
    <m/>
    <m/>
    <m/>
    <m/>
    <m/>
    <m/>
    <m/>
    <m/>
    <m/>
    <m/>
    <m/>
    <d v="2013-03-01T00:00:00"/>
    <m/>
    <m/>
    <m/>
    <m/>
    <m/>
    <m/>
    <m/>
    <m/>
    <m/>
    <m/>
    <m/>
    <m/>
    <m/>
    <m/>
    <m/>
    <x v="19"/>
    <x v="1"/>
    <s v="Terminated"/>
    <m/>
    <m/>
    <m/>
    <m/>
    <m/>
    <m/>
    <m/>
    <m/>
    <m/>
    <s v="No"/>
    <m/>
    <m/>
    <m/>
    <m/>
    <m/>
    <m/>
    <m/>
    <m/>
    <m/>
    <m/>
    <m/>
    <s v="NF"/>
  </r>
  <r>
    <n v="71"/>
    <s v="C4/001"/>
    <s v="Ayodele"/>
    <s v="John"/>
    <s v="Alonge"/>
    <x v="0"/>
    <x v="3"/>
    <x v="0"/>
    <x v="0"/>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s v="University of Malawi and Associates"/>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x v="19"/>
    <x v="2"/>
    <m/>
    <m/>
    <m/>
    <n v="2"/>
    <n v="3"/>
    <n v="0"/>
    <n v="3"/>
    <n v="0"/>
    <n v="0"/>
    <n v="0"/>
    <s v="No"/>
    <n v="0"/>
    <m/>
    <m/>
    <m/>
    <m/>
    <s v="No"/>
    <m/>
    <m/>
    <s v="NF"/>
    <s v="NF"/>
    <m/>
    <s v="CARNEGIE"/>
  </r>
  <r>
    <n v="87"/>
    <s v="C4/017"/>
    <s v="Kaitesi"/>
    <s v="Batamuliza"/>
    <s v="Mukara"/>
    <x v="1"/>
    <x v="3"/>
    <x v="1"/>
    <x v="1"/>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s v="University of Malawi and Associates"/>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x v="19"/>
    <x v="1"/>
    <s v="Terminated"/>
    <m/>
    <m/>
    <n v="0"/>
    <n v="2"/>
    <n v="0"/>
    <n v="1"/>
    <n v="0"/>
    <n v="0"/>
    <n v="0"/>
    <s v="No"/>
    <n v="0"/>
    <m/>
    <m/>
    <m/>
    <m/>
    <s v="No"/>
    <m/>
    <m/>
    <s v="NF"/>
    <s v="NF"/>
    <m/>
    <s v="SIDA"/>
  </r>
  <r>
    <n v="89"/>
    <s v="C4/019"/>
    <s v="Mohamed"/>
    <s v="Kassim"/>
    <s v="Ally"/>
    <x v="0"/>
    <x v="3"/>
    <x v="4"/>
    <x v="9"/>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x v="11"/>
    <x v="0"/>
    <n v="25"/>
    <n v="17"/>
    <m/>
    <n v="3"/>
    <n v="0"/>
    <n v="2"/>
    <n v="0"/>
    <n v="0"/>
    <n v="0"/>
    <n v="0"/>
    <s v="No"/>
    <n v="0"/>
    <m/>
    <m/>
    <m/>
    <m/>
    <s v="No"/>
    <m/>
    <m/>
    <n v="1"/>
    <n v="1"/>
    <m/>
    <s v="SIDA"/>
  </r>
  <r>
    <n v="92"/>
    <s v="C4/022"/>
    <s v="Nkosiyazi"/>
    <s v="-"/>
    <s v="Dube"/>
    <x v="0"/>
    <x v="3"/>
    <x v="5"/>
    <x v="6"/>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s v="University of Malawi and Associates"/>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s v="University of Malawi and Associates"/>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s v="University of Malawi and Associates"/>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x v="19"/>
    <x v="1"/>
    <s v="Terminated"/>
    <m/>
    <m/>
    <m/>
    <n v="2"/>
    <n v="0"/>
    <n v="0"/>
    <n v="0"/>
    <n v="0"/>
    <n v="0"/>
    <s v="No"/>
    <n v="0"/>
    <m/>
    <m/>
    <m/>
    <m/>
    <s v="No"/>
    <m/>
    <m/>
    <s v="NF"/>
    <s v="NF"/>
    <m/>
    <s v="SIDA"/>
  </r>
  <r>
    <n v="120"/>
    <s v="C5/023"/>
    <s v="Gift"/>
    <m/>
    <s v="Khangamwa"/>
    <x v="0"/>
    <x v="4"/>
    <x v="3"/>
    <x v="3"/>
    <m/>
    <m/>
    <s v="University of Malawi and Associates"/>
    <s v="Yes"/>
    <s v="NF"/>
    <s v="NF"/>
    <s v="NF"/>
    <s v="NF"/>
    <m/>
    <m/>
    <m/>
    <m/>
    <m/>
    <m/>
    <m/>
    <m/>
    <m/>
    <m/>
    <m/>
    <d v="2015-03-01T00:00:00"/>
    <d v="2017-12-31T00:00:00"/>
    <m/>
    <m/>
    <m/>
    <n v="0"/>
    <m/>
    <m/>
    <m/>
    <m/>
    <m/>
    <m/>
    <m/>
    <m/>
    <m/>
    <m/>
    <m/>
    <s v=""/>
    <m/>
    <d v="2017-07-05T00:00:00"/>
    <d v="2015-03-02T00:00:00"/>
    <m/>
    <m/>
    <m/>
    <m/>
    <m/>
    <m/>
    <m/>
    <m/>
    <m/>
    <m/>
    <m/>
    <m/>
    <m/>
    <m/>
    <m/>
    <x v="19"/>
    <x v="1"/>
    <s v="Terminated"/>
    <m/>
    <m/>
    <m/>
    <m/>
    <m/>
    <m/>
    <m/>
    <m/>
    <m/>
    <s v="No"/>
    <m/>
    <m/>
    <m/>
    <m/>
    <m/>
    <m/>
    <m/>
    <m/>
    <m/>
    <m/>
    <m/>
    <s v="SIDA"/>
  </r>
  <r>
    <n v="121"/>
    <s v="C5/024"/>
    <s v="Masoud"/>
    <s v="Hussein"/>
    <s v="Mahundi"/>
    <x v="0"/>
    <x v="4"/>
    <x v="4"/>
    <x v="9"/>
    <m/>
    <m/>
    <s v="University of Dar es Salaam"/>
    <s v="Yes"/>
    <s v="NF"/>
    <s v="NF"/>
    <s v="NF"/>
    <s v="NF"/>
    <m/>
    <m/>
    <m/>
    <m/>
    <m/>
    <m/>
    <m/>
    <m/>
    <m/>
    <m/>
    <m/>
    <d v="2015-03-01T00:00:00"/>
    <d v="2018-08-30T00:00:00"/>
    <m/>
    <m/>
    <m/>
    <n v="0"/>
    <m/>
    <m/>
    <m/>
    <m/>
    <m/>
    <m/>
    <m/>
    <m/>
    <m/>
    <m/>
    <m/>
    <s v=""/>
    <m/>
    <m/>
    <d v="2015-03-02T00:00:00"/>
    <m/>
    <m/>
    <m/>
    <m/>
    <m/>
    <m/>
    <m/>
    <m/>
    <m/>
    <m/>
    <m/>
    <m/>
    <m/>
    <m/>
    <m/>
    <x v="19"/>
    <x v="1"/>
    <s v="Terminated"/>
    <m/>
    <m/>
    <m/>
    <m/>
    <m/>
    <m/>
    <m/>
    <m/>
    <m/>
    <s v="No"/>
    <m/>
    <m/>
    <m/>
    <m/>
    <m/>
    <m/>
    <m/>
    <m/>
    <m/>
    <m/>
    <m/>
    <s v="SIDA"/>
  </r>
  <r>
    <n v="122"/>
    <s v="C5/025"/>
    <s v="Callen"/>
    <s v="Kwamboka"/>
    <s v="Onyambu"/>
    <x v="1"/>
    <x v="4"/>
    <x v="2"/>
    <x v="7"/>
    <m/>
    <m/>
    <s v="University of Nairobi"/>
    <s v="Yes"/>
    <s v="NF"/>
    <s v="NF"/>
    <s v="NF"/>
    <s v="NF"/>
    <m/>
    <m/>
    <m/>
    <m/>
    <m/>
    <m/>
    <m/>
    <m/>
    <m/>
    <m/>
    <m/>
    <d v="2015-03-01T00:00:00"/>
    <d v="2018-08-30T00:00:00"/>
    <m/>
    <m/>
    <m/>
    <n v="0"/>
    <m/>
    <m/>
    <m/>
    <m/>
    <m/>
    <m/>
    <m/>
    <m/>
    <m/>
    <m/>
    <m/>
    <s v=""/>
    <m/>
    <d v="2017-07-05T00:00:00"/>
    <d v="2015-03-02T00:00:00"/>
    <m/>
    <m/>
    <m/>
    <m/>
    <m/>
    <m/>
    <m/>
    <m/>
    <m/>
    <m/>
    <m/>
    <m/>
    <m/>
    <m/>
    <m/>
    <x v="19"/>
    <x v="1"/>
    <s v="Terminated"/>
    <m/>
    <m/>
    <m/>
    <m/>
    <m/>
    <m/>
    <m/>
    <m/>
    <m/>
    <s v="No"/>
    <m/>
    <m/>
    <m/>
    <m/>
    <m/>
    <m/>
    <m/>
    <m/>
    <m/>
    <m/>
    <m/>
    <s v="SIDA"/>
  </r>
  <r>
    <n v="123"/>
    <s v="C6/001"/>
    <s v="Beatrice"/>
    <s v="Waitherero"/>
    <s v="Maina"/>
    <x v="1"/>
    <x v="5"/>
    <x v="2"/>
    <x v="11"/>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s v="University of Malawi and Associates"/>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s v="University of Malawi and Associates"/>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x v="99"/>
    <x v="0"/>
    <n v="89"/>
    <n v="80"/>
    <m/>
    <n v="3"/>
    <n v="9"/>
    <n v="0"/>
    <n v="2"/>
    <n v="0"/>
    <n v="0"/>
    <n v="0"/>
    <s v="No"/>
    <n v="0"/>
    <m/>
    <m/>
    <m/>
    <m/>
    <s v="No"/>
    <m/>
    <m/>
    <n v="2"/>
    <m/>
    <m/>
    <s v="SIDA"/>
  </r>
  <r>
    <n v="145"/>
    <s v="C6/023"/>
    <s v="Mpho"/>
    <s v="Primrose"/>
    <s v="Molete"/>
    <x v="1"/>
    <x v="5"/>
    <x v="5"/>
    <x v="6"/>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x v="19"/>
    <x v="1"/>
    <s v="Terminated"/>
    <m/>
    <m/>
    <m/>
    <m/>
    <m/>
    <m/>
    <m/>
    <m/>
    <m/>
    <s v="No"/>
    <m/>
    <m/>
    <m/>
    <m/>
    <m/>
    <m/>
    <m/>
    <m/>
    <m/>
    <m/>
    <m/>
    <s v="WT-DELTAS"/>
  </r>
  <r>
    <n v="148"/>
    <s v="C7/001"/>
    <s v="Abigail"/>
    <s v="Ruth"/>
    <s v="Dreyer"/>
    <x v="1"/>
    <x v="6"/>
    <x v="5"/>
    <x v="6"/>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s v="University of Malawi and Associates"/>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x v="19"/>
    <x v="1"/>
    <s v="Terminated"/>
    <m/>
    <m/>
    <m/>
    <m/>
    <m/>
    <m/>
    <m/>
    <m/>
    <m/>
    <s v="No"/>
    <m/>
    <m/>
    <m/>
    <m/>
    <m/>
    <m/>
    <m/>
    <m/>
    <m/>
    <m/>
    <m/>
    <s v="SIDA"/>
  </r>
  <r>
    <n v="162"/>
    <s v="C7/015"/>
    <s v="Judith"/>
    <s v="Reegan Mulubwa"/>
    <s v="Mwansa-Kambafwile"/>
    <x v="1"/>
    <x v="6"/>
    <x v="5"/>
    <x v="6"/>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x v="19"/>
    <x v="1"/>
    <s v="Terminated"/>
    <m/>
    <m/>
    <m/>
    <m/>
    <m/>
    <m/>
    <m/>
    <m/>
    <m/>
    <s v="No"/>
    <m/>
    <m/>
    <m/>
    <m/>
    <m/>
    <m/>
    <m/>
    <m/>
    <m/>
    <m/>
    <m/>
    <s v="WT-DELTAS"/>
  </r>
  <r>
    <n v="175"/>
    <s v="C8/001"/>
    <s v="Lindiwe"/>
    <m/>
    <s v="Farlane"/>
    <x v="1"/>
    <x v="7"/>
    <x v="5"/>
    <x v="6"/>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x v="19"/>
    <x v="1"/>
    <s v="Terminated"/>
    <m/>
    <m/>
    <n v="3"/>
    <m/>
    <m/>
    <m/>
    <m/>
    <m/>
    <m/>
    <s v="No"/>
    <m/>
    <m/>
    <m/>
    <m/>
    <m/>
    <m/>
    <m/>
    <m/>
    <n v="2"/>
    <m/>
    <m/>
    <s v="SIDA"/>
  </r>
  <r>
    <n v="181"/>
    <s v="C8/007"/>
    <s v="Samuel"/>
    <s v="Waweru"/>
    <s v="Mwaniki"/>
    <x v="0"/>
    <x v="7"/>
    <x v="2"/>
    <x v="7"/>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s v="University of Malawi and Associates"/>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s v="University of Malawi and Associates"/>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x v="19"/>
    <x v="1"/>
    <m/>
    <m/>
    <m/>
    <n v="0"/>
    <m/>
    <m/>
    <m/>
    <m/>
    <m/>
    <m/>
    <s v="No"/>
    <m/>
    <m/>
    <m/>
    <m/>
    <m/>
    <m/>
    <m/>
    <m/>
    <m/>
    <m/>
    <m/>
    <s v="WT-DELTAS"/>
  </r>
  <r>
    <n v="197"/>
    <s v="C8/023"/>
    <s v="Florence"/>
    <s v="Basiimwa"/>
    <s v="Tushemerirwe"/>
    <x v="1"/>
    <x v="7"/>
    <x v="6"/>
    <x v="10"/>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x v="19"/>
    <x v="1"/>
    <m/>
    <m/>
    <m/>
    <n v="4"/>
    <m/>
    <m/>
    <m/>
    <m/>
    <m/>
    <m/>
    <s v="No"/>
    <m/>
    <m/>
    <m/>
    <m/>
    <m/>
    <m/>
    <m/>
    <m/>
    <m/>
    <m/>
    <m/>
    <s v="WT-DELTAS"/>
  </r>
  <r>
    <n v="198"/>
    <s v="C8/024"/>
    <s v="Oluwafemi"/>
    <s v="Akinyele"/>
    <s v="Popoola"/>
    <x v="0"/>
    <x v="7"/>
    <x v="0"/>
    <x v="0"/>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s v="University of Malawi and Associates"/>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s v="University of Malawi and Associates"/>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x v="150"/>
    <x v="0"/>
    <n v="55"/>
    <n v="42"/>
    <s v="DEVELOPMENT OF STRATEGIES FOR HEALTH CARE PROVIDERS TO SUSTAIN RESPECTFUL MATERNITY CARE TO WOMEN IN LABOUR"/>
    <n v="0"/>
    <m/>
    <m/>
    <m/>
    <m/>
    <m/>
    <m/>
    <s v="No"/>
    <m/>
    <m/>
    <m/>
    <m/>
    <m/>
    <m/>
    <m/>
    <m/>
    <n v="3"/>
    <m/>
    <m/>
    <s v="SIDA"/>
  </r>
  <r>
    <n v="226"/>
    <s v="C10/002"/>
    <s v="Aline"/>
    <m/>
    <s v="Uwase"/>
    <x v="1"/>
    <x v="9"/>
    <x v="1"/>
    <x v="1"/>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x v="152"/>
    <x v="0"/>
    <m/>
    <m/>
    <n v="2511"/>
    <n v="15"/>
    <n v="4"/>
    <m/>
    <m/>
    <m/>
    <m/>
    <m/>
    <s v="No"/>
    <m/>
    <m/>
    <m/>
    <m/>
    <m/>
    <m/>
    <m/>
    <m/>
    <n v="0"/>
    <m/>
    <m/>
    <s v="SIDA"/>
  </r>
  <r>
    <n v="228"/>
    <s v="C10/015"/>
    <s v="Mary"/>
    <s v="Ogbenyi"/>
    <s v="Ugalahi"/>
    <x v="1"/>
    <x v="9"/>
    <x v="0"/>
    <x v="0"/>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x v="154"/>
    <x v="0"/>
    <n v="76"/>
    <n v="60"/>
    <s v="Development of a paediatric oncology short learning programme fro nurse in Malawi"/>
    <n v="1"/>
    <n v="6"/>
    <m/>
    <m/>
    <m/>
    <m/>
    <m/>
    <s v="No"/>
    <m/>
    <m/>
    <m/>
    <m/>
    <m/>
    <m/>
    <m/>
    <m/>
    <n v="3"/>
    <m/>
    <m/>
    <s v="SIDA"/>
  </r>
  <r>
    <n v="230"/>
    <s v="C10/006"/>
    <s v="Beryl"/>
    <s v="Chelangat"/>
    <s v="Maritim"/>
    <x v="1"/>
    <x v="9"/>
    <x v="2"/>
    <x v="2"/>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x v="155"/>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x v="156"/>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x v="157"/>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x v="158"/>
    <x v="0"/>
    <n v="72"/>
    <m/>
    <s v="Effect of antenatal family planning counselling for male partners on postpartum modern contraception use"/>
    <n v="7"/>
    <n v="8"/>
    <m/>
    <m/>
    <m/>
    <m/>
    <m/>
    <s v="No"/>
    <m/>
    <m/>
    <m/>
    <m/>
    <m/>
    <m/>
    <m/>
    <m/>
    <n v="2"/>
    <m/>
    <m/>
    <s v="SIDA"/>
  </r>
  <r>
    <n v="236"/>
    <s v="C10/012"/>
    <s v="James"/>
    <m/>
    <s v="Muleme"/>
    <x v="0"/>
    <x v="9"/>
    <x v="6"/>
    <x v="10"/>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9"/>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x v="16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x v="161"/>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x v="162"/>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x v="163"/>
    <x v="0"/>
    <n v="56"/>
    <e v="#VALUE!"/>
    <m/>
    <n v="0"/>
    <n v="2"/>
    <m/>
    <m/>
    <m/>
    <m/>
    <m/>
    <s v="No"/>
    <m/>
    <m/>
    <m/>
    <m/>
    <m/>
    <m/>
    <m/>
    <m/>
    <n v="2"/>
    <m/>
    <m/>
    <s v="SIDA"/>
  </r>
  <r>
    <n v="244"/>
    <s v="C10/005"/>
    <s v="Apatsa"/>
    <m/>
    <s v="Selemani"/>
    <x v="0"/>
    <x v="9"/>
    <x v="3"/>
    <x v="3"/>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x v="164"/>
    <x v="0"/>
    <n v="68"/>
    <e v="#VALUE!"/>
    <m/>
    <n v="2"/>
    <m/>
    <m/>
    <m/>
    <m/>
    <m/>
    <m/>
    <s v="No"/>
    <m/>
    <m/>
    <m/>
    <m/>
    <m/>
    <m/>
    <m/>
    <m/>
    <n v="0"/>
    <m/>
    <m/>
    <s v="SIDA"/>
  </r>
  <r>
    <n v="245"/>
    <s v="C10/009"/>
    <s v="Emmanuel"/>
    <m/>
    <s v="Nzabonimana"/>
    <x v="0"/>
    <x v="9"/>
    <x v="1"/>
    <x v="1"/>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x v="165"/>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x v="166"/>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x v="167"/>
    <x v="0"/>
    <n v="66"/>
    <m/>
    <m/>
    <n v="2"/>
    <n v="1"/>
    <m/>
    <m/>
    <m/>
    <m/>
    <m/>
    <s v="No"/>
    <m/>
    <m/>
    <m/>
    <m/>
    <m/>
    <m/>
    <m/>
    <m/>
    <n v="1"/>
    <m/>
    <m/>
    <s v="SIDA"/>
  </r>
  <r>
    <n v="249"/>
    <s v="C10/024"/>
    <s v="Temitope"/>
    <s v="Olumuyiwa"/>
    <s v="Ojo"/>
    <x v="0"/>
    <x v="9"/>
    <x v="0"/>
    <x v="5"/>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s v="University of Ibadan"/>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d v="2025-03-03T00:00:00"/>
    <m/>
    <s v="Prof. Denloye O.  Obafunke"/>
    <s v="Prof. Lawal Barakat Folake"/>
    <s v="Dr Yetunde  Adeniyi"/>
    <n v="3"/>
    <s v="Home"/>
    <s v="Home"/>
    <s v="Home"/>
    <m/>
    <m/>
    <m/>
    <m/>
    <m/>
    <m/>
    <m/>
    <m/>
    <m/>
    <s v="0000-0003-1915-2138"/>
    <m/>
    <d v="2025-03-03T00:00:00"/>
    <m/>
    <m/>
    <m/>
    <m/>
    <m/>
    <m/>
    <m/>
    <s v="Development and acceptability of an integrated oral health intervention among Adolescents Living with Mental Health Conditions (ALMHC) in Ibadan, Nigeria"/>
    <m/>
    <m/>
    <m/>
    <m/>
    <m/>
    <m/>
    <m/>
    <x v="19"/>
    <x v="2"/>
    <m/>
    <m/>
    <m/>
    <n v="7"/>
    <m/>
    <m/>
    <m/>
    <m/>
    <m/>
    <m/>
    <m/>
    <m/>
    <m/>
    <m/>
    <m/>
    <m/>
    <m/>
    <m/>
    <m/>
    <n v="2"/>
    <m/>
    <m/>
    <s v="SIDA"/>
  </r>
  <r>
    <n v="251"/>
    <s v="C11/002"/>
    <s v="Amina"/>
    <s v="Hassan"/>
    <s v="Hussein"/>
    <x v="1"/>
    <x v="10"/>
    <x v="9"/>
    <x v="12"/>
    <s v="Maternal and Reproductive health"/>
    <s v="School of Public health"/>
    <s v="Makerere University"/>
    <s v="Yes"/>
    <m/>
    <s v="Married"/>
    <m/>
    <m/>
    <s v="ahusien@cartafrica.org"/>
    <s v="dramiina12@gmail.com"/>
    <s v="+252615506933"/>
    <s v="Master in Public Health (2023 )"/>
    <d v="1991-01-01T00:00:00"/>
    <s v="Reproductive and maternal health in Somalia"/>
    <s v="Field based"/>
    <m/>
    <m/>
    <m/>
    <d v="2025-07-31T00:00:00"/>
    <d v="2025-03-03T00:00:00"/>
    <m/>
    <s v="ProfChristopher Garimoi Orach"/>
    <s v="Dr. Dinah Amongin"/>
    <s v="Dr. Abdullahi Muse Mohamoud"/>
    <n v="3"/>
    <s v="Host"/>
    <s v="Host"/>
    <s v="Host"/>
    <m/>
    <m/>
    <m/>
    <m/>
    <m/>
    <m/>
    <m/>
    <m/>
    <m/>
    <s v="0009-0006-9247-6453"/>
    <m/>
    <d v="2025-03-03T00:00:00"/>
    <m/>
    <m/>
    <m/>
    <m/>
    <m/>
    <m/>
    <m/>
    <m/>
    <m/>
    <m/>
    <m/>
    <m/>
    <m/>
    <m/>
    <m/>
    <x v="19"/>
    <x v="2"/>
    <m/>
    <m/>
    <m/>
    <n v="0"/>
    <m/>
    <m/>
    <m/>
    <m/>
    <m/>
    <m/>
    <m/>
    <m/>
    <m/>
    <m/>
    <m/>
    <m/>
    <m/>
    <m/>
    <m/>
    <n v="1"/>
    <m/>
    <m/>
    <s v="SIDA"/>
  </r>
  <r>
    <n v="252"/>
    <s v="C11/003"/>
    <s v="Christabellah"/>
    <m/>
    <s v="Namugenyi"/>
    <x v="1"/>
    <x v="10"/>
    <x v="6"/>
    <x v="10"/>
    <s v="Public Health"/>
    <s v="Department of Planning and Applied Statistics"/>
    <s v="Makerere University"/>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d v="2025-03-03T00:00:00"/>
    <m/>
    <s v="Dr. Roy William Mayega "/>
    <s v="Prof Rhoda Wanyenze"/>
    <s v="Dr John Ssenkusu"/>
    <n v="3"/>
    <s v="Home"/>
    <s v="Home"/>
    <s v="Home"/>
    <m/>
    <m/>
    <m/>
    <m/>
    <m/>
    <m/>
    <m/>
    <m/>
    <m/>
    <s v="0000-0003-2534-5526"/>
    <m/>
    <d v="2025-03-03T00:00:00"/>
    <m/>
    <m/>
    <m/>
    <m/>
    <m/>
    <m/>
    <m/>
    <s v="Assessing service delivery and dual control outcomes of HIV and hypertension PLHIV with hypertension in South-Central Uganda"/>
    <m/>
    <m/>
    <m/>
    <m/>
    <m/>
    <m/>
    <m/>
    <x v="19"/>
    <x v="2"/>
    <m/>
    <e v="#VALUE!"/>
    <m/>
    <n v="8"/>
    <m/>
    <m/>
    <m/>
    <m/>
    <m/>
    <m/>
    <m/>
    <m/>
    <m/>
    <m/>
    <m/>
    <m/>
    <m/>
    <m/>
    <m/>
    <n v="2"/>
    <m/>
    <m/>
    <s v="SIDA"/>
  </r>
  <r>
    <n v="253"/>
    <s v="C11/004"/>
    <s v="Cyril"/>
    <s v="Tamuka"/>
    <s v="Chironda"/>
    <x v="0"/>
    <x v="10"/>
    <x v="8"/>
    <x v="8"/>
    <s v="Health Data Science"/>
    <s v="Agincourt Research Center"/>
    <s v="University of the Witwatersrand"/>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d v="2025-03-03T00:00:00"/>
    <m/>
    <s v="Tobias Chirwa"/>
    <s v="Chodziwadziwa Kabudula"/>
    <s v="Farai Mlambo"/>
    <n v="3"/>
    <s v="Host"/>
    <s v="Home"/>
    <s v="Host"/>
    <m/>
    <m/>
    <m/>
    <m/>
    <m/>
    <m/>
    <m/>
    <m/>
    <m/>
    <s v="0000-0002-0412-1059"/>
    <m/>
    <d v="2025-03-03T00:00:00"/>
    <m/>
    <m/>
    <m/>
    <m/>
    <m/>
    <m/>
    <m/>
    <m/>
    <m/>
    <m/>
    <m/>
    <m/>
    <m/>
    <m/>
    <m/>
    <x v="19"/>
    <x v="2"/>
    <m/>
    <m/>
    <m/>
    <n v="2"/>
    <m/>
    <m/>
    <m/>
    <m/>
    <m/>
    <m/>
    <m/>
    <m/>
    <m/>
    <m/>
    <m/>
    <m/>
    <m/>
    <m/>
    <m/>
    <n v="1"/>
    <m/>
    <m/>
    <s v="SIDA"/>
  </r>
  <r>
    <n v="254"/>
    <s v="C11/005"/>
    <s v="Elizabeth"/>
    <s v="Oluwatoyin"/>
    <s v="Abe"/>
    <x v="1"/>
    <x v="10"/>
    <x v="0"/>
    <x v="0"/>
    <s v="Dentistry"/>
    <s v="Oral Pathology/ Oral Medicine"/>
    <s v="University of Ibadan"/>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d v="2025-03-03T00:00:00"/>
    <m/>
    <s v="Prof Adeyemi Folasade  Bukola"/>
    <s v="Prof Arowojolu Olayinka  Modupeola"/>
    <m/>
    <n v="2"/>
    <s v="Home"/>
    <s v="Home"/>
    <m/>
    <m/>
    <m/>
    <m/>
    <m/>
    <m/>
    <m/>
    <m/>
    <m/>
    <m/>
    <s v="0000-0001-6632-9026"/>
    <m/>
    <d v="2025-03-03T00:00:00"/>
    <m/>
    <m/>
    <m/>
    <m/>
    <m/>
    <m/>
    <m/>
    <s v="Characterization of Oral Microbiome and Salivary Biomarkers Related to Periodontal Diseases and Pregnancy Outcomes among Pregnant and Postpartum Women in Ibadan "/>
    <m/>
    <m/>
    <m/>
    <m/>
    <m/>
    <m/>
    <m/>
    <x v="19"/>
    <x v="2"/>
    <m/>
    <m/>
    <m/>
    <n v="8"/>
    <m/>
    <m/>
    <m/>
    <m/>
    <m/>
    <m/>
    <m/>
    <m/>
    <m/>
    <m/>
    <m/>
    <m/>
    <m/>
    <m/>
    <m/>
    <n v="3"/>
    <m/>
    <m/>
    <s v="SIDA"/>
  </r>
  <r>
    <n v="255"/>
    <s v="C11/006"/>
    <s v="Fanuel"/>
    <s v="Meckson"/>
    <s v="Bickton"/>
    <x v="0"/>
    <x v="10"/>
    <x v="3"/>
    <x v="3"/>
    <s v="Physiotherapy"/>
    <s v="Department of Rehabilitation Sciences "/>
    <s v="University of the Witwatersrand"/>
    <s v="No"/>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d v="2025-03-03T00:00:00"/>
    <m/>
    <s v="Prof Ronel Roos _x000a_"/>
    <s v="Prof Roos Ronel"/>
    <s v="Dr Manifield R. James "/>
    <n v="3"/>
    <s v="Host"/>
    <s v="Host"/>
    <s v="Other"/>
    <m/>
    <m/>
    <m/>
    <m/>
    <m/>
    <m/>
    <m/>
    <m/>
    <m/>
    <s v="0000-0002-0925-909X"/>
    <m/>
    <d v="2025-03-03T00:00:00"/>
    <m/>
    <m/>
    <m/>
    <m/>
    <m/>
    <m/>
    <m/>
    <s v="Development of the International Classification of Functioning, Disability, and Health Core Sets for Adults Living with Multimorbidity in Malawi"/>
    <m/>
    <m/>
    <m/>
    <m/>
    <m/>
    <m/>
    <m/>
    <x v="19"/>
    <x v="2"/>
    <m/>
    <m/>
    <m/>
    <n v="15"/>
    <m/>
    <m/>
    <m/>
    <m/>
    <m/>
    <m/>
    <m/>
    <m/>
    <m/>
    <m/>
    <m/>
    <m/>
    <m/>
    <m/>
    <m/>
    <n v="0"/>
    <m/>
    <m/>
    <s v="SIDA"/>
  </r>
  <r>
    <n v="256"/>
    <s v="C11/007"/>
    <s v="Funmilola"/>
    <s v="Olanike"/>
    <s v="Wuraola"/>
    <x v="1"/>
    <x v="10"/>
    <x v="0"/>
    <x v="5"/>
    <s v="Breast Surgical Oncology"/>
    <s v="Surgery"/>
    <m/>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d v="2025-03-03T00:00:00"/>
    <m/>
    <s v="Prof. Penny Clement"/>
    <s v="Dr Ayeni Oluwatosin"/>
    <s v="Prof Alatise Oluwasegun Isaac"/>
    <n v="3"/>
    <s v="Host"/>
    <s v="Host"/>
    <s v="Home"/>
    <m/>
    <m/>
    <m/>
    <m/>
    <m/>
    <m/>
    <m/>
    <m/>
    <m/>
    <s v="0000-0003-3315-990x"/>
    <m/>
    <d v="2025-03-03T00:00:00"/>
    <m/>
    <m/>
    <m/>
    <m/>
    <m/>
    <m/>
    <m/>
    <m/>
    <m/>
    <m/>
    <m/>
    <m/>
    <m/>
    <m/>
    <m/>
    <x v="19"/>
    <x v="2"/>
    <m/>
    <m/>
    <m/>
    <n v="40"/>
    <m/>
    <m/>
    <m/>
    <m/>
    <m/>
    <m/>
    <m/>
    <m/>
    <m/>
    <m/>
    <m/>
    <m/>
    <m/>
    <m/>
    <m/>
    <n v="1"/>
    <m/>
    <m/>
    <s v="SIDA"/>
  </r>
  <r>
    <n v="257"/>
    <s v="C11/008"/>
    <s v="Gallad"/>
    <s v="Dahir"/>
    <s v="Hassan"/>
    <x v="0"/>
    <x v="10"/>
    <x v="9"/>
    <x v="12"/>
    <s v="Public Health "/>
    <s v="Department of Public Health "/>
    <s v="Makerere University"/>
    <s v="No"/>
    <m/>
    <s v="Married"/>
    <m/>
    <m/>
    <s v="ghassan@cartafrica.org"/>
    <m/>
    <s v="00252616301030"/>
    <s v="Public Health (2017)"/>
    <d v="1988-01-01T00:00:00"/>
    <s v="Vaccine preventable disease surveillance"/>
    <s v="Field based"/>
    <m/>
    <m/>
    <m/>
    <d v="2025-04-15T00:00:00"/>
    <d v="2025-03-03T00:00:00"/>
    <m/>
    <s v="Prof. Wanyenze Rhoda"/>
    <s v="Dr Isunju Bosco John"/>
    <s v="Dr Omar Salaad Elmi"/>
    <n v="3"/>
    <s v="Host"/>
    <s v="Host"/>
    <s v="Home"/>
    <m/>
    <m/>
    <m/>
    <m/>
    <m/>
    <m/>
    <m/>
    <m/>
    <m/>
    <s v="0000-0002-8569-8748"/>
    <m/>
    <d v="2025-03-03T00:00:00"/>
    <m/>
    <m/>
    <m/>
    <m/>
    <m/>
    <m/>
    <m/>
    <s v="Effect of Integrating Community Health Workers and Community Pharmacies into Measles and Cholera Disease Surveillance among Internally Displaced Populations in Mogadishu, Somalia"/>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s v="Makerere University"/>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d v="2025-03-03T00:00:00"/>
    <m/>
    <s v="Dr. Luke Nyakarahuka"/>
    <s v="Prof. Clovice Kankya"/>
    <s v="Prof Robert F. Breiman"/>
    <n v="3"/>
    <s v="Home"/>
    <s v="Home"/>
    <s v="Other"/>
    <m/>
    <m/>
    <m/>
    <m/>
    <m/>
    <m/>
    <m/>
    <m/>
    <m/>
    <s v="0000-0001-6218-8318"/>
    <m/>
    <d v="2025-03-03T00:00:00"/>
    <m/>
    <m/>
    <m/>
    <m/>
    <m/>
    <m/>
    <m/>
    <m/>
    <m/>
    <m/>
    <m/>
    <m/>
    <m/>
    <m/>
    <m/>
    <x v="19"/>
    <x v="2"/>
    <m/>
    <m/>
    <m/>
    <n v="10"/>
    <m/>
    <m/>
    <m/>
    <m/>
    <m/>
    <m/>
    <m/>
    <m/>
    <m/>
    <m/>
    <m/>
    <m/>
    <m/>
    <m/>
    <m/>
    <n v="0"/>
    <m/>
    <m/>
    <s v="SIDA"/>
  </r>
  <r>
    <n v="259"/>
    <s v="C11/010"/>
    <s v="Lydiah"/>
    <s v="Wanjiru"/>
    <s v="Njihia"/>
    <x v="1"/>
    <x v="10"/>
    <x v="2"/>
    <x v="7"/>
    <s v="PhD Pathobiology (Virology Option)"/>
    <s v="Department of Veterinary Pathology, Microbiology and Parasitology"/>
    <s v="University of Nairobi"/>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d v="2025-03-03T00:00:00"/>
    <m/>
    <s v="Gitao George Chege_x000a_"/>
    <s v="Moses Masika"/>
    <s v="Prof Gitao Chege George"/>
    <n v="3"/>
    <s v="Home"/>
    <s v="Home"/>
    <s v="Home"/>
    <m/>
    <m/>
    <m/>
    <m/>
    <m/>
    <m/>
    <m/>
    <m/>
    <m/>
    <s v="0009-0007-0633-3294"/>
    <m/>
    <d v="2025-03-03T00:00:00"/>
    <m/>
    <m/>
    <m/>
    <m/>
    <m/>
    <m/>
    <m/>
    <m/>
    <m/>
    <m/>
    <m/>
    <m/>
    <m/>
    <m/>
    <m/>
    <x v="19"/>
    <x v="2"/>
    <m/>
    <m/>
    <m/>
    <n v="1"/>
    <m/>
    <m/>
    <m/>
    <m/>
    <m/>
    <m/>
    <m/>
    <m/>
    <m/>
    <m/>
    <m/>
    <m/>
    <m/>
    <m/>
    <m/>
    <n v="1"/>
    <m/>
    <m/>
    <s v="SIDA"/>
  </r>
  <r>
    <n v="260"/>
    <s v="C11/011"/>
    <s v="Mary"/>
    <s v="Nigandi"/>
    <s v="Kubo"/>
    <x v="1"/>
    <x v="10"/>
    <x v="2"/>
    <x v="7"/>
    <s v="Internal Medicine"/>
    <s v="Department of Clinical Medicine &amp; Therapeutics"/>
    <s v="University of Nairobi"/>
    <s v="Yes"/>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d v="2025-03-03T00:00:00"/>
    <m/>
    <s v="Dr Opiyo Okoyo Rose"/>
    <s v="Dr Mweu Mutinda Marshal"/>
    <m/>
    <n v="2"/>
    <s v="Home"/>
    <s v="Home"/>
    <m/>
    <m/>
    <m/>
    <m/>
    <m/>
    <m/>
    <m/>
    <m/>
    <m/>
    <m/>
    <s v="0000-0002-0708-605X"/>
    <m/>
    <d v="2025-03-03T00:00:00"/>
    <m/>
    <m/>
    <m/>
    <m/>
    <m/>
    <m/>
    <m/>
    <m/>
    <m/>
    <m/>
    <m/>
    <m/>
    <m/>
    <m/>
    <m/>
    <x v="19"/>
    <x v="2"/>
    <m/>
    <m/>
    <m/>
    <n v="10"/>
    <m/>
    <m/>
    <m/>
    <m/>
    <m/>
    <m/>
    <m/>
    <m/>
    <m/>
    <m/>
    <m/>
    <m/>
    <m/>
    <m/>
    <m/>
    <n v="2"/>
    <m/>
    <m/>
    <s v="SIDA"/>
  </r>
  <r>
    <n v="261"/>
    <s v="C11/012"/>
    <s v="Miles-Dei"/>
    <s v="Benedict"/>
    <s v="Olufeagba"/>
    <x v="0"/>
    <x v="10"/>
    <x v="0"/>
    <x v="0"/>
    <s v="Genetics and Molecular Sciences"/>
    <s v="Institute of Child health"/>
    <s v="University of Ibadan"/>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d v="2025-03-03T00:00:00"/>
    <m/>
    <s v="Prof Amodu Kehinde Olukemi"/>
    <s v="Prof  Kotila Rachel Taiwo"/>
    <m/>
    <n v="2"/>
    <s v="Home"/>
    <s v="Home"/>
    <m/>
    <m/>
    <m/>
    <m/>
    <m/>
    <m/>
    <m/>
    <m/>
    <m/>
    <m/>
    <s v="0000-0003-0065-5990"/>
    <m/>
    <d v="2025-03-03T00:00:00"/>
    <m/>
    <m/>
    <m/>
    <m/>
    <m/>
    <m/>
    <m/>
    <m/>
    <m/>
    <m/>
    <m/>
    <m/>
    <m/>
    <m/>
    <m/>
    <x v="19"/>
    <x v="2"/>
    <m/>
    <m/>
    <m/>
    <n v="2"/>
    <m/>
    <m/>
    <m/>
    <m/>
    <m/>
    <m/>
    <m/>
    <m/>
    <m/>
    <m/>
    <m/>
    <m/>
    <m/>
    <m/>
    <m/>
    <n v="2"/>
    <m/>
    <m/>
    <s v="SIDA"/>
  </r>
  <r>
    <n v="262"/>
    <s v="C11/013"/>
    <s v="Molly"/>
    <s v="Mercy"/>
    <s v="Jerono"/>
    <x v="1"/>
    <x v="10"/>
    <x v="2"/>
    <x v="2"/>
    <s v="Economics"/>
    <s v="Research and Sponsored Projects Office (RSPO)-AMPATH "/>
    <s v="Moi University"/>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d v="2025-03-03T00:00:00"/>
    <m/>
    <s v="Dr. Simeon Nganai"/>
    <s v="Dr. Felishana Cherop "/>
    <s v="Dr. Richard Siele"/>
    <n v="3"/>
    <s v="Home"/>
    <s v="Home"/>
    <s v="Home"/>
    <m/>
    <m/>
    <m/>
    <m/>
    <m/>
    <m/>
    <m/>
    <m/>
    <m/>
    <s v="0000-0003-4763-0344"/>
    <m/>
    <d v="2025-03-03T00:00:00"/>
    <m/>
    <m/>
    <m/>
    <m/>
    <m/>
    <m/>
    <m/>
    <s v="Evaluation of socioeconomic drivers in reducing sexual violence against children in western kenya"/>
    <m/>
    <m/>
    <m/>
    <m/>
    <m/>
    <m/>
    <m/>
    <x v="19"/>
    <x v="2"/>
    <m/>
    <m/>
    <m/>
    <n v="1"/>
    <m/>
    <m/>
    <m/>
    <m/>
    <m/>
    <m/>
    <m/>
    <m/>
    <m/>
    <m/>
    <m/>
    <m/>
    <m/>
    <m/>
    <m/>
    <n v="1"/>
    <m/>
    <m/>
    <s v="OAK"/>
  </r>
  <r>
    <n v="263"/>
    <s v="C11/014"/>
    <s v="Razak"/>
    <s v="Lewis"/>
    <s v="Mussa"/>
    <x v="0"/>
    <x v="10"/>
    <x v="3"/>
    <x v="3"/>
    <s v="Social Scientist"/>
    <s v="School of Global and Public Health"/>
    <s v="University of Malawi and Associates"/>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d v="2025-03-03T00:00:00"/>
    <m/>
    <s v="Dr. Mipando Nyondo Linda"/>
    <s v="Dr  Conco  Nozizwe Daphney"/>
    <m/>
    <n v="2"/>
    <s v="Home"/>
    <s v="Host"/>
    <m/>
    <m/>
    <m/>
    <m/>
    <m/>
    <m/>
    <m/>
    <m/>
    <m/>
    <m/>
    <s v="0009-0000-6991-6912"/>
    <m/>
    <d v="2025-03-03T00:00:00"/>
    <m/>
    <m/>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s v="University of Nairobi"/>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d v="2025-03-03T00:00:00"/>
    <m/>
    <s v="Prof Gathumbi Karuri Peter_x000a_"/>
    <s v="Prof  Githigia Maina Samuel"/>
    <s v="Dr. Mulei Rumpel Isaac"/>
    <n v="3"/>
    <s v="Home"/>
    <s v="Home"/>
    <s v="Home"/>
    <m/>
    <m/>
    <m/>
    <m/>
    <m/>
    <m/>
    <m/>
    <m/>
    <m/>
    <s v="0000-0001-5741-1271"/>
    <m/>
    <d v="2025-03-03T00:00:00"/>
    <m/>
    <m/>
    <m/>
    <m/>
    <m/>
    <m/>
    <m/>
    <s v="Prevalence pathology and socio-economic impact of myiasis in sheep and goats in kitui county kenya"/>
    <m/>
    <m/>
    <m/>
    <m/>
    <m/>
    <m/>
    <m/>
    <x v="19"/>
    <x v="2"/>
    <m/>
    <m/>
    <m/>
    <n v="2"/>
    <m/>
    <m/>
    <m/>
    <m/>
    <m/>
    <m/>
    <m/>
    <m/>
    <m/>
    <m/>
    <m/>
    <m/>
    <m/>
    <m/>
    <m/>
    <n v="1"/>
    <m/>
    <m/>
    <s v="SIDA"/>
  </r>
  <r>
    <n v="265"/>
    <s v="C11/016"/>
    <s v="Ochuko"/>
    <s v="Maureen"/>
    <s v="Orherhe"/>
    <x v="1"/>
    <x v="10"/>
    <x v="0"/>
    <x v="5"/>
    <s v="Clinical Pharmacy"/>
    <s v="Department of Clinical Pharmacy and Pharmacy Administration"/>
    <s v="Obafemi Awolowo University"/>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d v="2025-03-03T00:00:00"/>
    <m/>
    <s v="Dr. Babatunde Adeagbo"/>
    <s v="Dr. Adeagbo Ayodeji Babatunde"/>
    <m/>
    <n v="2"/>
    <s v="Home"/>
    <s v="Home"/>
    <m/>
    <m/>
    <m/>
    <m/>
    <m/>
    <m/>
    <m/>
    <m/>
    <m/>
    <m/>
    <s v="0000-0002-3671-9717"/>
    <m/>
    <d v="2025-03-03T00:00:00"/>
    <m/>
    <m/>
    <m/>
    <m/>
    <m/>
    <m/>
    <m/>
    <s v="Pharmacogenetics and Model-Informed Optimisation of Hydroxyurea Therapy in Sickle Cell Disease Patients of Nigerian Descen"/>
    <m/>
    <m/>
    <m/>
    <m/>
    <m/>
    <m/>
    <m/>
    <x v="19"/>
    <x v="2"/>
    <m/>
    <m/>
    <m/>
    <n v="6"/>
    <m/>
    <m/>
    <m/>
    <m/>
    <m/>
    <m/>
    <m/>
    <m/>
    <m/>
    <m/>
    <m/>
    <m/>
    <m/>
    <m/>
    <m/>
    <n v="0"/>
    <m/>
    <m/>
    <s v="SIDA"/>
  </r>
  <r>
    <n v="266"/>
    <s v="C11/017"/>
    <s v="Patani"/>
    <s v="George Wills"/>
    <s v="Mhango"/>
    <x v="0"/>
    <x v="10"/>
    <x v="3"/>
    <x v="3"/>
    <s v="Public Health"/>
    <s v="Centre for Reproductive Health"/>
    <s v="University of the Witwatersrand"/>
    <s v="No"/>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d v="2025-03-03T00:00:00"/>
    <m/>
    <s v=" Prof Nicola Christofides"/>
    <s v="Dr Blessings N. Kaunda-Khangamwa"/>
    <s v="Professor Khudejha Asghar"/>
    <n v="3"/>
    <s v="Host"/>
    <s v="Home"/>
    <s v="Other"/>
    <m/>
    <m/>
    <m/>
    <m/>
    <m/>
    <m/>
    <m/>
    <m/>
    <m/>
    <s v="0000-0002-1492-260X"/>
    <m/>
    <d v="2025-03-03T00:00:00"/>
    <m/>
    <m/>
    <m/>
    <m/>
    <m/>
    <m/>
    <m/>
    <m/>
    <m/>
    <m/>
    <m/>
    <m/>
    <m/>
    <m/>
    <m/>
    <x v="19"/>
    <x v="2"/>
    <m/>
    <m/>
    <m/>
    <n v="8"/>
    <m/>
    <m/>
    <m/>
    <m/>
    <m/>
    <m/>
    <m/>
    <m/>
    <m/>
    <m/>
    <m/>
    <m/>
    <m/>
    <m/>
    <m/>
    <n v="2"/>
    <m/>
    <m/>
    <s v="SIDA"/>
  </r>
  <r>
    <n v="267"/>
    <s v="C11/018"/>
    <s v="Pierre Celestin"/>
    <m/>
    <s v="Munezero"/>
    <x v="0"/>
    <x v="10"/>
    <x v="1"/>
    <x v="1"/>
    <s v="Basic Sciences"/>
    <s v="Microbiology and Parasitology"/>
    <m/>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d v="2025-03-03T00:00:00"/>
    <s v="13/11/2025"/>
    <m/>
    <m/>
    <m/>
    <m/>
    <m/>
    <m/>
    <m/>
    <m/>
    <m/>
    <m/>
    <m/>
    <m/>
    <m/>
    <m/>
    <m/>
    <m/>
    <s v="0000-0003-2876-9025"/>
    <m/>
    <d v="2025-03-03T00:00:00"/>
    <m/>
    <m/>
    <m/>
    <m/>
    <m/>
    <m/>
    <m/>
    <m/>
    <m/>
    <m/>
    <m/>
    <m/>
    <m/>
    <m/>
    <m/>
    <x v="19"/>
    <x v="1"/>
    <m/>
    <m/>
    <m/>
    <n v="8"/>
    <m/>
    <m/>
    <m/>
    <m/>
    <m/>
    <m/>
    <m/>
    <m/>
    <m/>
    <m/>
    <m/>
    <m/>
    <m/>
    <m/>
    <m/>
    <n v="0"/>
    <m/>
    <m/>
    <s v="SIDA"/>
  </r>
  <r>
    <n v="268"/>
    <s v="C11/019"/>
    <s v="Solange"/>
    <m/>
    <s v="Nikwigize"/>
    <x v="1"/>
    <x v="10"/>
    <x v="1"/>
    <x v="1"/>
    <s v="Public Health"/>
    <s v="Community Health Development "/>
    <s v="University of Rwanda"/>
    <s v="Yes"/>
    <m/>
    <s v="Married"/>
    <m/>
    <m/>
    <s v="snikwigize@cartafrica.org"/>
    <s v="solangeni4@gmail.com"/>
    <s v="+250788804831"/>
    <s v="Masters in Public Health (2021)"/>
    <d v="1987-11-10T00:00:00"/>
    <s v="Socio-economic and Cultural Factors Associated with Sexual Violence Among Children Born to Teen Mothers in Rwanda. A Mixed Method"/>
    <m/>
    <m/>
    <m/>
    <m/>
    <m/>
    <d v="2025-03-03T00:00:00"/>
    <m/>
    <s v="Assoc.Prof Erigene Rutayisire_x000a_"/>
    <s v="Assoc. Prof. Olive Bazirete"/>
    <m/>
    <n v="2"/>
    <s v="Home"/>
    <s v="Home"/>
    <m/>
    <m/>
    <m/>
    <m/>
    <m/>
    <m/>
    <m/>
    <m/>
    <m/>
    <m/>
    <s v="0009-0008-1667-3046"/>
    <m/>
    <d v="2025-03-03T00:00:00"/>
    <m/>
    <m/>
    <m/>
    <m/>
    <m/>
    <m/>
    <m/>
    <m/>
    <m/>
    <m/>
    <m/>
    <m/>
    <m/>
    <m/>
    <m/>
    <x v="19"/>
    <x v="2"/>
    <m/>
    <m/>
    <m/>
    <n v="3"/>
    <m/>
    <m/>
    <m/>
    <m/>
    <m/>
    <m/>
    <m/>
    <m/>
    <m/>
    <m/>
    <m/>
    <m/>
    <m/>
    <m/>
    <m/>
    <n v="1"/>
    <m/>
    <m/>
    <s v="OAK"/>
  </r>
  <r>
    <n v="269"/>
    <s v="C11/020"/>
    <s v="Winifrida"/>
    <s v="Paschal"/>
    <s v="Mponzi"/>
    <x v="1"/>
    <x v="10"/>
    <x v="4"/>
    <x v="4"/>
    <s v="Social Sciences "/>
    <s v="Environmental Health and Ecological Sciences Department"/>
    <s v="University of the Witwatersrand"/>
    <s v="No"/>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d v="2025-03-03T00:00:00"/>
    <m/>
    <s v=" Prof Nicola Christofides"/>
    <s v="Dr Emmanuel Willson Kaindoa"/>
    <s v="Prof. Ann Kelly"/>
    <n v="3"/>
    <s v="Host"/>
    <s v="Home"/>
    <s v="Other"/>
    <m/>
    <m/>
    <m/>
    <m/>
    <m/>
    <m/>
    <m/>
    <m/>
    <m/>
    <s v="0000-0003-0122-0550"/>
    <m/>
    <d v="2025-03-03T00:00:00"/>
    <m/>
    <m/>
    <m/>
    <m/>
    <m/>
    <m/>
    <m/>
    <s v="Village community banking and housing upgrades: A strategy to lower malaria and improve the well-being in Southeastern Tanzania."/>
    <m/>
    <m/>
    <m/>
    <m/>
    <m/>
    <m/>
    <m/>
    <x v="19"/>
    <x v="2"/>
    <m/>
    <m/>
    <m/>
    <n v="16"/>
    <m/>
    <m/>
    <m/>
    <m/>
    <m/>
    <m/>
    <m/>
    <m/>
    <m/>
    <m/>
    <m/>
    <m/>
    <m/>
    <m/>
    <m/>
    <n v="3"/>
    <m/>
    <m/>
    <s v="SIDA"/>
  </r>
  <r>
    <n v="270"/>
    <s v="C12/001"/>
    <s v="Alen"/>
    <m/>
    <s v="Kinyina"/>
    <x v="0"/>
    <x v="11"/>
    <x v="4"/>
    <x v="4"/>
    <s v="Public Health"/>
    <m/>
    <s v="University of the Witwatersrand"/>
    <s v="No"/>
    <m/>
    <s v="Married"/>
    <m/>
    <m/>
    <s v="akinyina@cartafrica.org"/>
    <s v="akinyina@ihi.or.tz"/>
    <s v="+255622710335"/>
    <s v="Master in Public Health (2022)"/>
    <d v="1994-10-28T00:00:00"/>
    <s v="Feasibility and acceptability of intermittent Kangaroo Mother Care and Zero Separation Model among parents of sick neonates and healthcare providers in Tanzania."/>
    <s v="Clinical research"/>
    <m/>
    <m/>
    <m/>
    <m/>
    <d v="2026-03-02T00:00:00"/>
    <m/>
    <m/>
    <m/>
    <m/>
    <m/>
    <m/>
    <m/>
    <m/>
    <m/>
    <m/>
    <m/>
    <m/>
    <s v="Program Coordinator"/>
    <m/>
    <m/>
    <m/>
    <m/>
    <s v="0000-0002-9559-2816"/>
    <m/>
    <d v="2026-03-02T00:00:00"/>
    <m/>
    <m/>
    <m/>
    <m/>
    <m/>
    <m/>
    <m/>
    <m/>
    <m/>
    <m/>
    <m/>
    <m/>
    <m/>
    <m/>
    <m/>
    <x v="19"/>
    <x v="2"/>
    <m/>
    <m/>
    <m/>
    <n v="10"/>
    <m/>
    <m/>
    <m/>
    <m/>
    <m/>
    <m/>
    <m/>
    <m/>
    <m/>
    <m/>
    <m/>
    <m/>
    <m/>
    <m/>
    <m/>
    <m/>
    <m/>
    <m/>
    <m/>
  </r>
  <r>
    <n v="271"/>
    <s v="C12/002"/>
    <s v="Itumeleng"/>
    <m/>
    <s v="Tsatsi-Mosala"/>
    <x v="1"/>
    <x v="11"/>
    <x v="5"/>
    <x v="6"/>
    <s v="Public Health"/>
    <s v="Public Health "/>
    <s v="University of the Witwatersrand"/>
    <s v="Yes"/>
    <m/>
    <s v="Married"/>
    <m/>
    <m/>
    <s v="imosala@cartafrica.org"/>
    <s v="itumeleng.tsatsi-mosala@wits.ac.za"/>
    <s v="+27731686196"/>
    <s v="Master of Science Occupational Therapy"/>
    <d v="1991-08-09T00:00:00"/>
    <s v="Exploring the integration of artificial intelligence in health science education to improve clinical reasoning for health science students when working with culturally diverse populations in South Africa"/>
    <s v="Field based"/>
    <m/>
    <m/>
    <m/>
    <m/>
    <d v="2026-03-02T00:00:00"/>
    <m/>
    <m/>
    <m/>
    <m/>
    <m/>
    <m/>
    <m/>
    <m/>
    <m/>
    <m/>
    <m/>
    <m/>
    <s v="Lecturer"/>
    <m/>
    <m/>
    <m/>
    <m/>
    <s v="0000-0001-5509-9659"/>
    <m/>
    <d v="2026-03-02T00:00:00"/>
    <m/>
    <m/>
    <m/>
    <m/>
    <m/>
    <m/>
    <m/>
    <m/>
    <m/>
    <m/>
    <m/>
    <m/>
    <m/>
    <m/>
    <m/>
    <x v="19"/>
    <x v="2"/>
    <m/>
    <m/>
    <m/>
    <n v="6"/>
    <m/>
    <m/>
    <m/>
    <m/>
    <m/>
    <m/>
    <m/>
    <m/>
    <m/>
    <m/>
    <m/>
    <m/>
    <m/>
    <m/>
    <m/>
    <m/>
    <m/>
    <m/>
    <m/>
  </r>
  <r>
    <n v="272"/>
    <s v="C12/003"/>
    <s v="Qamar"/>
    <s v="Olamide"/>
    <s v="Adeosun"/>
    <x v="0"/>
    <x v="11"/>
    <x v="0"/>
    <x v="0"/>
    <s v="Sociology"/>
    <s v="Department of Sociology"/>
    <s v="University of Ibadan"/>
    <s v="Yes"/>
    <m/>
    <s v="Single"/>
    <m/>
    <m/>
    <s v="aolamide@cartafrica.org"/>
    <s v="oadeosun74@yahoo.com"/>
    <s v="+2348169407755"/>
    <s v="Master of Science, Industrial Sociology (2021)"/>
    <d v="1995-12-11T00:00:00"/>
    <s v="Resilience under Risk and Precarity: Occupational Practices and Workplace Relations in Cancer Care Centers in Southwest, Nigeria"/>
    <s v="Field based"/>
    <m/>
    <m/>
    <m/>
    <m/>
    <d v="2026-03-02T00:00:00"/>
    <m/>
    <m/>
    <m/>
    <m/>
    <m/>
    <m/>
    <m/>
    <m/>
    <m/>
    <m/>
    <m/>
    <m/>
    <s v="Assistant Lecturer"/>
    <m/>
    <m/>
    <m/>
    <m/>
    <s v="0009-0007-8633-996X"/>
    <m/>
    <d v="2026-03-02T00:00:00"/>
    <m/>
    <m/>
    <m/>
    <m/>
    <m/>
    <m/>
    <m/>
    <m/>
    <m/>
    <m/>
    <m/>
    <m/>
    <m/>
    <m/>
    <m/>
    <x v="19"/>
    <x v="2"/>
    <m/>
    <m/>
    <m/>
    <n v="1"/>
    <m/>
    <m/>
    <m/>
    <m/>
    <m/>
    <m/>
    <m/>
    <m/>
    <m/>
    <m/>
    <m/>
    <m/>
    <m/>
    <m/>
    <m/>
    <m/>
    <m/>
    <m/>
    <m/>
  </r>
  <r>
    <n v="273"/>
    <s v="C12/004"/>
    <s v="Claudine"/>
    <m/>
    <s v="Nshutiyukuri"/>
    <x v="1"/>
    <x v="11"/>
    <x v="1"/>
    <x v="1"/>
    <s v="General Nursing and Midwifery"/>
    <s v="General Nursing Sciences"/>
    <s v="University of Rwanda"/>
    <s v="Yes"/>
    <m/>
    <s v="Married"/>
    <m/>
    <m/>
    <s v="cnshutiyukuri@cartafrica.org"/>
    <s v="nshutiyukuric@gmail.com"/>
    <s v="+250788661755"/>
    <n v="2017"/>
    <d v="1986-01-01T00:00:00"/>
    <s v="A FRAMEWORK FOR THE IMPLEMENTATION OF AI-ENABLED DIGITAL HEALTH TOOLS FOR ENHANCING ADOLESCENTS' SEXUAL AND REPRODUCTIVE HEALTH IN RWANDA"/>
    <s v="Field based"/>
    <m/>
    <m/>
    <m/>
    <m/>
    <d v="2026-03-02T00:00:00"/>
    <m/>
    <m/>
    <m/>
    <m/>
    <m/>
    <m/>
    <m/>
    <m/>
    <m/>
    <m/>
    <m/>
    <m/>
    <s v="Assistant Lecturer"/>
    <m/>
    <m/>
    <m/>
    <m/>
    <s v="0000-0002-5601-0326"/>
    <m/>
    <d v="2026-03-02T00:00:00"/>
    <m/>
    <m/>
    <m/>
    <m/>
    <m/>
    <m/>
    <m/>
    <m/>
    <m/>
    <m/>
    <m/>
    <m/>
    <m/>
    <m/>
    <m/>
    <x v="19"/>
    <x v="2"/>
    <m/>
    <m/>
    <m/>
    <n v="4"/>
    <m/>
    <m/>
    <m/>
    <m/>
    <m/>
    <m/>
    <m/>
    <m/>
    <m/>
    <m/>
    <m/>
    <m/>
    <m/>
    <m/>
    <m/>
    <m/>
    <m/>
    <m/>
    <m/>
  </r>
  <r>
    <n v="274"/>
    <s v="C12/005"/>
    <s v="Edna"/>
    <m/>
    <s v="Mandala"/>
    <x v="1"/>
    <x v="11"/>
    <x v="3"/>
    <x v="3"/>
    <s v="Nursing"/>
    <m/>
    <s v="University of Malawi and Associates"/>
    <s v="Yes"/>
    <m/>
    <s v="Single"/>
    <m/>
    <m/>
    <s v="emandala@cartafrica.org"/>
    <s v="emandala@kuhes.ac.mw"/>
    <s v="+265997786593"/>
    <s v="Master in Public Health (2019)"/>
    <d v="1987-05-08T00:00:00"/>
    <s v="Preventing Antimicrobial resistance in under f five children in Malawi"/>
    <s v="Field based"/>
    <m/>
    <m/>
    <m/>
    <m/>
    <d v="2026-03-02T00:00:00"/>
    <m/>
    <m/>
    <m/>
    <m/>
    <m/>
    <m/>
    <m/>
    <m/>
    <m/>
    <m/>
    <m/>
    <m/>
    <s v="Lecturer"/>
    <m/>
    <m/>
    <m/>
    <m/>
    <s v="0000-0002-0866-0818"/>
    <m/>
    <d v="2026-03-02T00:00:00"/>
    <m/>
    <m/>
    <m/>
    <m/>
    <m/>
    <m/>
    <m/>
    <m/>
    <m/>
    <m/>
    <m/>
    <m/>
    <m/>
    <m/>
    <m/>
    <x v="19"/>
    <x v="2"/>
    <m/>
    <m/>
    <m/>
    <n v="4"/>
    <m/>
    <m/>
    <m/>
    <m/>
    <m/>
    <m/>
    <m/>
    <m/>
    <m/>
    <m/>
    <m/>
    <m/>
    <m/>
    <m/>
    <m/>
    <m/>
    <m/>
    <m/>
    <m/>
  </r>
  <r>
    <n v="275"/>
    <s v="C12/006"/>
    <s v="Hellen"/>
    <m/>
    <s v="Butungi"/>
    <x v="1"/>
    <x v="11"/>
    <x v="6"/>
    <x v="10"/>
    <s v="Microbial genomics"/>
    <s v="Biochemistry and Sports Science"/>
    <s v="Makerere University"/>
    <s v="Yes"/>
    <m/>
    <s v="Single"/>
    <m/>
    <m/>
    <s v="hbutungi@cartafrica.org"/>
    <s v="hellen.butungi@mak.ac.ug"/>
    <s v="+256781577222"/>
    <s v="Master of Science in Bioinformatics (2012)"/>
    <d v="1983-06-29T00:00:00"/>
    <s v="Optimisation of a microbial transglutaminase enzyme system for wound healing"/>
    <s v="Laboratory based"/>
    <m/>
    <m/>
    <m/>
    <m/>
    <d v="2026-03-02T00:00:00"/>
    <m/>
    <m/>
    <m/>
    <m/>
    <m/>
    <m/>
    <m/>
    <m/>
    <m/>
    <m/>
    <m/>
    <m/>
    <s v="Assistant Lecturer"/>
    <m/>
    <m/>
    <m/>
    <m/>
    <s v="0000-0002-1330-1545"/>
    <m/>
    <d v="2026-03-02T00:00:00"/>
    <m/>
    <m/>
    <m/>
    <m/>
    <m/>
    <m/>
    <m/>
    <m/>
    <m/>
    <m/>
    <m/>
    <m/>
    <m/>
    <m/>
    <m/>
    <x v="19"/>
    <x v="2"/>
    <m/>
    <m/>
    <m/>
    <n v="5"/>
    <m/>
    <m/>
    <m/>
    <m/>
    <m/>
    <m/>
    <m/>
    <m/>
    <m/>
    <m/>
    <m/>
    <m/>
    <m/>
    <m/>
    <m/>
    <m/>
    <m/>
    <m/>
    <m/>
  </r>
  <r>
    <n v="276"/>
    <s v="C12/007"/>
    <s v="Jean Bosco Henri "/>
    <m/>
    <s v="HITAYEZU "/>
    <x v="0"/>
    <x v="11"/>
    <x v="1"/>
    <x v="1"/>
    <s v="Nursing and Midwifery: Maternal and new-born health, and reproductive health"/>
    <s v="Midwifery"/>
    <s v="University of Rwanda"/>
    <s v="Yes"/>
    <m/>
    <s v="Married"/>
    <m/>
    <m/>
    <s v="jhitayezu@cartafrica.org_x000a_"/>
    <s v="hitab88@gmail.com"/>
    <s v="+250788273931"/>
    <n v="2022"/>
    <d v="1988-01-31T00:00:00"/>
    <s v="Integrating trauma-and violence-Informed maternity care for women with previous poor neonatal outcomes in Rwanda"/>
    <s v="Field based"/>
    <m/>
    <m/>
    <m/>
    <m/>
    <d v="2026-03-02T00:00:00"/>
    <m/>
    <m/>
    <m/>
    <m/>
    <m/>
    <m/>
    <m/>
    <m/>
    <m/>
    <m/>
    <m/>
    <m/>
    <s v="Assistant Lecturer "/>
    <m/>
    <m/>
    <m/>
    <m/>
    <s v="0009-0008-5750-7087"/>
    <m/>
    <d v="2026-03-02T00:00:00"/>
    <m/>
    <m/>
    <m/>
    <m/>
    <m/>
    <m/>
    <m/>
    <m/>
    <m/>
    <m/>
    <m/>
    <m/>
    <m/>
    <m/>
    <m/>
    <x v="19"/>
    <x v="2"/>
    <m/>
    <m/>
    <m/>
    <n v="15"/>
    <m/>
    <m/>
    <m/>
    <m/>
    <m/>
    <m/>
    <m/>
    <m/>
    <m/>
    <m/>
    <m/>
    <m/>
    <m/>
    <m/>
    <m/>
    <m/>
    <m/>
    <m/>
    <m/>
  </r>
  <r>
    <n v="277"/>
    <s v="C12/008"/>
    <s v="Jean Paul"/>
    <m/>
    <s v="Habimana"/>
    <x v="0"/>
    <x v="11"/>
    <x v="1"/>
    <x v="1"/>
    <s v="Veterinary medicine "/>
    <s v="School of Medicine and Pharmacy"/>
    <s v="University of Rwanda"/>
    <s v="Yes"/>
    <m/>
    <s v="Single"/>
    <m/>
    <m/>
    <s v="jphabimana@cartafrica.org"/>
    <s v="habipau@gmail.com"/>
    <s v="+250788534046"/>
    <s v="Master in tropical animal health "/>
    <d v="1988-02-24T00:00:00"/>
    <s v="Antimicrobial resistance in the dairy value chain: Detection, Risk Factors, and Plant  based alternatives against aephalosporin and carbapenem resistant enterobacterales in  Rwanda"/>
    <s v="A combination of laboratory and field-based"/>
    <m/>
    <m/>
    <m/>
    <m/>
    <d v="2026-03-02T00:00:00"/>
    <m/>
    <m/>
    <m/>
    <m/>
    <m/>
    <m/>
    <m/>
    <m/>
    <m/>
    <m/>
    <m/>
    <m/>
    <s v="Assistant Lecturer"/>
    <m/>
    <m/>
    <m/>
    <m/>
    <s v="0000-0001-9420-882X"/>
    <m/>
    <d v="2026-03-02T00:00:00"/>
    <m/>
    <m/>
    <m/>
    <m/>
    <m/>
    <m/>
    <m/>
    <m/>
    <m/>
    <m/>
    <m/>
    <m/>
    <m/>
    <m/>
    <m/>
    <x v="19"/>
    <x v="2"/>
    <m/>
    <m/>
    <m/>
    <n v="3"/>
    <m/>
    <m/>
    <m/>
    <m/>
    <m/>
    <m/>
    <m/>
    <m/>
    <m/>
    <m/>
    <m/>
    <m/>
    <m/>
    <m/>
    <m/>
    <m/>
    <m/>
    <m/>
    <m/>
  </r>
  <r>
    <n v="278"/>
    <s v="C12/009"/>
    <s v="Kingsley"/>
    <m/>
    <s v="Kanzoole"/>
    <x v="0"/>
    <x v="11"/>
    <x v="3"/>
    <x v="8"/>
    <s v="Public Health"/>
    <m/>
    <s v="University of the Witwatersrand"/>
    <m/>
    <m/>
    <s v="Married"/>
    <m/>
    <m/>
    <s v="kkanzoole@cartafrica.org"/>
    <s v="kingsleykanzoole@gmail.com"/>
    <s v="+265888022796, +27630537898"/>
    <s v="Master of Science in Epidemiology (2023)"/>
    <d v="1993-08-28T00:00:00"/>
    <s v="Cancer Epidemiology and Primary Healthcare Strengthening in Rural South Africa: Examining Mortality Trends, Diagnostic delays, and implementation of Detection Guideline"/>
    <s v="Field based"/>
    <m/>
    <m/>
    <m/>
    <m/>
    <d v="2026-03-02T00:00:00"/>
    <m/>
    <m/>
    <m/>
    <m/>
    <m/>
    <m/>
    <m/>
    <m/>
    <m/>
    <m/>
    <m/>
    <m/>
    <s v="Research Assistant "/>
    <m/>
    <m/>
    <m/>
    <m/>
    <s v="0000-0003-1287-9430"/>
    <m/>
    <d v="2026-03-02T00:00:00"/>
    <m/>
    <m/>
    <m/>
    <m/>
    <m/>
    <m/>
    <m/>
    <m/>
    <m/>
    <m/>
    <m/>
    <m/>
    <m/>
    <m/>
    <m/>
    <x v="19"/>
    <x v="2"/>
    <m/>
    <m/>
    <m/>
    <n v="4"/>
    <m/>
    <m/>
    <m/>
    <m/>
    <m/>
    <m/>
    <m/>
    <m/>
    <m/>
    <m/>
    <m/>
    <m/>
    <m/>
    <m/>
    <m/>
    <m/>
    <m/>
    <m/>
    <m/>
  </r>
  <r>
    <n v="279"/>
    <s v="C12/010"/>
    <s v="Mphatso"/>
    <s v="Saulos"/>
    <s v="Kantonya"/>
    <x v="0"/>
    <x v="11"/>
    <x v="3"/>
    <x v="3"/>
    <s v="Public Health (Infectious Diseases Pharmacoepidemiology)"/>
    <s v="School of Public and Global health"/>
    <s v="University of Malawi and Associates"/>
    <s v="Yes"/>
    <m/>
    <s v="Married"/>
    <m/>
    <m/>
    <s v="mkantonya@cartafrica.org"/>
    <s v="mkantonya@mlw.mw"/>
    <s v="+265994622253, +265881133688"/>
    <s v="Clinical Epidemiology (2024)"/>
    <d v="1992-07-29T00:00:00"/>
    <s v="Optimising Triple Artemisinin-Based Combination Therapy (TACT) in High-Risk Populations (malnourished children and people living with HIV) in Malawi  "/>
    <s v="Clinical research"/>
    <m/>
    <m/>
    <m/>
    <m/>
    <d v="2026-03-02T00:00:00"/>
    <m/>
    <m/>
    <m/>
    <m/>
    <m/>
    <m/>
    <m/>
    <m/>
    <m/>
    <m/>
    <m/>
    <m/>
    <s v="Site Investigator"/>
    <m/>
    <m/>
    <m/>
    <m/>
    <s v="0009-0003-7896-3659"/>
    <m/>
    <d v="2026-03-02T00:00:00"/>
    <m/>
    <m/>
    <m/>
    <m/>
    <m/>
    <m/>
    <m/>
    <m/>
    <m/>
    <m/>
    <m/>
    <m/>
    <m/>
    <m/>
    <m/>
    <x v="19"/>
    <x v="2"/>
    <m/>
    <m/>
    <m/>
    <n v="2"/>
    <m/>
    <m/>
    <m/>
    <m/>
    <m/>
    <m/>
    <m/>
    <m/>
    <m/>
    <m/>
    <m/>
    <m/>
    <m/>
    <m/>
    <m/>
    <m/>
    <m/>
    <m/>
    <m/>
  </r>
  <r>
    <n v="280"/>
    <s v="C12/011"/>
    <s v="Martha"/>
    <m/>
    <s v="Masamba"/>
    <x v="1"/>
    <x v="11"/>
    <x v="3"/>
    <x v="3"/>
    <s v="Obstetrics and Gynaecology"/>
    <m/>
    <s v="University of Malawi and Associates"/>
    <m/>
    <m/>
    <s v="Married"/>
    <m/>
    <m/>
    <s v="mmasamba@cartafrica.org"/>
    <s v="mmasamba@kuhes.ac.mw"/>
    <s v="+265888221557, +265 1 871449"/>
    <n v="2016"/>
    <d v="1983-09-19T00:00:00"/>
    <s v="Assessing Clinical and Health System Gaps in the Diagnosis and treatment of Infertility in Malawi: A Mixed Methods Study "/>
    <s v="Clinical research"/>
    <m/>
    <m/>
    <m/>
    <m/>
    <d v="2026-03-02T00:00:00"/>
    <m/>
    <m/>
    <m/>
    <m/>
    <m/>
    <m/>
    <m/>
    <m/>
    <m/>
    <m/>
    <m/>
    <m/>
    <s v="Lecturer and Head of Obs and Gynae."/>
    <m/>
    <m/>
    <m/>
    <m/>
    <s v="0009-0006-2504-803"/>
    <m/>
    <d v="2026-03-02T00:00:00"/>
    <m/>
    <m/>
    <m/>
    <m/>
    <m/>
    <m/>
    <m/>
    <m/>
    <m/>
    <m/>
    <m/>
    <m/>
    <m/>
    <m/>
    <m/>
    <x v="19"/>
    <x v="2"/>
    <m/>
    <m/>
    <m/>
    <n v="8"/>
    <m/>
    <m/>
    <m/>
    <m/>
    <m/>
    <m/>
    <m/>
    <m/>
    <m/>
    <m/>
    <m/>
    <m/>
    <m/>
    <m/>
    <m/>
    <m/>
    <m/>
    <m/>
    <m/>
  </r>
  <r>
    <n v="281"/>
    <s v="C12/012"/>
    <s v="Martha"/>
    <s v="Dorcas"/>
    <s v="Nalweyiso"/>
    <x v="1"/>
    <x v="11"/>
    <x v="6"/>
    <x v="10"/>
    <s v="Public Health"/>
    <s v="Department of Disease Control and Environmental Health"/>
    <s v="Makerere University"/>
    <s v="Yes"/>
    <m/>
    <s v="Single"/>
    <m/>
    <m/>
    <s v="mnalweyiso@cartafrica.org"/>
    <s v="nalweyisomartha@gmail.com"/>
    <s v="+265888221557"/>
    <s v="Masters of Science in Animal Health (2023), Master of Public Health (2025)"/>
    <d v="1991-02-05T00:00:00"/>
    <s v="Unmasking the Dual Burden of Brucellosis: Molecular Characterisation and Health Systems Capacity among Agro-Pastoral Communities, Kiruhura District, Western Uganda&quot;."/>
    <s v="A combination of laboratory and field-based"/>
    <m/>
    <m/>
    <m/>
    <m/>
    <d v="2026-03-02T00:00:00"/>
    <m/>
    <m/>
    <m/>
    <m/>
    <m/>
    <m/>
    <m/>
    <m/>
    <m/>
    <m/>
    <m/>
    <m/>
    <s v="Assistant Lecturer"/>
    <m/>
    <m/>
    <m/>
    <m/>
    <s v="0009-0008-4921-4356?lang=en"/>
    <m/>
    <d v="2026-03-02T00:00:00"/>
    <m/>
    <m/>
    <m/>
    <m/>
    <m/>
    <m/>
    <m/>
    <m/>
    <m/>
    <m/>
    <m/>
    <m/>
    <m/>
    <m/>
    <m/>
    <x v="19"/>
    <x v="2"/>
    <m/>
    <m/>
    <m/>
    <n v="0"/>
    <m/>
    <m/>
    <m/>
    <m/>
    <m/>
    <m/>
    <m/>
    <m/>
    <m/>
    <m/>
    <m/>
    <m/>
    <m/>
    <m/>
    <m/>
    <m/>
    <m/>
    <m/>
    <m/>
  </r>
  <r>
    <n v="282"/>
    <s v="C12/013"/>
    <s v="Nancy"/>
    <s v="Mugure"/>
    <s v="Waweru"/>
    <x v="1"/>
    <x v="11"/>
    <x v="2"/>
    <x v="7"/>
    <s v="Public Health Engineering"/>
    <s v="Civil Engineering"/>
    <s v="University of Nairobi"/>
    <s v="Yes"/>
    <m/>
    <s v="Single"/>
    <m/>
    <m/>
    <s v="nwaweru@cartafrica.org"/>
    <s v="nancy.mugure@uonbi.ac.ke"/>
    <s v="+254723031495"/>
    <s v="MSc. Environmental Engineering (2017)"/>
    <d v="1988-10-07T00:00:00"/>
    <s v="Comparative Study of Correlation of Consumptive Water Use, Emissions, and Gendered Roles in Greenhouse and Open-Field Irrigation from Vegetable Farms in Kenya"/>
    <s v="A combination of laboratory and field-based"/>
    <m/>
    <m/>
    <m/>
    <m/>
    <d v="2026-03-02T00:00:00"/>
    <m/>
    <m/>
    <m/>
    <m/>
    <m/>
    <m/>
    <m/>
    <m/>
    <m/>
    <m/>
    <m/>
    <m/>
    <s v="Tutorial Fellow"/>
    <m/>
    <m/>
    <m/>
    <m/>
    <s v="0009-0001-0042-9099"/>
    <m/>
    <d v="2026-03-02T00:00:00"/>
    <m/>
    <m/>
    <m/>
    <m/>
    <m/>
    <m/>
    <m/>
    <m/>
    <m/>
    <m/>
    <m/>
    <m/>
    <m/>
    <m/>
    <m/>
    <x v="19"/>
    <x v="2"/>
    <m/>
    <m/>
    <m/>
    <n v="1"/>
    <m/>
    <m/>
    <m/>
    <m/>
    <m/>
    <m/>
    <m/>
    <m/>
    <m/>
    <m/>
    <m/>
    <m/>
    <m/>
    <m/>
    <m/>
    <m/>
    <m/>
    <m/>
    <m/>
  </r>
  <r>
    <n v="283"/>
    <s v="C12/014"/>
    <s v="Olamilekan"/>
    <s v="Gabriel"/>
    <s v="Banwo"/>
    <x v="0"/>
    <x v="11"/>
    <x v="0"/>
    <x v="0"/>
    <s v="Veterinary Medicine"/>
    <s v="Veterinary Medicine"/>
    <s v="University of Ibadan"/>
    <s v="Yes"/>
    <m/>
    <s v="Married"/>
    <m/>
    <m/>
    <s v="obanwo@cartafrica.org"/>
    <s v="olamilekanbanwo@gmail.com"/>
    <s v="+2348038293440"/>
    <s v="Masters in Veterinary Science (2017)"/>
    <d v="1988-08-16T00:00:00"/>
    <s v="Molecular epidemiology, genetic characterisation, and resistome profiling of Dermatophilus congolensis from cattle in southwest Nigeria."/>
    <s v="Laboratory based"/>
    <m/>
    <m/>
    <m/>
    <m/>
    <d v="2026-03-02T00:00:00"/>
    <m/>
    <m/>
    <m/>
    <m/>
    <m/>
    <m/>
    <m/>
    <m/>
    <m/>
    <m/>
    <m/>
    <m/>
    <s v="Lecturer"/>
    <m/>
    <m/>
    <m/>
    <m/>
    <s v="0000-0002-0686-1544"/>
    <m/>
    <d v="2026-03-02T00:00:00"/>
    <m/>
    <m/>
    <m/>
    <m/>
    <m/>
    <m/>
    <m/>
    <m/>
    <m/>
    <m/>
    <m/>
    <m/>
    <m/>
    <m/>
    <m/>
    <x v="19"/>
    <x v="2"/>
    <m/>
    <m/>
    <m/>
    <n v="43"/>
    <m/>
    <m/>
    <m/>
    <m/>
    <m/>
    <m/>
    <m/>
    <m/>
    <m/>
    <m/>
    <m/>
    <m/>
    <m/>
    <m/>
    <m/>
    <m/>
    <m/>
    <m/>
    <m/>
  </r>
  <r>
    <n v="284"/>
    <s v="C12/015"/>
    <s v="Olumuyiwa"/>
    <s v="Shola"/>
    <s v="Folayan"/>
    <x v="0"/>
    <x v="11"/>
    <x v="0"/>
    <x v="0"/>
    <s v="Paediatrics and Child Health"/>
    <m/>
    <s v="University of Ibadan"/>
    <m/>
    <m/>
    <s v="Married"/>
    <m/>
    <m/>
    <s v="ofolayan@cartafrica.org"/>
    <s v="olufolayan19@gmail.com"/>
    <s v="+234 8058258556"/>
    <s v="Master in Public Health(2025)"/>
    <m/>
    <s v="Cardiovascular Risk Factors among  Adolescents living in Ibadan North  Local Government Area"/>
    <s v="Clinical research"/>
    <m/>
    <m/>
    <m/>
    <m/>
    <d v="2026-03-02T00:00:00"/>
    <m/>
    <m/>
    <m/>
    <m/>
    <m/>
    <m/>
    <m/>
    <m/>
    <m/>
    <m/>
    <m/>
    <m/>
    <s v="Research Fellow"/>
    <m/>
    <m/>
    <m/>
    <m/>
    <s v="0000-0002-5862-8170"/>
    <m/>
    <d v="2026-03-02T00:00:00"/>
    <m/>
    <m/>
    <m/>
    <m/>
    <m/>
    <m/>
    <m/>
    <m/>
    <m/>
    <m/>
    <m/>
    <m/>
    <m/>
    <m/>
    <m/>
    <x v="19"/>
    <x v="2"/>
    <m/>
    <m/>
    <m/>
    <n v="15"/>
    <m/>
    <m/>
    <m/>
    <m/>
    <m/>
    <m/>
    <m/>
    <m/>
    <m/>
    <m/>
    <m/>
    <m/>
    <m/>
    <m/>
    <m/>
    <m/>
    <m/>
    <m/>
    <m/>
  </r>
  <r>
    <n v="285"/>
    <s v="C12/016"/>
    <s v="Olanrewaju"/>
    <s v="Olaniyi"/>
    <s v="Omosehin"/>
    <x v="0"/>
    <x v="11"/>
    <x v="0"/>
    <x v="0"/>
    <s v="Agricultural Economics"/>
    <s v="Agricultural Economics"/>
    <s v="University of Ibadan"/>
    <m/>
    <m/>
    <s v="Married"/>
    <m/>
    <m/>
    <s v="oomosehin@cartafrica.org"/>
    <s v="oo.omosehin@ui.edu.ng"/>
    <s v="+2348147768741"/>
    <s v="M.AGRIC.Tech (Production Economics) 2021"/>
    <d v="1991-06-25T00:00:00"/>
    <s v="Economic Resilience and Mental Well-Being of Households in Flood-Affceted Rural Communities in Southwest Nigeria"/>
    <s v="A combination of laboratory and field-based"/>
    <m/>
    <m/>
    <m/>
    <m/>
    <d v="2026-03-02T00:00:00"/>
    <m/>
    <m/>
    <m/>
    <m/>
    <m/>
    <m/>
    <m/>
    <m/>
    <m/>
    <m/>
    <m/>
    <m/>
    <s v="Assistant Lecturer"/>
    <m/>
    <m/>
    <m/>
    <m/>
    <s v="0000-0002-4249-7380"/>
    <m/>
    <d v="2026-03-02T00:00:00"/>
    <m/>
    <m/>
    <m/>
    <m/>
    <m/>
    <m/>
    <m/>
    <m/>
    <m/>
    <m/>
    <m/>
    <m/>
    <m/>
    <m/>
    <m/>
    <x v="19"/>
    <x v="2"/>
    <m/>
    <m/>
    <m/>
    <n v="16"/>
    <m/>
    <m/>
    <m/>
    <m/>
    <m/>
    <m/>
    <m/>
    <m/>
    <m/>
    <m/>
    <m/>
    <m/>
    <m/>
    <m/>
    <m/>
    <m/>
    <m/>
    <m/>
    <m/>
  </r>
  <r>
    <n v="286"/>
    <s v="C12/017"/>
    <s v="Patrick"/>
    <m/>
    <s v="Amboka"/>
    <x v="0"/>
    <x v="11"/>
    <x v="2"/>
    <x v="11"/>
    <s v="Public Health"/>
    <m/>
    <s v="University of the Witwatersrand"/>
    <m/>
    <m/>
    <s v="Single"/>
    <m/>
    <m/>
    <s v="pamboka@cartafrica.org"/>
    <s v="pamboka@aphrc.org"/>
    <s v="+254702602571"/>
    <s v="Master in Public Health (2025)"/>
    <d v="1992-08-08T00:00:00"/>
    <s v="Life-Course Pathways to Cardiovascular Disease Among Older Women in Two Rural Counties in Kenya: A Retrospective Case-Control Study"/>
    <s v="Field based"/>
    <m/>
    <m/>
    <m/>
    <m/>
    <d v="2026-03-02T00:00:00"/>
    <m/>
    <m/>
    <m/>
    <m/>
    <m/>
    <m/>
    <m/>
    <m/>
    <m/>
    <m/>
    <m/>
    <m/>
    <s v="Project Officer"/>
    <m/>
    <m/>
    <m/>
    <m/>
    <s v="0000-0003-4295-3515"/>
    <m/>
    <d v="2026-03-02T00:00:00"/>
    <m/>
    <m/>
    <m/>
    <m/>
    <m/>
    <m/>
    <m/>
    <m/>
    <m/>
    <m/>
    <m/>
    <m/>
    <m/>
    <m/>
    <m/>
    <x v="19"/>
    <x v="2"/>
    <m/>
    <m/>
    <m/>
    <n v="12"/>
    <m/>
    <m/>
    <m/>
    <m/>
    <m/>
    <m/>
    <m/>
    <m/>
    <m/>
    <m/>
    <m/>
    <m/>
    <m/>
    <m/>
    <m/>
    <m/>
    <m/>
    <m/>
    <m/>
  </r>
  <r>
    <n v="287"/>
    <s v="C12/018"/>
    <s v="REBECCA CLAIRE"/>
    <m/>
    <s v="LUSOBYA"/>
    <x v="1"/>
    <x v="11"/>
    <x v="6"/>
    <x v="10"/>
    <s v="Ophthalmology"/>
    <s v="OPHTHALMOLOGY"/>
    <s v="Makerere University"/>
    <s v="Yes"/>
    <m/>
    <s v="Married"/>
    <m/>
    <m/>
    <s v="rlusobya@cartafrica.org"/>
    <s v="lusobyarebecca@gmail.com"/>
    <s v="+256773472633"/>
    <n v="2018"/>
    <d v="1987-02-27T00:00:00"/>
    <s v="Using Oculomics And Machine Learning to Predict Preeclampsia Disease Severity and Its Long-Term Sequelae Among Pregnant Women in Uganda."/>
    <s v="Clinical research"/>
    <m/>
    <m/>
    <m/>
    <m/>
    <d v="2026-03-02T00:00:00"/>
    <m/>
    <m/>
    <m/>
    <m/>
    <m/>
    <m/>
    <m/>
    <m/>
    <m/>
    <m/>
    <m/>
    <m/>
    <s v="Senior Lecturer"/>
    <m/>
    <m/>
    <m/>
    <m/>
    <s v="0000-0002-7149-703X"/>
    <m/>
    <d v="2026-03-02T00:00:00"/>
    <m/>
    <m/>
    <m/>
    <m/>
    <m/>
    <m/>
    <m/>
    <m/>
    <m/>
    <m/>
    <m/>
    <m/>
    <m/>
    <m/>
    <m/>
    <x v="19"/>
    <x v="2"/>
    <m/>
    <m/>
    <m/>
    <n v="18"/>
    <m/>
    <m/>
    <m/>
    <m/>
    <m/>
    <m/>
    <m/>
    <m/>
    <m/>
    <m/>
    <m/>
    <m/>
    <m/>
    <m/>
    <m/>
    <m/>
    <m/>
    <m/>
    <m/>
  </r>
  <r>
    <n v="288"/>
    <s v="C12/019"/>
    <s v="Regina"/>
    <s v="Tikhala"/>
    <s v="Makuluni"/>
    <x v="1"/>
    <x v="11"/>
    <x v="3"/>
    <x v="3"/>
    <s v="Public Health"/>
    <m/>
    <s v="University of Malawi and Associates"/>
    <m/>
    <m/>
    <s v="Married"/>
    <m/>
    <m/>
    <s v="rmakuluni@cartafrica.org"/>
    <s v="rmakuluni@mlw.mw"/>
    <s v="+265999150295, +265992971222"/>
    <s v="Master of Science in Epidemiology (2020)"/>
    <d v="1991-11-21T00:00:00"/>
    <s v="Understanding and improving sustainability of  maternal health interventions- A case study of the Active Prevention and Treatment of Maternal Sepsis (APT-Sepsis) in Malawi."/>
    <s v="Clinical research"/>
    <m/>
    <m/>
    <m/>
    <m/>
    <d v="2026-03-02T00:00:00"/>
    <m/>
    <m/>
    <m/>
    <m/>
    <m/>
    <m/>
    <m/>
    <m/>
    <m/>
    <m/>
    <m/>
    <m/>
    <s v="Trial Manager"/>
    <m/>
    <m/>
    <m/>
    <m/>
    <s v="0000-0001-9368-5456"/>
    <m/>
    <d v="2026-03-02T00:00:00"/>
    <m/>
    <m/>
    <m/>
    <m/>
    <m/>
    <m/>
    <m/>
    <m/>
    <m/>
    <m/>
    <m/>
    <m/>
    <m/>
    <m/>
    <m/>
    <x v="19"/>
    <x v="2"/>
    <m/>
    <m/>
    <m/>
    <n v="10"/>
    <m/>
    <m/>
    <m/>
    <m/>
    <m/>
    <m/>
    <m/>
    <m/>
    <m/>
    <m/>
    <m/>
    <m/>
    <m/>
    <m/>
    <m/>
    <m/>
    <m/>
    <m/>
    <m/>
  </r>
  <r>
    <n v="289"/>
    <s v="C12/020"/>
    <s v="Schadrack"/>
    <m/>
    <s v="HABUMUREMYI"/>
    <x v="0"/>
    <x v="11"/>
    <x v="1"/>
    <x v="1"/>
    <s v="Human Anatomy"/>
    <s v="Human Anatomy Department"/>
    <s v="University of Rwanda"/>
    <s v="Yes"/>
    <m/>
    <s v="Married"/>
    <m/>
    <m/>
    <s v="shabumuremyi@cartafrica.org"/>
    <s v="habumshadra@gmail.com"/>
    <s v="+250783305359, +250722174009"/>
    <s v="Master of Science in Clinical Anatomy (2024)"/>
    <d v="1988-01-14T00:00:00"/>
    <s v="The implications of Lumbosacral transitional vertebrae to the lower back pain in Rwanda"/>
    <s v="Laboratory based"/>
    <m/>
    <m/>
    <m/>
    <m/>
    <d v="2026-03-02T00:00:00"/>
    <m/>
    <m/>
    <m/>
    <m/>
    <m/>
    <m/>
    <m/>
    <m/>
    <m/>
    <m/>
    <m/>
    <m/>
    <s v="Laboratory technician"/>
    <m/>
    <m/>
    <m/>
    <m/>
    <s v="0009-0006-7309-306X"/>
    <m/>
    <d v="2026-03-02T00:00:00"/>
    <m/>
    <m/>
    <m/>
    <m/>
    <m/>
    <m/>
    <m/>
    <m/>
    <m/>
    <m/>
    <m/>
    <m/>
    <m/>
    <m/>
    <m/>
    <x v="19"/>
    <x v="2"/>
    <m/>
    <m/>
    <m/>
    <n v="10"/>
    <m/>
    <m/>
    <m/>
    <m/>
    <m/>
    <m/>
    <m/>
    <m/>
    <m/>
    <m/>
    <m/>
    <m/>
    <m/>
    <m/>
    <m/>
    <m/>
    <m/>
    <m/>
    <m/>
  </r>
  <r>
    <n v="290"/>
    <s v="C12/021"/>
    <s v="Tabitha"/>
    <s v="Jepkurgat"/>
    <s v="Chepkwony"/>
    <x v="1"/>
    <x v="11"/>
    <x v="2"/>
    <x v="2"/>
    <s v="Public health/Laboratory Sciences"/>
    <s v="Public Health"/>
    <s v="Moi University"/>
    <s v="Yes"/>
    <m/>
    <s v="Married"/>
    <m/>
    <m/>
    <s v="tchepkwony@cartafrica.org"/>
    <s v="jepkurgatbunet@gmail.com"/>
    <s v="+254706713382"/>
    <s v="MPH-Epidemiology and Medical Statistics (2025)"/>
    <d v="1989-04-27T00:00:00"/>
    <s v="Evaluation of Insecticidal and PBO Durability of PBO-based long-lasting  Insecticidal Nets and Determinants  of Their Performance in an Implementation Setting in Western Kenya: Implications for Malaria Control in Pyrethroid-Resistant Regions'"/>
    <s v="A combination of laboratory and field-based"/>
    <m/>
    <m/>
    <m/>
    <m/>
    <d v="2026-03-02T00:00:00"/>
    <m/>
    <m/>
    <m/>
    <m/>
    <m/>
    <m/>
    <m/>
    <m/>
    <m/>
    <m/>
    <m/>
    <m/>
    <s v="Research coordinator"/>
    <m/>
    <m/>
    <m/>
    <m/>
    <s v="0009-0001-5539-2975"/>
    <m/>
    <d v="2026-03-02T00:00:00"/>
    <m/>
    <m/>
    <m/>
    <m/>
    <m/>
    <m/>
    <m/>
    <m/>
    <m/>
    <m/>
    <m/>
    <m/>
    <m/>
    <m/>
    <m/>
    <x v="19"/>
    <x v="2"/>
    <m/>
    <m/>
    <m/>
    <n v="15"/>
    <m/>
    <m/>
    <m/>
    <m/>
    <m/>
    <m/>
    <m/>
    <m/>
    <m/>
    <m/>
    <m/>
    <m/>
    <m/>
    <m/>
    <m/>
    <m/>
    <m/>
    <m/>
    <m/>
  </r>
  <r>
    <n v="291"/>
    <s v="C12/022"/>
    <s v="WALTER"/>
    <m/>
    <s v="OKELLO"/>
    <x v="0"/>
    <x v="11"/>
    <x v="6"/>
    <x v="10"/>
    <s v="Laboratory Sciences"/>
    <s v="Biosecurity, Ecosystems and Veterinary Public Health"/>
    <s v="Makerere University"/>
    <s v="Yes"/>
    <m/>
    <s v="Married"/>
    <m/>
    <m/>
    <s v="wokello@cartafrica.org"/>
    <s v="walteriqueokello@gmail.com"/>
    <s v="+256783923827"/>
    <s v="Veterinary Preventive Medicine(Field Epidemiology)"/>
    <d v="1995-05-01T00:00:00"/>
    <s v="Risk Assessment and Predictive Modelling of Aflatoxin Contamination at the Grain-Animal-Human Interface in Uganda. "/>
    <s v="A combination of laboratory and field-based"/>
    <m/>
    <m/>
    <m/>
    <m/>
    <d v="2026-03-02T00:00:00"/>
    <m/>
    <m/>
    <m/>
    <m/>
    <m/>
    <m/>
    <m/>
    <m/>
    <m/>
    <m/>
    <m/>
    <m/>
    <s v="Technician"/>
    <m/>
    <m/>
    <m/>
    <m/>
    <s v="0000-0002-7621-4844"/>
    <m/>
    <d v="2026-03-02T00:00:00"/>
    <m/>
    <m/>
    <m/>
    <m/>
    <m/>
    <m/>
    <m/>
    <m/>
    <m/>
    <m/>
    <m/>
    <m/>
    <m/>
    <m/>
    <m/>
    <x v="19"/>
    <x v="2"/>
    <m/>
    <m/>
    <m/>
    <n v="2"/>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989319-9EF5-40A0-B009-F394B78B311C}" name="PivotTable3" cacheId="10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B42:F56"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formats count="2">
    <format dxfId="21">
      <pivotArea outline="0" collapsedLevelsAreSubtotals="1" fieldPosition="0"/>
    </format>
    <format dxfId="20">
      <pivotArea outline="0" fieldPosition="0">
        <references count="1">
          <reference field="4294967294" count="1">
            <x v="0"/>
          </reference>
        </references>
      </pivotArea>
    </format>
  </formats>
  <conditionalFormats count="2">
    <conditionalFormat priority="2">
      <pivotAreas count="1">
        <pivotArea type="data" outline="0" collapsedLevelsAreSubtotals="1" fieldPosition="0">
          <references count="3">
            <reference field="4294967294" count="1" selected="0">
              <x v="0"/>
            </reference>
            <reference field="6" count="10" selected="0">
              <x v="0"/>
              <x v="1"/>
              <x v="2"/>
              <x v="3"/>
              <x v="4"/>
              <x v="5"/>
              <x v="6"/>
              <x v="7"/>
              <x v="8"/>
              <x v="9"/>
            </reference>
            <reference field="65" count="3" selected="0">
              <x v="0"/>
              <x v="1"/>
              <x v="2"/>
            </reference>
          </references>
        </pivotArea>
      </pivotAreas>
    </conditionalFormat>
    <conditionalFormat priority="1">
      <pivotAreas count="1">
        <pivotArea type="data" outline="0" collapsedLevelsAreSubtotals="1" fieldPosition="0">
          <references count="3">
            <reference field="4294967294" count="1" selected="0">
              <x v="0"/>
            </reference>
            <reference field="6" count="2" selected="0">
              <x v="10"/>
              <x v="11"/>
            </reference>
            <reference field="65" count="3" selected="0">
              <x v="0"/>
              <x v="1"/>
              <x v="2"/>
            </reference>
          </references>
        </pivotArea>
      </pivotAreas>
    </conditionalFormat>
  </conditionalFormats>
  <chartFormats count="34">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 chart="17" format="0" series="1">
      <pivotArea type="data" outline="0" fieldPosition="0">
        <references count="2">
          <reference field="4294967294" count="1" selected="0">
            <x v="0"/>
          </reference>
          <reference field="65" count="1" selected="0">
            <x v="0"/>
          </reference>
        </references>
      </pivotArea>
    </chartFormat>
    <chartFormat chart="17" format="1" series="1">
      <pivotArea type="data" outline="0" fieldPosition="0">
        <references count="2">
          <reference field="4294967294" count="1" selected="0">
            <x v="0"/>
          </reference>
          <reference field="65" count="1" selected="0">
            <x v="1"/>
          </reference>
        </references>
      </pivotArea>
    </chartFormat>
    <chartFormat chart="17" format="2" series="1">
      <pivotArea type="data" outline="0" fieldPosition="0">
        <references count="2">
          <reference field="4294967294" count="1" selected="0">
            <x v="0"/>
          </reference>
          <reference field="65" count="1" selected="0">
            <x v="2"/>
          </reference>
        </references>
      </pivotArea>
    </chartFormat>
    <chartFormat chart="18" format="3" series="1">
      <pivotArea type="data" outline="0" fieldPosition="0">
        <references count="2">
          <reference field="4294967294" count="1" selected="0">
            <x v="0"/>
          </reference>
          <reference field="65" count="1" selected="0">
            <x v="0"/>
          </reference>
        </references>
      </pivotArea>
    </chartFormat>
    <chartFormat chart="18" format="4" series="1">
      <pivotArea type="data" outline="0" fieldPosition="0">
        <references count="2">
          <reference field="4294967294" count="1" selected="0">
            <x v="0"/>
          </reference>
          <reference field="65" count="1" selected="0">
            <x v="1"/>
          </reference>
        </references>
      </pivotArea>
    </chartFormat>
    <chartFormat chart="18" format="5" series="1">
      <pivotArea type="data" outline="0" fieldPosition="0">
        <references count="2">
          <reference field="4294967294" count="1" selected="0">
            <x v="0"/>
          </reference>
          <reference field="65" count="1" selected="0">
            <x v="2"/>
          </reference>
        </references>
      </pivotArea>
    </chartFormat>
    <chartFormat chart="19" format="6" series="1">
      <pivotArea type="data" outline="0" fieldPosition="0">
        <references count="2">
          <reference field="4294967294" count="1" selected="0">
            <x v="0"/>
          </reference>
          <reference field="65" count="1" selected="0">
            <x v="0"/>
          </reference>
        </references>
      </pivotArea>
    </chartFormat>
    <chartFormat chart="19" format="7" series="1">
      <pivotArea type="data" outline="0" fieldPosition="0">
        <references count="2">
          <reference field="4294967294" count="1" selected="0">
            <x v="0"/>
          </reference>
          <reference field="65" count="1" selected="0">
            <x v="1"/>
          </reference>
        </references>
      </pivotArea>
    </chartFormat>
    <chartFormat chart="19" format="8" series="1">
      <pivotArea type="data" outline="0" fieldPosition="0">
        <references count="2">
          <reference field="4294967294" count="1" selected="0">
            <x v="0"/>
          </reference>
          <reference field="65" count="1" selected="0">
            <x v="2"/>
          </reference>
        </references>
      </pivotArea>
    </chartFormat>
    <chartFormat chart="20" format="14" series="1">
      <pivotArea type="data" outline="0" fieldPosition="0">
        <references count="2">
          <reference field="4294967294" count="1" selected="0">
            <x v="0"/>
          </reference>
          <reference field="65" count="1" selected="0">
            <x v="0"/>
          </reference>
        </references>
      </pivotArea>
    </chartFormat>
    <chartFormat chart="20" format="15" series="1">
      <pivotArea type="data" outline="0" fieldPosition="0">
        <references count="2">
          <reference field="4294967294" count="1" selected="0">
            <x v="0"/>
          </reference>
          <reference field="65" count="1" selected="0">
            <x v="1"/>
          </reference>
        </references>
      </pivotArea>
    </chartFormat>
    <chartFormat chart="20" format="16" series="1">
      <pivotArea type="data" outline="0" fieldPosition="0">
        <references count="2">
          <reference field="4294967294" count="1" selected="0">
            <x v="0"/>
          </reference>
          <reference field="65" count="1" selected="0">
            <x v="2"/>
          </reference>
        </references>
      </pivotArea>
    </chartFormat>
    <chartFormat chart="20" format="17">
      <pivotArea type="data" outline="0" fieldPosition="0">
        <references count="3">
          <reference field="4294967294" count="1" selected="0">
            <x v="0"/>
          </reference>
          <reference field="6" count="1" selected="0">
            <x v="0"/>
          </reference>
          <reference field="65" count="1" selected="0">
            <x v="1"/>
          </reference>
        </references>
      </pivotArea>
    </chartFormat>
    <chartFormat chart="20" format="18">
      <pivotArea type="data" outline="0" fieldPosition="0">
        <references count="3">
          <reference field="4294967294" count="1" selected="0">
            <x v="0"/>
          </reference>
          <reference field="6" count="1" selected="0">
            <x v="8"/>
          </reference>
          <reference field="65" count="1" selected="0">
            <x v="2"/>
          </reference>
        </references>
      </pivotArea>
    </chartFormat>
    <chartFormat chart="20" format="19">
      <pivotArea type="data" outline="0" fieldPosition="0">
        <references count="3">
          <reference field="4294967294" count="1" selected="0">
            <x v="0"/>
          </reference>
          <reference field="6" count="1" selected="0">
            <x v="9"/>
          </reference>
          <reference field="65" count="1" selected="0">
            <x v="2"/>
          </reference>
        </references>
      </pivotArea>
    </chartFormat>
    <chartFormat chart="20" format="20">
      <pivotArea type="data" outline="0" fieldPosition="0">
        <references count="3">
          <reference field="4294967294" count="1" selected="0">
            <x v="0"/>
          </reference>
          <reference field="6" count="1" selected="0">
            <x v="8"/>
          </reference>
          <reference field="65"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89F80A-8A4D-4E02-82FE-FEBDCC083C6A}" name="PivotTable3" cacheId="75"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7">
  <location ref="A20:E24" firstHeaderRow="1" firstDataRow="2" firstDataCol="1"/>
  <pivotFields count="89">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h="1"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5"/>
  </colFields>
  <colItems count="4">
    <i>
      <x/>
    </i>
    <i>
      <x v="3"/>
    </i>
    <i>
      <x v="4"/>
    </i>
    <i t="grand">
      <x/>
    </i>
  </colItems>
  <dataFields count="1">
    <dataField name="Count of S.No." fld="0" subtotal="count" baseField="6" baseItem="0"/>
  </dataFields>
  <chartFormats count="16">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65" count="1" selected="0">
            <x v="4"/>
          </reference>
        </references>
      </pivotArea>
    </chartFormat>
    <chartFormat chart="9" format="7" series="1">
      <pivotArea type="data" outline="0" fieldPosition="0">
        <references count="2">
          <reference field="4294967294" count="1" selected="0">
            <x v="0"/>
          </reference>
          <reference field="65" count="1" selected="0">
            <x v="0"/>
          </reference>
        </references>
      </pivotArea>
    </chartFormat>
    <chartFormat chart="9" format="8" series="1">
      <pivotArea type="data" outline="0" fieldPosition="0">
        <references count="2">
          <reference field="4294967294" count="1" selected="0">
            <x v="0"/>
          </reference>
          <reference field="65" count="1" selected="0">
            <x v="3"/>
          </reference>
        </references>
      </pivotArea>
    </chartFormat>
    <chartFormat chart="3" format="2" series="1">
      <pivotArea type="data" outline="0" fieldPosition="0">
        <references count="2">
          <reference field="4294967294" count="1" selected="0">
            <x v="0"/>
          </reference>
          <reference field="65" count="1" selected="0">
            <x v="4"/>
          </reference>
        </references>
      </pivotArea>
    </chartFormat>
    <chartFormat chart="3" format="3" series="1">
      <pivotArea type="data" outline="0" fieldPosition="0">
        <references count="2">
          <reference field="4294967294" count="1" selected="0">
            <x v="0"/>
          </reference>
          <reference field="65" count="1" selected="0">
            <x v="0"/>
          </reference>
        </references>
      </pivotArea>
    </chartFormat>
    <chartFormat chart="3" format="4" series="1">
      <pivotArea type="data" outline="0" fieldPosition="0">
        <references count="2">
          <reference field="4294967294" count="1" selected="0">
            <x v="0"/>
          </reference>
          <reference field="65" count="1" selected="0">
            <x v="3"/>
          </reference>
        </references>
      </pivotArea>
    </chartFormat>
    <chartFormat chart="10" format="9" series="1">
      <pivotArea type="data" outline="0" fieldPosition="0">
        <references count="2">
          <reference field="4294967294" count="1" selected="0">
            <x v="0"/>
          </reference>
          <reference field="65" count="1" selected="0">
            <x v="0"/>
          </reference>
        </references>
      </pivotArea>
    </chartFormat>
    <chartFormat chart="10" format="10" series="1">
      <pivotArea type="data" outline="0" fieldPosition="0">
        <references count="2">
          <reference field="4294967294" count="1" selected="0">
            <x v="0"/>
          </reference>
          <reference field="65" count="1" selected="0">
            <x v="3"/>
          </reference>
        </references>
      </pivotArea>
    </chartFormat>
    <chartFormat chart="10" format="11" series="1">
      <pivotArea type="data" outline="0" fieldPosition="0">
        <references count="2">
          <reference field="4294967294" count="1" selected="0">
            <x v="0"/>
          </reference>
          <reference field="65" count="1" selected="0">
            <x v="4"/>
          </reference>
        </references>
      </pivotArea>
    </chartFormat>
    <chartFormat chart="11" format="12" series="1">
      <pivotArea type="data" outline="0" fieldPosition="0">
        <references count="2">
          <reference field="4294967294" count="1" selected="0">
            <x v="0"/>
          </reference>
          <reference field="65" count="1" selected="0">
            <x v="0"/>
          </reference>
        </references>
      </pivotArea>
    </chartFormat>
    <chartFormat chart="11" format="13" series="1">
      <pivotArea type="data" outline="0" fieldPosition="0">
        <references count="2">
          <reference field="4294967294" count="1" selected="0">
            <x v="0"/>
          </reference>
          <reference field="65" count="1" selected="0">
            <x v="3"/>
          </reference>
        </references>
      </pivotArea>
    </chartFormat>
    <chartFormat chart="11" format="14" series="1">
      <pivotArea type="data" outline="0" fieldPosition="0">
        <references count="2">
          <reference field="4294967294" count="1" selected="0">
            <x v="0"/>
          </reference>
          <reference field="6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4528E1-19E3-4993-9E3B-C67283AA55FC}" name="PivotTable2" cacheId="75"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E15" firstHeaderRow="1" firstDataRow="2" firstDataCol="1"/>
  <pivotFields count="89">
    <pivotField dataField="1" showAll="0"/>
    <pivotField showAll="0"/>
    <pivotField showAll="0"/>
    <pivotField showAll="0"/>
    <pivotField showAll="0"/>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1">
    <i>
      <x/>
    </i>
    <i>
      <x v="1"/>
    </i>
    <i>
      <x v="2"/>
    </i>
    <i>
      <x v="3"/>
    </i>
    <i>
      <x v="4"/>
    </i>
    <i>
      <x v="5"/>
    </i>
    <i>
      <x v="6"/>
    </i>
    <i>
      <x v="7"/>
    </i>
    <i>
      <x v="8"/>
    </i>
    <i>
      <x v="9"/>
    </i>
    <i t="grand">
      <x/>
    </i>
  </rowItems>
  <colFields count="1">
    <field x="65"/>
  </colFields>
  <colItems count="4">
    <i>
      <x/>
    </i>
    <i>
      <x v="3"/>
    </i>
    <i>
      <x v="4"/>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AF82A39-8EFA-48BE-AB85-39E2E32CD5C4}" name="PivotTable8" cacheId="10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O13:R27" firstHeaderRow="1" firstDataRow="2" firstDataCol="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5">
        <item m="1" x="3"/>
        <item m="1" x="2"/>
        <item x="0"/>
        <item x="1"/>
        <item t="default"/>
      </items>
    </pivotField>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compact="0" outline="0" multipleItemSelectionAllowed="1"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5"/>
  </colFields>
  <colItems count="3">
    <i>
      <x v="2"/>
    </i>
    <i>
      <x v="3"/>
    </i>
    <i t="grand">
      <x/>
    </i>
  </colItem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A21090E-0E87-4E73-A8C3-43FA74956D02}" name="PivotTable6" cacheId="10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4">
  <location ref="P4:Q7" firstHeaderRow="1" firstDataRow="1"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Row" compact="0" outline="0" showAll="0">
      <items count="5">
        <item m="1" x="3"/>
        <item m="1" x="2"/>
        <item x="0"/>
        <item x="1"/>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h="1"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3">
    <i>
      <x v="2"/>
    </i>
    <i>
      <x v="3"/>
    </i>
    <i t="grand">
      <x/>
    </i>
  </rowItems>
  <colItems count="1">
    <i/>
  </colItems>
  <pageFields count="1">
    <pageField fld="65" hier="-1"/>
  </pageFields>
  <dataFields count="1">
    <dataField name="Count of Unique ID" fld="1" subtotal="count" baseField="0" baseItem="0"/>
  </dataFields>
  <chartFormats count="21">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5" count="1" selected="0">
            <x v="0"/>
          </reference>
        </references>
      </pivotArea>
    </chartFormat>
    <chartFormat chart="21" format="1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8C6FE4A-9062-424F-86E3-96F7B52900A8}" name="PivotTable5" cacheId="10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9">
  <location ref="N4:O7" firstHeaderRow="1" firstDataRow="1"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Row" compact="0" outline="0" showAll="0">
      <items count="5">
        <item m="1" x="3"/>
        <item m="1" x="2"/>
        <item x="0"/>
        <item x="1"/>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3">
    <i>
      <x v="2"/>
    </i>
    <i>
      <x v="3"/>
    </i>
    <i t="grand">
      <x/>
    </i>
  </rowItems>
  <colItems count="1">
    <i/>
  </colItems>
  <pageFields count="1">
    <pageField fld="65" hier="-1"/>
  </pageFields>
  <dataFields count="1">
    <dataField name="Count of Unique ID" fld="1" subtotal="count" baseField="0" baseItem="0"/>
  </dataFields>
  <chartFormats count="27">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5" count="1" selected="0">
            <x v="0"/>
          </reference>
        </references>
      </pivotArea>
    </chartFormat>
    <chartFormat chart="24" format="7">
      <pivotArea type="data" outline="0" fieldPosition="0">
        <references count="2">
          <reference field="4294967294" count="1" selected="0">
            <x v="0"/>
          </reference>
          <reference field="5" count="1" selected="0">
            <x v="1"/>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5" count="1" selected="0">
            <x v="0"/>
          </reference>
        </references>
      </pivotArea>
    </chartFormat>
    <chartFormat chart="25" format="10">
      <pivotArea type="data" outline="0" fieldPosition="0">
        <references count="2">
          <reference field="4294967294" count="1" selected="0">
            <x v="0"/>
          </reference>
          <reference field="5" count="1" selected="0">
            <x v="1"/>
          </reference>
        </references>
      </pivotArea>
    </chartFormat>
    <chartFormat chart="26" format="14" series="1">
      <pivotArea type="data" outline="0" fieldPosition="0">
        <references count="1">
          <reference field="4294967294" count="1" selected="0">
            <x v="0"/>
          </reference>
        </references>
      </pivotArea>
    </chartFormat>
    <chartFormat chart="26" format="15">
      <pivotArea type="data" outline="0" fieldPosition="0">
        <references count="2">
          <reference field="4294967294" count="1" selected="0">
            <x v="0"/>
          </reference>
          <reference field="5" count="1" selected="0">
            <x v="0"/>
          </reference>
        </references>
      </pivotArea>
    </chartFormat>
    <chartFormat chart="26" format="1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4071726-19D3-45AD-A444-F7D54EC2F875}" name="PivotTable3" cacheId="10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29:K41"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5">
        <item m="1" x="3"/>
        <item m="1" x="2"/>
        <item x="0"/>
        <item x="1"/>
        <item t="default"/>
      </items>
    </pivotField>
    <pivotField compact="0" outline="0" multipleItemSelectionAllowed="1" showAll="0"/>
    <pivotField axis="axisRow" compact="0" outline="0" showAll="0">
      <items count="11">
        <item x="2"/>
        <item x="3"/>
        <item x="0"/>
        <item x="1"/>
        <item x="7"/>
        <item x="9"/>
        <item x="5"/>
        <item x="4"/>
        <item x="6"/>
        <item x="8"/>
        <item t="default"/>
      </items>
    </pivotField>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Fields count="1">
    <field x="5"/>
  </colFields>
  <colItems count="3">
    <i>
      <x v="2"/>
    </i>
    <i>
      <x v="3"/>
    </i>
    <i t="grand">
      <x/>
    </i>
  </colItems>
  <pageFields count="1">
    <pageField fld="65" hier="-1"/>
  </pageField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3EEA5D5-D6D2-4646-8E30-440385B8E6AB}" name="PivotTable4" cacheId="10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7">
  <location ref="A28:E42"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chartFormats count="18">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F5D2C79-269B-4D8C-B5C0-3D5E73FC5093}" name="PivotTable2" cacheId="6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A4:F16"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Page" compact="0" outline="0" showAll="0">
      <items count="4">
        <item x="1"/>
        <item x="0"/>
        <item x="2"/>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axis="axisRow" compact="0" outline="0" showAll="0" defaultSubtotal="0">
      <items count="12">
        <item x="9"/>
        <item x="2"/>
        <item x="7"/>
        <item x="1"/>
        <item x="0"/>
        <item x="6"/>
        <item x="5"/>
        <item m="1" x="11"/>
        <item x="3"/>
        <item x="8"/>
        <item x="4"/>
        <item m="1" x="10"/>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x="2"/>
        <item x="1"/>
        <item x="3"/>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1"/>
  </rowFields>
  <rowItems count="11">
    <i>
      <x/>
    </i>
    <i>
      <x v="1"/>
    </i>
    <i>
      <x v="2"/>
    </i>
    <i>
      <x v="3"/>
    </i>
    <i>
      <x v="4"/>
    </i>
    <i>
      <x v="5"/>
    </i>
    <i>
      <x v="6"/>
    </i>
    <i>
      <x v="8"/>
    </i>
    <i>
      <x v="9"/>
    </i>
    <i>
      <x v="10"/>
    </i>
    <i t="grand">
      <x/>
    </i>
  </rowItems>
  <colFields count="1">
    <field x="65"/>
  </colFields>
  <colItems count="5">
    <i>
      <x/>
    </i>
    <i>
      <x v="1"/>
    </i>
    <i>
      <x v="2"/>
    </i>
    <i>
      <x v="3"/>
    </i>
    <i t="grand">
      <x/>
    </i>
  </colItems>
  <pageFields count="1">
    <pageField fld="5" hier="-1"/>
  </pageFields>
  <dataFields count="1">
    <dataField name="Count of Unique ID" fld="1" subtotal="count" baseField="0" baseItem="0"/>
  </dataFields>
  <chartFormats count="7">
    <chartFormat chart="6" format="14" series="1">
      <pivotArea type="data" outline="0" fieldPosition="0">
        <references count="1">
          <reference field="65" count="1" selected="0">
            <x v="0"/>
          </reference>
        </references>
      </pivotArea>
    </chartFormat>
    <chartFormat chart="6" format="15" series="1">
      <pivotArea type="data" outline="0" fieldPosition="0">
        <references count="1">
          <reference field="65" count="1" selected="0">
            <x v="1"/>
          </reference>
        </references>
      </pivotArea>
    </chartFormat>
    <chartFormat chart="6" format="16" series="1">
      <pivotArea type="data" outline="0" fieldPosition="0">
        <references count="1">
          <reference field="65" count="1" selected="0">
            <x v="2"/>
          </reference>
        </references>
      </pivotArea>
    </chartFormat>
    <chartFormat chart="6" format="17" series="1">
      <pivotArea type="data" outline="0" fieldPosition="0">
        <references count="2">
          <reference field="4294967294" count="1" selected="0">
            <x v="0"/>
          </reference>
          <reference field="65" count="1" selected="0">
            <x v="0"/>
          </reference>
        </references>
      </pivotArea>
    </chartFormat>
    <chartFormat chart="6" format="18" series="1">
      <pivotArea type="data" outline="0" fieldPosition="0">
        <references count="2">
          <reference field="4294967294" count="1" selected="0">
            <x v="0"/>
          </reference>
          <reference field="65" count="1" selected="0">
            <x v="1"/>
          </reference>
        </references>
      </pivotArea>
    </chartFormat>
    <chartFormat chart="6" format="19" series="1">
      <pivotArea type="data" outline="0" fieldPosition="0">
        <references count="2">
          <reference field="4294967294" count="1" selected="0">
            <x v="0"/>
          </reference>
          <reference field="65" count="1" selected="0">
            <x v="2"/>
          </reference>
        </references>
      </pivotArea>
    </chartFormat>
    <chartFormat chart="6" format="20" series="1">
      <pivotArea type="data" outline="0" fieldPosition="0">
        <references count="2">
          <reference field="4294967294" count="1" selected="0">
            <x v="0"/>
          </reference>
          <reference field="6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51A525C-239A-4443-9F20-0B418D4E5101}" name="Terminations" cacheId="75" applyNumberFormats="0" applyBorderFormats="0" applyFontFormats="0" applyPatternFormats="0" applyAlignmentFormats="0" applyWidthHeightFormats="1" dataCaption="Values" updatedVersion="8" minRefreshableVersion="3" showDrill="0" useAutoFormatting="1" itemPrintTitles="1" createdVersion="6" indent="0" outline="1" outlineData="1" multipleFieldFilters="0">
  <location ref="A90:E94" firstHeaderRow="1" firstDataRow="2" firstDataCol="1"/>
  <pivotFields count="89">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5"/>
  </colFields>
  <colItems count="4">
    <i>
      <x/>
    </i>
    <i>
      <x v="3"/>
    </i>
    <i>
      <x v="4"/>
    </i>
    <i t="grand">
      <x/>
    </i>
  </colItems>
  <dataFields count="1">
    <dataField name="Count of S.No."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5BADCEA-6BF0-4F30-AED5-B1E1848D48C2}" name="PivotTable7" cacheId="10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3">
  <location ref="A64:D78"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5">
        <item m="1" x="3"/>
        <item m="1" x="2"/>
        <item x="0"/>
        <item x="1"/>
        <item t="default"/>
      </items>
    </pivotField>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5"/>
  </colFields>
  <colItems count="3">
    <i>
      <x v="2"/>
    </i>
    <i>
      <x v="3"/>
    </i>
    <i t="grand">
      <x/>
    </i>
  </colItems>
  <pageFields count="1">
    <pageField fld="65" hier="-1"/>
  </pageFields>
  <dataFields count="1">
    <dataField name="Count of Unique ID" fld="1" subtotal="count" baseField="0" baseItem="0"/>
  </dataFields>
  <conditionalFormats count="1">
    <conditionalFormat priority="5">
      <pivotAreas count="1">
        <pivotArea type="data" outline="0" collapsedLevelsAreSubtotals="1" fieldPosition="0">
          <references count="2">
            <reference field="4294967294" count="1" selected="0">
              <x v="0"/>
            </reference>
            <reference field="6" count="10" selected="0">
              <x v="0"/>
              <x v="1"/>
              <x v="2"/>
              <x v="3"/>
              <x v="4"/>
              <x v="5"/>
              <x v="6"/>
              <x v="7"/>
              <x v="8"/>
              <x v="9"/>
            </reference>
          </references>
        </pivotArea>
      </pivotAreas>
    </conditionalFormat>
  </conditionalFormats>
  <chartFormats count="8">
    <chartFormat chart="17" format="0" series="1">
      <pivotArea type="data" outline="0" fieldPosition="0">
        <references count="2">
          <reference field="4294967294" count="1" selected="0">
            <x v="0"/>
          </reference>
          <reference field="5" count="1" selected="0">
            <x v="0"/>
          </reference>
        </references>
      </pivotArea>
    </chartFormat>
    <chartFormat chart="17" format="1" series="1">
      <pivotArea type="data" outline="0" fieldPosition="0">
        <references count="2">
          <reference field="4294967294" count="1" selected="0">
            <x v="0"/>
          </reference>
          <reference field="5" count="1" selected="0">
            <x v="1"/>
          </reference>
        </references>
      </pivotArea>
    </chartFormat>
    <chartFormat chart="18" format="2" series="1">
      <pivotArea type="data" outline="0" fieldPosition="0">
        <references count="2">
          <reference field="4294967294" count="1" selected="0">
            <x v="0"/>
          </reference>
          <reference field="5" count="1" selected="0">
            <x v="0"/>
          </reference>
        </references>
      </pivotArea>
    </chartFormat>
    <chartFormat chart="18" format="3" series="1">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2">
          <reference field="4294967294" count="1" selected="0">
            <x v="0"/>
          </reference>
          <reference field="5" count="1" selected="0">
            <x v="0"/>
          </reference>
        </references>
      </pivotArea>
    </chartFormat>
    <chartFormat chart="19" format="5" series="1">
      <pivotArea type="data" outline="0" fieldPosition="0">
        <references count="2">
          <reference field="4294967294" count="1" selected="0">
            <x v="0"/>
          </reference>
          <reference field="5" count="1" selected="0">
            <x v="1"/>
          </reference>
        </references>
      </pivotArea>
    </chartFormat>
    <chartFormat chart="19" format="6" series="1">
      <pivotArea type="data" outline="0" fieldPosition="0">
        <references count="2">
          <reference field="4294967294" count="1" selected="0">
            <x v="0"/>
          </reference>
          <reference field="5" count="1" selected="0">
            <x v="2"/>
          </reference>
        </references>
      </pivotArea>
    </chartFormat>
    <chartFormat chart="19" format="7" series="1">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7E332F2-CB15-431C-8DF3-7A4E4B365707}" name="PivotTable1" cacheId="10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4:L19"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Page" compact="0" outline="0" showAll="0">
      <items count="5">
        <item m="1" x="3"/>
        <item m="1" x="2"/>
        <item x="0"/>
        <item x="1"/>
        <item t="default"/>
      </items>
    </pivotField>
    <pivotField compact="0" outline="0" multipleItemSelectionAllowed="1" showAll="0"/>
    <pivotField compact="0" outline="0" showAll="0"/>
    <pivotField axis="axisRow" compact="0" outline="0" showAll="0" defaultSubtotal="0">
      <items count="17">
        <item x="8"/>
        <item x="11"/>
        <item x="4"/>
        <item x="10"/>
        <item x="2"/>
        <item x="5"/>
        <item x="9"/>
        <item x="0"/>
        <item m="1" x="15"/>
        <item x="7"/>
        <item x="1"/>
        <item x="6"/>
        <item x="12"/>
        <item m="1" x="16"/>
        <item x="3"/>
        <item m="1" x="14"/>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4">
    <i>
      <x/>
    </i>
    <i>
      <x v="1"/>
    </i>
    <i>
      <x v="2"/>
    </i>
    <i>
      <x v="3"/>
    </i>
    <i>
      <x v="4"/>
    </i>
    <i>
      <x v="5"/>
    </i>
    <i>
      <x v="6"/>
    </i>
    <i>
      <x v="7"/>
    </i>
    <i>
      <x v="9"/>
    </i>
    <i>
      <x v="10"/>
    </i>
    <i>
      <x v="11"/>
    </i>
    <i>
      <x v="12"/>
    </i>
    <i>
      <x v="14"/>
    </i>
    <i t="grand">
      <x/>
    </i>
  </rowItems>
  <colFields count="1">
    <field x="65"/>
  </colFields>
  <colItems count="4">
    <i>
      <x/>
    </i>
    <i>
      <x v="1"/>
    </i>
    <i>
      <x v="2"/>
    </i>
    <i t="grand">
      <x/>
    </i>
  </colItems>
  <pageFields count="1">
    <pageField fld="5" hier="-1"/>
  </pageFields>
  <dataFields count="1">
    <dataField name="Count of Unique ID" fld="1" subtotal="count" baseField="0" baseItem="0"/>
  </dataFields>
  <conditionalFormats count="3">
    <conditionalFormat priority="1">
      <pivotAreas count="1">
        <pivotArea type="data" outline="0" collapsedLevelsAreSubtotals="1" fieldPosition="0">
          <references count="2">
            <reference field="4294967294" count="1" selected="0">
              <x v="0"/>
            </reference>
            <reference field="8" count="2" selected="0">
              <x v="12"/>
              <x v="14"/>
            </reference>
          </references>
        </pivotArea>
      </pivotAreas>
    </conditionalFormat>
    <conditionalFormat priority="7">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 priority="3">
      <pivotAreas count="1">
        <pivotArea type="data" outline="0" collapsedLevelsAreSubtotals="1" fieldPosition="0">
          <references count="3">
            <reference field="4294967294" count="1" selected="0">
              <x v="0"/>
            </reference>
            <reference field="8" count="12" selected="0">
              <x v="0"/>
              <x v="1"/>
              <x v="2"/>
              <x v="3"/>
              <x v="4"/>
              <x v="5"/>
              <x v="6"/>
              <x v="7"/>
              <x v="8"/>
              <x v="9"/>
              <x v="10"/>
              <x v="11"/>
            </reference>
            <reference field="65" count="3" selected="0">
              <x v="0"/>
              <x v="1"/>
              <x v="2"/>
            </reference>
          </references>
        </pivotArea>
      </pivotAreas>
    </conditionalFormat>
  </conditionalFormats>
  <chartFormats count="15">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5" count="1" selected="0">
            <x v="0"/>
          </reference>
        </references>
      </pivotArea>
    </chartFormat>
    <chartFormat chart="2" format="7" series="1">
      <pivotArea type="data" outline="0" fieldPosition="0">
        <references count="2">
          <reference field="4294967294" count="1" selected="0">
            <x v="0"/>
          </reference>
          <reference field="65" count="1" selected="0">
            <x v="1"/>
          </reference>
        </references>
      </pivotArea>
    </chartFormat>
    <chartFormat chart="1" format="4" series="1">
      <pivotArea type="data" outline="0" fieldPosition="0">
        <references count="2">
          <reference field="4294967294" count="1" selected="0">
            <x v="0"/>
          </reference>
          <reference field="65" count="1" selected="0">
            <x v="0"/>
          </reference>
        </references>
      </pivotArea>
    </chartFormat>
    <chartFormat chart="1" format="5" series="1">
      <pivotArea type="data" outline="0" fieldPosition="0">
        <references count="2">
          <reference field="4294967294" count="1" selected="0">
            <x v="0"/>
          </reference>
          <reference field="65" count="1" selected="0">
            <x v="1"/>
          </reference>
        </references>
      </pivotArea>
    </chartFormat>
    <chartFormat chart="0" format="2" series="1">
      <pivotArea type="data" outline="0" fieldPosition="0">
        <references count="2">
          <reference field="4294967294" count="1" selected="0">
            <x v="0"/>
          </reference>
          <reference field="65" count="1" selected="0">
            <x v="0"/>
          </reference>
        </references>
      </pivotArea>
    </chartFormat>
    <chartFormat chart="0" format="3" series="1">
      <pivotArea type="data" outline="0" fieldPosition="0">
        <references count="2">
          <reference field="4294967294" count="1" selected="0">
            <x v="0"/>
          </reference>
          <reference field="65" count="1" selected="0">
            <x v="1"/>
          </reference>
        </references>
      </pivotArea>
    </chartFormat>
    <chartFormat chart="3" format="8" series="1">
      <pivotArea type="data" outline="0" fieldPosition="0">
        <references count="2">
          <reference field="4294967294" count="1" selected="0">
            <x v="0"/>
          </reference>
          <reference field="65" count="1" selected="0">
            <x v="0"/>
          </reference>
        </references>
      </pivotArea>
    </chartFormat>
    <chartFormat chart="3" format="9" series="1">
      <pivotArea type="data" outline="0" fieldPosition="0">
        <references count="2">
          <reference field="4294967294" count="1" selected="0">
            <x v="0"/>
          </reference>
          <reference field="65" count="1" selected="0">
            <x v="1"/>
          </reference>
        </references>
      </pivotArea>
    </chartFormat>
    <chartFormat chart="3" format="10"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DC1B9F7-596A-455C-817E-BBD810D2B9BE}" name="PivotTable13" cacheId="10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66:L80"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chartFormats count="9">
    <chartFormat chart="0" format="0" series="1">
      <pivotArea type="data" outline="0" fieldPosition="0">
        <references count="2">
          <reference field="4294967294" count="1" selected="0">
            <x v="0"/>
          </reference>
          <reference field="65" count="1" selected="0">
            <x v="0"/>
          </reference>
        </references>
      </pivotArea>
    </chartFormat>
    <chartFormat chart="0" format="1" series="1">
      <pivotArea type="data" outline="0" fieldPosition="0">
        <references count="2">
          <reference field="4294967294" count="1" selected="0">
            <x v="0"/>
          </reference>
          <reference field="65" count="1" selected="0">
            <x v="1"/>
          </reference>
        </references>
      </pivotArea>
    </chartFormat>
    <chartFormat chart="3" format="4" series="1">
      <pivotArea type="data" outline="0" fieldPosition="0">
        <references count="2">
          <reference field="4294967294" count="1" selected="0">
            <x v="0"/>
          </reference>
          <reference field="65" count="1" selected="0">
            <x v="0"/>
          </reference>
        </references>
      </pivotArea>
    </chartFormat>
    <chartFormat chart="3" format="5" series="1">
      <pivotArea type="data" outline="0" fieldPosition="0">
        <references count="2">
          <reference field="4294967294" count="1" selected="0">
            <x v="0"/>
          </reference>
          <reference field="65" count="1" selected="0">
            <x v="1"/>
          </reference>
        </references>
      </pivotArea>
    </chartFormat>
    <chartFormat chart="4" format="6" series="1">
      <pivotArea type="data" outline="0" fieldPosition="0">
        <references count="2">
          <reference field="4294967294" count="1" selected="0">
            <x v="0"/>
          </reference>
          <reference field="65" count="1" selected="0">
            <x v="0"/>
          </reference>
        </references>
      </pivotArea>
    </chartFormat>
    <chartFormat chart="4" format="7" series="1">
      <pivotArea type="data" outline="0" fieldPosition="0">
        <references count="2">
          <reference field="4294967294" count="1" selected="0">
            <x v="0"/>
          </reference>
          <reference field="65" count="1" selected="0">
            <x v="1"/>
          </reference>
        </references>
      </pivotArea>
    </chartFormat>
    <chartFormat chart="6" format="10" series="1">
      <pivotArea type="data" outline="0" fieldPosition="0">
        <references count="2">
          <reference field="4294967294" count="1" selected="0">
            <x v="0"/>
          </reference>
          <reference field="65" count="1" selected="0">
            <x v="0"/>
          </reference>
        </references>
      </pivotArea>
    </chartFormat>
    <chartFormat chart="6" format="11" series="1">
      <pivotArea type="data" outline="0" fieldPosition="0">
        <references count="2">
          <reference field="4294967294" count="1" selected="0">
            <x v="0"/>
          </reference>
          <reference field="65" count="1" selected="0">
            <x v="1"/>
          </reference>
        </references>
      </pivotArea>
    </chartFormat>
    <chartFormat chart="6" format="12"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E736162-8216-4474-9285-61CE69C42524}" name="PivotTable8" cacheId="10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9">
  <location ref="E26:H41" firstHeaderRow="1" firstDataRow="2" firstDataCol="1" rowPageCount="1" colPageCount="1"/>
  <pivotFields count="89">
    <pivotField dataField="1" compact="0" outline="0" showAll="0"/>
    <pivotField compact="0" outline="0" showAll="0"/>
    <pivotField compact="0" outline="0" showAll="0"/>
    <pivotField compact="0" outline="0" showAll="0"/>
    <pivotField compact="0" outline="0" showAll="0"/>
    <pivotField axis="axisCol" compact="0" outline="0" showAll="0">
      <items count="5">
        <item m="1" x="3"/>
        <item m="1" x="2"/>
        <item x="0"/>
        <item x="1"/>
        <item t="default"/>
      </items>
    </pivotField>
    <pivotField compact="0" outline="0" multipleItemSelectionAllowed="1" showAll="0"/>
    <pivotField compact="0" outline="0" showAll="0"/>
    <pivotField axis="axisRow" compact="0" outline="0" showAll="0" defaultSubtotal="0">
      <items count="17">
        <item x="8"/>
        <item x="11"/>
        <item x="4"/>
        <item x="10"/>
        <item x="2"/>
        <item x="5"/>
        <item x="9"/>
        <item x="0"/>
        <item m="1" x="15"/>
        <item x="7"/>
        <item x="1"/>
        <item x="6"/>
        <item x="12"/>
        <item x="3"/>
        <item m="1" x="13"/>
        <item m="1" x="14"/>
        <item m="1" x="16"/>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4">
    <i>
      <x/>
    </i>
    <i>
      <x v="1"/>
    </i>
    <i>
      <x v="2"/>
    </i>
    <i>
      <x v="3"/>
    </i>
    <i>
      <x v="4"/>
    </i>
    <i>
      <x v="5"/>
    </i>
    <i>
      <x v="6"/>
    </i>
    <i>
      <x v="7"/>
    </i>
    <i>
      <x v="9"/>
    </i>
    <i>
      <x v="10"/>
    </i>
    <i>
      <x v="11"/>
    </i>
    <i>
      <x v="12"/>
    </i>
    <i>
      <x v="13"/>
    </i>
    <i t="grand">
      <x/>
    </i>
  </rowItems>
  <colFields count="1">
    <field x="5"/>
  </colFields>
  <colItems count="3">
    <i>
      <x v="2"/>
    </i>
    <i>
      <x v="3"/>
    </i>
    <i t="grand">
      <x/>
    </i>
  </colItems>
  <pageFields count="1">
    <pageField fld="65" hier="-1"/>
  </pageFields>
  <dataFields count="1">
    <dataField name="Count of S.No." fld="0" subtotal="count" baseField="8" baseItem="0"/>
  </dataFields>
  <chartFormats count="10">
    <chartFormat chart="14" format="0" series="1">
      <pivotArea type="data" outline="0" fieldPosition="0">
        <references count="2">
          <reference field="4294967294" count="1" selected="0">
            <x v="0"/>
          </reference>
          <reference field="5" count="1" selected="0">
            <x v="0"/>
          </reference>
        </references>
      </pivotArea>
    </chartFormat>
    <chartFormat chart="14" format="1" series="1">
      <pivotArea type="data" outline="0" fieldPosition="0">
        <references count="2">
          <reference field="4294967294" count="1" selected="0">
            <x v="0"/>
          </reference>
          <reference field="5" count="1" selected="0">
            <x v="1"/>
          </reference>
        </references>
      </pivotArea>
    </chartFormat>
    <chartFormat chart="16" format="2" series="1">
      <pivotArea type="data" outline="0" fieldPosition="0">
        <references count="2">
          <reference field="4294967294" count="1" selected="0">
            <x v="0"/>
          </reference>
          <reference field="5" count="1" selected="0">
            <x v="0"/>
          </reference>
        </references>
      </pivotArea>
    </chartFormat>
    <chartFormat chart="16" format="3" series="1">
      <pivotArea type="data" outline="0" fieldPosition="0">
        <references count="2">
          <reference field="4294967294" count="1" selected="0">
            <x v="0"/>
          </reference>
          <reference field="5" count="1" selected="0">
            <x v="1"/>
          </reference>
        </references>
      </pivotArea>
    </chartFormat>
    <chartFormat chart="17" format="4" series="1">
      <pivotArea type="data" outline="0" fieldPosition="0">
        <references count="2">
          <reference field="4294967294" count="1" selected="0">
            <x v="0"/>
          </reference>
          <reference field="5" count="1" selected="0">
            <x v="0"/>
          </reference>
        </references>
      </pivotArea>
    </chartFormat>
    <chartFormat chart="17" format="5" series="1">
      <pivotArea type="data" outline="0" fieldPosition="0">
        <references count="2">
          <reference field="4294967294" count="1" selected="0">
            <x v="0"/>
          </reference>
          <reference field="5" count="1" selected="0">
            <x v="1"/>
          </reference>
        </references>
      </pivotArea>
    </chartFormat>
    <chartFormat chart="18" format="2" series="1">
      <pivotArea type="data" outline="0" fieldPosition="0">
        <references count="2">
          <reference field="4294967294" count="1" selected="0">
            <x v="0"/>
          </reference>
          <reference field="5" count="1" selected="0">
            <x v="0"/>
          </reference>
        </references>
      </pivotArea>
    </chartFormat>
    <chartFormat chart="18" format="3" series="1">
      <pivotArea type="data" outline="0" fieldPosition="0">
        <references count="2">
          <reference field="4294967294" count="1" selected="0">
            <x v="0"/>
          </reference>
          <reference field="5" count="1" selected="0">
            <x v="1"/>
          </reference>
        </references>
      </pivotArea>
    </chartFormat>
    <chartFormat chart="14" format="2" series="1">
      <pivotArea type="data" outline="0" fieldPosition="0">
        <references count="2">
          <reference field="4294967294" count="1" selected="0">
            <x v="0"/>
          </reference>
          <reference field="5" count="1" selected="0">
            <x v="2"/>
          </reference>
        </references>
      </pivotArea>
    </chartFormat>
    <chartFormat chart="14" format="3" series="1">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CE9C960-5391-4ADD-8B8B-A9EC1CA9DCFE}" name="PivotTable7" cacheId="9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6">
  <location ref="E4:H12" firstHeaderRow="1" firstDataRow="3" firstDataCol="1" rowPageCount="1" colPageCount="1"/>
  <pivotFields count="92">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sortType="ascending" defaultSubtotal="0">
      <items count="15">
        <item x="8"/>
        <item x="11"/>
        <item x="4"/>
        <item x="10"/>
        <item x="2"/>
        <item x="5"/>
        <item x="12"/>
        <item x="9"/>
        <item x="0"/>
        <item m="1" x="13"/>
        <item x="3"/>
        <item x="7"/>
        <item x="1"/>
        <item x="6"/>
        <item m="1" x="14"/>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69">
        <item h="1" x="17"/>
        <item h="1" x="18"/>
        <item h="1" x="13"/>
        <item h="1" x="10"/>
        <item h="1" x="2"/>
        <item h="1" x="15"/>
        <item h="1" x="26"/>
        <item h="1" x="40"/>
        <item h="1" x="33"/>
        <item h="1" x="23"/>
        <item h="1" x="16"/>
        <item h="1" x="7"/>
        <item h="1" x="3"/>
        <item h="1" x="36"/>
        <item h="1" x="11"/>
        <item h="1" x="4"/>
        <item h="1" x="42"/>
        <item h="1" x="8"/>
        <item h="1" x="38"/>
        <item h="1" x="6"/>
        <item h="1" x="35"/>
        <item h="1" x="21"/>
        <item h="1" x="22"/>
        <item h="1" x="0"/>
        <item h="1" x="46"/>
        <item h="1" x="41"/>
        <item h="1" x="37"/>
        <item h="1" x="30"/>
        <item h="1" x="9"/>
        <item h="1" x="32"/>
        <item h="1" x="1"/>
        <item h="1" x="28"/>
        <item h="1" x="31"/>
        <item h="1" x="5"/>
        <item h="1" x="44"/>
        <item h="1" x="27"/>
        <item h="1" x="59"/>
        <item h="1" x="54"/>
        <item h="1" x="67"/>
        <item h="1" x="97"/>
        <item h="1" x="14"/>
        <item h="1" x="34"/>
        <item h="1" x="77"/>
        <item h="1" x="86"/>
        <item h="1" x="55"/>
        <item h="1" x="62"/>
        <item h="1" x="63"/>
        <item h="1" x="57"/>
        <item h="1" x="24"/>
        <item h="1" x="71"/>
        <item h="1" x="43"/>
        <item h="1" x="90"/>
        <item h="1" x="88"/>
        <item h="1" x="66"/>
        <item h="1" x="60"/>
        <item h="1" x="65"/>
        <item h="1" x="72"/>
        <item h="1" x="91"/>
        <item h="1" x="12"/>
        <item h="1" x="83"/>
        <item h="1" x="76"/>
        <item h="1" x="111"/>
        <item h="1" x="25"/>
        <item h="1" x="98"/>
        <item h="1" x="45"/>
        <item h="1" x="94"/>
        <item h="1" x="29"/>
        <item h="1" x="56"/>
        <item h="1" x="70"/>
        <item h="1" x="78"/>
        <item h="1" x="92"/>
        <item h="1" x="95"/>
        <item h="1" x="81"/>
        <item h="1" x="64"/>
        <item h="1" x="73"/>
        <item h="1" x="75"/>
        <item h="1" x="108"/>
        <item h="1" x="47"/>
        <item h="1" x="85"/>
        <item h="1" x="100"/>
        <item h="1" x="58"/>
        <item h="1" x="68"/>
        <item h="1" x="103"/>
        <item h="1" x="116"/>
        <item h="1" x="48"/>
        <item h="1" x="120"/>
        <item h="1" x="119"/>
        <item h="1" x="74"/>
        <item h="1" x="131"/>
        <item h="1" x="49"/>
        <item h="1" x="106"/>
        <item h="1" x="93"/>
        <item h="1" x="110"/>
        <item h="1" x="80"/>
        <item h="1" x="105"/>
        <item h="1" x="114"/>
        <item h="1" x="53"/>
        <item h="1" x="122"/>
        <item h="1" x="69"/>
        <item h="1" x="52"/>
        <item h="1" x="118"/>
        <item h="1" x="39"/>
        <item h="1" x="87"/>
        <item h="1" x="128"/>
        <item h="1" x="50"/>
        <item h="1" x="127"/>
        <item h="1" x="124"/>
        <item h="1" x="96"/>
        <item h="1" x="132"/>
        <item h="1" x="61"/>
        <item h="1" x="117"/>
        <item h="1" x="129"/>
        <item h="1" x="121"/>
        <item h="1" x="130"/>
        <item h="1" x="109"/>
        <item h="1" x="148"/>
        <item h="1" x="79"/>
        <item h="1" x="112"/>
        <item h="1" x="126"/>
        <item h="1" x="99"/>
        <item h="1" x="145"/>
        <item h="1" x="141"/>
        <item h="1" x="20"/>
        <item h="1" x="155"/>
        <item h="1" x="51"/>
        <item h="1" x="113"/>
        <item h="1" x="137"/>
        <item h="1" x="161"/>
        <item h="1" x="144"/>
        <item h="1" x="142"/>
        <item h="1" x="139"/>
        <item h="1" x="157"/>
        <item h="1" x="133"/>
        <item h="1" x="107"/>
        <item h="1" x="159"/>
        <item h="1" x="147"/>
        <item h="1" x="104"/>
        <item h="1" x="149"/>
        <item h="1" x="136"/>
        <item h="1" x="125"/>
        <item h="1" x="146"/>
        <item h="1" x="101"/>
        <item h="1" x="143"/>
        <item h="1" x="134"/>
        <item h="1" x="150"/>
        <item h="1" x="162"/>
        <item h="1" x="163"/>
        <item h="1" x="84"/>
        <item h="1" x="115"/>
        <item h="1" x="166"/>
        <item h="1" x="89"/>
        <item h="1" x="165"/>
        <item x="135"/>
        <item x="140"/>
        <item x="153"/>
        <item x="156"/>
        <item x="123"/>
        <item x="102"/>
        <item h="1" x="19"/>
        <item h="1" x="82"/>
        <item h="1" x="151"/>
        <item h="1" x="138"/>
        <item h="1" x="164"/>
        <item h="1" x="167"/>
        <item h="1" x="160"/>
        <item h="1" x="152"/>
        <item h="1" x="154"/>
        <item h="1" x="158"/>
        <item t="default"/>
      </items>
    </pivotField>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6">
    <i>
      <x v="4"/>
    </i>
    <i>
      <x v="5"/>
    </i>
    <i>
      <x v="8"/>
    </i>
    <i>
      <x v="11"/>
    </i>
    <i>
      <x v="13"/>
    </i>
    <i t="grand">
      <x/>
    </i>
  </rowItems>
  <colFields count="2">
    <field x="5"/>
    <field x="65"/>
  </colFields>
  <colItems count="3">
    <i>
      <x/>
      <x/>
    </i>
    <i t="default">
      <x/>
    </i>
    <i t="grand">
      <x/>
    </i>
  </colItems>
  <pageFields count="1">
    <pageField fld="64" hier="-1"/>
  </pageFields>
  <dataFields count="1">
    <dataField name="Count of Unique ID" fld="1" subtotal="count" baseField="0" baseItem="0"/>
  </dataFields>
  <chartFormats count="4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5" count="1" selected="0">
            <x v="0"/>
          </reference>
        </references>
      </pivotArea>
    </chartFormat>
    <chartFormat chart="2" format="7" series="1">
      <pivotArea type="data" outline="0" fieldPosition="0">
        <references count="2">
          <reference field="4294967294" count="1" selected="0">
            <x v="0"/>
          </reference>
          <reference field="65" count="1" selected="0">
            <x v="2"/>
          </reference>
        </references>
      </pivotArea>
    </chartFormat>
    <chartFormat chart="1" format="4" series="1">
      <pivotArea type="data" outline="0" fieldPosition="0">
        <references count="2">
          <reference field="4294967294" count="1" selected="0">
            <x v="0"/>
          </reference>
          <reference field="65" count="1" selected="0">
            <x v="0"/>
          </reference>
        </references>
      </pivotArea>
    </chartFormat>
    <chartFormat chart="1" format="5" series="1">
      <pivotArea type="data" outline="0" fieldPosition="0">
        <references count="2">
          <reference field="4294967294" count="1" selected="0">
            <x v="0"/>
          </reference>
          <reference field="65" count="1" selected="0">
            <x v="2"/>
          </reference>
        </references>
      </pivotArea>
    </chartFormat>
    <chartFormat chart="0" format="2" series="1">
      <pivotArea type="data" outline="0" fieldPosition="0">
        <references count="2">
          <reference field="4294967294" count="1" selected="0">
            <x v="0"/>
          </reference>
          <reference field="65" count="1" selected="0">
            <x v="0"/>
          </reference>
        </references>
      </pivotArea>
    </chartFormat>
    <chartFormat chart="0" format="3" series="1">
      <pivotArea type="data" outline="0" fieldPosition="0">
        <references count="2">
          <reference field="4294967294" count="1" selected="0">
            <x v="0"/>
          </reference>
          <reference field="65" count="1" selected="0">
            <x v="2"/>
          </reference>
        </references>
      </pivotArea>
    </chartFormat>
    <chartFormat chart="3" format="8" series="1">
      <pivotArea type="data" outline="0" fieldPosition="0">
        <references count="2">
          <reference field="4294967294" count="1" selected="0">
            <x v="0"/>
          </reference>
          <reference field="65" count="1" selected="0">
            <x v="0"/>
          </reference>
        </references>
      </pivotArea>
    </chartFormat>
    <chartFormat chart="3" format="9" series="1">
      <pivotArea type="data" outline="0" fieldPosition="0">
        <references count="2">
          <reference field="4294967294" count="1" selected="0">
            <x v="0"/>
          </reference>
          <reference field="65" count="1" selected="0">
            <x v="2"/>
          </reference>
        </references>
      </pivotArea>
    </chartFormat>
    <chartFormat chart="3" format="10" series="1">
      <pivotArea type="data" outline="0" fieldPosition="0">
        <references count="2">
          <reference field="4294967294" count="1" selected="0">
            <x v="0"/>
          </reference>
          <reference field="65" count="1" selected="0">
            <x v="3"/>
          </reference>
        </references>
      </pivotArea>
    </chartFormat>
    <chartFormat chart="14" format="0" series="1">
      <pivotArea type="data" outline="0" fieldPosition="0">
        <references count="2">
          <reference field="4294967294" count="1" selected="0">
            <x v="0"/>
          </reference>
          <reference field="65" count="1" selected="0">
            <x v="0"/>
          </reference>
        </references>
      </pivotArea>
    </chartFormat>
    <chartFormat chart="14" format="1" series="1">
      <pivotArea type="data" outline="0" fieldPosition="0">
        <references count="2">
          <reference field="4294967294" count="1" selected="0">
            <x v="0"/>
          </reference>
          <reference field="65" count="1" selected="0">
            <x v="2"/>
          </reference>
        </references>
      </pivotArea>
    </chartFormat>
    <chartFormat chart="14" format="2" series="1">
      <pivotArea type="data" outline="0" fieldPosition="0">
        <references count="2">
          <reference field="4294967294" count="1" selected="0">
            <x v="0"/>
          </reference>
          <reference field="65" count="1" selected="0">
            <x v="3"/>
          </reference>
        </references>
      </pivotArea>
    </chartFormat>
    <chartFormat chart="17" format="3" series="1">
      <pivotArea type="data" outline="0" fieldPosition="0">
        <references count="2">
          <reference field="4294967294" count="1" selected="0">
            <x v="0"/>
          </reference>
          <reference field="65" count="1" selected="0">
            <x v="0"/>
          </reference>
        </references>
      </pivotArea>
    </chartFormat>
    <chartFormat chart="17" format="4" series="1">
      <pivotArea type="data" outline="0" fieldPosition="0">
        <references count="2">
          <reference field="4294967294" count="1" selected="0">
            <x v="0"/>
          </reference>
          <reference field="65" count="1" selected="0">
            <x v="2"/>
          </reference>
        </references>
      </pivotArea>
    </chartFormat>
    <chartFormat chart="17" format="5" series="1">
      <pivotArea type="data" outline="0" fieldPosition="0">
        <references count="2">
          <reference field="4294967294" count="1" selected="0">
            <x v="0"/>
          </reference>
          <reference field="65" count="1" selected="0">
            <x v="3"/>
          </reference>
        </references>
      </pivotArea>
    </chartFormat>
    <chartFormat chart="18" format="6" series="1">
      <pivotArea type="data" outline="0" fieldPosition="0">
        <references count="2">
          <reference field="4294967294" count="1" selected="0">
            <x v="0"/>
          </reference>
          <reference field="65" count="1" selected="0">
            <x v="0"/>
          </reference>
        </references>
      </pivotArea>
    </chartFormat>
    <chartFormat chart="18" format="7" series="1">
      <pivotArea type="data" outline="0" fieldPosition="0">
        <references count="2">
          <reference field="4294967294" count="1" selected="0">
            <x v="0"/>
          </reference>
          <reference field="65" count="1" selected="0">
            <x v="2"/>
          </reference>
        </references>
      </pivotArea>
    </chartFormat>
    <chartFormat chart="18" format="8" series="1">
      <pivotArea type="data" outline="0" fieldPosition="0">
        <references count="2">
          <reference field="4294967294" count="1" selected="0">
            <x v="0"/>
          </reference>
          <reference field="65" count="1" selected="0">
            <x v="3"/>
          </reference>
        </references>
      </pivotArea>
    </chartFormat>
    <chartFormat chart="19" format="3" series="1">
      <pivotArea type="data" outline="0" fieldPosition="0">
        <references count="2">
          <reference field="4294967294" count="1" selected="0">
            <x v="0"/>
          </reference>
          <reference field="65" count="1" selected="0">
            <x v="0"/>
          </reference>
        </references>
      </pivotArea>
    </chartFormat>
    <chartFormat chart="19" format="4" series="1">
      <pivotArea type="data" outline="0" fieldPosition="0">
        <references count="2">
          <reference field="4294967294" count="1" selected="0">
            <x v="0"/>
          </reference>
          <reference field="65" count="1" selected="0">
            <x v="2"/>
          </reference>
        </references>
      </pivotArea>
    </chartFormat>
    <chartFormat chart="19" format="5" series="1">
      <pivotArea type="data" outline="0" fieldPosition="0">
        <references count="2">
          <reference field="4294967294" count="1" selected="0">
            <x v="0"/>
          </reference>
          <reference field="65" count="1" selected="0">
            <x v="3"/>
          </reference>
        </references>
      </pivotArea>
    </chartFormat>
    <chartFormat chart="20" format="6" series="1">
      <pivotArea type="data" outline="0" fieldPosition="0">
        <references count="2">
          <reference field="4294967294" count="1" selected="0">
            <x v="0"/>
          </reference>
          <reference field="65" count="1" selected="0">
            <x v="0"/>
          </reference>
        </references>
      </pivotArea>
    </chartFormat>
    <chartFormat chart="20" format="7" series="1">
      <pivotArea type="data" outline="0" fieldPosition="0">
        <references count="2">
          <reference field="4294967294" count="1" selected="0">
            <x v="0"/>
          </reference>
          <reference field="65" count="1" selected="0">
            <x v="2"/>
          </reference>
        </references>
      </pivotArea>
    </chartFormat>
    <chartFormat chart="20" format="8" series="1">
      <pivotArea type="data" outline="0" fieldPosition="0">
        <references count="2">
          <reference field="4294967294" count="1" selected="0">
            <x v="0"/>
          </reference>
          <reference field="65" count="1" selected="0">
            <x v="3"/>
          </reference>
        </references>
      </pivotArea>
    </chartFormat>
    <chartFormat chart="21" format="9" series="1">
      <pivotArea type="data" outline="0" fieldPosition="0">
        <references count="2">
          <reference field="4294967294" count="1" selected="0">
            <x v="0"/>
          </reference>
          <reference field="65" count="1" selected="0">
            <x v="0"/>
          </reference>
        </references>
      </pivotArea>
    </chartFormat>
    <chartFormat chart="21" format="10" series="1">
      <pivotArea type="data" outline="0" fieldPosition="0">
        <references count="2">
          <reference field="4294967294" count="1" selected="0">
            <x v="0"/>
          </reference>
          <reference field="65" count="1" selected="0">
            <x v="2"/>
          </reference>
        </references>
      </pivotArea>
    </chartFormat>
    <chartFormat chart="21" format="11" series="1">
      <pivotArea type="data" outline="0" fieldPosition="0">
        <references count="2">
          <reference field="4294967294" count="1" selected="0">
            <x v="0"/>
          </reference>
          <reference field="65" count="1" selected="0">
            <x v="3"/>
          </reference>
        </references>
      </pivotArea>
    </chartFormat>
    <chartFormat chart="22" format="12" series="1">
      <pivotArea type="data" outline="0" fieldPosition="0">
        <references count="2">
          <reference field="4294967294" count="1" selected="0">
            <x v="0"/>
          </reference>
          <reference field="65" count="1" selected="0">
            <x v="0"/>
          </reference>
        </references>
      </pivotArea>
    </chartFormat>
    <chartFormat chart="22" format="13" series="1">
      <pivotArea type="data" outline="0" fieldPosition="0">
        <references count="2">
          <reference field="4294967294" count="1" selected="0">
            <x v="0"/>
          </reference>
          <reference field="65" count="1" selected="0">
            <x v="2"/>
          </reference>
        </references>
      </pivotArea>
    </chartFormat>
    <chartFormat chart="22" format="14" series="1">
      <pivotArea type="data" outline="0" fieldPosition="0">
        <references count="2">
          <reference field="4294967294" count="1" selected="0">
            <x v="0"/>
          </reference>
          <reference field="65" count="1" selected="0">
            <x v="3"/>
          </reference>
        </references>
      </pivotArea>
    </chartFormat>
    <chartFormat chart="23" format="15" series="1">
      <pivotArea type="data" outline="0" fieldPosition="0">
        <references count="2">
          <reference field="4294967294" count="1" selected="0">
            <x v="0"/>
          </reference>
          <reference field="65" count="1" selected="0">
            <x v="0"/>
          </reference>
        </references>
      </pivotArea>
    </chartFormat>
    <chartFormat chart="23" format="16" series="1">
      <pivotArea type="data" outline="0" fieldPosition="0">
        <references count="2">
          <reference field="4294967294" count="1" selected="0">
            <x v="0"/>
          </reference>
          <reference field="65" count="1" selected="0">
            <x v="2"/>
          </reference>
        </references>
      </pivotArea>
    </chartFormat>
    <chartFormat chart="23" format="17" series="1">
      <pivotArea type="data" outline="0" fieldPosition="0">
        <references count="2">
          <reference field="4294967294" count="1" selected="0">
            <x v="0"/>
          </reference>
          <reference field="65" count="1" selected="0">
            <x v="3"/>
          </reference>
        </references>
      </pivotArea>
    </chartFormat>
    <chartFormat chart="24" format="18" series="1">
      <pivotArea type="data" outline="0" fieldPosition="0">
        <references count="2">
          <reference field="4294967294" count="1" selected="0">
            <x v="0"/>
          </reference>
          <reference field="65" count="1" selected="0">
            <x v="0"/>
          </reference>
        </references>
      </pivotArea>
    </chartFormat>
    <chartFormat chart="24" format="19" series="1">
      <pivotArea type="data" outline="0" fieldPosition="0">
        <references count="2">
          <reference field="4294967294" count="1" selected="0">
            <x v="0"/>
          </reference>
          <reference field="65" count="1" selected="0">
            <x v="2"/>
          </reference>
        </references>
      </pivotArea>
    </chartFormat>
    <chartFormat chart="24" format="20" series="1">
      <pivotArea type="data" outline="0" fieldPosition="0">
        <references count="2">
          <reference field="4294967294" count="1" selected="0">
            <x v="0"/>
          </reference>
          <reference field="65" count="1" selected="0">
            <x v="3"/>
          </reference>
        </references>
      </pivotArea>
    </chartFormat>
    <chartFormat chart="14" format="3"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0FCCF8B-1E95-4BDF-91E7-CA4EAF70B981}" name="PivotTable9" cacheId="9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E48:H63" firstHeaderRow="1" firstDataRow="2" firstDataCol="1" rowPageCount="1" colPageCount="1"/>
  <pivotFields count="92">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showAll="0"/>
    <pivotField compact="0" outline="0" showAll="0"/>
    <pivotField axis="axisRow" compact="0" outline="0" showAll="0">
      <items count="16">
        <item x="8"/>
        <item x="11"/>
        <item x="4"/>
        <item x="10"/>
        <item x="2"/>
        <item x="5"/>
        <item x="12"/>
        <item x="9"/>
        <item x="0"/>
        <item m="1" x="13"/>
        <item x="7"/>
        <item x="1"/>
        <item x="6"/>
        <item m="1" x="14"/>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10"/>
    </i>
    <i>
      <x v="11"/>
    </i>
    <i>
      <x v="12"/>
    </i>
    <i>
      <x v="14"/>
    </i>
    <i t="grand">
      <x/>
    </i>
  </rowItems>
  <colFields count="1">
    <field x="5"/>
  </colFields>
  <colItems count="3">
    <i>
      <x/>
    </i>
    <i>
      <x v="1"/>
    </i>
    <i t="grand">
      <x/>
    </i>
  </colItems>
  <pageFields count="1">
    <pageField fld="43" hier="-1"/>
  </pageFields>
  <dataFields count="1">
    <dataField name="Count of S.No." fld="0" subtotal="count" baseField="0" baseItem="0"/>
  </dataFields>
  <chartFormats count="10">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0"/>
          </reference>
        </references>
      </pivotArea>
    </chartFormat>
    <chartFormat chart="3" format="3" series="1">
      <pivotArea type="data" outline="0" fieldPosition="0">
        <references count="2">
          <reference field="4294967294" count="1" selected="0">
            <x v="0"/>
          </reference>
          <reference field="5" count="1" selected="0">
            <x v="1"/>
          </reference>
        </references>
      </pivotArea>
    </chartFormat>
    <chartFormat chart="4" format="4" series="1">
      <pivotArea type="data" outline="0" fieldPosition="0">
        <references count="2">
          <reference field="4294967294" count="1" selected="0">
            <x v="0"/>
          </reference>
          <reference field="5" count="1" selected="0">
            <x v="0"/>
          </reference>
        </references>
      </pivotArea>
    </chartFormat>
    <chartFormat chart="4" format="5" series="1">
      <pivotArea type="data" outline="0" fieldPosition="0">
        <references count="2">
          <reference field="4294967294" count="1" selected="0">
            <x v="0"/>
          </reference>
          <reference field="5" count="1" selected="0">
            <x v="1"/>
          </reference>
        </references>
      </pivotArea>
    </chartFormat>
    <chartFormat chart="6" format="4" series="1">
      <pivotArea type="data" outline="0" fieldPosition="0">
        <references count="2">
          <reference field="4294967294" count="1" selected="0">
            <x v="0"/>
          </reference>
          <reference field="5" count="1" selected="0">
            <x v="0"/>
          </reference>
        </references>
      </pivotArea>
    </chartFormat>
    <chartFormat chart="6" format="5"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4010CE45-DB25-478E-BEF1-8E539D293C1B}" name="PivotTable10" cacheId="9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7" firstHeaderRow="1" firstDataRow="1" firstDataCol="1" rowPageCount="1" colPageCount="1"/>
  <pivotFields count="9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9">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5"/>
        <item x="51"/>
        <item x="113"/>
        <item x="137"/>
        <item x="161"/>
        <item x="144"/>
        <item x="142"/>
        <item x="139"/>
        <item x="157"/>
        <item x="133"/>
        <item x="107"/>
        <item x="159"/>
        <item x="147"/>
        <item x="104"/>
        <item x="149"/>
        <item x="136"/>
        <item x="125"/>
        <item x="146"/>
        <item x="101"/>
        <item x="143"/>
        <item x="134"/>
        <item x="150"/>
        <item x="162"/>
        <item x="163"/>
        <item x="84"/>
        <item x="115"/>
        <item x="166"/>
        <item x="89"/>
        <item x="165"/>
        <item x="135"/>
        <item x="140"/>
        <item x="153"/>
        <item x="156"/>
        <item x="123"/>
        <item x="102"/>
        <item x="167"/>
        <item x="82"/>
        <item x="138"/>
        <item x="151"/>
        <item x="164"/>
        <item x="19"/>
        <item x="160"/>
        <item x="152"/>
        <item x="154"/>
        <item x="158"/>
        <item t="default"/>
      </items>
    </pivotField>
    <pivotField axis="axisRow" compact="0" outline="0" showAll="0">
      <items count="5">
        <item x="0"/>
        <item m="1" x="3"/>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items count="17">
        <item x="1"/>
        <item x="2"/>
        <item x="3"/>
        <item x="4"/>
        <item x="5"/>
        <item x="6"/>
        <item x="7"/>
        <item x="8"/>
        <item x="9"/>
        <item x="10"/>
        <item x="11"/>
        <item x="12"/>
        <item x="13"/>
        <item x="14"/>
        <item x="15"/>
        <item x="0"/>
        <item x="16"/>
      </items>
    </pivotField>
  </pivotFields>
  <rowFields count="1">
    <field x="65"/>
  </rowFields>
  <rowItems count="4">
    <i>
      <x/>
    </i>
    <i>
      <x v="2"/>
    </i>
    <i>
      <x v="3"/>
    </i>
    <i t="grand">
      <x/>
    </i>
  </rowItems>
  <colItems count="1">
    <i/>
  </colItems>
  <pageFields count="1">
    <pageField fld="64"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B5B25C66-5ED4-4A3F-AAD6-851E1EAC9CE1}" name="PivotTable1" cacheId="10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7:B28" firstHeaderRow="1" firstDataRow="1" firstDataCol="1" rowPageCount="2" colPageCount="1"/>
  <pivotFields count="89">
    <pivotField dataField="1"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3">
        <item x="0"/>
        <item x="1"/>
        <item x="2"/>
        <item x="3"/>
        <item x="4"/>
        <item x="5"/>
        <item x="6"/>
        <item x="7"/>
        <item x="8"/>
        <item x="9"/>
        <item x="10"/>
        <item x="11"/>
        <item t="default"/>
      </items>
    </pivotField>
    <pivotField axis="axisRow" compact="0" outline="0" showAll="0">
      <items count="11">
        <item x="2"/>
        <item x="3"/>
        <item x="0"/>
        <item x="1"/>
        <item x="7"/>
        <item x="9"/>
        <item x="5"/>
        <item x="4"/>
        <item x="6"/>
        <item x="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9">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5"/>
        <item x="51"/>
        <item x="113"/>
        <item x="137"/>
        <item x="161"/>
        <item x="144"/>
        <item x="142"/>
        <item x="139"/>
        <item x="157"/>
        <item x="133"/>
        <item x="107"/>
        <item x="159"/>
        <item x="147"/>
        <item x="104"/>
        <item x="149"/>
        <item x="136"/>
        <item x="125"/>
        <item x="146"/>
        <item x="101"/>
        <item x="143"/>
        <item x="134"/>
        <item x="150"/>
        <item x="162"/>
        <item x="163"/>
        <item x="84"/>
        <item x="115"/>
        <item x="166"/>
        <item x="89"/>
        <item x="165"/>
        <item x="135"/>
        <item x="140"/>
        <item x="153"/>
        <item x="156"/>
        <item x="123"/>
        <item x="102"/>
        <item x="167"/>
        <item x="82"/>
        <item x="138"/>
        <item x="151"/>
        <item x="164"/>
        <item x="19"/>
        <item x="160"/>
        <item x="152"/>
        <item x="158"/>
        <item x="15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Items count="1">
    <i/>
  </colItems>
  <pageFields count="2">
    <pageField fld="64" hier="-1"/>
    <pageField fld="6"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erminations" displayName="Terminations" ref="A1:J22" totalsRowShown="0" headerRowBorderDxfId="19" tableBorderDxfId="18">
  <autoFilter ref="A1:J22" xr:uid="{00000000-0009-0000-0100-000004000000}"/>
  <tableColumns count="10">
    <tableColumn id="1" xr3:uid="{00000000-0010-0000-0000-000001000000}" name="No." dataDxfId="17"/>
    <tableColumn id="2" xr3:uid="{00000000-0010-0000-0000-000002000000}" name="Name" dataDxfId="16"/>
    <tableColumn id="3" xr3:uid="{00000000-0010-0000-0000-000003000000}" name="Institution" dataDxfId="15"/>
    <tableColumn id="4" xr3:uid="{00000000-0010-0000-0000-000004000000}" name="Gender" dataDxfId="14"/>
    <tableColumn id="5" xr3:uid="{00000000-0010-0000-0000-000005000000}" name="Cohort" dataDxfId="13"/>
    <tableColumn id="6" xr3:uid="{00000000-0010-0000-0000-000006000000}" name="Suspension" dataDxfId="12"/>
    <tableColumn id="7" xr3:uid="{00000000-0010-0000-0000-000007000000}" name="Date of Termination" dataDxfId="11"/>
    <tableColumn id="8" xr3:uid="{00000000-0010-0000-0000-000008000000}" name="Year " dataDxfId="10"/>
    <tableColumn id="9" xr3:uid="{00000000-0010-0000-0000-000009000000}" name="Reason for Termination" dataDxfId="9"/>
    <tableColumn id="10" xr3:uid="{00000000-0010-0000-0000-00000A000000}" name="Detailed reason for termination" dataDxfId="8"/>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A307" dT="2026-02-26T14:20:37.17" personId="{4DDBA5CA-C0C1-4E96-8803-316BE7F9C0BB}" id="{7DD8992D-8495-4295-A874-D8F3974A26EB}">
    <text>C11 color?
and C12 color, rows? remember to update the name of the files to be true to their content</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1.xml"/><Relationship Id="rId3" Type="http://schemas.openxmlformats.org/officeDocument/2006/relationships/pivotTable" Target="../pivotTables/pivotTable6.xml"/><Relationship Id="rId7" Type="http://schemas.openxmlformats.org/officeDocument/2006/relationships/pivotTable" Target="../pivotTables/pivotTable10.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11" Type="http://schemas.openxmlformats.org/officeDocument/2006/relationships/printerSettings" Target="../printerSettings/printerSettings1.bin"/><Relationship Id="rId5" Type="http://schemas.openxmlformats.org/officeDocument/2006/relationships/pivotTable" Target="../pivotTables/pivotTable8.xml"/><Relationship Id="rId10" Type="http://schemas.openxmlformats.org/officeDocument/2006/relationships/pivotTable" Target="../pivotTables/pivotTable13.xml"/><Relationship Id="rId4" Type="http://schemas.openxmlformats.org/officeDocument/2006/relationships/pivotTable" Target="../pivotTables/pivotTable7.xml"/><Relationship Id="rId9"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117" Type="http://schemas.openxmlformats.org/officeDocument/2006/relationships/hyperlink" Target="mailto:rlusobya@cartafrica.org" TargetMode="External"/><Relationship Id="rId21" Type="http://schemas.openxmlformats.org/officeDocument/2006/relationships/hyperlink" Target="mailto:jmusasiah@cartafrica.org" TargetMode="External"/><Relationship Id="rId42" Type="http://schemas.openxmlformats.org/officeDocument/2006/relationships/hyperlink" Target="mailto:eniyolacadmus@gmail.com" TargetMode="External"/><Relationship Id="rId63" Type="http://schemas.openxmlformats.org/officeDocument/2006/relationships/hyperlink" Target="mailto:akhisa@cartafrica.org" TargetMode="External"/><Relationship Id="rId84" Type="http://schemas.openxmlformats.org/officeDocument/2006/relationships/hyperlink" Target="mailto:opopoola@cartafrica.org" TargetMode="External"/><Relationship Id="rId138" Type="http://schemas.openxmlformats.org/officeDocument/2006/relationships/hyperlink" Target="https://orcid.org/0009-0008-4921-4356?lang=en" TargetMode="External"/><Relationship Id="rId159" Type="http://schemas.openxmlformats.org/officeDocument/2006/relationships/hyperlink" Target="mailto:jkangethe@cartafrica.org" TargetMode="External"/><Relationship Id="rId170" Type="http://schemas.openxmlformats.org/officeDocument/2006/relationships/hyperlink" Target="mailto:oijarotimi@cartafrica.org" TargetMode="External"/><Relationship Id="rId191" Type="http://schemas.openxmlformats.org/officeDocument/2006/relationships/hyperlink" Target="mailto:yinkuss2000@yahoo.com" TargetMode="External"/><Relationship Id="rId107" Type="http://schemas.openxmlformats.org/officeDocument/2006/relationships/hyperlink" Target="mailto:mkantonya@cartafrica.org" TargetMode="External"/><Relationship Id="rId11" Type="http://schemas.openxmlformats.org/officeDocument/2006/relationships/hyperlink" Target="mailto:ayoalonge@gmail.com" TargetMode="External"/><Relationship Id="rId32" Type="http://schemas.openxmlformats.org/officeDocument/2006/relationships/hyperlink" Target="mailto:kmukara@cartafrica.org" TargetMode="External"/><Relationship Id="rId53" Type="http://schemas.openxmlformats.org/officeDocument/2006/relationships/hyperlink" Target="mailto:fadeniyi@cartafrica.org" TargetMode="External"/><Relationship Id="rId74" Type="http://schemas.openxmlformats.org/officeDocument/2006/relationships/hyperlink" Target="mailto:mkassim@cartafrica.org" TargetMode="External"/><Relationship Id="rId128" Type="http://schemas.openxmlformats.org/officeDocument/2006/relationships/hyperlink" Target="mailto:walteriqueokello@gmail.com" TargetMode="External"/><Relationship Id="rId149" Type="http://schemas.openxmlformats.org/officeDocument/2006/relationships/hyperlink" Target="mailto:akalinjuma@cartafrica.org" TargetMode="External"/><Relationship Id="rId5" Type="http://schemas.openxmlformats.org/officeDocument/2006/relationships/hyperlink" Target="mailto:zakumumpa@yahoo.com" TargetMode="External"/><Relationship Id="rId95" Type="http://schemas.openxmlformats.org/officeDocument/2006/relationships/hyperlink" Target="mailto:oyeyemisamuel13@gmail.com" TargetMode="External"/><Relationship Id="rId160" Type="http://schemas.openxmlformats.org/officeDocument/2006/relationships/hyperlink" Target="mailto:jimkangethe@gmail.com" TargetMode="External"/><Relationship Id="rId181" Type="http://schemas.openxmlformats.org/officeDocument/2006/relationships/hyperlink" Target="mailto:antamatungiro@cartafrica.org" TargetMode="External"/><Relationship Id="rId22" Type="http://schemas.openxmlformats.org/officeDocument/2006/relationships/hyperlink" Target="mailto:atuhairwejoselyn@gmail.com" TargetMode="External"/><Relationship Id="rId43" Type="http://schemas.openxmlformats.org/officeDocument/2006/relationships/hyperlink" Target="mailto:maryobiyan@gmail.com" TargetMode="External"/><Relationship Id="rId64" Type="http://schemas.openxmlformats.org/officeDocument/2006/relationships/hyperlink" Target="mailto:duwizeye@cartafrica.org" TargetMode="External"/><Relationship Id="rId118" Type="http://schemas.openxmlformats.org/officeDocument/2006/relationships/hyperlink" Target="mailto:lusobyarebecca@gmail.com" TargetMode="External"/><Relationship Id="rId139" Type="http://schemas.openxmlformats.org/officeDocument/2006/relationships/hyperlink" Target="https://orcid.org/0000-0002-0686-1544" TargetMode="External"/><Relationship Id="rId85" Type="http://schemas.openxmlformats.org/officeDocument/2006/relationships/hyperlink" Target="mailto:lbanamwana@cartafrica.org" TargetMode="External"/><Relationship Id="rId150" Type="http://schemas.openxmlformats.org/officeDocument/2006/relationships/hyperlink" Target="mailto:avedastus@gmail.com;%20avedastus@yahoo.com" TargetMode="External"/><Relationship Id="rId171" Type="http://schemas.openxmlformats.org/officeDocument/2006/relationships/hyperlink" Target="mailto:tadeijarotimi@gmail.com;%20tadeolar@yahoo.com" TargetMode="External"/><Relationship Id="rId192" Type="http://schemas.openxmlformats.org/officeDocument/2006/relationships/hyperlink" Target="mailto:bkaunda@cartafrica.org" TargetMode="External"/><Relationship Id="rId12" Type="http://schemas.openxmlformats.org/officeDocument/2006/relationships/hyperlink" Target="mailto:wahlemirax@gmail.com" TargetMode="External"/><Relationship Id="rId33" Type="http://schemas.openxmlformats.org/officeDocument/2006/relationships/hyperlink" Target="mailto:ykolisa@cartafrica.org" TargetMode="External"/><Relationship Id="rId108" Type="http://schemas.openxmlformats.org/officeDocument/2006/relationships/hyperlink" Target="mailto:mkantonya@mlw.mw" TargetMode="External"/><Relationship Id="rId129" Type="http://schemas.openxmlformats.org/officeDocument/2006/relationships/hyperlink" Target="mailto:mmasamba@cartafrica.org" TargetMode="External"/><Relationship Id="rId54" Type="http://schemas.openxmlformats.org/officeDocument/2006/relationships/hyperlink" Target="mailto:csambai@cartafrica.org" TargetMode="External"/><Relationship Id="rId75" Type="http://schemas.openxmlformats.org/officeDocument/2006/relationships/hyperlink" Target="mailto:ekaindoa@cartafrica.org" TargetMode="External"/><Relationship Id="rId96" Type="http://schemas.openxmlformats.org/officeDocument/2006/relationships/hyperlink" Target="mailto:cnshutiyukuri@cartafrica.org" TargetMode="External"/><Relationship Id="rId140" Type="http://schemas.openxmlformats.org/officeDocument/2006/relationships/hyperlink" Target="https://orcid.org/0000-0003-4295-3515" TargetMode="External"/><Relationship Id="rId161" Type="http://schemas.openxmlformats.org/officeDocument/2006/relationships/hyperlink" Target="mailto:jmuleme@cartafrica.org" TargetMode="External"/><Relationship Id="rId182" Type="http://schemas.openxmlformats.org/officeDocument/2006/relationships/hyperlink" Target="mailto:pmusabirema@cartafrica.org" TargetMode="External"/><Relationship Id="rId6" Type="http://schemas.openxmlformats.org/officeDocument/2006/relationships/hyperlink" Target="mailto:ndube@cartafrica.org" TargetMode="External"/><Relationship Id="rId23" Type="http://schemas.openxmlformats.org/officeDocument/2006/relationships/hyperlink" Target="mailto:musasiahjustus@yahoo.com" TargetMode="External"/><Relationship Id="rId119" Type="http://schemas.openxmlformats.org/officeDocument/2006/relationships/hyperlink" Target="mailto:pamboka@cartafrica.org" TargetMode="External"/><Relationship Id="rId44" Type="http://schemas.openxmlformats.org/officeDocument/2006/relationships/hyperlink" Target="mailto:b.n.kaunda@gmail.com" TargetMode="External"/><Relationship Id="rId65" Type="http://schemas.openxmlformats.org/officeDocument/2006/relationships/hyperlink" Target="mailto:tolusegun@cartafrica.org" TargetMode="External"/><Relationship Id="rId86" Type="http://schemas.openxmlformats.org/officeDocument/2006/relationships/hyperlink" Target="mailto:abiolakomolafe2016@gmail.com" TargetMode="External"/><Relationship Id="rId130" Type="http://schemas.openxmlformats.org/officeDocument/2006/relationships/hyperlink" Target="mailto:mmasamba@kuhes.ac.mw" TargetMode="External"/><Relationship Id="rId151" Type="http://schemas.openxmlformats.org/officeDocument/2006/relationships/hyperlink" Target="mailto:aselemani@cartafrica.org" TargetMode="External"/><Relationship Id="rId172" Type="http://schemas.openxmlformats.org/officeDocument/2006/relationships/hyperlink" Target="mailto:sgbadebo@cartafrica.org" TargetMode="External"/><Relationship Id="rId193" Type="http://schemas.openxmlformats.org/officeDocument/2006/relationships/hyperlink" Target="mailto:aabiket@cartafrica.org" TargetMode="External"/><Relationship Id="rId13" Type="http://schemas.openxmlformats.org/officeDocument/2006/relationships/hyperlink" Target="mailto:tobems@yahoo.com" TargetMode="External"/><Relationship Id="rId109" Type="http://schemas.openxmlformats.org/officeDocument/2006/relationships/hyperlink" Target="mailto:nwaweru@cartafrica.org" TargetMode="External"/><Relationship Id="rId34" Type="http://schemas.openxmlformats.org/officeDocument/2006/relationships/hyperlink" Target="mailto:jbukenya@cartafrica.org" TargetMode="External"/><Relationship Id="rId55" Type="http://schemas.openxmlformats.org/officeDocument/2006/relationships/hyperlink" Target="mailto:mobiyan@cartafrica.org" TargetMode="External"/><Relationship Id="rId76" Type="http://schemas.openxmlformats.org/officeDocument/2006/relationships/hyperlink" Target="mailto:fniragire@cartafrica.org" TargetMode="External"/><Relationship Id="rId97" Type="http://schemas.openxmlformats.org/officeDocument/2006/relationships/hyperlink" Target="mailto:nshutiyukuric@gmail.com" TargetMode="External"/><Relationship Id="rId120" Type="http://schemas.openxmlformats.org/officeDocument/2006/relationships/hyperlink" Target="mailto:pamboka@aphrc.org" TargetMode="External"/><Relationship Id="rId141" Type="http://schemas.openxmlformats.org/officeDocument/2006/relationships/hyperlink" Target="https://orcid.org/0000-0001-9368-5456" TargetMode="External"/><Relationship Id="rId7" Type="http://schemas.openxmlformats.org/officeDocument/2006/relationships/hyperlink" Target="mailto:oladunnitaiwo@gmail.com" TargetMode="External"/><Relationship Id="rId162" Type="http://schemas.openxmlformats.org/officeDocument/2006/relationships/hyperlink" Target="mailto:mulemej@gmail.com" TargetMode="External"/><Relationship Id="rId183" Type="http://schemas.openxmlformats.org/officeDocument/2006/relationships/hyperlink" Target="mailto:priscillemusa10@yahoo.fr" TargetMode="External"/><Relationship Id="rId2" Type="http://schemas.openxmlformats.org/officeDocument/2006/relationships/hyperlink" Target="mailto:akagaha@gmail.com" TargetMode="External"/><Relationship Id="rId29" Type="http://schemas.openxmlformats.org/officeDocument/2006/relationships/hyperlink" Target="mailto:ooyelade@cartafrica.org" TargetMode="External"/><Relationship Id="rId24" Type="http://schemas.openxmlformats.org/officeDocument/2006/relationships/hyperlink" Target="mailto:rrutayisire@cartafrica.org" TargetMode="External"/><Relationship Id="rId40" Type="http://schemas.openxmlformats.org/officeDocument/2006/relationships/hyperlink" Target="mailto:mben.olufsen@gmail.com" TargetMode="External"/><Relationship Id="rId45" Type="http://schemas.openxmlformats.org/officeDocument/2006/relationships/hyperlink" Target="mailto:otwombek@phru.co.za" TargetMode="External"/><Relationship Id="rId66" Type="http://schemas.openxmlformats.org/officeDocument/2006/relationships/hyperlink" Target="mailto:ndewet@cartafrica.org" TargetMode="External"/><Relationship Id="rId87" Type="http://schemas.openxmlformats.org/officeDocument/2006/relationships/hyperlink" Target="mailto:bolusanya@cartafrica.org" TargetMode="External"/><Relationship Id="rId110" Type="http://schemas.openxmlformats.org/officeDocument/2006/relationships/hyperlink" Target="mailto:nancy.mugure@uonbi.ac.ke" TargetMode="External"/><Relationship Id="rId115" Type="http://schemas.openxmlformats.org/officeDocument/2006/relationships/hyperlink" Target="mailto:oomosehin@cartafrica.org" TargetMode="External"/><Relationship Id="rId131" Type="http://schemas.openxmlformats.org/officeDocument/2006/relationships/hyperlink" Target="mailto:mnalweyiso@cartafrica.org" TargetMode="External"/><Relationship Id="rId136" Type="http://schemas.openxmlformats.org/officeDocument/2006/relationships/hyperlink" Target="https://orcid.org/0009-0003-7896-3659" TargetMode="External"/><Relationship Id="rId157" Type="http://schemas.openxmlformats.org/officeDocument/2006/relationships/hyperlink" Target="mailto:foporia@cartafrica.org" TargetMode="External"/><Relationship Id="rId178" Type="http://schemas.openxmlformats.org/officeDocument/2006/relationships/hyperlink" Target="mailto:yonimode@cartafrica.org" TargetMode="External"/><Relationship Id="rId61" Type="http://schemas.openxmlformats.org/officeDocument/2006/relationships/hyperlink" Target="mailto:jfaronbi@cartafrica.org" TargetMode="External"/><Relationship Id="rId82" Type="http://schemas.openxmlformats.org/officeDocument/2006/relationships/hyperlink" Target="mailto:ajntamatungiro@gmail.com" TargetMode="External"/><Relationship Id="rId152" Type="http://schemas.openxmlformats.org/officeDocument/2006/relationships/hyperlink" Target="mailto:apatsaselemani@gmail.com" TargetMode="External"/><Relationship Id="rId173" Type="http://schemas.openxmlformats.org/officeDocument/2006/relationships/hyperlink" Target="mailto:olaaris2k1@yahoo.com" TargetMode="External"/><Relationship Id="rId194" Type="http://schemas.openxmlformats.org/officeDocument/2006/relationships/hyperlink" Target="mailto:iyabiket@gmail.com" TargetMode="External"/><Relationship Id="rId199" Type="http://schemas.openxmlformats.org/officeDocument/2006/relationships/vmlDrawing" Target="../drawings/vmlDrawing1.vml"/><Relationship Id="rId19" Type="http://schemas.openxmlformats.org/officeDocument/2006/relationships/hyperlink" Target="mailto:solaolawoye@yahoo.com" TargetMode="External"/><Relationship Id="rId14" Type="http://schemas.openxmlformats.org/officeDocument/2006/relationships/hyperlink" Target="mailto:imoshi@ihi.or.tz" TargetMode="External"/><Relationship Id="rId30" Type="http://schemas.openxmlformats.org/officeDocument/2006/relationships/hyperlink" Target="mailto:wmanda@cartafrica.org" TargetMode="External"/><Relationship Id="rId35" Type="http://schemas.openxmlformats.org/officeDocument/2006/relationships/hyperlink" Target="mailto:pmpho@cartafrica.org" TargetMode="External"/><Relationship Id="rId56" Type="http://schemas.openxmlformats.org/officeDocument/2006/relationships/hyperlink" Target="mailto:ckato@cartafrica.org" TargetMode="External"/><Relationship Id="rId77" Type="http://schemas.openxmlformats.org/officeDocument/2006/relationships/hyperlink" Target="mailto:fkhuluza@cartafrica.org" TargetMode="External"/><Relationship Id="rId100" Type="http://schemas.openxmlformats.org/officeDocument/2006/relationships/hyperlink" Target="mailto:hbutungi@cartafrica.org" TargetMode="External"/><Relationship Id="rId105" Type="http://schemas.openxmlformats.org/officeDocument/2006/relationships/hyperlink" Target="mailto:kkanzoole@cartafrica.org" TargetMode="External"/><Relationship Id="rId126" Type="http://schemas.openxmlformats.org/officeDocument/2006/relationships/hyperlink" Target="mailto:jepkurgatbunet@gmail.com" TargetMode="External"/><Relationship Id="rId147" Type="http://schemas.openxmlformats.org/officeDocument/2006/relationships/hyperlink" Target="mailto:ajcroix@cartafrica.org" TargetMode="External"/><Relationship Id="rId168" Type="http://schemas.openxmlformats.org/officeDocument/2006/relationships/hyperlink" Target="mailto:mondayolodu@gmail.com;%20mondayolodu@yahoo.com" TargetMode="External"/><Relationship Id="rId8" Type="http://schemas.openxmlformats.org/officeDocument/2006/relationships/hyperlink" Target="mailto:nillyanne2004@yahoo.com" TargetMode="External"/><Relationship Id="rId51" Type="http://schemas.openxmlformats.org/officeDocument/2006/relationships/hyperlink" Target="mailto:jakinyemi@cartafrica.org" TargetMode="External"/><Relationship Id="rId72" Type="http://schemas.openxmlformats.org/officeDocument/2006/relationships/hyperlink" Target="mailto:fmoroe@cartafrica.org" TargetMode="External"/><Relationship Id="rId93" Type="http://schemas.openxmlformats.org/officeDocument/2006/relationships/hyperlink" Target="mailto:fmaniragaba@cartafrica.org" TargetMode="External"/><Relationship Id="rId98" Type="http://schemas.openxmlformats.org/officeDocument/2006/relationships/hyperlink" Target="mailto:emandala@cartafrica.org" TargetMode="External"/><Relationship Id="rId121" Type="http://schemas.openxmlformats.org/officeDocument/2006/relationships/hyperlink" Target="mailto:rmakuluni@cartafrica.org" TargetMode="External"/><Relationship Id="rId142" Type="http://schemas.openxmlformats.org/officeDocument/2006/relationships/hyperlink" Target="https://orcid.org/0000-0002-7621-4844" TargetMode="External"/><Relationship Id="rId163" Type="http://schemas.openxmlformats.org/officeDocument/2006/relationships/hyperlink" Target="mailto:mugalahi@cartafrica.org" TargetMode="External"/><Relationship Id="rId184" Type="http://schemas.openxmlformats.org/officeDocument/2006/relationships/hyperlink" Target="mailto:cmusyoka@cartafrica.org" TargetMode="External"/><Relationship Id="rId189" Type="http://schemas.openxmlformats.org/officeDocument/2006/relationships/hyperlink" Target="mailto:skye.adams@wits.ac.za" TargetMode="External"/><Relationship Id="rId3" Type="http://schemas.openxmlformats.org/officeDocument/2006/relationships/hyperlink" Target="mailto:lindiwefarlane@gmail.com" TargetMode="External"/><Relationship Id="rId25" Type="http://schemas.openxmlformats.org/officeDocument/2006/relationships/hyperlink" Target="mailto:stefanie.hornschuh88@gmail.com" TargetMode="External"/><Relationship Id="rId46" Type="http://schemas.openxmlformats.org/officeDocument/2006/relationships/hyperlink" Target="mailto:kadebayo@cartafrica.org" TargetMode="External"/><Relationship Id="rId67" Type="http://schemas.openxmlformats.org/officeDocument/2006/relationships/hyperlink" Target="mailto:ropiyo@cartafrica.org" TargetMode="External"/><Relationship Id="rId116" Type="http://schemas.openxmlformats.org/officeDocument/2006/relationships/hyperlink" Target="mailto:oo.omosehin@ui.edu.ng" TargetMode="External"/><Relationship Id="rId137" Type="http://schemas.openxmlformats.org/officeDocument/2006/relationships/hyperlink" Target="https://orcid.org/0009-0006-2504-803" TargetMode="External"/><Relationship Id="rId158" Type="http://schemas.openxmlformats.org/officeDocument/2006/relationships/hyperlink" Target="mailto:phrezzie@gmail.com" TargetMode="External"/><Relationship Id="rId20" Type="http://schemas.openxmlformats.org/officeDocument/2006/relationships/hyperlink" Target="mailto:seyi.somefun@gmail.com" TargetMode="External"/><Relationship Id="rId41" Type="http://schemas.openxmlformats.org/officeDocument/2006/relationships/hyperlink" Target="mailto:echisati@medcol.mw" TargetMode="External"/><Relationship Id="rId62" Type="http://schemas.openxmlformats.org/officeDocument/2006/relationships/hyperlink" Target="mailto:magunbiade@cartafrica.org" TargetMode="External"/><Relationship Id="rId83" Type="http://schemas.openxmlformats.org/officeDocument/2006/relationships/hyperlink" Target="mailto:funmitoabioye@yahoo.com" TargetMode="External"/><Relationship Id="rId88" Type="http://schemas.openxmlformats.org/officeDocument/2006/relationships/hyperlink" Target="mailto:banacele@yahoo.fr" TargetMode="External"/><Relationship Id="rId111" Type="http://schemas.openxmlformats.org/officeDocument/2006/relationships/hyperlink" Target="mailto:obanwo@cartafrica.org" TargetMode="External"/><Relationship Id="rId132" Type="http://schemas.openxmlformats.org/officeDocument/2006/relationships/hyperlink" Target="mailto:nalweyisomartha@gmail.com" TargetMode="External"/><Relationship Id="rId153" Type="http://schemas.openxmlformats.org/officeDocument/2006/relationships/hyperlink" Target="mailto:bmaritim@cartafrica.org" TargetMode="External"/><Relationship Id="rId174" Type="http://schemas.openxmlformats.org/officeDocument/2006/relationships/hyperlink" Target="mailto:tbakuwa@cartafrica.org" TargetMode="External"/><Relationship Id="rId179" Type="http://schemas.openxmlformats.org/officeDocument/2006/relationships/hyperlink" Target="mailto:yately_md@yahoo.com;%20yately_md@yahoo.com" TargetMode="External"/><Relationship Id="rId195" Type="http://schemas.openxmlformats.org/officeDocument/2006/relationships/hyperlink" Target="mailto:cbanamwana@cartafrica.org" TargetMode="External"/><Relationship Id="rId190" Type="http://schemas.openxmlformats.org/officeDocument/2006/relationships/hyperlink" Target="mailto:aadefolarin@cartafrica.org" TargetMode="External"/><Relationship Id="rId15" Type="http://schemas.openxmlformats.org/officeDocument/2006/relationships/hyperlink" Target="mailto:fmatovu@mujhu.org" TargetMode="External"/><Relationship Id="rId36" Type="http://schemas.openxmlformats.org/officeDocument/2006/relationships/hyperlink" Target="mailto:skumwenda@cartafrica.org" TargetMode="External"/><Relationship Id="rId57" Type="http://schemas.openxmlformats.org/officeDocument/2006/relationships/hyperlink" Target="mailto:swandera@cartafrica.org" TargetMode="External"/><Relationship Id="rId106" Type="http://schemas.openxmlformats.org/officeDocument/2006/relationships/hyperlink" Target="mailto:kingsleykanzoole@gmail.com" TargetMode="External"/><Relationship Id="rId127" Type="http://schemas.openxmlformats.org/officeDocument/2006/relationships/hyperlink" Target="mailto:wokello@cartafrica.org" TargetMode="External"/><Relationship Id="rId10" Type="http://schemas.openxmlformats.org/officeDocument/2006/relationships/hyperlink" Target="mailto:seunakinyemi@hotmail.com" TargetMode="External"/><Relationship Id="rId31" Type="http://schemas.openxmlformats.org/officeDocument/2006/relationships/hyperlink" Target="mailto:slallaedward@ezintsha.org;" TargetMode="External"/><Relationship Id="rId52" Type="http://schemas.openxmlformats.org/officeDocument/2006/relationships/hyperlink" Target="mailto:tnyirenda@cartafrica.org" TargetMode="External"/><Relationship Id="rId73" Type="http://schemas.openxmlformats.org/officeDocument/2006/relationships/hyperlink" Target="mailto:hzakumpa@cartafrica.org" TargetMode="External"/><Relationship Id="rId78" Type="http://schemas.openxmlformats.org/officeDocument/2006/relationships/hyperlink" Target="mailto:mkamndaya@cartafrica.org" TargetMode="External"/><Relationship Id="rId94" Type="http://schemas.openxmlformats.org/officeDocument/2006/relationships/hyperlink" Target="mailto:fmaniragaba@gmail.com" TargetMode="External"/><Relationship Id="rId99" Type="http://schemas.openxmlformats.org/officeDocument/2006/relationships/hyperlink" Target="mailto:emandala@kuhes.ac.mw" TargetMode="External"/><Relationship Id="rId101" Type="http://schemas.openxmlformats.org/officeDocument/2006/relationships/hyperlink" Target="mailto:hellen.butungi@mak.ac.ug" TargetMode="External"/><Relationship Id="rId122" Type="http://schemas.openxmlformats.org/officeDocument/2006/relationships/hyperlink" Target="mailto:rmakuluni@mlw.mw" TargetMode="External"/><Relationship Id="rId143" Type="http://schemas.openxmlformats.org/officeDocument/2006/relationships/hyperlink" Target="mailto:sadedini@cartafrica.org" TargetMode="External"/><Relationship Id="rId148" Type="http://schemas.openxmlformats.org/officeDocument/2006/relationships/hyperlink" Target="mailto:ingabireallenjc@gmail.com;%20ijea2000@gmail.com" TargetMode="External"/><Relationship Id="rId164" Type="http://schemas.openxmlformats.org/officeDocument/2006/relationships/hyperlink" Target="mailto:oheobe26@yahoo.com;%20maryugalahi@gmail.com" TargetMode="External"/><Relationship Id="rId169" Type="http://schemas.openxmlformats.org/officeDocument/2006/relationships/hyperlink" Target="mailto:oolorunmoteni@cartafrica.org" TargetMode="External"/><Relationship Id="rId185" Type="http://schemas.openxmlformats.org/officeDocument/2006/relationships/hyperlink" Target="mailto:camulundu2011@gmail.com" TargetMode="External"/><Relationship Id="rId4" Type="http://schemas.openxmlformats.org/officeDocument/2006/relationships/hyperlink" Target="mailto:oluwatobang@yahoo.com" TargetMode="External"/><Relationship Id="rId9" Type="http://schemas.openxmlformats.org/officeDocument/2006/relationships/hyperlink" Target="mailto:adeoyeikeola@yahoo.com" TargetMode="External"/><Relationship Id="rId180" Type="http://schemas.openxmlformats.org/officeDocument/2006/relationships/hyperlink" Target="mailto:colubukola@cartafrica.org" TargetMode="External"/><Relationship Id="rId26" Type="http://schemas.openxmlformats.org/officeDocument/2006/relationships/hyperlink" Target="http://orcid.org/0000-0002-7787-8597" TargetMode="External"/><Relationship Id="rId47" Type="http://schemas.openxmlformats.org/officeDocument/2006/relationships/hyperlink" Target="mailto:shepelog@gmail.com" TargetMode="External"/><Relationship Id="rId68" Type="http://schemas.openxmlformats.org/officeDocument/2006/relationships/hyperlink" Target="mailto:asangowawa@cartafrica.org" TargetMode="External"/><Relationship Id="rId89" Type="http://schemas.openxmlformats.org/officeDocument/2006/relationships/hyperlink" Target="mailto:tosinolorunmoteni@gmail.com" TargetMode="External"/><Relationship Id="rId112" Type="http://schemas.openxmlformats.org/officeDocument/2006/relationships/hyperlink" Target="mailto:olamilekanbanwo@gmail.com" TargetMode="External"/><Relationship Id="rId133" Type="http://schemas.openxmlformats.org/officeDocument/2006/relationships/hyperlink" Target="https://orcid.org/0000-0001-5509-9659" TargetMode="External"/><Relationship Id="rId154" Type="http://schemas.openxmlformats.org/officeDocument/2006/relationships/hyperlink" Target="mailto:berylc.maritim@gmail.com" TargetMode="External"/><Relationship Id="rId175" Type="http://schemas.openxmlformats.org/officeDocument/2006/relationships/hyperlink" Target="mailto:tbakuwa@medcol.mw;%20tako.bakuwa@gmail.com" TargetMode="External"/><Relationship Id="rId196" Type="http://schemas.openxmlformats.org/officeDocument/2006/relationships/hyperlink" Target="mailto:kmagutah@gmail.com" TargetMode="External"/><Relationship Id="rId200" Type="http://schemas.openxmlformats.org/officeDocument/2006/relationships/comments" Target="../comments1.xml"/><Relationship Id="rId16" Type="http://schemas.openxmlformats.org/officeDocument/2006/relationships/hyperlink" Target="mailto:andietam@gmail.com" TargetMode="External"/><Relationship Id="rId37" Type="http://schemas.openxmlformats.org/officeDocument/2006/relationships/hyperlink" Target="mailto:mutua_mike@yahoo.com;" TargetMode="External"/><Relationship Id="rId58" Type="http://schemas.openxmlformats.org/officeDocument/2006/relationships/hyperlink" Target="mailto:stakuva@cartafrica.org" TargetMode="External"/><Relationship Id="rId79" Type="http://schemas.openxmlformats.org/officeDocument/2006/relationships/hyperlink" Target="mailto:sayamolowo@cartafrica.org" TargetMode="External"/><Relationship Id="rId102" Type="http://schemas.openxmlformats.org/officeDocument/2006/relationships/hyperlink" Target="mailto:hitab88@gmail.com" TargetMode="External"/><Relationship Id="rId123" Type="http://schemas.openxmlformats.org/officeDocument/2006/relationships/hyperlink" Target="mailto:shabumuremyi@cartafrica.org" TargetMode="External"/><Relationship Id="rId144" Type="http://schemas.openxmlformats.org/officeDocument/2006/relationships/hyperlink" Target="mailto:hayiali@yahoo.fr" TargetMode="External"/><Relationship Id="rId90" Type="http://schemas.openxmlformats.org/officeDocument/2006/relationships/hyperlink" Target="mailto:adreyer@cartafrica.org" TargetMode="External"/><Relationship Id="rId165" Type="http://schemas.openxmlformats.org/officeDocument/2006/relationships/hyperlink" Target="mailto:mmajamanda@cartafrica.org" TargetMode="External"/><Relationship Id="rId186" Type="http://schemas.openxmlformats.org/officeDocument/2006/relationships/hyperlink" Target="mailto:cmbindyo@cartafrica.org" TargetMode="External"/><Relationship Id="rId27" Type="http://schemas.openxmlformats.org/officeDocument/2006/relationships/hyperlink" Target="https://orcid.org/0000-0002-5726-6921" TargetMode="External"/><Relationship Id="rId48" Type="http://schemas.openxmlformats.org/officeDocument/2006/relationships/hyperlink" Target="mailto:obanjo@cartafrica.org" TargetMode="External"/><Relationship Id="rId69" Type="http://schemas.openxmlformats.org/officeDocument/2006/relationships/hyperlink" Target="mailto:smbalinda@cartafrica.org" TargetMode="External"/><Relationship Id="rId113" Type="http://schemas.openxmlformats.org/officeDocument/2006/relationships/hyperlink" Target="mailto:ofolayan@cartafrica.org" TargetMode="External"/><Relationship Id="rId134" Type="http://schemas.openxmlformats.org/officeDocument/2006/relationships/hyperlink" Target="https://orcid.org/0000-0002-5601-0326" TargetMode="External"/><Relationship Id="rId80" Type="http://schemas.openxmlformats.org/officeDocument/2006/relationships/hyperlink" Target="mailto:marcelinefinda@gmail.com" TargetMode="External"/><Relationship Id="rId155" Type="http://schemas.openxmlformats.org/officeDocument/2006/relationships/hyperlink" Target="mailto:enzabonimana@cartafrica.org" TargetMode="External"/><Relationship Id="rId176" Type="http://schemas.openxmlformats.org/officeDocument/2006/relationships/hyperlink" Target="mailto:tojo@cartafrica.org" TargetMode="External"/><Relationship Id="rId197" Type="http://schemas.openxmlformats.org/officeDocument/2006/relationships/hyperlink" Target="mailto:jkarani@cartafrica.org" TargetMode="External"/><Relationship Id="rId201" Type="http://schemas.microsoft.com/office/2017/10/relationships/threadedComment" Target="../threadedComments/threadedComment1.xml"/><Relationship Id="rId17" Type="http://schemas.openxmlformats.org/officeDocument/2006/relationships/hyperlink" Target="mailto:aliyukola@gmail.com" TargetMode="External"/><Relationship Id="rId38" Type="http://schemas.openxmlformats.org/officeDocument/2006/relationships/hyperlink" Target="mailto:snakubulwa@cartafrica.org" TargetMode="External"/><Relationship Id="rId59" Type="http://schemas.openxmlformats.org/officeDocument/2006/relationships/hyperlink" Target="mailto:tawotidebe@cartafrica.org" TargetMode="External"/><Relationship Id="rId103" Type="http://schemas.openxmlformats.org/officeDocument/2006/relationships/hyperlink" Target="mailto:jphabimana@cartafrica.org" TargetMode="External"/><Relationship Id="rId124" Type="http://schemas.openxmlformats.org/officeDocument/2006/relationships/hyperlink" Target="mailto:habumshadra@gmail.com" TargetMode="External"/><Relationship Id="rId70" Type="http://schemas.openxmlformats.org/officeDocument/2006/relationships/hyperlink" Target="mailto:gmbuthia@cartafrica.org" TargetMode="External"/><Relationship Id="rId91" Type="http://schemas.openxmlformats.org/officeDocument/2006/relationships/hyperlink" Target="mailto:lfarlane@cartafrica.org" TargetMode="External"/><Relationship Id="rId145" Type="http://schemas.openxmlformats.org/officeDocument/2006/relationships/hyperlink" Target="mailto:auwase@cartafrica.org" TargetMode="External"/><Relationship Id="rId166" Type="http://schemas.openxmlformats.org/officeDocument/2006/relationships/hyperlink" Target="mailto:mdmajamanda@gmail.com" TargetMode="External"/><Relationship Id="rId187" Type="http://schemas.openxmlformats.org/officeDocument/2006/relationships/hyperlink" Target="mailto:christineminoo@yahoo.com" TargetMode="External"/><Relationship Id="rId1" Type="http://schemas.openxmlformats.org/officeDocument/2006/relationships/hyperlink" Target="mailto:ltembo@cartafrica.org" TargetMode="External"/><Relationship Id="rId28" Type="http://schemas.openxmlformats.org/officeDocument/2006/relationships/hyperlink" Target="mailto:maleyoagnes@gmail.com" TargetMode="External"/><Relationship Id="rId49" Type="http://schemas.openxmlformats.org/officeDocument/2006/relationships/hyperlink" Target="mailto:alinda@cartafrica.org" TargetMode="External"/><Relationship Id="rId114" Type="http://schemas.openxmlformats.org/officeDocument/2006/relationships/hyperlink" Target="mailto:olufolayan19@gmail.com" TargetMode="External"/><Relationship Id="rId60" Type="http://schemas.openxmlformats.org/officeDocument/2006/relationships/hyperlink" Target="mailto:jmangeni@cartafrica.org" TargetMode="External"/><Relationship Id="rId81" Type="http://schemas.openxmlformats.org/officeDocument/2006/relationships/hyperlink" Target="mailto:nomfundo.moroe7@gmail.com" TargetMode="External"/><Relationship Id="rId135" Type="http://schemas.openxmlformats.org/officeDocument/2006/relationships/hyperlink" Target="http://orcid.org/0000-0002-1330-1545" TargetMode="External"/><Relationship Id="rId156" Type="http://schemas.openxmlformats.org/officeDocument/2006/relationships/hyperlink" Target="mailto:nzabaemmy@gmail.com" TargetMode="External"/><Relationship Id="rId177" Type="http://schemas.openxmlformats.org/officeDocument/2006/relationships/hyperlink" Target="mailto:linktopeojo@yahoo.com" TargetMode="External"/><Relationship Id="rId198" Type="http://schemas.openxmlformats.org/officeDocument/2006/relationships/printerSettings" Target="../printerSettings/printerSettings2.bin"/><Relationship Id="rId18" Type="http://schemas.openxmlformats.org/officeDocument/2006/relationships/hyperlink" Target="mailto:t1toyin@yahoo.com" TargetMode="External"/><Relationship Id="rId39" Type="http://schemas.openxmlformats.org/officeDocument/2006/relationships/hyperlink" Target="mailto:eafolabi@cartafrica.org" TargetMode="External"/><Relationship Id="rId50" Type="http://schemas.openxmlformats.org/officeDocument/2006/relationships/hyperlink" Target="mailto:sadedokun@cartafrica.org" TargetMode="External"/><Relationship Id="rId104" Type="http://schemas.openxmlformats.org/officeDocument/2006/relationships/hyperlink" Target="mailto:habipau@gmail.com" TargetMode="External"/><Relationship Id="rId125" Type="http://schemas.openxmlformats.org/officeDocument/2006/relationships/hyperlink" Target="mailto:tchepkwony@cartafrica.org" TargetMode="External"/><Relationship Id="rId146" Type="http://schemas.openxmlformats.org/officeDocument/2006/relationships/hyperlink" Target="mailto:alinemunyaneza1@gmail.com" TargetMode="External"/><Relationship Id="rId167" Type="http://schemas.openxmlformats.org/officeDocument/2006/relationships/hyperlink" Target="mailto:molodu@cartafrica.org" TargetMode="External"/><Relationship Id="rId188" Type="http://schemas.openxmlformats.org/officeDocument/2006/relationships/hyperlink" Target="mailto:sadams@cartafrica.org" TargetMode="External"/><Relationship Id="rId71" Type="http://schemas.openxmlformats.org/officeDocument/2006/relationships/hyperlink" Target="mailto:dmenya@cartafrica.org" TargetMode="External"/><Relationship Id="rId92" Type="http://schemas.openxmlformats.org/officeDocument/2006/relationships/hyperlink" Target="mailto:ckafu@cartafrica.org"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6.xml"/><Relationship Id="rId2" Type="http://schemas.openxmlformats.org/officeDocument/2006/relationships/pivotTable" Target="../pivotTables/pivotTable15.xml"/><Relationship Id="rId1" Type="http://schemas.openxmlformats.org/officeDocument/2006/relationships/pivotTable" Target="../pivotTables/pivotTable14.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18.xml"/><Relationship Id="rId1" Type="http://schemas.openxmlformats.org/officeDocument/2006/relationships/pivotTable" Target="../pivotTables/pivot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T56"/>
  <sheetViews>
    <sheetView showGridLines="0" topLeftCell="B19" zoomScale="88" zoomScaleNormal="88" workbookViewId="0">
      <selection activeCell="E59" sqref="E59"/>
    </sheetView>
  </sheetViews>
  <sheetFormatPr defaultColWidth="8.7265625" defaultRowHeight="14.5" x14ac:dyDescent="0.35"/>
  <cols>
    <col min="1" max="1" width="0" style="299" hidden="1" customWidth="1"/>
    <col min="2" max="2" width="10.54296875" style="299" bestFit="1" customWidth="1"/>
    <col min="3" max="3" width="15.26953125" style="299" customWidth="1"/>
    <col min="4" max="4" width="16.54296875" style="299" customWidth="1"/>
    <col min="5" max="5" width="13" style="299" customWidth="1"/>
    <col min="6" max="6" width="11.81640625" style="299" customWidth="1"/>
    <col min="7" max="7" width="8.7265625" style="299"/>
    <col min="8" max="8" width="13.7265625" style="299" customWidth="1"/>
    <col min="9" max="18" width="8.7265625" style="299"/>
    <col min="19" max="19" width="19.453125" style="299" customWidth="1"/>
    <col min="20" max="20" width="13.1796875" style="299" customWidth="1"/>
    <col min="21" max="16384" width="8.7265625" style="299"/>
  </cols>
  <sheetData>
    <row r="2" spans="19:20" x14ac:dyDescent="0.35">
      <c r="S2" s="300" t="s">
        <v>0</v>
      </c>
      <c r="T2" s="301">
        <f>'Pivot Analysis'!F41</f>
        <v>1</v>
      </c>
    </row>
    <row r="3" spans="19:20" x14ac:dyDescent="0.35">
      <c r="S3" s="300" t="s">
        <v>1</v>
      </c>
      <c r="T3" s="426">
        <f>'Pivot Analysis'!F41</f>
        <v>1</v>
      </c>
    </row>
    <row r="4" spans="19:20" x14ac:dyDescent="0.35">
      <c r="S4" s="300" t="s">
        <v>2</v>
      </c>
      <c r="T4" s="302">
        <f>'Pivot Analysis'!F30</f>
        <v>0.86956521739130432</v>
      </c>
    </row>
    <row r="5" spans="19:20" x14ac:dyDescent="0.35">
      <c r="S5" s="300" t="s">
        <v>3</v>
      </c>
      <c r="T5" s="302">
        <f>'Pivot Analysis'!F31</f>
        <v>0.8</v>
      </c>
    </row>
    <row r="6" spans="19:20" x14ac:dyDescent="0.35">
      <c r="S6" s="300" t="s">
        <v>4</v>
      </c>
      <c r="T6" s="302">
        <f>'Pivot Analysis'!F32</f>
        <v>0.91304347826086951</v>
      </c>
    </row>
    <row r="7" spans="19:20" x14ac:dyDescent="0.35">
      <c r="S7" s="300" t="s">
        <v>5</v>
      </c>
      <c r="T7" s="302">
        <f>'Pivot Analysis'!F33</f>
        <v>0.96296296296296291</v>
      </c>
    </row>
    <row r="8" spans="19:20" x14ac:dyDescent="0.35">
      <c r="S8" s="300" t="s">
        <v>6</v>
      </c>
      <c r="T8" s="302">
        <f>'Pivot Analysis'!F34</f>
        <v>0.8</v>
      </c>
    </row>
    <row r="9" spans="19:20" x14ac:dyDescent="0.35">
      <c r="S9" s="300" t="s">
        <v>7</v>
      </c>
      <c r="T9" s="302">
        <f>'Pivot Analysis'!F35</f>
        <v>0.96</v>
      </c>
    </row>
    <row r="10" spans="19:20" x14ac:dyDescent="0.35">
      <c r="S10" s="300" t="s">
        <v>8</v>
      </c>
      <c r="T10" s="302">
        <f>'Pivot Analysis'!F36</f>
        <v>0.88888888888888884</v>
      </c>
    </row>
    <row r="11" spans="19:20" x14ac:dyDescent="0.35">
      <c r="S11" s="300" t="s">
        <v>9</v>
      </c>
      <c r="T11" s="302">
        <f>'Pivot Analysis'!F37</f>
        <v>0.88461538461538458</v>
      </c>
    </row>
    <row r="12" spans="19:20" x14ac:dyDescent="0.35">
      <c r="S12" s="300" t="s">
        <v>10</v>
      </c>
      <c r="T12" s="302">
        <f>'Pivot Analysis'!F38</f>
        <v>0.91666666666666663</v>
      </c>
    </row>
    <row r="13" spans="19:20" x14ac:dyDescent="0.35">
      <c r="S13" s="300" t="s">
        <v>11</v>
      </c>
      <c r="T13" s="302">
        <f>'Pivot Analysis'!F39</f>
        <v>0.96</v>
      </c>
    </row>
    <row r="41" spans="2:19" x14ac:dyDescent="0.35">
      <c r="B41" s="60" t="s">
        <v>12</v>
      </c>
      <c r="C41"/>
      <c r="D41"/>
      <c r="E41"/>
      <c r="F41"/>
      <c r="G41"/>
    </row>
    <row r="42" spans="2:19" x14ac:dyDescent="0.35">
      <c r="B42" s="54" t="s">
        <v>13</v>
      </c>
      <c r="C42" s="54" t="s">
        <v>14</v>
      </c>
      <c r="D42"/>
      <c r="E42"/>
      <c r="F42"/>
      <c r="G42"/>
    </row>
    <row r="43" spans="2:19" x14ac:dyDescent="0.35">
      <c r="B43" s="54" t="s">
        <v>15</v>
      </c>
      <c r="C43" t="s">
        <v>16</v>
      </c>
      <c r="D43" t="s">
        <v>17</v>
      </c>
      <c r="E43" t="s">
        <v>18</v>
      </c>
      <c r="F43" t="s">
        <v>19</v>
      </c>
      <c r="G43" s="307" t="s">
        <v>1</v>
      </c>
      <c r="S43" s="299">
        <f>2</f>
        <v>2</v>
      </c>
    </row>
    <row r="44" spans="2:19" x14ac:dyDescent="0.35">
      <c r="B44">
        <v>1</v>
      </c>
      <c r="C44" s="490">
        <v>20</v>
      </c>
      <c r="D44" s="490"/>
      <c r="E44" s="490">
        <v>3</v>
      </c>
      <c r="F44" s="490">
        <v>23</v>
      </c>
      <c r="G44" s="308"/>
    </row>
    <row r="45" spans="2:19" x14ac:dyDescent="0.35">
      <c r="B45">
        <v>2</v>
      </c>
      <c r="C45" s="490">
        <v>15</v>
      </c>
      <c r="D45" s="490">
        <v>1</v>
      </c>
      <c r="E45" s="490">
        <v>4</v>
      </c>
      <c r="F45" s="490">
        <v>20</v>
      </c>
      <c r="G45" s="308"/>
    </row>
    <row r="46" spans="2:19" x14ac:dyDescent="0.35">
      <c r="B46">
        <v>3</v>
      </c>
      <c r="C46" s="490">
        <v>18</v>
      </c>
      <c r="D46" s="490">
        <v>3</v>
      </c>
      <c r="E46" s="490">
        <v>2</v>
      </c>
      <c r="F46" s="490">
        <v>23</v>
      </c>
      <c r="G46" s="308"/>
    </row>
    <row r="47" spans="2:19" x14ac:dyDescent="0.35">
      <c r="B47">
        <v>4</v>
      </c>
      <c r="C47" s="490">
        <v>25</v>
      </c>
      <c r="D47" s="490">
        <v>1</v>
      </c>
      <c r="E47" s="490">
        <v>1</v>
      </c>
      <c r="F47" s="490">
        <v>27</v>
      </c>
      <c r="G47" s="308"/>
    </row>
    <row r="48" spans="2:19" x14ac:dyDescent="0.35">
      <c r="B48">
        <v>5</v>
      </c>
      <c r="C48" s="490">
        <v>18</v>
      </c>
      <c r="D48" s="490">
        <v>2</v>
      </c>
      <c r="E48" s="490">
        <v>5</v>
      </c>
      <c r="F48" s="490">
        <v>25</v>
      </c>
      <c r="G48" s="308"/>
    </row>
    <row r="49" spans="2:8" x14ac:dyDescent="0.35">
      <c r="B49">
        <v>6</v>
      </c>
      <c r="C49" s="490">
        <v>24</v>
      </c>
      <c r="D49" s="490"/>
      <c r="E49" s="490">
        <v>1</v>
      </c>
      <c r="F49" s="490">
        <v>25</v>
      </c>
      <c r="G49" s="308"/>
    </row>
    <row r="50" spans="2:8" x14ac:dyDescent="0.35">
      <c r="B50">
        <v>7</v>
      </c>
      <c r="C50" s="490">
        <v>24</v>
      </c>
      <c r="D50" s="490"/>
      <c r="E50" s="490">
        <v>3</v>
      </c>
      <c r="F50" s="490">
        <v>27</v>
      </c>
      <c r="G50" s="308"/>
      <c r="H50" s="299" t="s">
        <v>20</v>
      </c>
    </row>
    <row r="51" spans="2:8" x14ac:dyDescent="0.35">
      <c r="B51">
        <v>8</v>
      </c>
      <c r="C51" s="490">
        <v>17</v>
      </c>
      <c r="D51" s="490">
        <v>6</v>
      </c>
      <c r="E51" s="490">
        <v>3</v>
      </c>
      <c r="F51" s="490">
        <v>26</v>
      </c>
      <c r="G51" s="308"/>
    </row>
    <row r="52" spans="2:8" x14ac:dyDescent="0.35">
      <c r="B52">
        <v>9</v>
      </c>
      <c r="C52" s="490">
        <v>16</v>
      </c>
      <c r="D52" s="490">
        <v>6</v>
      </c>
      <c r="E52" s="490">
        <v>2</v>
      </c>
      <c r="F52" s="490">
        <v>24</v>
      </c>
      <c r="G52" s="308"/>
    </row>
    <row r="53" spans="2:8" x14ac:dyDescent="0.35">
      <c r="B53">
        <v>10</v>
      </c>
      <c r="C53" s="490">
        <v>20</v>
      </c>
      <c r="D53" s="490">
        <v>4</v>
      </c>
      <c r="E53" s="490">
        <v>1</v>
      </c>
      <c r="F53" s="490">
        <v>25</v>
      </c>
      <c r="G53" s="308"/>
    </row>
    <row r="54" spans="2:8" x14ac:dyDescent="0.35">
      <c r="B54">
        <v>11</v>
      </c>
      <c r="C54" s="490"/>
      <c r="D54" s="490">
        <v>19</v>
      </c>
      <c r="E54" s="490">
        <v>1</v>
      </c>
      <c r="F54" s="490">
        <v>20</v>
      </c>
      <c r="G54" s="308"/>
    </row>
    <row r="55" spans="2:8" x14ac:dyDescent="0.35">
      <c r="B55">
        <v>12</v>
      </c>
      <c r="C55" s="490"/>
      <c r="D55" s="490">
        <v>22</v>
      </c>
      <c r="E55" s="490"/>
      <c r="F55" s="490">
        <v>22</v>
      </c>
      <c r="G55" s="308"/>
    </row>
    <row r="56" spans="2:8" x14ac:dyDescent="0.35">
      <c r="B56" t="s">
        <v>19</v>
      </c>
      <c r="C56" s="490">
        <v>197</v>
      </c>
      <c r="D56" s="490">
        <v>64</v>
      </c>
      <c r="E56" s="490">
        <v>26</v>
      </c>
      <c r="F56" s="490">
        <v>287</v>
      </c>
    </row>
  </sheetData>
  <conditionalFormatting pivot="1" sqref="C44:E53">
    <cfRule type="dataBar" priority="2">
      <dataBar>
        <cfvo type="min"/>
        <cfvo type="max"/>
        <color rgb="FFFF555A"/>
      </dataBar>
      <extLst>
        <ext xmlns:x14="http://schemas.microsoft.com/office/spreadsheetml/2009/9/main" uri="{B025F937-C7B1-47D3-B67F-A62EFF666E3E}">
          <x14:id>{05CF808C-860C-4632-BC11-F79804AE8385}</x14:id>
        </ext>
      </extLst>
    </cfRule>
  </conditionalFormatting>
  <conditionalFormatting pivot="1" sqref="C54:E55">
    <cfRule type="dataBar" priority="1">
      <dataBar>
        <cfvo type="min"/>
        <cfvo type="max"/>
        <color rgb="FFFF555A"/>
      </dataBar>
      <extLst>
        <ext xmlns:x14="http://schemas.microsoft.com/office/spreadsheetml/2009/9/main" uri="{B025F937-C7B1-47D3-B67F-A62EFF666E3E}">
          <x14:id>{287B1AF2-9A0F-4E1A-9E3D-FDC1E5C6C219}</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05CF808C-860C-4632-BC11-F79804AE8385}">
            <x14:dataBar minLength="0" maxLength="100" gradient="0">
              <x14:cfvo type="autoMin"/>
              <x14:cfvo type="autoMax"/>
              <x14:negativeFillColor rgb="FFFF0000"/>
              <x14:axisColor rgb="FF000000"/>
            </x14:dataBar>
          </x14:cfRule>
          <xm:sqref>C44:E53</xm:sqref>
        </x14:conditionalFormatting>
        <x14:conditionalFormatting xmlns:xm="http://schemas.microsoft.com/office/excel/2006/main" pivot="1">
          <x14:cfRule type="dataBar" id="{287B1AF2-9A0F-4E1A-9E3D-FDC1E5C6C219}">
            <x14:dataBar minLength="0" maxLength="100" gradient="0">
              <x14:cfvo type="autoMin"/>
              <x14:cfvo type="autoMax"/>
              <x14:negativeFillColor rgb="FFFF0000"/>
              <x14:axisColor rgb="FF000000"/>
            </x14:dataBar>
          </x14:cfRule>
          <xm:sqref>C54:E55</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2150F-B308-41D5-855F-324C5517752A}">
  <sheetPr codeName="Sheet4"/>
  <dimension ref="A3:E38"/>
  <sheetViews>
    <sheetView workbookViewId="0">
      <selection activeCell="C17" sqref="C17"/>
    </sheetView>
  </sheetViews>
  <sheetFormatPr defaultRowHeight="14.5" x14ac:dyDescent="0.35"/>
  <cols>
    <col min="1" max="1" width="13" bestFit="1" customWidth="1"/>
    <col min="2" max="2" width="15.26953125" bestFit="1" customWidth="1"/>
    <col min="3" max="3" width="10.08984375" bestFit="1" customWidth="1"/>
    <col min="4" max="4" width="10.54296875" bestFit="1" customWidth="1"/>
    <col min="5" max="6" width="10.7265625" bestFit="1" customWidth="1"/>
  </cols>
  <sheetData>
    <row r="3" spans="1:5" x14ac:dyDescent="0.35">
      <c r="A3" s="54" t="s">
        <v>21</v>
      </c>
      <c r="B3" s="54" t="s">
        <v>22</v>
      </c>
    </row>
    <row r="4" spans="1:5" x14ac:dyDescent="0.35">
      <c r="A4" s="54" t="s">
        <v>23</v>
      </c>
      <c r="B4" t="s">
        <v>16</v>
      </c>
      <c r="C4" t="s">
        <v>17</v>
      </c>
      <c r="D4" t="s">
        <v>18</v>
      </c>
      <c r="E4" t="s">
        <v>19</v>
      </c>
    </row>
    <row r="5" spans="1:5" x14ac:dyDescent="0.35">
      <c r="A5" s="41">
        <v>1</v>
      </c>
      <c r="B5" s="490">
        <v>20</v>
      </c>
      <c r="C5" s="490"/>
      <c r="D5" s="490">
        <v>3</v>
      </c>
      <c r="E5" s="490">
        <v>23</v>
      </c>
    </row>
    <row r="6" spans="1:5" x14ac:dyDescent="0.35">
      <c r="A6" s="41">
        <v>2</v>
      </c>
      <c r="B6" s="490">
        <v>15</v>
      </c>
      <c r="C6" s="490">
        <v>1</v>
      </c>
      <c r="D6" s="490">
        <v>4</v>
      </c>
      <c r="E6" s="490">
        <v>20</v>
      </c>
    </row>
    <row r="7" spans="1:5" x14ac:dyDescent="0.35">
      <c r="A7" s="41">
        <v>3</v>
      </c>
      <c r="B7" s="490">
        <v>18</v>
      </c>
      <c r="C7" s="490">
        <v>3</v>
      </c>
      <c r="D7" s="490">
        <v>2</v>
      </c>
      <c r="E7" s="490">
        <v>23</v>
      </c>
    </row>
    <row r="8" spans="1:5" x14ac:dyDescent="0.35">
      <c r="A8" s="41">
        <v>4</v>
      </c>
      <c r="B8" s="490">
        <v>25</v>
      </c>
      <c r="C8" s="490">
        <v>1</v>
      </c>
      <c r="D8" s="490">
        <v>1</v>
      </c>
      <c r="E8" s="490">
        <v>27</v>
      </c>
    </row>
    <row r="9" spans="1:5" x14ac:dyDescent="0.35">
      <c r="A9" s="41">
        <v>5</v>
      </c>
      <c r="B9" s="490">
        <v>18</v>
      </c>
      <c r="C9" s="490">
        <v>2</v>
      </c>
      <c r="D9" s="490">
        <v>5</v>
      </c>
      <c r="E9" s="490">
        <v>25</v>
      </c>
    </row>
    <row r="10" spans="1:5" x14ac:dyDescent="0.35">
      <c r="A10" s="41">
        <v>6</v>
      </c>
      <c r="B10" s="490">
        <v>24</v>
      </c>
      <c r="C10" s="490"/>
      <c r="D10" s="490">
        <v>1</v>
      </c>
      <c r="E10" s="490">
        <v>25</v>
      </c>
    </row>
    <row r="11" spans="1:5" x14ac:dyDescent="0.35">
      <c r="A11" s="41">
        <v>7</v>
      </c>
      <c r="B11" s="490">
        <v>24</v>
      </c>
      <c r="C11" s="490"/>
      <c r="D11" s="490">
        <v>3</v>
      </c>
      <c r="E11" s="490">
        <v>27</v>
      </c>
    </row>
    <row r="12" spans="1:5" x14ac:dyDescent="0.35">
      <c r="A12" s="41">
        <v>8</v>
      </c>
      <c r="B12" s="490">
        <v>17</v>
      </c>
      <c r="C12" s="490">
        <v>6</v>
      </c>
      <c r="D12" s="490">
        <v>3</v>
      </c>
      <c r="E12" s="490">
        <v>26</v>
      </c>
    </row>
    <row r="13" spans="1:5" x14ac:dyDescent="0.35">
      <c r="A13" s="41">
        <v>9</v>
      </c>
      <c r="B13" s="490">
        <v>16</v>
      </c>
      <c r="C13" s="490">
        <v>6</v>
      </c>
      <c r="D13" s="490">
        <v>2</v>
      </c>
      <c r="E13" s="490">
        <v>24</v>
      </c>
    </row>
    <row r="14" spans="1:5" x14ac:dyDescent="0.35">
      <c r="A14" s="41">
        <v>10</v>
      </c>
      <c r="B14" s="490">
        <v>20</v>
      </c>
      <c r="C14" s="490">
        <v>4</v>
      </c>
      <c r="D14" s="490">
        <v>1</v>
      </c>
      <c r="E14" s="490">
        <v>25</v>
      </c>
    </row>
    <row r="15" spans="1:5" x14ac:dyDescent="0.35">
      <c r="A15" s="41" t="s">
        <v>19</v>
      </c>
      <c r="B15" s="490">
        <v>197</v>
      </c>
      <c r="C15" s="490">
        <v>23</v>
      </c>
      <c r="D15" s="490">
        <v>25</v>
      </c>
      <c r="E15" s="490">
        <v>245</v>
      </c>
    </row>
    <row r="20" spans="1:5" x14ac:dyDescent="0.35">
      <c r="A20" s="54" t="s">
        <v>21</v>
      </c>
      <c r="B20" s="54" t="s">
        <v>22</v>
      </c>
    </row>
    <row r="21" spans="1:5" x14ac:dyDescent="0.35">
      <c r="A21" s="54" t="s">
        <v>23</v>
      </c>
      <c r="B21" t="s">
        <v>16</v>
      </c>
      <c r="C21" t="s">
        <v>17</v>
      </c>
      <c r="D21" t="s">
        <v>18</v>
      </c>
      <c r="E21" t="s">
        <v>19</v>
      </c>
    </row>
    <row r="22" spans="1:5" x14ac:dyDescent="0.35">
      <c r="A22" s="41" t="s">
        <v>24</v>
      </c>
      <c r="B22" s="490">
        <v>111</v>
      </c>
      <c r="C22" s="490">
        <v>13</v>
      </c>
      <c r="D22" s="490">
        <v>12</v>
      </c>
      <c r="E22" s="490">
        <v>136</v>
      </c>
    </row>
    <row r="23" spans="1:5" x14ac:dyDescent="0.35">
      <c r="A23" s="41" t="s">
        <v>25</v>
      </c>
      <c r="B23" s="490">
        <v>86</v>
      </c>
      <c r="C23" s="490">
        <v>10</v>
      </c>
      <c r="D23" s="490">
        <v>13</v>
      </c>
      <c r="E23" s="490">
        <v>109</v>
      </c>
    </row>
    <row r="24" spans="1:5" x14ac:dyDescent="0.35">
      <c r="A24" s="41" t="s">
        <v>19</v>
      </c>
      <c r="B24" s="490">
        <v>197</v>
      </c>
      <c r="C24" s="490">
        <v>23</v>
      </c>
      <c r="D24" s="490">
        <v>25</v>
      </c>
      <c r="E24" s="490">
        <v>245</v>
      </c>
    </row>
    <row r="33" spans="2:5" x14ac:dyDescent="0.35">
      <c r="C33">
        <f>65+78+32+49+12+9</f>
        <v>245</v>
      </c>
    </row>
    <row r="34" spans="2:5" x14ac:dyDescent="0.35">
      <c r="B34" t="s">
        <v>23</v>
      </c>
      <c r="C34" t="s">
        <v>24</v>
      </c>
      <c r="D34" t="s">
        <v>25</v>
      </c>
      <c r="E34" t="s">
        <v>19</v>
      </c>
    </row>
    <row r="35" spans="2:5" x14ac:dyDescent="0.35">
      <c r="B35" t="s">
        <v>16</v>
      </c>
      <c r="C35">
        <v>80</v>
      </c>
      <c r="D35">
        <v>65</v>
      </c>
      <c r="E35">
        <v>145</v>
      </c>
    </row>
    <row r="36" spans="2:5" x14ac:dyDescent="0.35">
      <c r="B36" t="s">
        <v>17</v>
      </c>
      <c r="C36">
        <v>47</v>
      </c>
      <c r="D36">
        <v>32</v>
      </c>
      <c r="E36">
        <v>79</v>
      </c>
    </row>
    <row r="37" spans="2:5" x14ac:dyDescent="0.35">
      <c r="B37" t="s">
        <v>18</v>
      </c>
      <c r="C37">
        <v>9</v>
      </c>
      <c r="D37">
        <v>12</v>
      </c>
      <c r="E37">
        <v>21</v>
      </c>
    </row>
    <row r="38" spans="2:5" x14ac:dyDescent="0.35">
      <c r="B38" t="s">
        <v>19</v>
      </c>
      <c r="C38">
        <v>136</v>
      </c>
      <c r="D38">
        <v>109</v>
      </c>
      <c r="E38">
        <v>245</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94"/>
  <sheetViews>
    <sheetView topLeftCell="L4" zoomScale="72" zoomScaleNormal="72" workbookViewId="0">
      <selection activeCell="O14" sqref="O14:Q26"/>
    </sheetView>
  </sheetViews>
  <sheetFormatPr defaultRowHeight="15" customHeight="1" x14ac:dyDescent="0.35"/>
  <cols>
    <col min="1" max="1" width="13.6328125" bestFit="1" customWidth="1"/>
    <col min="2" max="2" width="16.54296875" bestFit="1" customWidth="1"/>
    <col min="3" max="3" width="10.36328125" bestFit="1" customWidth="1"/>
    <col min="4" max="4" width="10.81640625" bestFit="1" customWidth="1"/>
    <col min="5" max="5" width="11.08984375" bestFit="1" customWidth="1"/>
    <col min="6" max="6" width="13" customWidth="1"/>
    <col min="7" max="7" width="26.26953125" customWidth="1"/>
    <col min="8" max="8" width="26.81640625" customWidth="1"/>
    <col min="9" max="9" width="19.81640625" customWidth="1"/>
    <col min="10" max="10" width="9.81640625" customWidth="1"/>
    <col min="11" max="11" width="12.453125" customWidth="1"/>
    <col min="12" max="12" width="15.453125" customWidth="1"/>
    <col min="13" max="13" width="10.54296875" customWidth="1"/>
    <col min="14" max="14" width="15.54296875" customWidth="1"/>
    <col min="15" max="15" width="27.54296875" customWidth="1"/>
    <col min="16" max="16" width="19.26953125" customWidth="1"/>
    <col min="17" max="17" width="17" customWidth="1"/>
    <col min="18" max="18" width="23" bestFit="1" customWidth="1"/>
    <col min="19" max="24" width="24.1796875" bestFit="1" customWidth="1"/>
    <col min="25" max="25" width="23.453125" bestFit="1" customWidth="1"/>
    <col min="26" max="26" width="21.1796875" bestFit="1" customWidth="1"/>
    <col min="27" max="27" width="23.81640625" bestFit="1" customWidth="1"/>
    <col min="28" max="28" width="23.54296875" bestFit="1" customWidth="1"/>
    <col min="29" max="29" width="26.54296875" bestFit="1" customWidth="1"/>
    <col min="30" max="40" width="30.1796875" bestFit="1" customWidth="1"/>
    <col min="41" max="41" width="32.81640625" bestFit="1" customWidth="1"/>
    <col min="42" max="43" width="18.453125" bestFit="1" customWidth="1"/>
    <col min="44" max="44" width="11.54296875" bestFit="1" customWidth="1"/>
    <col min="45" max="45" width="10.54296875" bestFit="1" customWidth="1"/>
  </cols>
  <sheetData>
    <row r="1" spans="1:22" s="57" customFormat="1" ht="14.5" x14ac:dyDescent="0.35">
      <c r="A1" s="59" t="s">
        <v>26</v>
      </c>
      <c r="H1" s="59" t="s">
        <v>27</v>
      </c>
      <c r="S1" s="58" t="s">
        <v>15</v>
      </c>
      <c r="T1" s="58" t="s">
        <v>25</v>
      </c>
      <c r="U1" s="58" t="s">
        <v>24</v>
      </c>
      <c r="V1" s="58" t="s">
        <v>28</v>
      </c>
    </row>
    <row r="2" spans="1:22" ht="14.5" x14ac:dyDescent="0.35">
      <c r="A2" s="54" t="s">
        <v>29</v>
      </c>
      <c r="B2" t="s">
        <v>30</v>
      </c>
      <c r="H2" s="54" t="s">
        <v>29</v>
      </c>
      <c r="I2" t="s">
        <v>30</v>
      </c>
      <c r="N2" s="54" t="s">
        <v>14</v>
      </c>
      <c r="O2" t="s">
        <v>30</v>
      </c>
      <c r="P2" s="54" t="s">
        <v>14</v>
      </c>
      <c r="Q2" t="s">
        <v>16</v>
      </c>
      <c r="S2" s="56" t="s">
        <v>31</v>
      </c>
      <c r="T2" s="24"/>
      <c r="U2" s="24"/>
      <c r="V2" s="24"/>
    </row>
    <row r="3" spans="1:22" ht="14.5" x14ac:dyDescent="0.35">
      <c r="N3" s="60" t="s">
        <v>12</v>
      </c>
      <c r="P3" s="60" t="s">
        <v>12</v>
      </c>
    </row>
    <row r="4" spans="1:22" ht="14.5" x14ac:dyDescent="0.35">
      <c r="A4" s="54" t="s">
        <v>13</v>
      </c>
      <c r="B4" s="54" t="s">
        <v>14</v>
      </c>
      <c r="H4" s="54" t="s">
        <v>13</v>
      </c>
      <c r="I4" s="54" t="s">
        <v>14</v>
      </c>
      <c r="N4" s="54" t="s">
        <v>29</v>
      </c>
      <c r="O4" t="s">
        <v>13</v>
      </c>
      <c r="P4" s="54" t="s">
        <v>29</v>
      </c>
      <c r="Q4" t="s">
        <v>13</v>
      </c>
    </row>
    <row r="5" spans="1:22" ht="14.5" x14ac:dyDescent="0.35">
      <c r="A5" s="54" t="s">
        <v>32</v>
      </c>
      <c r="B5" t="s">
        <v>16</v>
      </c>
      <c r="C5" t="s">
        <v>17</v>
      </c>
      <c r="D5" t="s">
        <v>18</v>
      </c>
      <c r="E5" t="s">
        <v>33</v>
      </c>
      <c r="F5" t="s">
        <v>19</v>
      </c>
      <c r="H5" s="54" t="s">
        <v>34</v>
      </c>
      <c r="I5" t="s">
        <v>16</v>
      </c>
      <c r="J5" t="s">
        <v>17</v>
      </c>
      <c r="K5" t="s">
        <v>18</v>
      </c>
      <c r="L5" t="s">
        <v>19</v>
      </c>
      <c r="N5" t="s">
        <v>4138</v>
      </c>
      <c r="O5" s="490">
        <v>130</v>
      </c>
      <c r="P5" t="s">
        <v>4138</v>
      </c>
      <c r="Q5" s="490">
        <v>86</v>
      </c>
    </row>
    <row r="6" spans="1:22" ht="14.5" x14ac:dyDescent="0.35">
      <c r="A6" t="s">
        <v>35</v>
      </c>
      <c r="B6">
        <v>17</v>
      </c>
      <c r="C6">
        <v>9</v>
      </c>
      <c r="D6">
        <v>3</v>
      </c>
      <c r="F6">
        <v>29</v>
      </c>
      <c r="H6" t="s">
        <v>36</v>
      </c>
      <c r="I6" s="490">
        <v>1</v>
      </c>
      <c r="J6" s="490">
        <v>2</v>
      </c>
      <c r="K6" s="490"/>
      <c r="L6" s="490">
        <v>3</v>
      </c>
      <c r="N6" t="s">
        <v>4137</v>
      </c>
      <c r="O6" s="490">
        <v>157</v>
      </c>
      <c r="P6" t="s">
        <v>4137</v>
      </c>
      <c r="Q6" s="490">
        <v>111</v>
      </c>
    </row>
    <row r="7" spans="1:22" ht="14.5" x14ac:dyDescent="0.35">
      <c r="A7" t="s">
        <v>37</v>
      </c>
      <c r="B7">
        <v>7</v>
      </c>
      <c r="C7">
        <v>6</v>
      </c>
      <c r="F7">
        <v>13</v>
      </c>
      <c r="H7" t="s">
        <v>38</v>
      </c>
      <c r="I7" s="490">
        <v>4</v>
      </c>
      <c r="J7" s="490">
        <v>1</v>
      </c>
      <c r="K7" s="490">
        <v>1</v>
      </c>
      <c r="L7" s="490">
        <v>6</v>
      </c>
      <c r="N7" t="s">
        <v>19</v>
      </c>
      <c r="O7" s="490">
        <v>287</v>
      </c>
      <c r="P7" t="s">
        <v>19</v>
      </c>
      <c r="Q7" s="490">
        <v>197</v>
      </c>
    </row>
    <row r="8" spans="1:22" ht="14.5" x14ac:dyDescent="0.35">
      <c r="A8" t="s">
        <v>39</v>
      </c>
      <c r="B8">
        <v>19</v>
      </c>
      <c r="C8">
        <v>1</v>
      </c>
      <c r="F8">
        <v>20</v>
      </c>
      <c r="H8" t="s">
        <v>40</v>
      </c>
      <c r="I8" s="490">
        <v>7</v>
      </c>
      <c r="J8" s="490">
        <v>2</v>
      </c>
      <c r="K8" s="490">
        <v>1</v>
      </c>
      <c r="L8" s="490">
        <v>10</v>
      </c>
    </row>
    <row r="9" spans="1:22" ht="14.5" x14ac:dyDescent="0.35">
      <c r="A9" t="s">
        <v>41</v>
      </c>
      <c r="B9">
        <v>6</v>
      </c>
      <c r="D9">
        <v>2</v>
      </c>
      <c r="F9">
        <v>8</v>
      </c>
      <c r="H9" t="s">
        <v>35</v>
      </c>
      <c r="I9" s="490">
        <v>19</v>
      </c>
      <c r="J9" s="490">
        <v>8</v>
      </c>
      <c r="K9" s="490">
        <v>4</v>
      </c>
      <c r="L9" s="490">
        <v>31</v>
      </c>
    </row>
    <row r="10" spans="1:22" ht="14.5" x14ac:dyDescent="0.35">
      <c r="A10" t="s">
        <v>31</v>
      </c>
      <c r="B10">
        <v>29</v>
      </c>
      <c r="C10">
        <v>10</v>
      </c>
      <c r="F10">
        <v>39</v>
      </c>
      <c r="H10" t="s">
        <v>37</v>
      </c>
      <c r="I10" s="490">
        <v>13</v>
      </c>
      <c r="J10" s="490">
        <v>8</v>
      </c>
      <c r="K10" s="490">
        <v>1</v>
      </c>
      <c r="L10" s="490">
        <v>22</v>
      </c>
    </row>
    <row r="11" spans="1:22" ht="14.5" x14ac:dyDescent="0.35">
      <c r="A11" t="s">
        <v>42</v>
      </c>
      <c r="B11">
        <v>22</v>
      </c>
      <c r="C11">
        <v>10</v>
      </c>
      <c r="D11">
        <v>5</v>
      </c>
      <c r="F11">
        <v>37</v>
      </c>
      <c r="H11" t="s">
        <v>39</v>
      </c>
      <c r="I11" s="490">
        <v>30</v>
      </c>
      <c r="J11" s="490">
        <v>3</v>
      </c>
      <c r="K11" s="490"/>
      <c r="L11" s="490">
        <v>33</v>
      </c>
    </row>
    <row r="12" spans="1:22" ht="14.5" x14ac:dyDescent="0.35">
      <c r="A12" t="s">
        <v>43</v>
      </c>
      <c r="B12">
        <v>6</v>
      </c>
      <c r="C12">
        <v>7</v>
      </c>
      <c r="F12">
        <v>13</v>
      </c>
      <c r="H12" t="s">
        <v>41</v>
      </c>
      <c r="I12" s="490">
        <v>4</v>
      </c>
      <c r="J12" s="490"/>
      <c r="K12" s="490">
        <v>2</v>
      </c>
      <c r="L12" s="490">
        <v>6</v>
      </c>
    </row>
    <row r="13" spans="1:22" ht="14.5" x14ac:dyDescent="0.35">
      <c r="A13" t="s">
        <v>44</v>
      </c>
      <c r="B13">
        <v>75</v>
      </c>
      <c r="C13">
        <v>14</v>
      </c>
      <c r="D13">
        <v>8</v>
      </c>
      <c r="F13">
        <v>97</v>
      </c>
      <c r="H13" t="s">
        <v>31</v>
      </c>
      <c r="I13" s="490">
        <v>32</v>
      </c>
      <c r="J13" s="490">
        <v>11</v>
      </c>
      <c r="K13" s="490"/>
      <c r="L13" s="490">
        <v>43</v>
      </c>
      <c r="O13" s="54" t="s">
        <v>13</v>
      </c>
      <c r="P13" s="54" t="s">
        <v>29</v>
      </c>
    </row>
    <row r="14" spans="1:22" ht="14.5" x14ac:dyDescent="0.35">
      <c r="A14" t="s">
        <v>33</v>
      </c>
      <c r="C14">
        <v>1</v>
      </c>
      <c r="D14">
        <v>5</v>
      </c>
      <c r="F14">
        <v>6</v>
      </c>
      <c r="H14" t="s">
        <v>42</v>
      </c>
      <c r="I14" s="490">
        <v>17</v>
      </c>
      <c r="J14" s="490">
        <v>7</v>
      </c>
      <c r="K14" s="490">
        <v>7</v>
      </c>
      <c r="L14" s="490">
        <v>31</v>
      </c>
      <c r="O14" s="54" t="s">
        <v>15</v>
      </c>
      <c r="P14" t="s">
        <v>4138</v>
      </c>
      <c r="Q14" t="s">
        <v>4137</v>
      </c>
      <c r="R14" t="s">
        <v>19</v>
      </c>
    </row>
    <row r="15" spans="1:22" ht="14.5" x14ac:dyDescent="0.35">
      <c r="A15" t="s">
        <v>4136</v>
      </c>
      <c r="B15">
        <v>16</v>
      </c>
      <c r="C15">
        <v>6</v>
      </c>
      <c r="D15">
        <v>3</v>
      </c>
      <c r="F15">
        <v>25</v>
      </c>
      <c r="H15" t="s">
        <v>43</v>
      </c>
      <c r="I15" s="490">
        <v>20</v>
      </c>
      <c r="J15" s="490">
        <v>9</v>
      </c>
      <c r="K15" s="490">
        <v>2</v>
      </c>
      <c r="L15" s="490">
        <v>31</v>
      </c>
      <c r="O15">
        <v>1</v>
      </c>
      <c r="P15" s="490">
        <v>14</v>
      </c>
      <c r="Q15" s="490">
        <v>9</v>
      </c>
      <c r="R15" s="490">
        <v>23</v>
      </c>
    </row>
    <row r="16" spans="1:22" ht="14.5" x14ac:dyDescent="0.35">
      <c r="A16" t="s">
        <v>19</v>
      </c>
      <c r="B16">
        <v>197</v>
      </c>
      <c r="C16">
        <v>64</v>
      </c>
      <c r="D16">
        <v>26</v>
      </c>
      <c r="F16">
        <v>287</v>
      </c>
      <c r="H16" t="s">
        <v>44</v>
      </c>
      <c r="I16" s="490">
        <v>25</v>
      </c>
      <c r="J16" s="490">
        <v>2</v>
      </c>
      <c r="K16" s="490">
        <v>5</v>
      </c>
      <c r="L16" s="490">
        <v>32</v>
      </c>
      <c r="O16">
        <v>2</v>
      </c>
      <c r="P16" s="490">
        <v>11</v>
      </c>
      <c r="Q16" s="490">
        <v>9</v>
      </c>
      <c r="R16" s="490">
        <v>20</v>
      </c>
    </row>
    <row r="17" spans="1:18" ht="14.5" x14ac:dyDescent="0.35">
      <c r="H17" t="s">
        <v>46</v>
      </c>
      <c r="I17" s="490"/>
      <c r="J17" s="490">
        <v>2</v>
      </c>
      <c r="K17" s="490"/>
      <c r="L17" s="490">
        <v>2</v>
      </c>
      <c r="O17">
        <v>3</v>
      </c>
      <c r="P17" s="490">
        <v>10</v>
      </c>
      <c r="Q17" s="490">
        <v>13</v>
      </c>
      <c r="R17" s="490">
        <v>23</v>
      </c>
    </row>
    <row r="18" spans="1:18" ht="14.5" x14ac:dyDescent="0.35">
      <c r="H18" t="s">
        <v>4136</v>
      </c>
      <c r="I18" s="490">
        <v>25</v>
      </c>
      <c r="J18" s="490">
        <v>9</v>
      </c>
      <c r="K18" s="490">
        <v>3</v>
      </c>
      <c r="L18" s="490">
        <v>37</v>
      </c>
      <c r="O18">
        <v>4</v>
      </c>
      <c r="P18" s="490">
        <v>15</v>
      </c>
      <c r="Q18" s="490">
        <v>12</v>
      </c>
      <c r="R18" s="490">
        <v>27</v>
      </c>
    </row>
    <row r="19" spans="1:18" ht="14.5" x14ac:dyDescent="0.35">
      <c r="H19" t="s">
        <v>19</v>
      </c>
      <c r="I19" s="490">
        <v>197</v>
      </c>
      <c r="J19" s="490">
        <v>64</v>
      </c>
      <c r="K19" s="490">
        <v>26</v>
      </c>
      <c r="L19" s="490">
        <v>287</v>
      </c>
      <c r="O19">
        <v>5</v>
      </c>
      <c r="P19" s="490">
        <v>12</v>
      </c>
      <c r="Q19" s="490">
        <v>13</v>
      </c>
      <c r="R19" s="490">
        <v>25</v>
      </c>
    </row>
    <row r="20" spans="1:18" ht="14.5" x14ac:dyDescent="0.35">
      <c r="O20">
        <v>6</v>
      </c>
      <c r="P20" s="490">
        <v>10</v>
      </c>
      <c r="Q20" s="490">
        <v>15</v>
      </c>
      <c r="R20" s="490">
        <v>25</v>
      </c>
    </row>
    <row r="21" spans="1:18" ht="14.5" x14ac:dyDescent="0.35">
      <c r="O21">
        <v>7</v>
      </c>
      <c r="P21" s="490">
        <v>8</v>
      </c>
      <c r="Q21" s="490">
        <v>19</v>
      </c>
      <c r="R21" s="490">
        <v>27</v>
      </c>
    </row>
    <row r="22" spans="1:18" ht="14.5" x14ac:dyDescent="0.35">
      <c r="O22">
        <v>8</v>
      </c>
      <c r="P22" s="490">
        <v>10</v>
      </c>
      <c r="Q22" s="490">
        <v>16</v>
      </c>
      <c r="R22" s="490">
        <v>26</v>
      </c>
    </row>
    <row r="23" spans="1:18" ht="14.5" x14ac:dyDescent="0.35">
      <c r="O23">
        <v>9</v>
      </c>
      <c r="P23" s="490">
        <v>9</v>
      </c>
      <c r="Q23" s="490">
        <v>15</v>
      </c>
      <c r="R23" s="490">
        <v>24</v>
      </c>
    </row>
    <row r="24" spans="1:18" ht="14.5" x14ac:dyDescent="0.35">
      <c r="O24">
        <v>10</v>
      </c>
      <c r="P24" s="490">
        <v>10</v>
      </c>
      <c r="Q24" s="490">
        <v>15</v>
      </c>
      <c r="R24" s="490">
        <v>25</v>
      </c>
    </row>
    <row r="25" spans="1:18" ht="15" customHeight="1" x14ac:dyDescent="0.35">
      <c r="O25">
        <v>11</v>
      </c>
      <c r="P25" s="490">
        <v>9</v>
      </c>
      <c r="Q25" s="490">
        <v>11</v>
      </c>
      <c r="R25" s="490">
        <v>20</v>
      </c>
    </row>
    <row r="26" spans="1:18" ht="15" customHeight="1" x14ac:dyDescent="0.35">
      <c r="O26">
        <v>12</v>
      </c>
      <c r="P26" s="490">
        <v>12</v>
      </c>
      <c r="Q26" s="490">
        <v>10</v>
      </c>
      <c r="R26" s="490">
        <v>22</v>
      </c>
    </row>
    <row r="27" spans="1:18" ht="14.5" x14ac:dyDescent="0.35">
      <c r="A27" s="60" t="s">
        <v>12</v>
      </c>
      <c r="H27" s="54" t="s">
        <v>14</v>
      </c>
      <c r="I27" t="s">
        <v>30</v>
      </c>
      <c r="O27" t="s">
        <v>19</v>
      </c>
      <c r="P27" s="490">
        <v>130</v>
      </c>
      <c r="Q27" s="490">
        <v>157</v>
      </c>
      <c r="R27" s="490">
        <v>287</v>
      </c>
    </row>
    <row r="28" spans="1:18" ht="14.5" x14ac:dyDescent="0.35">
      <c r="A28" s="54" t="s">
        <v>13</v>
      </c>
      <c r="B28" s="54" t="s">
        <v>14</v>
      </c>
    </row>
    <row r="29" spans="1:18" ht="14.5" x14ac:dyDescent="0.35">
      <c r="A29" s="54" t="s">
        <v>15</v>
      </c>
      <c r="B29" t="s">
        <v>16</v>
      </c>
      <c r="C29" t="s">
        <v>17</v>
      </c>
      <c r="D29" t="s">
        <v>18</v>
      </c>
      <c r="E29" t="s">
        <v>19</v>
      </c>
      <c r="F29" t="s">
        <v>47</v>
      </c>
      <c r="H29" s="54" t="s">
        <v>13</v>
      </c>
      <c r="I29" s="54" t="s">
        <v>29</v>
      </c>
    </row>
    <row r="30" spans="1:18" ht="15" customHeight="1" x14ac:dyDescent="0.4">
      <c r="A30">
        <v>1</v>
      </c>
      <c r="B30" s="490">
        <v>20</v>
      </c>
      <c r="C30" s="490"/>
      <c r="D30" s="490">
        <v>3</v>
      </c>
      <c r="E30" s="490">
        <v>23</v>
      </c>
      <c r="F30" s="390">
        <f>SUM(B30:C30)/E30</f>
        <v>0.86956521739130432</v>
      </c>
      <c r="G30" s="390"/>
      <c r="H30" s="54" t="s">
        <v>48</v>
      </c>
      <c r="I30" t="s">
        <v>4138</v>
      </c>
      <c r="J30" t="s">
        <v>4137</v>
      </c>
      <c r="K30" t="s">
        <v>19</v>
      </c>
      <c r="N30" s="425" t="s">
        <v>49</v>
      </c>
    </row>
    <row r="31" spans="1:18" ht="14.5" x14ac:dyDescent="0.35">
      <c r="A31">
        <v>2</v>
      </c>
      <c r="B31" s="490">
        <v>15</v>
      </c>
      <c r="C31" s="490">
        <v>1</v>
      </c>
      <c r="D31" s="490">
        <v>4</v>
      </c>
      <c r="E31" s="490">
        <v>20</v>
      </c>
      <c r="F31" s="390">
        <f t="shared" ref="F31:F40" si="0">SUM(B31:C31)/E31</f>
        <v>0.8</v>
      </c>
      <c r="G31" s="390"/>
      <c r="H31" t="s">
        <v>50</v>
      </c>
      <c r="I31" s="490">
        <v>16</v>
      </c>
      <c r="J31" s="490">
        <v>42</v>
      </c>
      <c r="K31" s="490">
        <v>58</v>
      </c>
    </row>
    <row r="32" spans="1:18" ht="14.5" x14ac:dyDescent="0.35">
      <c r="A32">
        <v>3</v>
      </c>
      <c r="B32" s="490">
        <v>18</v>
      </c>
      <c r="C32" s="490">
        <v>3</v>
      </c>
      <c r="D32" s="490">
        <v>2</v>
      </c>
      <c r="E32" s="490">
        <v>23</v>
      </c>
      <c r="F32" s="390">
        <f t="shared" si="0"/>
        <v>0.91304347826086951</v>
      </c>
      <c r="G32" s="390"/>
      <c r="H32" t="s">
        <v>51</v>
      </c>
      <c r="I32" s="490">
        <v>24</v>
      </c>
      <c r="J32" s="490">
        <v>15</v>
      </c>
      <c r="K32" s="490">
        <v>39</v>
      </c>
    </row>
    <row r="33" spans="1:11" ht="14.5" x14ac:dyDescent="0.35">
      <c r="A33">
        <v>4</v>
      </c>
      <c r="B33" s="490">
        <v>25</v>
      </c>
      <c r="C33" s="490">
        <v>1</v>
      </c>
      <c r="D33" s="490">
        <v>1</v>
      </c>
      <c r="E33" s="490">
        <v>27</v>
      </c>
      <c r="F33" s="390">
        <f t="shared" si="0"/>
        <v>0.96296296296296291</v>
      </c>
      <c r="G33" s="390"/>
      <c r="H33" t="s">
        <v>52</v>
      </c>
      <c r="I33" s="490">
        <v>36</v>
      </c>
      <c r="J33" s="490">
        <v>42</v>
      </c>
      <c r="K33" s="490">
        <v>78</v>
      </c>
    </row>
    <row r="34" spans="1:11" ht="14.5" x14ac:dyDescent="0.35">
      <c r="A34">
        <v>5</v>
      </c>
      <c r="B34" s="490">
        <v>18</v>
      </c>
      <c r="C34" s="490">
        <v>2</v>
      </c>
      <c r="D34" s="490">
        <v>5</v>
      </c>
      <c r="E34" s="490">
        <v>25</v>
      </c>
      <c r="F34" s="390">
        <f t="shared" si="0"/>
        <v>0.8</v>
      </c>
      <c r="G34" s="390"/>
      <c r="H34" t="s">
        <v>53</v>
      </c>
      <c r="I34" s="490">
        <v>19</v>
      </c>
      <c r="J34" s="490">
        <v>12</v>
      </c>
      <c r="K34" s="490">
        <v>31</v>
      </c>
    </row>
    <row r="35" spans="1:11" ht="14.5" x14ac:dyDescent="0.35">
      <c r="A35">
        <v>6</v>
      </c>
      <c r="B35" s="490">
        <v>24</v>
      </c>
      <c r="C35" s="490"/>
      <c r="D35" s="490">
        <v>1</v>
      </c>
      <c r="E35" s="490">
        <v>25</v>
      </c>
      <c r="F35" s="390">
        <f t="shared" si="0"/>
        <v>0.96</v>
      </c>
      <c r="G35" s="390"/>
      <c r="H35" t="s">
        <v>54</v>
      </c>
      <c r="I35" s="490">
        <v>1</v>
      </c>
      <c r="J35" s="490"/>
      <c r="K35" s="490">
        <v>1</v>
      </c>
    </row>
    <row r="36" spans="1:11" ht="14.5" x14ac:dyDescent="0.35">
      <c r="A36">
        <v>7</v>
      </c>
      <c r="B36" s="490">
        <v>24</v>
      </c>
      <c r="C36" s="490"/>
      <c r="D36" s="490">
        <v>3</v>
      </c>
      <c r="E36" s="490">
        <v>27</v>
      </c>
      <c r="F36" s="390">
        <f t="shared" si="0"/>
        <v>0.88888888888888884</v>
      </c>
      <c r="G36" s="390"/>
      <c r="H36" t="s">
        <v>55</v>
      </c>
      <c r="I36" s="490">
        <v>1</v>
      </c>
      <c r="J36" s="490">
        <v>1</v>
      </c>
      <c r="K36" s="490">
        <v>2</v>
      </c>
    </row>
    <row r="37" spans="1:11" ht="14.5" x14ac:dyDescent="0.35">
      <c r="A37">
        <v>8</v>
      </c>
      <c r="B37" s="490">
        <v>17</v>
      </c>
      <c r="C37" s="490">
        <v>6</v>
      </c>
      <c r="D37" s="490">
        <v>3</v>
      </c>
      <c r="E37" s="490">
        <v>26</v>
      </c>
      <c r="F37" s="390">
        <f t="shared" si="0"/>
        <v>0.88461538461538458</v>
      </c>
      <c r="G37" s="390"/>
      <c r="H37" t="s">
        <v>56</v>
      </c>
      <c r="I37" s="490">
        <v>8</v>
      </c>
      <c r="J37" s="490">
        <v>20</v>
      </c>
      <c r="K37" s="490">
        <v>28</v>
      </c>
    </row>
    <row r="38" spans="1:11" ht="14.5" x14ac:dyDescent="0.35">
      <c r="A38">
        <v>9</v>
      </c>
      <c r="B38" s="490">
        <v>16</v>
      </c>
      <c r="C38" s="490">
        <v>6</v>
      </c>
      <c r="D38" s="490">
        <v>2</v>
      </c>
      <c r="E38" s="490">
        <v>24</v>
      </c>
      <c r="F38" s="390">
        <f t="shared" si="0"/>
        <v>0.91666666666666663</v>
      </c>
      <c r="G38" s="390"/>
      <c r="H38" t="s">
        <v>57</v>
      </c>
      <c r="I38" s="490">
        <v>7</v>
      </c>
      <c r="J38" s="490">
        <v>9</v>
      </c>
      <c r="K38" s="490">
        <v>16</v>
      </c>
    </row>
    <row r="39" spans="1:11" ht="14.5" x14ac:dyDescent="0.35">
      <c r="A39">
        <v>10</v>
      </c>
      <c r="B39" s="490">
        <v>20</v>
      </c>
      <c r="C39" s="490">
        <v>4</v>
      </c>
      <c r="D39" s="490">
        <v>1</v>
      </c>
      <c r="E39" s="490">
        <v>25</v>
      </c>
      <c r="F39" s="390">
        <f t="shared" si="0"/>
        <v>0.96</v>
      </c>
      <c r="G39" s="390"/>
      <c r="H39" t="s">
        <v>58</v>
      </c>
      <c r="I39" s="490">
        <v>17</v>
      </c>
      <c r="J39" s="490">
        <v>14</v>
      </c>
      <c r="K39" s="490">
        <v>31</v>
      </c>
    </row>
    <row r="40" spans="1:11" ht="14.5" x14ac:dyDescent="0.35">
      <c r="A40">
        <v>11</v>
      </c>
      <c r="B40" s="490"/>
      <c r="C40" s="490">
        <v>19</v>
      </c>
      <c r="D40" s="490">
        <v>1</v>
      </c>
      <c r="E40" s="490">
        <v>20</v>
      </c>
      <c r="F40" s="390">
        <f t="shared" si="0"/>
        <v>0.95</v>
      </c>
      <c r="G40" s="390"/>
      <c r="H40" t="s">
        <v>59</v>
      </c>
      <c r="I40" s="490">
        <v>1</v>
      </c>
      <c r="J40" s="490">
        <v>2</v>
      </c>
      <c r="K40" s="490">
        <v>3</v>
      </c>
    </row>
    <row r="41" spans="1:11" ht="14.5" x14ac:dyDescent="0.35">
      <c r="A41">
        <v>12</v>
      </c>
      <c r="B41" s="490"/>
      <c r="C41" s="490">
        <v>22</v>
      </c>
      <c r="D41" s="490"/>
      <c r="E41" s="490">
        <v>22</v>
      </c>
      <c r="F41" s="390">
        <f>SUM(B41:C41)/E41</f>
        <v>1</v>
      </c>
      <c r="G41" s="390"/>
      <c r="H41" t="s">
        <v>19</v>
      </c>
      <c r="I41" s="490">
        <v>130</v>
      </c>
      <c r="J41" s="490">
        <v>157</v>
      </c>
      <c r="K41" s="490">
        <v>287</v>
      </c>
    </row>
    <row r="42" spans="1:11" ht="14.5" x14ac:dyDescent="0.35">
      <c r="A42" t="s">
        <v>19</v>
      </c>
      <c r="B42" s="490">
        <v>197</v>
      </c>
      <c r="C42" s="490">
        <v>64</v>
      </c>
      <c r="D42" s="490">
        <v>26</v>
      </c>
      <c r="E42" s="490">
        <v>287</v>
      </c>
    </row>
    <row r="43" spans="1:11" ht="14.5" x14ac:dyDescent="0.35"/>
    <row r="44" spans="1:11" ht="14.5" x14ac:dyDescent="0.35"/>
    <row r="45" spans="1:11" ht="14.5" x14ac:dyDescent="0.35"/>
    <row r="46" spans="1:11" ht="14.5" x14ac:dyDescent="0.35"/>
    <row r="47" spans="1:11" ht="14.5" x14ac:dyDescent="0.35"/>
    <row r="48" spans="1:11" ht="14.5" x14ac:dyDescent="0.35"/>
    <row r="49" spans="1:16" ht="14.5" x14ac:dyDescent="0.35"/>
    <row r="50" spans="1:16" ht="14.5" x14ac:dyDescent="0.35"/>
    <row r="51" spans="1:16" ht="14.5" x14ac:dyDescent="0.35"/>
    <row r="52" spans="1:16" ht="14.5" x14ac:dyDescent="0.35"/>
    <row r="53" spans="1:16" ht="14.5" x14ac:dyDescent="0.35"/>
    <row r="54" spans="1:16" ht="14.5" x14ac:dyDescent="0.35"/>
    <row r="55" spans="1:16" ht="14.5" x14ac:dyDescent="0.35"/>
    <row r="56" spans="1:16" ht="14.5" x14ac:dyDescent="0.35"/>
    <row r="57" spans="1:16" ht="14.5" x14ac:dyDescent="0.35">
      <c r="P57">
        <f>109/245</f>
        <v>0.44489795918367347</v>
      </c>
    </row>
    <row r="58" spans="1:16" ht="14.5" x14ac:dyDescent="0.35">
      <c r="P58">
        <f>136/245</f>
        <v>0.55510204081632653</v>
      </c>
    </row>
    <row r="59" spans="1:16" ht="14.5" x14ac:dyDescent="0.35"/>
    <row r="60" spans="1:16" ht="14.5" x14ac:dyDescent="0.35"/>
    <row r="61" spans="1:16" ht="14.5" x14ac:dyDescent="0.35"/>
    <row r="62" spans="1:16" ht="14.5" x14ac:dyDescent="0.35">
      <c r="A62" s="54" t="s">
        <v>14</v>
      </c>
      <c r="B62" t="s">
        <v>30</v>
      </c>
    </row>
    <row r="63" spans="1:16" ht="14.5" x14ac:dyDescent="0.35"/>
    <row r="64" spans="1:16" ht="14.5" x14ac:dyDescent="0.35">
      <c r="A64" s="54" t="s">
        <v>13</v>
      </c>
      <c r="B64" s="54" t="s">
        <v>29</v>
      </c>
    </row>
    <row r="65" spans="1:12" ht="14.5" x14ac:dyDescent="0.35">
      <c r="A65" s="54" t="s">
        <v>15</v>
      </c>
      <c r="B65" t="s">
        <v>4138</v>
      </c>
      <c r="C65" t="s">
        <v>4137</v>
      </c>
      <c r="D65" t="s">
        <v>19</v>
      </c>
      <c r="H65" s="60" t="s">
        <v>15</v>
      </c>
    </row>
    <row r="66" spans="1:12" ht="14.5" x14ac:dyDescent="0.35">
      <c r="A66">
        <v>1</v>
      </c>
      <c r="B66" s="490">
        <v>14</v>
      </c>
      <c r="C66" s="490">
        <v>9</v>
      </c>
      <c r="D66" s="490">
        <v>23</v>
      </c>
      <c r="H66" s="54" t="s">
        <v>13</v>
      </c>
      <c r="I66" s="54" t="s">
        <v>14</v>
      </c>
    </row>
    <row r="67" spans="1:12" ht="14.5" x14ac:dyDescent="0.35">
      <c r="A67">
        <v>2</v>
      </c>
      <c r="B67" s="490">
        <v>11</v>
      </c>
      <c r="C67" s="490">
        <v>9</v>
      </c>
      <c r="D67" s="490">
        <v>20</v>
      </c>
      <c r="H67" s="54" t="s">
        <v>15</v>
      </c>
      <c r="I67" t="s">
        <v>16</v>
      </c>
      <c r="J67" t="s">
        <v>17</v>
      </c>
      <c r="K67" t="s">
        <v>18</v>
      </c>
      <c r="L67" t="s">
        <v>19</v>
      </c>
    </row>
    <row r="68" spans="1:12" ht="14.5" x14ac:dyDescent="0.35">
      <c r="A68">
        <v>3</v>
      </c>
      <c r="B68" s="490">
        <v>10</v>
      </c>
      <c r="C68" s="490">
        <v>13</v>
      </c>
      <c r="D68" s="490">
        <v>23</v>
      </c>
      <c r="H68">
        <v>1</v>
      </c>
      <c r="I68" s="490">
        <v>20</v>
      </c>
      <c r="J68" s="490"/>
      <c r="K68" s="490">
        <v>3</v>
      </c>
      <c r="L68" s="490">
        <v>23</v>
      </c>
    </row>
    <row r="69" spans="1:12" ht="14.5" x14ac:dyDescent="0.35">
      <c r="A69">
        <v>4</v>
      </c>
      <c r="B69" s="490">
        <v>15</v>
      </c>
      <c r="C69" s="490">
        <v>12</v>
      </c>
      <c r="D69" s="490">
        <v>27</v>
      </c>
      <c r="H69">
        <v>2</v>
      </c>
      <c r="I69" s="490">
        <v>15</v>
      </c>
      <c r="J69" s="490">
        <v>1</v>
      </c>
      <c r="K69" s="490">
        <v>4</v>
      </c>
      <c r="L69" s="490">
        <v>20</v>
      </c>
    </row>
    <row r="70" spans="1:12" ht="14.5" x14ac:dyDescent="0.35">
      <c r="A70">
        <v>5</v>
      </c>
      <c r="B70" s="490">
        <v>12</v>
      </c>
      <c r="C70" s="490">
        <v>13</v>
      </c>
      <c r="D70" s="490">
        <v>25</v>
      </c>
      <c r="H70">
        <v>3</v>
      </c>
      <c r="I70" s="490">
        <v>18</v>
      </c>
      <c r="J70" s="490">
        <v>3</v>
      </c>
      <c r="K70" s="490">
        <v>2</v>
      </c>
      <c r="L70" s="490">
        <v>23</v>
      </c>
    </row>
    <row r="71" spans="1:12" ht="14.5" x14ac:dyDescent="0.35">
      <c r="A71">
        <v>6</v>
      </c>
      <c r="B71" s="490">
        <v>10</v>
      </c>
      <c r="C71" s="490">
        <v>15</v>
      </c>
      <c r="D71" s="490">
        <v>25</v>
      </c>
      <c r="H71">
        <v>4</v>
      </c>
      <c r="I71" s="490">
        <v>25</v>
      </c>
      <c r="J71" s="490">
        <v>1</v>
      </c>
      <c r="K71" s="490">
        <v>1</v>
      </c>
      <c r="L71" s="490">
        <v>27</v>
      </c>
    </row>
    <row r="72" spans="1:12" ht="14.5" x14ac:dyDescent="0.35">
      <c r="A72">
        <v>7</v>
      </c>
      <c r="B72" s="490">
        <v>8</v>
      </c>
      <c r="C72" s="490">
        <v>19</v>
      </c>
      <c r="D72" s="490">
        <v>27</v>
      </c>
      <c r="H72">
        <v>5</v>
      </c>
      <c r="I72" s="490">
        <v>18</v>
      </c>
      <c r="J72" s="490">
        <v>2</v>
      </c>
      <c r="K72" s="490">
        <v>5</v>
      </c>
      <c r="L72" s="490">
        <v>25</v>
      </c>
    </row>
    <row r="73" spans="1:12" ht="14.5" x14ac:dyDescent="0.35">
      <c r="A73">
        <v>8</v>
      </c>
      <c r="B73" s="490">
        <v>10</v>
      </c>
      <c r="C73" s="490">
        <v>16</v>
      </c>
      <c r="D73" s="490">
        <v>26</v>
      </c>
      <c r="H73">
        <v>6</v>
      </c>
      <c r="I73" s="490">
        <v>24</v>
      </c>
      <c r="J73" s="490"/>
      <c r="K73" s="490">
        <v>1</v>
      </c>
      <c r="L73" s="490">
        <v>25</v>
      </c>
    </row>
    <row r="74" spans="1:12" ht="14.5" x14ac:dyDescent="0.35">
      <c r="A74">
        <v>9</v>
      </c>
      <c r="B74" s="490">
        <v>9</v>
      </c>
      <c r="C74" s="490">
        <v>15</v>
      </c>
      <c r="D74" s="490">
        <v>24</v>
      </c>
      <c r="H74">
        <v>7</v>
      </c>
      <c r="I74" s="490">
        <v>24</v>
      </c>
      <c r="J74" s="490"/>
      <c r="K74" s="490">
        <v>3</v>
      </c>
      <c r="L74" s="490">
        <v>27</v>
      </c>
    </row>
    <row r="75" spans="1:12" ht="14.5" x14ac:dyDescent="0.35">
      <c r="A75">
        <v>10</v>
      </c>
      <c r="B75" s="490">
        <v>10</v>
      </c>
      <c r="C75" s="490">
        <v>15</v>
      </c>
      <c r="D75" s="490">
        <v>25</v>
      </c>
      <c r="H75">
        <v>8</v>
      </c>
      <c r="I75" s="490">
        <v>17</v>
      </c>
      <c r="J75" s="490">
        <v>6</v>
      </c>
      <c r="K75" s="490">
        <v>3</v>
      </c>
      <c r="L75" s="490">
        <v>26</v>
      </c>
    </row>
    <row r="76" spans="1:12" ht="14.5" x14ac:dyDescent="0.35">
      <c r="A76">
        <v>11</v>
      </c>
      <c r="B76" s="490">
        <v>9</v>
      </c>
      <c r="C76" s="490">
        <v>11</v>
      </c>
      <c r="D76" s="490">
        <v>20</v>
      </c>
      <c r="H76">
        <v>9</v>
      </c>
      <c r="I76" s="490">
        <v>16</v>
      </c>
      <c r="J76" s="490">
        <v>6</v>
      </c>
      <c r="K76" s="490">
        <v>2</v>
      </c>
      <c r="L76" s="490">
        <v>24</v>
      </c>
    </row>
    <row r="77" spans="1:12" ht="14.5" x14ac:dyDescent="0.35">
      <c r="A77">
        <v>12</v>
      </c>
      <c r="B77" s="490">
        <v>12</v>
      </c>
      <c r="C77" s="490">
        <v>10</v>
      </c>
      <c r="D77" s="490">
        <v>22</v>
      </c>
      <c r="H77">
        <v>10</v>
      </c>
      <c r="I77" s="490">
        <v>20</v>
      </c>
      <c r="J77" s="490">
        <v>4</v>
      </c>
      <c r="K77" s="490">
        <v>1</v>
      </c>
      <c r="L77" s="490">
        <v>25</v>
      </c>
    </row>
    <row r="78" spans="1:12" ht="14.5" x14ac:dyDescent="0.35">
      <c r="A78" t="s">
        <v>19</v>
      </c>
      <c r="B78" s="490">
        <v>130</v>
      </c>
      <c r="C78" s="490">
        <v>157</v>
      </c>
      <c r="D78" s="490">
        <v>287</v>
      </c>
      <c r="H78">
        <v>11</v>
      </c>
      <c r="I78" s="490"/>
      <c r="J78" s="490">
        <v>19</v>
      </c>
      <c r="K78" s="490">
        <v>1</v>
      </c>
      <c r="L78" s="490">
        <v>20</v>
      </c>
    </row>
    <row r="79" spans="1:12" ht="14.5" x14ac:dyDescent="0.35">
      <c r="H79">
        <v>12</v>
      </c>
      <c r="I79" s="490"/>
      <c r="J79" s="490">
        <v>22</v>
      </c>
      <c r="K79" s="490"/>
      <c r="L79" s="490">
        <v>22</v>
      </c>
    </row>
    <row r="80" spans="1:12" ht="14.5" x14ac:dyDescent="0.35">
      <c r="H80" t="s">
        <v>19</v>
      </c>
      <c r="I80" s="490">
        <v>197</v>
      </c>
      <c r="J80" s="490">
        <v>64</v>
      </c>
      <c r="K80" s="490">
        <v>26</v>
      </c>
      <c r="L80" s="490">
        <v>287</v>
      </c>
    </row>
    <row r="81" spans="1:5" ht="14.5" x14ac:dyDescent="0.35"/>
    <row r="82" spans="1:5" ht="14.5" x14ac:dyDescent="0.35"/>
    <row r="83" spans="1:5" ht="14.5" x14ac:dyDescent="0.35"/>
    <row r="84" spans="1:5" ht="14.5" x14ac:dyDescent="0.35"/>
    <row r="86" spans="1:5" ht="14.5" x14ac:dyDescent="0.35"/>
    <row r="87" spans="1:5" ht="14.5" x14ac:dyDescent="0.35"/>
    <row r="88" spans="1:5" ht="14.5" x14ac:dyDescent="0.35"/>
    <row r="90" spans="1:5" ht="14.5" x14ac:dyDescent="0.35">
      <c r="A90" s="54" t="s">
        <v>21</v>
      </c>
      <c r="B90" s="54" t="s">
        <v>22</v>
      </c>
    </row>
    <row r="91" spans="1:5" ht="14.5" x14ac:dyDescent="0.35">
      <c r="A91" s="54" t="s">
        <v>23</v>
      </c>
      <c r="B91" t="s">
        <v>16</v>
      </c>
      <c r="C91" t="s">
        <v>17</v>
      </c>
      <c r="D91" t="s">
        <v>18</v>
      </c>
      <c r="E91" t="s">
        <v>19</v>
      </c>
    </row>
    <row r="92" spans="1:5" ht="14.5" x14ac:dyDescent="0.35">
      <c r="A92" s="41" t="s">
        <v>24</v>
      </c>
      <c r="B92" s="490">
        <v>111</v>
      </c>
      <c r="C92" s="490">
        <v>13</v>
      </c>
      <c r="D92" s="490">
        <v>12</v>
      </c>
      <c r="E92" s="490">
        <v>136</v>
      </c>
    </row>
    <row r="93" spans="1:5" ht="14.5" x14ac:dyDescent="0.35">
      <c r="A93" s="41" t="s">
        <v>25</v>
      </c>
      <c r="B93" s="490">
        <v>86</v>
      </c>
      <c r="C93" s="490">
        <v>10</v>
      </c>
      <c r="D93" s="490">
        <v>13</v>
      </c>
      <c r="E93" s="490">
        <v>109</v>
      </c>
    </row>
    <row r="94" spans="1:5" ht="14.5" x14ac:dyDescent="0.35">
      <c r="A94" s="41" t="s">
        <v>19</v>
      </c>
      <c r="B94" s="490">
        <v>197</v>
      </c>
      <c r="C94" s="490">
        <v>23</v>
      </c>
      <c r="D94" s="490">
        <v>25</v>
      </c>
      <c r="E94" s="490">
        <v>245</v>
      </c>
    </row>
  </sheetData>
  <conditionalFormatting pivot="1" sqref="L6:L16">
    <cfRule type="dataBar" priority="7">
      <dataBar>
        <cfvo type="min"/>
        <cfvo type="max"/>
        <color rgb="FFFF555A"/>
      </dataBar>
      <extLst>
        <ext xmlns:x14="http://schemas.microsoft.com/office/spreadsheetml/2009/9/main" uri="{B025F937-C7B1-47D3-B67F-A62EFF666E3E}">
          <x14:id>{95873581-92BF-4C3E-A8D9-FCA987566874}</x14:id>
        </ext>
      </extLst>
    </cfRule>
  </conditionalFormatting>
  <conditionalFormatting pivot="1" sqref="B66:D75">
    <cfRule type="dataBar" priority="5">
      <dataBar>
        <cfvo type="min"/>
        <cfvo type="max"/>
        <color rgb="FFFF555A"/>
      </dataBar>
      <extLst>
        <ext xmlns:x14="http://schemas.microsoft.com/office/spreadsheetml/2009/9/main" uri="{B025F937-C7B1-47D3-B67F-A62EFF666E3E}">
          <x14:id>{DD44B1EB-3ACF-4902-91B0-31D07FBB9C56}</x14:id>
        </ext>
      </extLst>
    </cfRule>
  </conditionalFormatting>
  <conditionalFormatting pivot="1" sqref="I6:K16">
    <cfRule type="dataBar" priority="3">
      <dataBar>
        <cfvo type="min"/>
        <cfvo type="max"/>
        <color rgb="FFFF555A"/>
      </dataBar>
      <extLst>
        <ext xmlns:x14="http://schemas.microsoft.com/office/spreadsheetml/2009/9/main" uri="{B025F937-C7B1-47D3-B67F-A62EFF666E3E}">
          <x14:id>{A87087E6-181B-449D-9A8F-FD3A103FD2A5}</x14:id>
        </ext>
      </extLst>
    </cfRule>
  </conditionalFormatting>
  <conditionalFormatting pivot="1" sqref="I17:L18">
    <cfRule type="dataBar" priority="1">
      <dataBar>
        <cfvo type="min"/>
        <cfvo type="max"/>
        <color rgb="FFFF555A"/>
      </dataBar>
      <extLst>
        <ext xmlns:x14="http://schemas.microsoft.com/office/spreadsheetml/2009/9/main" uri="{B025F937-C7B1-47D3-B67F-A62EFF666E3E}">
          <x14:id>{525E59C2-F4A0-45BD-8E73-A04DA2BC8FD4}</x14:id>
        </ext>
      </extLst>
    </cfRule>
  </conditionalFormatting>
  <pageMargins left="0.7" right="0.7" top="0.75" bottom="0.75" header="0.3" footer="0.3"/>
  <pageSetup paperSize="9" orientation="portrait" r:id="rId11"/>
  <extLst>
    <ext xmlns:x14="http://schemas.microsoft.com/office/spreadsheetml/2009/9/main" uri="{78C0D931-6437-407d-A8EE-F0AAD7539E65}">
      <x14:conditionalFormattings>
        <x14:conditionalFormatting xmlns:xm="http://schemas.microsoft.com/office/excel/2006/main" pivot="1">
          <x14:cfRule type="dataBar" id="{95873581-92BF-4C3E-A8D9-FCA987566874}">
            <x14:dataBar minLength="0" maxLength="100" gradient="0">
              <x14:cfvo type="autoMin"/>
              <x14:cfvo type="autoMax"/>
              <x14:negativeFillColor rgb="FFFF0000"/>
              <x14:axisColor rgb="FF000000"/>
            </x14:dataBar>
          </x14:cfRule>
          <xm:sqref>L6:L16</xm:sqref>
        </x14:conditionalFormatting>
        <x14:conditionalFormatting xmlns:xm="http://schemas.microsoft.com/office/excel/2006/main" pivot="1">
          <x14:cfRule type="dataBar" id="{DD44B1EB-3ACF-4902-91B0-31D07FBB9C56}">
            <x14:dataBar minLength="0" maxLength="100" border="1" negativeBarBorderColorSameAsPositive="0">
              <x14:cfvo type="autoMin"/>
              <x14:cfvo type="autoMax"/>
              <x14:borderColor rgb="FFFF555A"/>
              <x14:negativeFillColor rgb="FFFF0000"/>
              <x14:negativeBorderColor rgb="FFFF0000"/>
              <x14:axisColor rgb="FF000000"/>
            </x14:dataBar>
          </x14:cfRule>
          <xm:sqref>B66:D75</xm:sqref>
        </x14:conditionalFormatting>
        <x14:conditionalFormatting xmlns:xm="http://schemas.microsoft.com/office/excel/2006/main" pivot="1">
          <x14:cfRule type="dataBar" id="{A87087E6-181B-449D-9A8F-FD3A103FD2A5}">
            <x14:dataBar minLength="0" maxLength="100" gradient="0">
              <x14:cfvo type="autoMin"/>
              <x14:cfvo type="autoMax"/>
              <x14:negativeFillColor rgb="FFFF0000"/>
              <x14:axisColor rgb="FF000000"/>
            </x14:dataBar>
          </x14:cfRule>
          <xm:sqref>I6:K16</xm:sqref>
        </x14:conditionalFormatting>
        <x14:conditionalFormatting xmlns:xm="http://schemas.microsoft.com/office/excel/2006/main" pivot="1">
          <x14:cfRule type="dataBar" id="{525E59C2-F4A0-45BD-8E73-A04DA2BC8FD4}">
            <x14:dataBar minLength="0" maxLength="100" gradient="0">
              <x14:cfvo type="autoMin"/>
              <x14:cfvo type="autoMax"/>
              <x14:negativeFillColor rgb="FFFF0000"/>
              <x14:axisColor rgb="FF000000"/>
            </x14:dataBar>
          </x14:cfRule>
          <xm:sqref>I17:L18</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X311"/>
  <sheetViews>
    <sheetView tabSelected="1" topLeftCell="M1" zoomScaleNormal="100" workbookViewId="0">
      <pane ySplit="1" topLeftCell="A251" activePane="bottomLeft" state="frozen"/>
      <selection pane="bottomLeft" activeCell="T253" sqref="T253"/>
    </sheetView>
  </sheetViews>
  <sheetFormatPr defaultRowHeight="15" customHeight="1" x14ac:dyDescent="0.35"/>
  <cols>
    <col min="1" max="1" width="7" customWidth="1"/>
    <col min="2" max="2" width="15.81640625" customWidth="1"/>
    <col min="3" max="3" width="13.7265625" customWidth="1"/>
    <col min="4" max="4" width="16.7265625" customWidth="1"/>
    <col min="5" max="5" width="14.81640625" customWidth="1"/>
    <col min="6" max="6" width="13.54296875" customWidth="1"/>
    <col min="7" max="7" width="11.54296875" customWidth="1"/>
    <col min="8" max="8" width="15.453125" customWidth="1"/>
    <col min="9" max="9" width="23" customWidth="1"/>
    <col min="10" max="10" width="19.81640625" customWidth="1"/>
    <col min="11" max="11" width="29.7265625" customWidth="1"/>
    <col min="12" max="12" width="33.54296875" customWidth="1"/>
    <col min="13" max="13" width="20.1796875" customWidth="1"/>
    <col min="14" max="14" width="16.54296875" style="41" customWidth="1"/>
    <col min="15" max="15" width="17.1796875" customWidth="1"/>
    <col min="16" max="16" width="18.453125" style="41" customWidth="1"/>
    <col min="17" max="17" width="13.54296875" customWidth="1"/>
    <col min="18" max="18" width="24.81640625" customWidth="1"/>
    <col min="19" max="19" width="24.81640625" style="42" customWidth="1"/>
    <col min="20" max="20" width="29.54296875" style="43" customWidth="1"/>
    <col min="21" max="21" width="34.453125" customWidth="1"/>
    <col min="22" max="22" width="14.54296875" customWidth="1"/>
    <col min="23" max="23" width="39.453125" style="41" customWidth="1"/>
    <col min="24" max="24" width="19.453125" style="41" customWidth="1"/>
    <col min="25" max="25" width="12.81640625" style="41" customWidth="1"/>
    <col min="26" max="26" width="11.54296875" style="41" customWidth="1"/>
    <col min="27" max="27" width="11.54296875" customWidth="1"/>
    <col min="28" max="28" width="14.1796875" customWidth="1"/>
    <col min="29" max="29" width="11.453125" style="279" customWidth="1"/>
    <col min="30" max="30" width="11.54296875" customWidth="1"/>
    <col min="31" max="31" width="33.1796875" customWidth="1"/>
    <col min="32" max="32" width="29.54296875" customWidth="1"/>
    <col min="33" max="33" width="21.7265625" customWidth="1"/>
    <col min="34" max="34" width="13.54296875" style="44" customWidth="1"/>
    <col min="35" max="35" width="26.54296875" customWidth="1"/>
    <col min="36" max="36" width="17.54296875" customWidth="1"/>
    <col min="37" max="37" width="15.453125" customWidth="1"/>
    <col min="38" max="38" width="11.453125" style="44" customWidth="1"/>
    <col min="39" max="39" width="14.453125" style="44" customWidth="1"/>
    <col min="40" max="40" width="15.81640625" style="44" customWidth="1"/>
    <col min="41" max="41" width="17.453125" style="51" customWidth="1"/>
    <col min="42" max="42" width="29.1796875" style="51" customWidth="1"/>
    <col min="43" max="43" width="25.26953125" style="51" customWidth="1"/>
    <col min="44" max="44" width="13.453125" style="44" customWidth="1"/>
    <col min="45" max="45" width="18.7265625" customWidth="1"/>
    <col min="46" max="46" width="42.453125" style="42" customWidth="1"/>
    <col min="47" max="47" width="24.7265625" customWidth="1"/>
    <col min="48" max="48" width="13" customWidth="1"/>
    <col min="49" max="49" width="10.81640625" customWidth="1"/>
    <col min="50" max="50" width="14.1796875" customWidth="1"/>
    <col min="51" max="51" width="13.81640625" style="44" customWidth="1"/>
    <col min="52" max="52" width="15.26953125" customWidth="1"/>
    <col min="53" max="53" width="13" customWidth="1"/>
    <col min="54" max="54" width="13.54296875" customWidth="1"/>
    <col min="55" max="55" width="23.81640625" customWidth="1"/>
    <col min="56" max="56" width="13.54296875" customWidth="1"/>
    <col min="57" max="57" width="54.26953125" customWidth="1"/>
    <col min="58" max="58" width="11.54296875" customWidth="1"/>
    <col min="59" max="59" width="14.26953125" customWidth="1"/>
    <col min="60" max="60" width="15" customWidth="1"/>
    <col min="61" max="61" width="14" customWidth="1"/>
    <col min="62" max="62" width="12.453125" customWidth="1"/>
    <col min="63" max="63" width="13" customWidth="1"/>
    <col min="64" max="64" width="13.81640625" customWidth="1"/>
    <col min="65" max="65" width="16.54296875" style="45" customWidth="1"/>
    <col min="66" max="66" width="13.81640625" customWidth="1"/>
    <col min="67" max="68" width="16.453125" style="44" customWidth="1"/>
    <col min="69" max="69" width="20.453125" customWidth="1"/>
    <col min="70" max="71" width="9.1796875" customWidth="1"/>
    <col min="72" max="72" width="13.26953125" customWidth="1"/>
    <col min="73" max="73" width="15.81640625" customWidth="1"/>
    <col min="74" max="74" width="12.453125" customWidth="1"/>
    <col min="75" max="75" width="16.54296875" customWidth="1"/>
    <col min="76" max="76" width="15.453125" customWidth="1"/>
    <col min="77" max="77" width="14.453125" customWidth="1"/>
    <col min="78" max="78" width="17.7265625" customWidth="1"/>
    <col min="79" max="79" width="20" customWidth="1"/>
    <col min="80" max="80" width="18.26953125" customWidth="1"/>
    <col min="81" max="81" width="22.81640625" customWidth="1"/>
    <col min="82" max="82" width="21" customWidth="1"/>
    <col min="83" max="83" width="19.26953125" customWidth="1"/>
    <col min="84" max="84" width="17.1796875" customWidth="1"/>
    <col min="85" max="85" width="17.7265625" customWidth="1"/>
    <col min="86" max="86" width="17.1796875" customWidth="1"/>
    <col min="87" max="88" width="17.54296875" customWidth="1"/>
    <col min="89" max="89" width="21.453125" customWidth="1"/>
    <col min="90" max="90" width="13.453125" customWidth="1"/>
    <col min="91" max="95" width="8.81640625" customWidth="1"/>
    <col min="96" max="96" width="14.453125" customWidth="1"/>
    <col min="97" max="97" width="12.54296875" style="49" customWidth="1"/>
    <col min="98" max="99" width="11.54296875" style="49" customWidth="1"/>
    <col min="100" max="100" width="8.81640625" customWidth="1"/>
    <col min="101" max="102" width="12.54296875" style="49" customWidth="1"/>
    <col min="103" max="104" width="8.81640625" customWidth="1"/>
    <col min="105" max="105" width="9.81640625" customWidth="1"/>
    <col min="106" max="106" width="17.54296875" customWidth="1"/>
  </cols>
  <sheetData>
    <row r="1" spans="1:90" s="52" customFormat="1" ht="52.5" customHeight="1" x14ac:dyDescent="0.35">
      <c r="A1" s="296" t="s">
        <v>60</v>
      </c>
      <c r="B1" s="297" t="s">
        <v>61</v>
      </c>
      <c r="C1" s="297" t="s">
        <v>62</v>
      </c>
      <c r="D1" s="297" t="s">
        <v>63</v>
      </c>
      <c r="E1" s="297" t="s">
        <v>64</v>
      </c>
      <c r="F1" s="297" t="s">
        <v>29</v>
      </c>
      <c r="G1" s="297" t="s">
        <v>15</v>
      </c>
      <c r="H1" s="297" t="s">
        <v>48</v>
      </c>
      <c r="I1" s="297" t="s">
        <v>34</v>
      </c>
      <c r="J1" s="297" t="s">
        <v>65</v>
      </c>
      <c r="K1" s="297" t="s">
        <v>66</v>
      </c>
      <c r="L1" s="297" t="s">
        <v>32</v>
      </c>
      <c r="M1" s="297" t="s">
        <v>67</v>
      </c>
      <c r="N1" s="297" t="s">
        <v>68</v>
      </c>
      <c r="O1" s="297" t="s">
        <v>69</v>
      </c>
      <c r="P1" s="297" t="s">
        <v>70</v>
      </c>
      <c r="Q1" s="297" t="s">
        <v>71</v>
      </c>
      <c r="R1" s="297" t="s">
        <v>72</v>
      </c>
      <c r="S1" s="297" t="s">
        <v>73</v>
      </c>
      <c r="T1" s="298" t="s">
        <v>74</v>
      </c>
      <c r="U1" s="271" t="s">
        <v>75</v>
      </c>
      <c r="V1" s="271" t="s">
        <v>76</v>
      </c>
      <c r="W1" s="271" t="s">
        <v>77</v>
      </c>
      <c r="X1" s="271" t="s">
        <v>78</v>
      </c>
      <c r="Y1" s="272" t="s">
        <v>79</v>
      </c>
      <c r="Z1" s="272" t="s">
        <v>80</v>
      </c>
      <c r="AA1" s="271" t="s">
        <v>81</v>
      </c>
      <c r="AB1" s="273" t="s">
        <v>82</v>
      </c>
      <c r="AC1" s="278" t="s">
        <v>83</v>
      </c>
      <c r="AD1" s="273" t="s">
        <v>18</v>
      </c>
      <c r="AE1" s="273" t="s">
        <v>84</v>
      </c>
      <c r="AF1" s="273" t="s">
        <v>85</v>
      </c>
      <c r="AG1" s="273" t="s">
        <v>86</v>
      </c>
      <c r="AH1" s="273" t="s">
        <v>87</v>
      </c>
      <c r="AI1" s="273" t="s">
        <v>88</v>
      </c>
      <c r="AJ1" s="273" t="s">
        <v>89</v>
      </c>
      <c r="AK1" s="273" t="s">
        <v>90</v>
      </c>
      <c r="AL1" s="272" t="s">
        <v>91</v>
      </c>
      <c r="AM1" s="272" t="s">
        <v>92</v>
      </c>
      <c r="AN1" s="272" t="s">
        <v>93</v>
      </c>
      <c r="AO1" s="272" t="s">
        <v>94</v>
      </c>
      <c r="AP1" s="272" t="s">
        <v>95</v>
      </c>
      <c r="AQ1" s="272" t="s">
        <v>96</v>
      </c>
      <c r="AR1" s="272" t="s">
        <v>97</v>
      </c>
      <c r="AS1" s="272" t="s">
        <v>98</v>
      </c>
      <c r="AT1" s="394" t="s">
        <v>99</v>
      </c>
      <c r="AU1" s="273" t="s">
        <v>100</v>
      </c>
      <c r="AV1" s="273" t="s">
        <v>101</v>
      </c>
      <c r="AW1" s="273" t="s">
        <v>102</v>
      </c>
      <c r="AX1" s="273" t="s">
        <v>103</v>
      </c>
      <c r="AY1" s="273" t="s">
        <v>104</v>
      </c>
      <c r="AZ1" s="273" t="s">
        <v>105</v>
      </c>
      <c r="BA1" s="273" t="s">
        <v>106</v>
      </c>
      <c r="BB1" s="273" t="s">
        <v>107</v>
      </c>
      <c r="BC1" s="273" t="s">
        <v>108</v>
      </c>
      <c r="BD1" s="273" t="s">
        <v>109</v>
      </c>
      <c r="BE1" s="273" t="s">
        <v>110</v>
      </c>
      <c r="BF1" s="273" t="s">
        <v>111</v>
      </c>
      <c r="BG1" s="273" t="s">
        <v>112</v>
      </c>
      <c r="BH1" s="273" t="s">
        <v>113</v>
      </c>
      <c r="BI1" s="273" t="s">
        <v>114</v>
      </c>
      <c r="BJ1" s="273" t="s">
        <v>115</v>
      </c>
      <c r="BK1" s="273" t="s">
        <v>116</v>
      </c>
      <c r="BL1" s="273" t="s">
        <v>117</v>
      </c>
      <c r="BM1" s="274" t="s">
        <v>118</v>
      </c>
      <c r="BN1" s="273" t="s">
        <v>14</v>
      </c>
      <c r="BO1" s="275" t="s">
        <v>119</v>
      </c>
      <c r="BP1" s="275" t="s">
        <v>120</v>
      </c>
      <c r="BQ1" s="273" t="s">
        <v>121</v>
      </c>
      <c r="BR1" s="273" t="s">
        <v>122</v>
      </c>
      <c r="BS1" s="273" t="s">
        <v>123</v>
      </c>
      <c r="BT1" s="273" t="s">
        <v>124</v>
      </c>
      <c r="BU1" s="273" t="s">
        <v>125</v>
      </c>
      <c r="BV1" s="273" t="s">
        <v>126</v>
      </c>
      <c r="BW1" s="273" t="s">
        <v>127</v>
      </c>
      <c r="BX1" s="273" t="s">
        <v>128</v>
      </c>
      <c r="BY1" s="273" t="s">
        <v>129</v>
      </c>
      <c r="BZ1" s="273" t="s">
        <v>130</v>
      </c>
      <c r="CA1" s="273" t="s">
        <v>131</v>
      </c>
      <c r="CB1" s="276" t="s">
        <v>132</v>
      </c>
      <c r="CC1" s="276" t="s">
        <v>133</v>
      </c>
      <c r="CD1" s="273" t="s">
        <v>134</v>
      </c>
      <c r="CE1" s="273" t="s">
        <v>135</v>
      </c>
      <c r="CF1" s="273" t="s">
        <v>136</v>
      </c>
      <c r="CG1" s="273" t="s">
        <v>137</v>
      </c>
      <c r="CH1" s="368" t="s">
        <v>138</v>
      </c>
      <c r="CI1" s="273" t="s">
        <v>139</v>
      </c>
      <c r="CJ1" s="273" t="s">
        <v>140</v>
      </c>
      <c r="CK1" s="273" t="s">
        <v>141</v>
      </c>
      <c r="CL1" s="277"/>
    </row>
    <row r="2" spans="1:90" ht="26.15" customHeight="1" x14ac:dyDescent="0.35">
      <c r="A2" s="75">
        <v>1</v>
      </c>
      <c r="B2" s="75" t="s">
        <v>142</v>
      </c>
      <c r="C2" s="75" t="s">
        <v>143</v>
      </c>
      <c r="D2" s="75" t="s">
        <v>144</v>
      </c>
      <c r="E2" s="75" t="s">
        <v>145</v>
      </c>
      <c r="F2" s="75" t="s">
        <v>4139</v>
      </c>
      <c r="G2" s="75">
        <v>1</v>
      </c>
      <c r="H2" s="75" t="s">
        <v>52</v>
      </c>
      <c r="I2" s="75" t="s">
        <v>31</v>
      </c>
      <c r="J2" s="75" t="s">
        <v>146</v>
      </c>
      <c r="K2" s="75" t="s">
        <v>147</v>
      </c>
      <c r="L2" s="75" t="s">
        <v>31</v>
      </c>
      <c r="M2" s="75" t="s">
        <v>148</v>
      </c>
      <c r="N2" s="210"/>
      <c r="O2" s="2" t="s">
        <v>149</v>
      </c>
      <c r="P2" s="3" t="s">
        <v>149</v>
      </c>
      <c r="Q2" s="75" t="s">
        <v>149</v>
      </c>
      <c r="R2" s="75" t="s">
        <v>150</v>
      </c>
      <c r="S2" s="75" t="s">
        <v>151</v>
      </c>
      <c r="T2" s="338"/>
      <c r="U2" s="211" t="s">
        <v>152</v>
      </c>
      <c r="V2" s="211">
        <v>28116</v>
      </c>
      <c r="W2" s="82" t="s">
        <v>153</v>
      </c>
      <c r="X2" s="82" t="s">
        <v>154</v>
      </c>
      <c r="Y2" s="82" t="s">
        <v>155</v>
      </c>
      <c r="Z2" s="82" t="s">
        <v>156</v>
      </c>
      <c r="AA2" s="76">
        <v>16.5</v>
      </c>
      <c r="AB2" s="77">
        <v>40603</v>
      </c>
      <c r="AC2" s="77">
        <v>40603</v>
      </c>
      <c r="AD2" s="77"/>
      <c r="AE2" s="4" t="s">
        <v>157</v>
      </c>
      <c r="AF2" s="6" t="s">
        <v>158</v>
      </c>
      <c r="AG2" s="6"/>
      <c r="AH2" s="75">
        <f t="shared" ref="AH2:AH31" si="0">COUNTA(AE2:AG2)</f>
        <v>2</v>
      </c>
      <c r="AI2" s="4" t="s">
        <v>159</v>
      </c>
      <c r="AJ2" s="4" t="s">
        <v>160</v>
      </c>
      <c r="AK2" s="5"/>
      <c r="AL2" s="5" t="s">
        <v>148</v>
      </c>
      <c r="AM2" s="5" t="s">
        <v>161</v>
      </c>
      <c r="AN2" s="5"/>
      <c r="AO2" s="2" t="s">
        <v>162</v>
      </c>
      <c r="AP2" s="5"/>
      <c r="AQ2" s="5" t="s">
        <v>163</v>
      </c>
      <c r="AR2" s="5" t="s">
        <v>148</v>
      </c>
      <c r="AS2" s="5"/>
      <c r="AT2" s="395" t="s">
        <v>164</v>
      </c>
      <c r="AU2" s="75" t="s">
        <v>165</v>
      </c>
      <c r="AV2" s="77"/>
      <c r="AW2" s="78">
        <v>40634</v>
      </c>
      <c r="AX2" s="78">
        <v>40878</v>
      </c>
      <c r="AY2" s="78" t="s">
        <v>148</v>
      </c>
      <c r="AZ2" s="78"/>
      <c r="BA2" s="78"/>
      <c r="BB2" s="78"/>
      <c r="BC2" s="78"/>
      <c r="BD2" s="78"/>
      <c r="BE2" s="79"/>
      <c r="BF2" s="78">
        <v>41456</v>
      </c>
      <c r="BG2" s="78" t="s">
        <v>148</v>
      </c>
      <c r="BH2" s="78">
        <v>41699</v>
      </c>
      <c r="BI2" s="78" t="s">
        <v>148</v>
      </c>
      <c r="BJ2" s="77"/>
      <c r="BK2" s="77"/>
      <c r="BL2" s="77"/>
      <c r="BM2" s="80">
        <v>42766</v>
      </c>
      <c r="BN2" s="75" t="s">
        <v>16</v>
      </c>
      <c r="BO2" s="212">
        <f>DATEDIF(AW2,BM2, "M")+1</f>
        <v>70</v>
      </c>
      <c r="BP2" s="75">
        <f>DATEDIF(AX2,BM2, "M")+1</f>
        <v>62</v>
      </c>
      <c r="BQ2" s="75"/>
      <c r="BR2" s="75">
        <v>20</v>
      </c>
      <c r="BS2" s="75">
        <v>29</v>
      </c>
      <c r="BT2" s="75">
        <v>26</v>
      </c>
      <c r="BU2" s="75">
        <v>2</v>
      </c>
      <c r="BV2" s="75">
        <v>3</v>
      </c>
      <c r="BW2" s="75">
        <v>0</v>
      </c>
      <c r="BX2" s="75">
        <v>0</v>
      </c>
      <c r="BY2" s="75" t="s">
        <v>161</v>
      </c>
      <c r="BZ2" s="75" t="s">
        <v>161</v>
      </c>
      <c r="CA2" s="75"/>
      <c r="CB2" s="81"/>
      <c r="CC2" s="81"/>
      <c r="CD2" s="75"/>
      <c r="CE2" s="75" t="s">
        <v>161</v>
      </c>
      <c r="CF2" s="75"/>
      <c r="CG2" s="75"/>
      <c r="CH2" s="369">
        <v>0</v>
      </c>
      <c r="CI2" s="75">
        <v>1</v>
      </c>
      <c r="CJ2" s="75"/>
      <c r="CK2" s="75" t="s">
        <v>166</v>
      </c>
      <c r="CL2" s="367"/>
    </row>
    <row r="3" spans="1:90" ht="25" customHeight="1" x14ac:dyDescent="0.35">
      <c r="A3" s="75">
        <v>2</v>
      </c>
      <c r="B3" s="75" t="s">
        <v>167</v>
      </c>
      <c r="C3" s="75" t="s">
        <v>168</v>
      </c>
      <c r="D3" s="75"/>
      <c r="E3" s="75" t="s">
        <v>169</v>
      </c>
      <c r="F3" s="75" t="s">
        <v>4140</v>
      </c>
      <c r="G3" s="75">
        <v>1</v>
      </c>
      <c r="H3" s="75" t="s">
        <v>53</v>
      </c>
      <c r="I3" s="75" t="s">
        <v>43</v>
      </c>
      <c r="J3" s="75" t="s">
        <v>170</v>
      </c>
      <c r="K3" s="75" t="s">
        <v>171</v>
      </c>
      <c r="L3" s="75" t="s">
        <v>41</v>
      </c>
      <c r="M3" s="75" t="s">
        <v>161</v>
      </c>
      <c r="N3" s="210"/>
      <c r="O3" s="2" t="s">
        <v>149</v>
      </c>
      <c r="P3" s="3" t="s">
        <v>149</v>
      </c>
      <c r="Q3" s="75"/>
      <c r="R3" s="75" t="s">
        <v>172</v>
      </c>
      <c r="S3" s="75" t="s">
        <v>173</v>
      </c>
      <c r="T3" s="339" t="s">
        <v>174</v>
      </c>
      <c r="U3" s="211" t="s">
        <v>175</v>
      </c>
      <c r="V3" s="211">
        <v>29416</v>
      </c>
      <c r="W3" s="82" t="s">
        <v>176</v>
      </c>
      <c r="X3" s="82" t="s">
        <v>177</v>
      </c>
      <c r="Y3" s="82" t="s">
        <v>161</v>
      </c>
      <c r="Z3" s="82" t="s">
        <v>156</v>
      </c>
      <c r="AA3" s="76">
        <v>26</v>
      </c>
      <c r="AB3" s="77">
        <v>40616</v>
      </c>
      <c r="AC3" s="77">
        <v>40603</v>
      </c>
      <c r="AD3" s="77"/>
      <c r="AE3" s="6" t="s">
        <v>178</v>
      </c>
      <c r="AF3" s="6"/>
      <c r="AG3" s="6"/>
      <c r="AH3" s="75">
        <f t="shared" si="0"/>
        <v>1</v>
      </c>
      <c r="AI3" s="8" t="s">
        <v>160</v>
      </c>
      <c r="AJ3" s="8"/>
      <c r="AK3" s="8"/>
      <c r="AL3" s="8" t="s">
        <v>148</v>
      </c>
      <c r="AM3" s="8"/>
      <c r="AN3" s="8"/>
      <c r="AO3" s="8" t="s">
        <v>162</v>
      </c>
      <c r="AP3" s="8" t="s">
        <v>179</v>
      </c>
      <c r="AQ3" s="8" t="s">
        <v>180</v>
      </c>
      <c r="AR3" s="8" t="s">
        <v>148</v>
      </c>
      <c r="AS3" s="8"/>
      <c r="AT3" s="395" t="s">
        <v>181</v>
      </c>
      <c r="AU3" s="75" t="s">
        <v>182</v>
      </c>
      <c r="AV3" s="77"/>
      <c r="AW3" s="78">
        <v>40637</v>
      </c>
      <c r="AX3" s="78">
        <v>40878</v>
      </c>
      <c r="AY3" s="78" t="s">
        <v>148</v>
      </c>
      <c r="AZ3" s="78">
        <v>41186</v>
      </c>
      <c r="BA3" s="78"/>
      <c r="BB3" s="78">
        <v>41473</v>
      </c>
      <c r="BC3" s="78"/>
      <c r="BD3" s="78"/>
      <c r="BE3" s="79" t="s">
        <v>183</v>
      </c>
      <c r="BF3" s="78">
        <v>41458</v>
      </c>
      <c r="BG3" s="78" t="s">
        <v>148</v>
      </c>
      <c r="BH3" s="78">
        <v>41700</v>
      </c>
      <c r="BI3" s="78" t="s">
        <v>148</v>
      </c>
      <c r="BJ3" s="77">
        <v>42986</v>
      </c>
      <c r="BK3" s="77">
        <v>43006</v>
      </c>
      <c r="BL3" s="77">
        <v>43023</v>
      </c>
      <c r="BM3" s="80">
        <v>43023</v>
      </c>
      <c r="BN3" s="75" t="s">
        <v>16</v>
      </c>
      <c r="BO3" s="212">
        <f t="shared" ref="BO3:BO20" si="1">DATEDIF(AW3,BM3, "M")+1</f>
        <v>79</v>
      </c>
      <c r="BP3" s="75">
        <f t="shared" ref="BP3:BP21" si="2">DATEDIF(AX3,BM3, "M")+1</f>
        <v>71</v>
      </c>
      <c r="BQ3" s="82" t="s">
        <v>183</v>
      </c>
      <c r="BR3" s="75">
        <v>0</v>
      </c>
      <c r="BS3" s="75">
        <v>0</v>
      </c>
      <c r="BT3" s="75">
        <v>0</v>
      </c>
      <c r="BU3" s="75">
        <v>0</v>
      </c>
      <c r="BV3" s="75">
        <v>0</v>
      </c>
      <c r="BW3" s="75">
        <v>0</v>
      </c>
      <c r="BX3" s="75">
        <v>0</v>
      </c>
      <c r="BY3" s="75" t="s">
        <v>161</v>
      </c>
      <c r="BZ3" s="75" t="s">
        <v>161</v>
      </c>
      <c r="CA3" s="75"/>
      <c r="CB3" s="81"/>
      <c r="CC3" s="81"/>
      <c r="CD3" s="75"/>
      <c r="CE3" s="75" t="s">
        <v>161</v>
      </c>
      <c r="CF3" s="75"/>
      <c r="CG3" s="75"/>
      <c r="CH3" s="369">
        <v>2</v>
      </c>
      <c r="CI3" s="75">
        <v>2</v>
      </c>
      <c r="CJ3" s="75">
        <v>0</v>
      </c>
      <c r="CK3" s="75" t="s">
        <v>166</v>
      </c>
    </row>
    <row r="4" spans="1:90" ht="25" customHeight="1" x14ac:dyDescent="0.35">
      <c r="A4" s="75">
        <v>3</v>
      </c>
      <c r="B4" s="75" t="s">
        <v>184</v>
      </c>
      <c r="C4" s="75" t="s">
        <v>185</v>
      </c>
      <c r="D4" s="75" t="s">
        <v>186</v>
      </c>
      <c r="E4" s="75" t="s">
        <v>187</v>
      </c>
      <c r="F4" s="75" t="s">
        <v>4140</v>
      </c>
      <c r="G4" s="75">
        <v>1</v>
      </c>
      <c r="H4" s="75" t="s">
        <v>50</v>
      </c>
      <c r="I4" s="75" t="s">
        <v>37</v>
      </c>
      <c r="J4" s="75" t="s">
        <v>188</v>
      </c>
      <c r="K4" s="75" t="s">
        <v>189</v>
      </c>
      <c r="L4" s="75" t="s">
        <v>37</v>
      </c>
      <c r="M4" s="75" t="s">
        <v>148</v>
      </c>
      <c r="N4" s="210" t="s">
        <v>190</v>
      </c>
      <c r="O4" s="2" t="s">
        <v>191</v>
      </c>
      <c r="P4" s="3" t="s">
        <v>149</v>
      </c>
      <c r="Q4" s="75"/>
      <c r="R4" s="385" t="s">
        <v>192</v>
      </c>
      <c r="S4" s="75" t="s">
        <v>193</v>
      </c>
      <c r="T4" s="339" t="s">
        <v>194</v>
      </c>
      <c r="U4" s="211" t="s">
        <v>195</v>
      </c>
      <c r="V4" s="211">
        <v>29767</v>
      </c>
      <c r="W4" s="82" t="s">
        <v>196</v>
      </c>
      <c r="X4" s="82" t="s">
        <v>177</v>
      </c>
      <c r="Y4" s="82" t="s">
        <v>161</v>
      </c>
      <c r="Z4" s="82" t="s">
        <v>156</v>
      </c>
      <c r="AA4" s="76">
        <v>2.5</v>
      </c>
      <c r="AB4" s="77">
        <v>40827</v>
      </c>
      <c r="AC4" s="77">
        <v>40603</v>
      </c>
      <c r="AD4" s="77"/>
      <c r="AE4" s="4" t="s">
        <v>197</v>
      </c>
      <c r="AF4" s="6" t="s">
        <v>198</v>
      </c>
      <c r="AG4" s="6" t="s">
        <v>199</v>
      </c>
      <c r="AH4" s="75">
        <f t="shared" si="0"/>
        <v>3</v>
      </c>
      <c r="AI4" s="2" t="s">
        <v>159</v>
      </c>
      <c r="AJ4" s="2" t="s">
        <v>160</v>
      </c>
      <c r="AK4" s="2" t="s">
        <v>200</v>
      </c>
      <c r="AL4" s="2" t="s">
        <v>148</v>
      </c>
      <c r="AM4" s="2" t="s">
        <v>161</v>
      </c>
      <c r="AN4" s="2" t="s">
        <v>148</v>
      </c>
      <c r="AO4" s="2" t="s">
        <v>162</v>
      </c>
      <c r="AP4" s="2" t="s">
        <v>201</v>
      </c>
      <c r="AQ4" s="2" t="s">
        <v>201</v>
      </c>
      <c r="AR4" s="2" t="s">
        <v>148</v>
      </c>
      <c r="AS4" s="2"/>
      <c r="AT4" s="396" t="s">
        <v>202</v>
      </c>
      <c r="AU4" s="75" t="s">
        <v>203</v>
      </c>
      <c r="AV4" s="77"/>
      <c r="AW4" s="78">
        <v>40634</v>
      </c>
      <c r="AX4" s="78">
        <v>40878</v>
      </c>
      <c r="AY4" s="78" t="s">
        <v>148</v>
      </c>
      <c r="AZ4" s="78"/>
      <c r="BA4" s="78"/>
      <c r="BB4" s="78"/>
      <c r="BC4" s="78"/>
      <c r="BD4" s="78"/>
      <c r="BE4" s="79"/>
      <c r="BF4" s="78">
        <v>41456</v>
      </c>
      <c r="BG4" s="78" t="s">
        <v>148</v>
      </c>
      <c r="BH4" s="78">
        <v>41701</v>
      </c>
      <c r="BI4" s="78" t="s">
        <v>148</v>
      </c>
      <c r="BJ4" s="77"/>
      <c r="BK4" s="77"/>
      <c r="BL4" s="77"/>
      <c r="BM4" s="80">
        <v>41729</v>
      </c>
      <c r="BN4" s="75" t="s">
        <v>16</v>
      </c>
      <c r="BO4" s="212">
        <f t="shared" si="1"/>
        <v>36</v>
      </c>
      <c r="BP4" s="75">
        <f t="shared" si="2"/>
        <v>28</v>
      </c>
      <c r="BQ4" s="75"/>
      <c r="BR4" s="75">
        <v>0</v>
      </c>
      <c r="BS4" s="75">
        <v>1</v>
      </c>
      <c r="BT4" s="75">
        <v>1</v>
      </c>
      <c r="BU4" s="75">
        <v>2</v>
      </c>
      <c r="BV4" s="75">
        <v>0</v>
      </c>
      <c r="BW4" s="75">
        <v>0</v>
      </c>
      <c r="BX4" s="75">
        <v>0</v>
      </c>
      <c r="BY4" s="75" t="s">
        <v>204</v>
      </c>
      <c r="BZ4" s="75" t="s">
        <v>161</v>
      </c>
      <c r="CA4" s="75"/>
      <c r="CB4" s="81"/>
      <c r="CC4" s="81"/>
      <c r="CD4" s="75"/>
      <c r="CE4" s="75" t="s">
        <v>161</v>
      </c>
      <c r="CF4" s="75"/>
      <c r="CG4" s="75"/>
      <c r="CH4" s="369" t="s">
        <v>166</v>
      </c>
      <c r="CI4" s="75" t="s">
        <v>166</v>
      </c>
      <c r="CJ4" s="75"/>
      <c r="CK4" s="75" t="s">
        <v>166</v>
      </c>
    </row>
    <row r="5" spans="1:90" ht="25" customHeight="1" x14ac:dyDescent="0.35">
      <c r="A5" s="75">
        <v>4</v>
      </c>
      <c r="B5" s="75" t="s">
        <v>205</v>
      </c>
      <c r="C5" s="75" t="s">
        <v>206</v>
      </c>
      <c r="D5" s="75"/>
      <c r="E5" s="75" t="s">
        <v>207</v>
      </c>
      <c r="F5" s="75" t="s">
        <v>4139</v>
      </c>
      <c r="G5" s="75">
        <v>1</v>
      </c>
      <c r="H5" s="75" t="s">
        <v>53</v>
      </c>
      <c r="I5" s="75" t="s">
        <v>43</v>
      </c>
      <c r="J5" s="75" t="s">
        <v>170</v>
      </c>
      <c r="K5" s="75" t="s">
        <v>208</v>
      </c>
      <c r="L5" s="75" t="s">
        <v>41</v>
      </c>
      <c r="M5" s="75" t="s">
        <v>161</v>
      </c>
      <c r="N5" s="210"/>
      <c r="O5" s="2" t="s">
        <v>149</v>
      </c>
      <c r="P5" s="3" t="s">
        <v>149</v>
      </c>
      <c r="Q5" s="75" t="s">
        <v>149</v>
      </c>
      <c r="R5" s="385" t="s">
        <v>209</v>
      </c>
      <c r="S5" s="75" t="s">
        <v>210</v>
      </c>
      <c r="T5" s="338" t="s">
        <v>211</v>
      </c>
      <c r="U5" s="211" t="s">
        <v>212</v>
      </c>
      <c r="V5" s="211">
        <v>29587</v>
      </c>
      <c r="W5" s="82" t="s">
        <v>213</v>
      </c>
      <c r="X5" s="82" t="s">
        <v>177</v>
      </c>
      <c r="Y5" s="82" t="s">
        <v>161</v>
      </c>
      <c r="Z5" s="82" t="s">
        <v>156</v>
      </c>
      <c r="AA5" s="76">
        <v>24</v>
      </c>
      <c r="AB5" s="77">
        <v>40695</v>
      </c>
      <c r="AC5" s="77">
        <v>40603</v>
      </c>
      <c r="AD5" s="77"/>
      <c r="AE5" s="6" t="s">
        <v>214</v>
      </c>
      <c r="AF5" s="6"/>
      <c r="AG5" s="6"/>
      <c r="AH5" s="75">
        <f t="shared" si="0"/>
        <v>1</v>
      </c>
      <c r="AI5" s="2" t="s">
        <v>160</v>
      </c>
      <c r="AJ5" s="2" t="s">
        <v>200</v>
      </c>
      <c r="AK5" s="2"/>
      <c r="AL5" s="2" t="s">
        <v>148</v>
      </c>
      <c r="AM5" s="2" t="s">
        <v>148</v>
      </c>
      <c r="AN5" s="2"/>
      <c r="AO5" s="2" t="s">
        <v>162</v>
      </c>
      <c r="AP5" s="2" t="s">
        <v>179</v>
      </c>
      <c r="AQ5" s="2" t="s">
        <v>215</v>
      </c>
      <c r="AR5" s="2" t="s">
        <v>148</v>
      </c>
      <c r="AS5" s="2" t="s">
        <v>216</v>
      </c>
      <c r="AT5" s="396" t="s">
        <v>217</v>
      </c>
      <c r="AU5" s="75" t="s">
        <v>218</v>
      </c>
      <c r="AV5" s="77"/>
      <c r="AW5" s="78">
        <v>40634</v>
      </c>
      <c r="AX5" s="78">
        <v>40878</v>
      </c>
      <c r="AY5" s="78" t="s">
        <v>148</v>
      </c>
      <c r="AZ5" s="78"/>
      <c r="BA5" s="78"/>
      <c r="BB5" s="75"/>
      <c r="BC5" s="75"/>
      <c r="BD5" s="75"/>
      <c r="BE5" s="82"/>
      <c r="BF5" s="78">
        <v>41456</v>
      </c>
      <c r="BG5" s="78" t="s">
        <v>148</v>
      </c>
      <c r="BH5" s="78">
        <v>41702</v>
      </c>
      <c r="BI5" s="78" t="s">
        <v>148</v>
      </c>
      <c r="BJ5" s="77"/>
      <c r="BK5" s="77"/>
      <c r="BL5" s="77"/>
      <c r="BM5" s="80">
        <v>42338</v>
      </c>
      <c r="BN5" s="75" t="s">
        <v>16</v>
      </c>
      <c r="BO5" s="212">
        <f t="shared" si="1"/>
        <v>56</v>
      </c>
      <c r="BP5" s="75">
        <f t="shared" si="2"/>
        <v>48</v>
      </c>
      <c r="BQ5" s="75"/>
      <c r="BR5" s="75">
        <v>0</v>
      </c>
      <c r="BS5" s="75">
        <v>2</v>
      </c>
      <c r="BT5" s="75">
        <v>7</v>
      </c>
      <c r="BU5" s="75">
        <v>2</v>
      </c>
      <c r="BV5" s="75">
        <v>0</v>
      </c>
      <c r="BW5" s="75">
        <v>0</v>
      </c>
      <c r="BX5" s="75">
        <v>0</v>
      </c>
      <c r="BY5" s="75" t="s">
        <v>161</v>
      </c>
      <c r="BZ5" s="75" t="s">
        <v>161</v>
      </c>
      <c r="CA5" s="75"/>
      <c r="CB5" s="81"/>
      <c r="CC5" s="81"/>
      <c r="CD5" s="75"/>
      <c r="CE5" s="75" t="s">
        <v>148</v>
      </c>
      <c r="CF5" s="75"/>
      <c r="CG5" s="75"/>
      <c r="CH5" s="369">
        <v>1</v>
      </c>
      <c r="CI5" s="75">
        <v>3</v>
      </c>
      <c r="CJ5" s="75"/>
      <c r="CK5" s="75" t="s">
        <v>166</v>
      </c>
    </row>
    <row r="6" spans="1:90" ht="27.65" customHeight="1" x14ac:dyDescent="0.35">
      <c r="A6" s="75">
        <v>5</v>
      </c>
      <c r="B6" s="75" t="s">
        <v>219</v>
      </c>
      <c r="C6" s="75" t="s">
        <v>220</v>
      </c>
      <c r="D6" s="75"/>
      <c r="E6" s="75" t="s">
        <v>221</v>
      </c>
      <c r="F6" s="75" t="s">
        <v>4139</v>
      </c>
      <c r="G6" s="75">
        <v>1</v>
      </c>
      <c r="H6" s="75" t="s">
        <v>51</v>
      </c>
      <c r="I6" s="75" t="s">
        <v>4136</v>
      </c>
      <c r="J6" s="75" t="s">
        <v>222</v>
      </c>
      <c r="K6" s="75" t="s">
        <v>223</v>
      </c>
      <c r="L6" s="75" t="s">
        <v>44</v>
      </c>
      <c r="M6" s="75" t="s">
        <v>161</v>
      </c>
      <c r="N6" s="210"/>
      <c r="O6" s="2" t="s">
        <v>149</v>
      </c>
      <c r="P6" s="3" t="s">
        <v>149</v>
      </c>
      <c r="Q6" s="75" t="s">
        <v>149</v>
      </c>
      <c r="R6" s="75" t="s">
        <v>224</v>
      </c>
      <c r="S6" s="75" t="s">
        <v>225</v>
      </c>
      <c r="T6" s="338"/>
      <c r="U6" s="211" t="s">
        <v>226</v>
      </c>
      <c r="V6" s="211">
        <v>26178</v>
      </c>
      <c r="W6" s="82" t="s">
        <v>227</v>
      </c>
      <c r="X6" s="82" t="s">
        <v>154</v>
      </c>
      <c r="Y6" s="82" t="s">
        <v>155</v>
      </c>
      <c r="Z6" s="82" t="s">
        <v>156</v>
      </c>
      <c r="AA6" s="76">
        <v>21</v>
      </c>
      <c r="AB6" s="77">
        <v>40646</v>
      </c>
      <c r="AC6" s="77">
        <v>40603</v>
      </c>
      <c r="AD6" s="77"/>
      <c r="AE6" s="6" t="s">
        <v>228</v>
      </c>
      <c r="AF6" s="6" t="s">
        <v>229</v>
      </c>
      <c r="AG6" s="6"/>
      <c r="AH6" s="75">
        <f t="shared" si="0"/>
        <v>2</v>
      </c>
      <c r="AI6" s="2" t="s">
        <v>160</v>
      </c>
      <c r="AJ6" s="2" t="s">
        <v>159</v>
      </c>
      <c r="AK6" s="2"/>
      <c r="AL6" s="2" t="s">
        <v>148</v>
      </c>
      <c r="AM6" s="2" t="s">
        <v>161</v>
      </c>
      <c r="AN6" s="2"/>
      <c r="AO6" s="2" t="s">
        <v>162</v>
      </c>
      <c r="AP6" s="2" t="s">
        <v>201</v>
      </c>
      <c r="AQ6" s="2" t="s">
        <v>230</v>
      </c>
      <c r="AR6" s="2" t="s">
        <v>148</v>
      </c>
      <c r="AS6" s="2"/>
      <c r="AT6" s="396" t="s">
        <v>231</v>
      </c>
      <c r="AU6" s="75" t="s">
        <v>232</v>
      </c>
      <c r="AV6" s="77"/>
      <c r="AW6" s="78">
        <v>40634</v>
      </c>
      <c r="AX6" s="78">
        <v>40878</v>
      </c>
      <c r="AY6" s="78" t="s">
        <v>148</v>
      </c>
      <c r="AZ6" s="78"/>
      <c r="BA6" s="78"/>
      <c r="BB6" s="78"/>
      <c r="BC6" s="78"/>
      <c r="BD6" s="78"/>
      <c r="BE6" s="79"/>
      <c r="BF6" s="78">
        <v>41456</v>
      </c>
      <c r="BG6" s="78" t="s">
        <v>148</v>
      </c>
      <c r="BH6" s="78">
        <v>42064</v>
      </c>
      <c r="BI6" s="78" t="s">
        <v>161</v>
      </c>
      <c r="BJ6" s="77"/>
      <c r="BK6" s="77"/>
      <c r="BL6" s="77"/>
      <c r="BM6" s="80">
        <v>42551</v>
      </c>
      <c r="BN6" s="75" t="s">
        <v>16</v>
      </c>
      <c r="BO6" s="212">
        <f t="shared" si="1"/>
        <v>63</v>
      </c>
      <c r="BP6" s="75">
        <f t="shared" si="2"/>
        <v>55</v>
      </c>
      <c r="BQ6" s="75"/>
      <c r="BR6" s="75">
        <v>0</v>
      </c>
      <c r="BS6" s="75">
        <v>5</v>
      </c>
      <c r="BT6" s="75">
        <v>15</v>
      </c>
      <c r="BU6" s="75">
        <v>4</v>
      </c>
      <c r="BV6" s="75">
        <v>0</v>
      </c>
      <c r="BW6" s="75">
        <v>0</v>
      </c>
      <c r="BX6" s="75">
        <v>0</v>
      </c>
      <c r="BY6" s="75" t="s">
        <v>161</v>
      </c>
      <c r="BZ6" s="75" t="s">
        <v>161</v>
      </c>
      <c r="CA6" s="75"/>
      <c r="CB6" s="81"/>
      <c r="CC6" s="81"/>
      <c r="CD6" s="75"/>
      <c r="CE6" s="75" t="s">
        <v>161</v>
      </c>
      <c r="CF6" s="75"/>
      <c r="CG6" s="75"/>
      <c r="CH6" s="369" t="s">
        <v>166</v>
      </c>
      <c r="CI6" s="75" t="s">
        <v>166</v>
      </c>
      <c r="CJ6" s="75"/>
      <c r="CK6" s="75" t="s">
        <v>166</v>
      </c>
    </row>
    <row r="7" spans="1:90" ht="25" customHeight="1" x14ac:dyDescent="0.35">
      <c r="A7" s="75">
        <v>6</v>
      </c>
      <c r="B7" s="75" t="s">
        <v>233</v>
      </c>
      <c r="C7" s="75" t="s">
        <v>234</v>
      </c>
      <c r="D7" s="75" t="s">
        <v>235</v>
      </c>
      <c r="E7" s="75" t="s">
        <v>236</v>
      </c>
      <c r="F7" s="75" t="s">
        <v>4140</v>
      </c>
      <c r="G7" s="75">
        <v>1</v>
      </c>
      <c r="H7" s="75" t="s">
        <v>57</v>
      </c>
      <c r="I7" s="75" t="s">
        <v>40</v>
      </c>
      <c r="J7" s="75" t="s">
        <v>237</v>
      </c>
      <c r="K7" s="75"/>
      <c r="L7" s="75" t="s">
        <v>44</v>
      </c>
      <c r="M7" s="75" t="s">
        <v>161</v>
      </c>
      <c r="N7" s="210"/>
      <c r="O7" s="2" t="s">
        <v>149</v>
      </c>
      <c r="P7" s="3" t="s">
        <v>238</v>
      </c>
      <c r="Q7" s="75" t="s">
        <v>149</v>
      </c>
      <c r="R7" s="75" t="s">
        <v>239</v>
      </c>
      <c r="S7" s="75" t="s">
        <v>240</v>
      </c>
      <c r="T7" s="339" t="s">
        <v>241</v>
      </c>
      <c r="U7" s="77" t="s">
        <v>242</v>
      </c>
      <c r="V7" s="77">
        <v>28383</v>
      </c>
      <c r="W7" s="82" t="s">
        <v>243</v>
      </c>
      <c r="X7" s="82" t="s">
        <v>177</v>
      </c>
      <c r="Y7" s="82" t="s">
        <v>161</v>
      </c>
      <c r="Z7" s="82" t="s">
        <v>156</v>
      </c>
      <c r="AA7" s="76">
        <v>16</v>
      </c>
      <c r="AB7" s="77">
        <v>40609</v>
      </c>
      <c r="AC7" s="77">
        <v>40603</v>
      </c>
      <c r="AD7" s="77"/>
      <c r="AE7" s="6" t="s">
        <v>244</v>
      </c>
      <c r="AF7" s="6" t="s">
        <v>245</v>
      </c>
      <c r="AG7" s="6" t="s">
        <v>246</v>
      </c>
      <c r="AH7" s="75">
        <f t="shared" si="0"/>
        <v>3</v>
      </c>
      <c r="AI7" s="4" t="s">
        <v>160</v>
      </c>
      <c r="AJ7" s="2" t="s">
        <v>159</v>
      </c>
      <c r="AK7" s="2" t="s">
        <v>159</v>
      </c>
      <c r="AL7" s="2" t="s">
        <v>148</v>
      </c>
      <c r="AM7" s="2" t="s">
        <v>148</v>
      </c>
      <c r="AN7" s="2" t="s">
        <v>161</v>
      </c>
      <c r="AO7" s="2" t="s">
        <v>180</v>
      </c>
      <c r="AP7" s="2" t="s">
        <v>247</v>
      </c>
      <c r="AQ7" s="2" t="s">
        <v>248</v>
      </c>
      <c r="AR7" s="2" t="s">
        <v>148</v>
      </c>
      <c r="AS7" s="2"/>
      <c r="AT7" s="396" t="s">
        <v>249</v>
      </c>
      <c r="AU7" s="75"/>
      <c r="AV7" s="77"/>
      <c r="AW7" s="78">
        <v>40634</v>
      </c>
      <c r="AX7" s="78">
        <v>40878</v>
      </c>
      <c r="AY7" s="78" t="s">
        <v>148</v>
      </c>
      <c r="AZ7" s="78"/>
      <c r="BA7" s="78"/>
      <c r="BB7" s="78"/>
      <c r="BC7" s="78"/>
      <c r="BD7" s="78"/>
      <c r="BE7" s="79"/>
      <c r="BF7" s="78">
        <v>41456</v>
      </c>
      <c r="BG7" s="78" t="s">
        <v>148</v>
      </c>
      <c r="BH7" s="78">
        <v>41699</v>
      </c>
      <c r="BI7" s="78" t="s">
        <v>148</v>
      </c>
      <c r="BJ7" s="77"/>
      <c r="BK7" s="77"/>
      <c r="BL7" s="77"/>
      <c r="BM7" s="80">
        <v>43073</v>
      </c>
      <c r="BN7" s="75" t="s">
        <v>16</v>
      </c>
      <c r="BO7" s="212">
        <f t="shared" si="1"/>
        <v>81</v>
      </c>
      <c r="BP7" s="75">
        <f t="shared" si="2"/>
        <v>73</v>
      </c>
      <c r="BQ7" s="75"/>
      <c r="BR7" s="75" t="s">
        <v>166</v>
      </c>
      <c r="BS7" s="75">
        <v>4</v>
      </c>
      <c r="BT7" s="75">
        <v>1</v>
      </c>
      <c r="BU7" s="75">
        <v>0</v>
      </c>
      <c r="BV7" s="75">
        <v>0</v>
      </c>
      <c r="BW7" s="75">
        <v>0</v>
      </c>
      <c r="BX7" s="75">
        <v>1</v>
      </c>
      <c r="BY7" s="75" t="s">
        <v>250</v>
      </c>
      <c r="BZ7" s="75" t="s">
        <v>161</v>
      </c>
      <c r="CA7" s="75"/>
      <c r="CB7" s="81"/>
      <c r="CC7" s="81"/>
      <c r="CD7" s="75"/>
      <c r="CE7" s="75" t="s">
        <v>161</v>
      </c>
      <c r="CF7" s="75"/>
      <c r="CG7" s="75"/>
      <c r="CH7" s="369">
        <v>3</v>
      </c>
      <c r="CI7" s="75">
        <v>3</v>
      </c>
      <c r="CJ7" s="75"/>
      <c r="CK7" s="75" t="s">
        <v>166</v>
      </c>
    </row>
    <row r="8" spans="1:90" ht="25" customHeight="1" x14ac:dyDescent="0.35">
      <c r="A8" s="75">
        <v>7</v>
      </c>
      <c r="B8" s="75" t="s">
        <v>251</v>
      </c>
      <c r="C8" s="75" t="s">
        <v>252</v>
      </c>
      <c r="D8" s="75" t="s">
        <v>253</v>
      </c>
      <c r="E8" s="75" t="s">
        <v>254</v>
      </c>
      <c r="F8" s="75" t="s">
        <v>4140</v>
      </c>
      <c r="G8" s="75">
        <v>1</v>
      </c>
      <c r="H8" s="75" t="s">
        <v>51</v>
      </c>
      <c r="I8" s="75" t="s">
        <v>4136</v>
      </c>
      <c r="J8" s="75" t="s">
        <v>255</v>
      </c>
      <c r="K8" s="75" t="s">
        <v>256</v>
      </c>
      <c r="L8" s="75" t="s">
        <v>44</v>
      </c>
      <c r="M8" s="75" t="s">
        <v>161</v>
      </c>
      <c r="N8" s="210"/>
      <c r="O8" s="2" t="s">
        <v>149</v>
      </c>
      <c r="P8" s="3" t="s">
        <v>149</v>
      </c>
      <c r="Q8" s="75" t="s">
        <v>149</v>
      </c>
      <c r="R8" s="75" t="s">
        <v>257</v>
      </c>
      <c r="S8" s="83" t="s">
        <v>258</v>
      </c>
      <c r="T8" s="338"/>
      <c r="U8" s="211" t="s">
        <v>259</v>
      </c>
      <c r="V8" s="211">
        <v>26090</v>
      </c>
      <c r="W8" s="82" t="s">
        <v>260</v>
      </c>
      <c r="X8" s="82" t="s">
        <v>177</v>
      </c>
      <c r="Y8" s="82" t="s">
        <v>161</v>
      </c>
      <c r="Z8" s="82" t="s">
        <v>156</v>
      </c>
      <c r="AA8" s="76">
        <v>7.5</v>
      </c>
      <c r="AB8" s="77">
        <v>40577</v>
      </c>
      <c r="AC8" s="77">
        <v>40603</v>
      </c>
      <c r="AD8" s="77"/>
      <c r="AE8" s="6" t="s">
        <v>261</v>
      </c>
      <c r="AF8" s="6" t="s">
        <v>262</v>
      </c>
      <c r="AG8" s="6" t="s">
        <v>263</v>
      </c>
      <c r="AH8" s="75">
        <f t="shared" si="0"/>
        <v>3</v>
      </c>
      <c r="AI8" s="4" t="s">
        <v>160</v>
      </c>
      <c r="AJ8" s="2" t="s">
        <v>200</v>
      </c>
      <c r="AK8" s="2" t="s">
        <v>159</v>
      </c>
      <c r="AL8" s="2" t="s">
        <v>148</v>
      </c>
      <c r="AM8" s="2" t="s">
        <v>161</v>
      </c>
      <c r="AN8" s="2" t="s">
        <v>161</v>
      </c>
      <c r="AO8" s="2" t="s">
        <v>162</v>
      </c>
      <c r="AP8" s="2" t="s">
        <v>201</v>
      </c>
      <c r="AQ8" s="2" t="s">
        <v>264</v>
      </c>
      <c r="AR8" s="2" t="s">
        <v>148</v>
      </c>
      <c r="AS8" s="2"/>
      <c r="AT8" s="396" t="s">
        <v>265</v>
      </c>
      <c r="AU8" s="75" t="s">
        <v>266</v>
      </c>
      <c r="AV8" s="77"/>
      <c r="AW8" s="78">
        <v>40634</v>
      </c>
      <c r="AX8" s="78">
        <v>40878</v>
      </c>
      <c r="AY8" s="78" t="s">
        <v>148</v>
      </c>
      <c r="AZ8" s="78"/>
      <c r="BA8" s="78"/>
      <c r="BB8" s="78"/>
      <c r="BC8" s="78"/>
      <c r="BD8" s="78"/>
      <c r="BE8" s="79"/>
      <c r="BF8" s="78">
        <v>41456</v>
      </c>
      <c r="BG8" s="78" t="s">
        <v>148</v>
      </c>
      <c r="BH8" s="78">
        <v>41700</v>
      </c>
      <c r="BI8" s="78" t="s">
        <v>148</v>
      </c>
      <c r="BJ8" s="77"/>
      <c r="BK8" s="77"/>
      <c r="BL8" s="77"/>
      <c r="BM8" s="80">
        <v>42674</v>
      </c>
      <c r="BN8" s="75" t="s">
        <v>16</v>
      </c>
      <c r="BO8" s="212">
        <f t="shared" si="1"/>
        <v>67</v>
      </c>
      <c r="BP8" s="75">
        <f t="shared" si="2"/>
        <v>59</v>
      </c>
      <c r="BQ8" s="75"/>
      <c r="BR8" s="75">
        <v>1</v>
      </c>
      <c r="BS8" s="75">
        <v>7</v>
      </c>
      <c r="BT8" s="75">
        <v>47</v>
      </c>
      <c r="BU8" s="75">
        <v>3</v>
      </c>
      <c r="BV8" s="75">
        <v>0</v>
      </c>
      <c r="BW8" s="75">
        <v>0</v>
      </c>
      <c r="BX8" s="75">
        <v>0</v>
      </c>
      <c r="BY8" s="75" t="s">
        <v>161</v>
      </c>
      <c r="BZ8" s="75" t="s">
        <v>161</v>
      </c>
      <c r="CA8" s="75"/>
      <c r="CB8" s="81"/>
      <c r="CC8" s="81"/>
      <c r="CD8" s="75"/>
      <c r="CE8" s="75" t="s">
        <v>161</v>
      </c>
      <c r="CF8" s="75"/>
      <c r="CG8" s="75"/>
      <c r="CH8" s="369">
        <v>2</v>
      </c>
      <c r="CI8" s="75">
        <v>2</v>
      </c>
      <c r="CJ8" s="75"/>
      <c r="CK8" s="75" t="s">
        <v>166</v>
      </c>
    </row>
    <row r="9" spans="1:90" ht="25" customHeight="1" x14ac:dyDescent="0.35">
      <c r="A9" s="75">
        <v>8</v>
      </c>
      <c r="B9" s="75" t="s">
        <v>267</v>
      </c>
      <c r="C9" s="75" t="s">
        <v>268</v>
      </c>
      <c r="D9" s="75" t="s">
        <v>269</v>
      </c>
      <c r="E9" s="75" t="s">
        <v>270</v>
      </c>
      <c r="F9" s="75" t="s">
        <v>4139</v>
      </c>
      <c r="G9" s="75">
        <v>1</v>
      </c>
      <c r="H9" s="75" t="s">
        <v>52</v>
      </c>
      <c r="I9" s="75" t="s">
        <v>39</v>
      </c>
      <c r="J9" s="75" t="s">
        <v>271</v>
      </c>
      <c r="K9" s="75" t="s">
        <v>272</v>
      </c>
      <c r="L9" s="75" t="s">
        <v>31</v>
      </c>
      <c r="M9" s="75" t="s">
        <v>161</v>
      </c>
      <c r="N9" s="210">
        <v>125847</v>
      </c>
      <c r="O9" s="8" t="s">
        <v>149</v>
      </c>
      <c r="P9" s="9" t="s">
        <v>149</v>
      </c>
      <c r="Q9" s="75"/>
      <c r="R9" s="385" t="s">
        <v>273</v>
      </c>
      <c r="S9" s="75" t="s">
        <v>274</v>
      </c>
      <c r="T9" s="339" t="s">
        <v>275</v>
      </c>
      <c r="U9" s="211" t="s">
        <v>276</v>
      </c>
      <c r="V9" s="211">
        <v>26085</v>
      </c>
      <c r="W9" s="82" t="s">
        <v>277</v>
      </c>
      <c r="X9" s="82" t="s">
        <v>177</v>
      </c>
      <c r="Y9" s="82" t="s">
        <v>161</v>
      </c>
      <c r="Z9" s="82" t="s">
        <v>156</v>
      </c>
      <c r="AA9" s="76">
        <v>14</v>
      </c>
      <c r="AB9" s="77">
        <v>40739</v>
      </c>
      <c r="AC9" s="77">
        <v>40603</v>
      </c>
      <c r="AD9" s="77"/>
      <c r="AE9" s="75" t="s">
        <v>278</v>
      </c>
      <c r="AF9" s="75" t="s">
        <v>279</v>
      </c>
      <c r="AG9" s="6"/>
      <c r="AH9" s="75">
        <f t="shared" si="0"/>
        <v>2</v>
      </c>
      <c r="AI9" s="8" t="s">
        <v>280</v>
      </c>
      <c r="AJ9" s="8"/>
      <c r="AK9" s="8"/>
      <c r="AL9" s="8" t="s">
        <v>148</v>
      </c>
      <c r="AM9" s="8"/>
      <c r="AN9" s="8"/>
      <c r="AO9" s="8" t="s">
        <v>162</v>
      </c>
      <c r="AP9" s="8" t="s">
        <v>281</v>
      </c>
      <c r="AQ9" s="2" t="s">
        <v>248</v>
      </c>
      <c r="AR9" s="8" t="s">
        <v>148</v>
      </c>
      <c r="AS9" s="8" t="s">
        <v>282</v>
      </c>
      <c r="AT9" s="395" t="s">
        <v>283</v>
      </c>
      <c r="AU9" s="75" t="s">
        <v>284</v>
      </c>
      <c r="AV9" s="77"/>
      <c r="AW9" s="78">
        <v>40634</v>
      </c>
      <c r="AX9" s="78">
        <v>40878</v>
      </c>
      <c r="AY9" s="78" t="s">
        <v>148</v>
      </c>
      <c r="AZ9" s="78"/>
      <c r="BA9" s="78"/>
      <c r="BB9" s="78"/>
      <c r="BC9" s="78"/>
      <c r="BD9" s="78"/>
      <c r="BE9" s="79"/>
      <c r="BF9" s="78">
        <v>41456</v>
      </c>
      <c r="BG9" s="78" t="s">
        <v>148</v>
      </c>
      <c r="BH9" s="78">
        <v>41701</v>
      </c>
      <c r="BI9" s="78" t="s">
        <v>148</v>
      </c>
      <c r="BJ9" s="77"/>
      <c r="BK9" s="77"/>
      <c r="BL9" s="77"/>
      <c r="BM9" s="80">
        <v>42325</v>
      </c>
      <c r="BN9" s="75" t="s">
        <v>16</v>
      </c>
      <c r="BO9" s="212">
        <f t="shared" si="1"/>
        <v>56</v>
      </c>
      <c r="BP9" s="75">
        <f t="shared" si="2"/>
        <v>48</v>
      </c>
      <c r="BQ9" s="75"/>
      <c r="BR9" s="75">
        <v>5</v>
      </c>
      <c r="BS9" s="75">
        <v>12</v>
      </c>
      <c r="BT9" s="75">
        <v>10</v>
      </c>
      <c r="BU9" s="75">
        <v>6</v>
      </c>
      <c r="BV9" s="75">
        <v>4</v>
      </c>
      <c r="BW9" s="75">
        <v>2</v>
      </c>
      <c r="BX9" s="75">
        <v>0</v>
      </c>
      <c r="BY9" s="75" t="s">
        <v>161</v>
      </c>
      <c r="BZ9" s="75" t="s">
        <v>161</v>
      </c>
      <c r="CA9" s="75"/>
      <c r="CB9" s="81"/>
      <c r="CC9" s="81"/>
      <c r="CD9" s="75"/>
      <c r="CE9" s="75" t="s">
        <v>161</v>
      </c>
      <c r="CF9" s="75"/>
      <c r="CG9" s="75"/>
      <c r="CH9" s="369" t="s">
        <v>166</v>
      </c>
      <c r="CI9" s="75" t="s">
        <v>166</v>
      </c>
      <c r="CJ9" s="75"/>
      <c r="CK9" s="75" t="s">
        <v>166</v>
      </c>
    </row>
    <row r="10" spans="1:90" ht="25" customHeight="1" x14ac:dyDescent="0.35">
      <c r="A10" s="75">
        <v>9</v>
      </c>
      <c r="B10" s="75" t="s">
        <v>285</v>
      </c>
      <c r="C10" s="75" t="s">
        <v>286</v>
      </c>
      <c r="D10" s="75"/>
      <c r="E10" s="75" t="s">
        <v>287</v>
      </c>
      <c r="F10" s="75" t="s">
        <v>4139</v>
      </c>
      <c r="G10" s="75">
        <v>1</v>
      </c>
      <c r="H10" s="75" t="s">
        <v>51</v>
      </c>
      <c r="I10" s="75" t="s">
        <v>4136</v>
      </c>
      <c r="J10" s="75" t="s">
        <v>288</v>
      </c>
      <c r="K10" s="75" t="s">
        <v>289</v>
      </c>
      <c r="L10" s="75" t="s">
        <v>4136</v>
      </c>
      <c r="M10" s="75" t="s">
        <v>148</v>
      </c>
      <c r="N10" s="210"/>
      <c r="O10" s="2" t="s">
        <v>191</v>
      </c>
      <c r="P10" s="3" t="s">
        <v>166</v>
      </c>
      <c r="Q10" s="75"/>
      <c r="R10" s="75" t="s">
        <v>290</v>
      </c>
      <c r="S10" s="82" t="s">
        <v>291</v>
      </c>
      <c r="T10" s="338"/>
      <c r="U10" s="211" t="s">
        <v>292</v>
      </c>
      <c r="V10" s="211">
        <v>26541</v>
      </c>
      <c r="W10" s="82" t="s">
        <v>293</v>
      </c>
      <c r="X10" s="82" t="s">
        <v>177</v>
      </c>
      <c r="Y10" s="82" t="s">
        <v>161</v>
      </c>
      <c r="Z10" s="82" t="s">
        <v>156</v>
      </c>
      <c r="AA10" s="76">
        <v>11</v>
      </c>
      <c r="AB10" s="77">
        <v>40544</v>
      </c>
      <c r="AC10" s="77">
        <v>40603</v>
      </c>
      <c r="AD10" s="77"/>
      <c r="AE10" s="6" t="s">
        <v>294</v>
      </c>
      <c r="AF10" s="6" t="s">
        <v>295</v>
      </c>
      <c r="AG10" s="6"/>
      <c r="AH10" s="75">
        <f t="shared" si="0"/>
        <v>2</v>
      </c>
      <c r="AI10" s="2" t="s">
        <v>159</v>
      </c>
      <c r="AJ10" s="2" t="s">
        <v>160</v>
      </c>
      <c r="AK10" s="2"/>
      <c r="AL10" s="2" t="s">
        <v>148</v>
      </c>
      <c r="AM10" s="2" t="s">
        <v>148</v>
      </c>
      <c r="AN10" s="2"/>
      <c r="AO10" s="2" t="s">
        <v>162</v>
      </c>
      <c r="AP10" s="2"/>
      <c r="AQ10" s="2" t="s">
        <v>201</v>
      </c>
      <c r="AR10" s="2"/>
      <c r="AS10" s="2"/>
      <c r="AT10" s="396" t="s">
        <v>296</v>
      </c>
      <c r="AU10" s="75" t="s">
        <v>297</v>
      </c>
      <c r="AV10" s="77"/>
      <c r="AW10" s="78">
        <v>40634</v>
      </c>
      <c r="AX10" s="78">
        <v>40878</v>
      </c>
      <c r="AY10" s="78" t="s">
        <v>148</v>
      </c>
      <c r="AZ10" s="78"/>
      <c r="BA10" s="78"/>
      <c r="BB10" s="78"/>
      <c r="BC10" s="78"/>
      <c r="BD10" s="78"/>
      <c r="BE10" s="79"/>
      <c r="BF10" s="78">
        <v>41456</v>
      </c>
      <c r="BG10" s="78" t="s">
        <v>148</v>
      </c>
      <c r="BH10" s="78">
        <v>41702</v>
      </c>
      <c r="BI10" s="78" t="s">
        <v>148</v>
      </c>
      <c r="BJ10" s="77"/>
      <c r="BK10" s="77"/>
      <c r="BL10" s="77"/>
      <c r="BM10" s="80">
        <v>42613</v>
      </c>
      <c r="BN10" s="75" t="s">
        <v>16</v>
      </c>
      <c r="BO10" s="212">
        <f t="shared" si="1"/>
        <v>65</v>
      </c>
      <c r="BP10" s="75">
        <f t="shared" si="2"/>
        <v>57</v>
      </c>
      <c r="BQ10" s="75"/>
      <c r="BR10" s="75">
        <v>7</v>
      </c>
      <c r="BS10" s="75">
        <v>6</v>
      </c>
      <c r="BT10" s="75">
        <v>1</v>
      </c>
      <c r="BU10" s="75">
        <v>3</v>
      </c>
      <c r="BV10" s="75">
        <v>1</v>
      </c>
      <c r="BW10" s="75">
        <v>0</v>
      </c>
      <c r="BX10" s="75">
        <v>0</v>
      </c>
      <c r="BY10" s="75" t="s">
        <v>161</v>
      </c>
      <c r="BZ10" s="75" t="s">
        <v>161</v>
      </c>
      <c r="CA10" s="75"/>
      <c r="CB10" s="81"/>
      <c r="CC10" s="81"/>
      <c r="CD10" s="75"/>
      <c r="CE10" s="75" t="s">
        <v>161</v>
      </c>
      <c r="CF10" s="75"/>
      <c r="CG10" s="75"/>
      <c r="CH10" s="369" t="s">
        <v>166</v>
      </c>
      <c r="CI10" s="75" t="s">
        <v>166</v>
      </c>
      <c r="CJ10" s="75"/>
      <c r="CK10" s="75" t="s">
        <v>166</v>
      </c>
    </row>
    <row r="11" spans="1:90" ht="25" customHeight="1" x14ac:dyDescent="0.35">
      <c r="A11" s="75">
        <v>10</v>
      </c>
      <c r="B11" s="75" t="s">
        <v>298</v>
      </c>
      <c r="C11" s="75" t="s">
        <v>299</v>
      </c>
      <c r="D11" s="75"/>
      <c r="E11" s="75" t="s">
        <v>300</v>
      </c>
      <c r="F11" s="75" t="s">
        <v>4139</v>
      </c>
      <c r="G11" s="75">
        <v>1</v>
      </c>
      <c r="H11" s="75" t="s">
        <v>53</v>
      </c>
      <c r="I11" s="75" t="s">
        <v>43</v>
      </c>
      <c r="J11" s="75" t="s">
        <v>301</v>
      </c>
      <c r="K11" s="75" t="s">
        <v>171</v>
      </c>
      <c r="L11" s="75" t="s">
        <v>43</v>
      </c>
      <c r="M11" s="75" t="s">
        <v>148</v>
      </c>
      <c r="N11" s="210">
        <v>213004253</v>
      </c>
      <c r="O11" s="2" t="s">
        <v>149</v>
      </c>
      <c r="P11" s="3" t="s">
        <v>149</v>
      </c>
      <c r="Q11" s="75" t="s">
        <v>149</v>
      </c>
      <c r="R11" s="385" t="s">
        <v>302</v>
      </c>
      <c r="S11" s="75" t="s">
        <v>303</v>
      </c>
      <c r="T11" s="339" t="s">
        <v>304</v>
      </c>
      <c r="U11" s="211" t="s">
        <v>305</v>
      </c>
      <c r="V11" s="211">
        <v>26915</v>
      </c>
      <c r="W11" s="82" t="s">
        <v>306</v>
      </c>
      <c r="X11" s="82" t="s">
        <v>177</v>
      </c>
      <c r="Y11" s="82" t="s">
        <v>161</v>
      </c>
      <c r="Z11" s="82" t="s">
        <v>307</v>
      </c>
      <c r="AA11" s="76">
        <v>13</v>
      </c>
      <c r="AB11" s="77">
        <v>40823</v>
      </c>
      <c r="AC11" s="77">
        <v>40603</v>
      </c>
      <c r="AD11" s="77"/>
      <c r="AE11" s="6" t="s">
        <v>308</v>
      </c>
      <c r="AF11" s="6" t="s">
        <v>309</v>
      </c>
      <c r="AG11" s="6" t="s">
        <v>310</v>
      </c>
      <c r="AH11" s="75">
        <f t="shared" si="0"/>
        <v>3</v>
      </c>
      <c r="AI11" s="2" t="s">
        <v>280</v>
      </c>
      <c r="AJ11" s="2" t="s">
        <v>159</v>
      </c>
      <c r="AK11" s="2" t="s">
        <v>159</v>
      </c>
      <c r="AL11" s="2" t="s">
        <v>148</v>
      </c>
      <c r="AM11" s="2" t="s">
        <v>148</v>
      </c>
      <c r="AN11" s="2" t="s">
        <v>161</v>
      </c>
      <c r="AO11" s="2" t="s">
        <v>162</v>
      </c>
      <c r="AP11" s="2" t="s">
        <v>179</v>
      </c>
      <c r="AQ11" s="2" t="s">
        <v>311</v>
      </c>
      <c r="AR11" s="2" t="s">
        <v>148</v>
      </c>
      <c r="AS11" s="2" t="s">
        <v>312</v>
      </c>
      <c r="AT11" s="396" t="s">
        <v>217</v>
      </c>
      <c r="AU11" s="75" t="s">
        <v>313</v>
      </c>
      <c r="AV11" s="77"/>
      <c r="AW11" s="78">
        <v>40634</v>
      </c>
      <c r="AX11" s="78">
        <v>40878</v>
      </c>
      <c r="AY11" s="78" t="s">
        <v>148</v>
      </c>
      <c r="AZ11" s="78">
        <v>40672</v>
      </c>
      <c r="BA11" s="75"/>
      <c r="BB11" s="78">
        <v>41298</v>
      </c>
      <c r="BC11" s="78"/>
      <c r="BD11" s="78"/>
      <c r="BE11" s="79"/>
      <c r="BF11" s="78">
        <v>41484</v>
      </c>
      <c r="BG11" s="78" t="s">
        <v>148</v>
      </c>
      <c r="BH11" s="78">
        <v>41703</v>
      </c>
      <c r="BI11" s="78" t="s">
        <v>148</v>
      </c>
      <c r="BJ11" s="77">
        <v>42507</v>
      </c>
      <c r="BK11" s="77">
        <v>42947</v>
      </c>
      <c r="BL11" s="77">
        <v>42967</v>
      </c>
      <c r="BM11" s="80">
        <v>42947</v>
      </c>
      <c r="BN11" s="75" t="s">
        <v>16</v>
      </c>
      <c r="BO11" s="212">
        <f t="shared" si="1"/>
        <v>76</v>
      </c>
      <c r="BP11" s="75">
        <f t="shared" si="2"/>
        <v>68</v>
      </c>
      <c r="BQ11" s="82" t="s">
        <v>314</v>
      </c>
      <c r="BR11" s="75">
        <v>0</v>
      </c>
      <c r="BS11" s="75">
        <v>4</v>
      </c>
      <c r="BT11" s="75">
        <v>9</v>
      </c>
      <c r="BU11" s="75">
        <v>1</v>
      </c>
      <c r="BV11" s="75">
        <v>4</v>
      </c>
      <c r="BW11" s="75">
        <v>0</v>
      </c>
      <c r="BX11" s="75">
        <v>0</v>
      </c>
      <c r="BY11" s="75" t="s">
        <v>161</v>
      </c>
      <c r="BZ11" s="75" t="s">
        <v>161</v>
      </c>
      <c r="CA11" s="75"/>
      <c r="CB11" s="81"/>
      <c r="CC11" s="81"/>
      <c r="CD11" s="75"/>
      <c r="CE11" s="75" t="s">
        <v>161</v>
      </c>
      <c r="CF11" s="75"/>
      <c r="CG11" s="75"/>
      <c r="CH11" s="369">
        <v>3</v>
      </c>
      <c r="CI11" s="75">
        <v>4</v>
      </c>
      <c r="CJ11" s="75"/>
      <c r="CK11" s="75" t="s">
        <v>166</v>
      </c>
    </row>
    <row r="12" spans="1:90" ht="32.15" customHeight="1" x14ac:dyDescent="0.35">
      <c r="A12" s="75">
        <v>11</v>
      </c>
      <c r="B12" s="75" t="s">
        <v>315</v>
      </c>
      <c r="C12" s="75" t="s">
        <v>316</v>
      </c>
      <c r="D12" s="75" t="s">
        <v>317</v>
      </c>
      <c r="E12" s="75" t="s">
        <v>318</v>
      </c>
      <c r="F12" s="75" t="s">
        <v>4139</v>
      </c>
      <c r="G12" s="75">
        <v>1</v>
      </c>
      <c r="H12" s="75" t="s">
        <v>52</v>
      </c>
      <c r="I12" s="75" t="s">
        <v>31</v>
      </c>
      <c r="J12" s="75" t="s">
        <v>319</v>
      </c>
      <c r="K12" s="75" t="s">
        <v>147</v>
      </c>
      <c r="L12" s="75" t="s">
        <v>31</v>
      </c>
      <c r="M12" s="75" t="s">
        <v>148</v>
      </c>
      <c r="N12" s="210"/>
      <c r="O12" s="2" t="s">
        <v>320</v>
      </c>
      <c r="P12" s="3" t="s">
        <v>149</v>
      </c>
      <c r="Q12" s="75" t="s">
        <v>149</v>
      </c>
      <c r="R12" s="385" t="s">
        <v>321</v>
      </c>
      <c r="S12" s="82" t="s">
        <v>322</v>
      </c>
      <c r="T12" s="339" t="s">
        <v>323</v>
      </c>
      <c r="U12" s="211" t="s">
        <v>324</v>
      </c>
      <c r="V12" s="211">
        <v>28098</v>
      </c>
      <c r="W12" s="82" t="s">
        <v>325</v>
      </c>
      <c r="X12" s="82" t="s">
        <v>177</v>
      </c>
      <c r="Y12" s="82" t="s">
        <v>161</v>
      </c>
      <c r="Z12" s="82" t="s">
        <v>307</v>
      </c>
      <c r="AA12" s="75">
        <v>21</v>
      </c>
      <c r="AB12" s="77">
        <v>40609</v>
      </c>
      <c r="AC12" s="77">
        <v>40603</v>
      </c>
      <c r="AD12" s="77"/>
      <c r="AE12" s="6" t="s">
        <v>157</v>
      </c>
      <c r="AF12" s="6" t="s">
        <v>158</v>
      </c>
      <c r="AG12" s="2"/>
      <c r="AH12" s="75">
        <f t="shared" si="0"/>
        <v>2</v>
      </c>
      <c r="AI12" s="2" t="s">
        <v>159</v>
      </c>
      <c r="AJ12" s="2" t="s">
        <v>160</v>
      </c>
      <c r="AK12" s="2"/>
      <c r="AL12" s="2" t="s">
        <v>148</v>
      </c>
      <c r="AM12" s="2" t="s">
        <v>161</v>
      </c>
      <c r="AN12" s="2"/>
      <c r="AO12" s="2" t="s">
        <v>162</v>
      </c>
      <c r="AP12" s="2" t="s">
        <v>201</v>
      </c>
      <c r="AQ12" s="2" t="s">
        <v>311</v>
      </c>
      <c r="AR12" s="2" t="s">
        <v>148</v>
      </c>
      <c r="AS12" s="2"/>
      <c r="AT12" s="396" t="s">
        <v>326</v>
      </c>
      <c r="AU12" s="75" t="s">
        <v>327</v>
      </c>
      <c r="AV12" s="77"/>
      <c r="AW12" s="78">
        <v>40634</v>
      </c>
      <c r="AX12" s="78">
        <v>40878</v>
      </c>
      <c r="AY12" s="78" t="s">
        <v>148</v>
      </c>
      <c r="AZ12" s="78"/>
      <c r="BA12" s="78"/>
      <c r="BB12" s="78"/>
      <c r="BC12" s="78"/>
      <c r="BD12" s="78"/>
      <c r="BE12" s="79"/>
      <c r="BF12" s="78">
        <v>41456</v>
      </c>
      <c r="BG12" s="78" t="s">
        <v>148</v>
      </c>
      <c r="BH12" s="78">
        <v>41704</v>
      </c>
      <c r="BI12" s="78" t="s">
        <v>148</v>
      </c>
      <c r="BJ12" s="77"/>
      <c r="BK12" s="77"/>
      <c r="BL12" s="77"/>
      <c r="BM12" s="80">
        <v>41671</v>
      </c>
      <c r="BN12" s="75" t="s">
        <v>16</v>
      </c>
      <c r="BO12" s="212">
        <f t="shared" si="1"/>
        <v>35</v>
      </c>
      <c r="BP12" s="75">
        <f t="shared" si="2"/>
        <v>27</v>
      </c>
      <c r="BQ12" s="82" t="s">
        <v>328</v>
      </c>
      <c r="BR12" s="75">
        <v>18</v>
      </c>
      <c r="BS12" s="75">
        <v>14</v>
      </c>
      <c r="BT12" s="75">
        <v>117</v>
      </c>
      <c r="BU12" s="75">
        <v>4</v>
      </c>
      <c r="BV12" s="75">
        <v>2</v>
      </c>
      <c r="BW12" s="75">
        <v>7</v>
      </c>
      <c r="BX12" s="75">
        <v>6</v>
      </c>
      <c r="BY12" s="75" t="s">
        <v>161</v>
      </c>
      <c r="BZ12" s="75" t="s">
        <v>161</v>
      </c>
      <c r="CA12" s="75"/>
      <c r="CB12" s="81"/>
      <c r="CC12" s="81"/>
      <c r="CD12" s="75"/>
      <c r="CE12" s="75" t="s">
        <v>161</v>
      </c>
      <c r="CF12" s="75"/>
      <c r="CG12" s="75"/>
      <c r="CH12" s="369">
        <v>0</v>
      </c>
      <c r="CI12" s="75">
        <v>2</v>
      </c>
      <c r="CJ12" s="75"/>
      <c r="CK12" s="75" t="s">
        <v>166</v>
      </c>
    </row>
    <row r="13" spans="1:90" ht="28" customHeight="1" x14ac:dyDescent="0.35">
      <c r="A13" s="75">
        <v>12</v>
      </c>
      <c r="B13" s="75" t="s">
        <v>329</v>
      </c>
      <c r="C13" s="75" t="s">
        <v>330</v>
      </c>
      <c r="D13" s="75" t="s">
        <v>331</v>
      </c>
      <c r="E13" s="75" t="s">
        <v>332</v>
      </c>
      <c r="F13" s="75" t="s">
        <v>4139</v>
      </c>
      <c r="G13" s="75">
        <v>1</v>
      </c>
      <c r="H13" s="75" t="s">
        <v>51</v>
      </c>
      <c r="I13" s="75" t="s">
        <v>4136</v>
      </c>
      <c r="J13" s="75" t="s">
        <v>333</v>
      </c>
      <c r="K13" s="75"/>
      <c r="L13" s="75" t="s">
        <v>44</v>
      </c>
      <c r="M13" s="75" t="s">
        <v>161</v>
      </c>
      <c r="N13" s="210"/>
      <c r="O13" s="2" t="s">
        <v>149</v>
      </c>
      <c r="P13" s="3" t="s">
        <v>149</v>
      </c>
      <c r="Q13" s="75" t="s">
        <v>149</v>
      </c>
      <c r="R13" s="385" t="s">
        <v>334</v>
      </c>
      <c r="S13" s="75" t="s">
        <v>335</v>
      </c>
      <c r="T13" s="339" t="s">
        <v>336</v>
      </c>
      <c r="U13" s="211" t="s">
        <v>337</v>
      </c>
      <c r="V13" s="211">
        <v>27918</v>
      </c>
      <c r="W13" s="82" t="s">
        <v>338</v>
      </c>
      <c r="X13" s="82" t="s">
        <v>177</v>
      </c>
      <c r="Y13" s="82" t="s">
        <v>161</v>
      </c>
      <c r="Z13" s="82" t="s">
        <v>156</v>
      </c>
      <c r="AA13" s="75">
        <v>18</v>
      </c>
      <c r="AB13" s="77">
        <v>40612</v>
      </c>
      <c r="AC13" s="77">
        <v>40603</v>
      </c>
      <c r="AD13" s="77"/>
      <c r="AE13" s="6" t="s">
        <v>339</v>
      </c>
      <c r="AF13" s="6" t="s">
        <v>340</v>
      </c>
      <c r="AG13" s="6"/>
      <c r="AH13" s="75">
        <f t="shared" si="0"/>
        <v>2</v>
      </c>
      <c r="AI13" s="6" t="s">
        <v>159</v>
      </c>
      <c r="AJ13" s="6" t="s">
        <v>160</v>
      </c>
      <c r="AK13" s="6"/>
      <c r="AL13" s="6" t="s">
        <v>148</v>
      </c>
      <c r="AM13" s="6" t="s">
        <v>161</v>
      </c>
      <c r="AN13" s="6"/>
      <c r="AO13" s="6" t="s">
        <v>162</v>
      </c>
      <c r="AP13" s="6" t="s">
        <v>201</v>
      </c>
      <c r="AQ13" s="2" t="s">
        <v>341</v>
      </c>
      <c r="AR13" s="6" t="s">
        <v>148</v>
      </c>
      <c r="AS13" s="6"/>
      <c r="AT13" s="397" t="s">
        <v>296</v>
      </c>
      <c r="AU13" s="75" t="s">
        <v>342</v>
      </c>
      <c r="AV13" s="77"/>
      <c r="AW13" s="78">
        <v>40634</v>
      </c>
      <c r="AX13" s="78">
        <v>40878</v>
      </c>
      <c r="AY13" s="78" t="s">
        <v>148</v>
      </c>
      <c r="AZ13" s="78"/>
      <c r="BA13" s="78"/>
      <c r="BB13" s="78">
        <v>41193</v>
      </c>
      <c r="BC13" s="78"/>
      <c r="BD13" s="78"/>
      <c r="BE13" s="79" t="s">
        <v>343</v>
      </c>
      <c r="BF13" s="78">
        <v>41456</v>
      </c>
      <c r="BG13" s="78" t="s">
        <v>148</v>
      </c>
      <c r="BH13" s="78">
        <v>41705</v>
      </c>
      <c r="BI13" s="78" t="s">
        <v>148</v>
      </c>
      <c r="BJ13" s="77"/>
      <c r="BK13" s="77"/>
      <c r="BL13" s="77"/>
      <c r="BM13" s="80">
        <v>42460</v>
      </c>
      <c r="BN13" s="75" t="s">
        <v>16</v>
      </c>
      <c r="BO13" s="212">
        <f t="shared" si="1"/>
        <v>60</v>
      </c>
      <c r="BP13" s="75">
        <f t="shared" si="2"/>
        <v>52</v>
      </c>
      <c r="BQ13" s="75"/>
      <c r="BR13" s="75">
        <v>0</v>
      </c>
      <c r="BS13" s="75">
        <v>5</v>
      </c>
      <c r="BT13" s="75">
        <v>10</v>
      </c>
      <c r="BU13" s="75">
        <v>5</v>
      </c>
      <c r="BV13" s="75">
        <v>0</v>
      </c>
      <c r="BW13" s="75">
        <v>0</v>
      </c>
      <c r="BX13" s="75">
        <v>0</v>
      </c>
      <c r="BY13" s="75" t="s">
        <v>161</v>
      </c>
      <c r="BZ13" s="75" t="s">
        <v>161</v>
      </c>
      <c r="CA13" s="75"/>
      <c r="CB13" s="81"/>
      <c r="CC13" s="81"/>
      <c r="CD13" s="75"/>
      <c r="CE13" s="75" t="s">
        <v>161</v>
      </c>
      <c r="CF13" s="75"/>
      <c r="CG13" s="75"/>
      <c r="CH13" s="369">
        <v>1</v>
      </c>
      <c r="CI13" s="75">
        <v>2</v>
      </c>
      <c r="CJ13" s="75"/>
      <c r="CK13" s="75" t="s">
        <v>166</v>
      </c>
    </row>
    <row r="14" spans="1:90" ht="25" customHeight="1" x14ac:dyDescent="0.35">
      <c r="A14" s="75">
        <v>13</v>
      </c>
      <c r="B14" s="75" t="s">
        <v>344</v>
      </c>
      <c r="C14" s="75" t="s">
        <v>345</v>
      </c>
      <c r="D14" s="75" t="s">
        <v>346</v>
      </c>
      <c r="E14" s="75" t="s">
        <v>347</v>
      </c>
      <c r="F14" s="75" t="s">
        <v>4140</v>
      </c>
      <c r="G14" s="75">
        <v>1</v>
      </c>
      <c r="H14" s="75" t="s">
        <v>50</v>
      </c>
      <c r="I14" s="75" t="s">
        <v>37</v>
      </c>
      <c r="J14" s="75" t="s">
        <v>348</v>
      </c>
      <c r="K14" s="75"/>
      <c r="L14" s="75" t="s">
        <v>37</v>
      </c>
      <c r="M14" s="75" t="s">
        <v>148</v>
      </c>
      <c r="N14" s="210"/>
      <c r="O14" s="2" t="s">
        <v>320</v>
      </c>
      <c r="P14" s="3" t="s">
        <v>320</v>
      </c>
      <c r="Q14" s="75" t="s">
        <v>320</v>
      </c>
      <c r="R14" s="75" t="s">
        <v>349</v>
      </c>
      <c r="S14" s="82" t="s">
        <v>350</v>
      </c>
      <c r="T14" s="338"/>
      <c r="U14" s="77" t="s">
        <v>351</v>
      </c>
      <c r="V14" s="77">
        <v>23063</v>
      </c>
      <c r="W14" s="82" t="s">
        <v>352</v>
      </c>
      <c r="X14" s="82" t="s">
        <v>177</v>
      </c>
      <c r="Y14" s="82" t="s">
        <v>161</v>
      </c>
      <c r="Z14" s="82" t="s">
        <v>156</v>
      </c>
      <c r="AA14" s="75">
        <v>25</v>
      </c>
      <c r="AB14" s="77">
        <v>40605</v>
      </c>
      <c r="AC14" s="77">
        <v>40603</v>
      </c>
      <c r="AD14" s="77"/>
      <c r="AE14" s="6" t="s">
        <v>353</v>
      </c>
      <c r="AF14" s="6" t="s">
        <v>354</v>
      </c>
      <c r="AG14" s="6"/>
      <c r="AH14" s="75">
        <f t="shared" si="0"/>
        <v>2</v>
      </c>
      <c r="AI14" s="6" t="s">
        <v>159</v>
      </c>
      <c r="AJ14" s="6" t="s">
        <v>160</v>
      </c>
      <c r="AK14" s="6"/>
      <c r="AL14" s="6" t="s">
        <v>148</v>
      </c>
      <c r="AM14" s="6" t="s">
        <v>148</v>
      </c>
      <c r="AN14" s="6"/>
      <c r="AO14" s="6" t="s">
        <v>162</v>
      </c>
      <c r="AP14" s="6"/>
      <c r="AQ14" s="2" t="s">
        <v>248</v>
      </c>
      <c r="AR14" s="6"/>
      <c r="AS14" s="6"/>
      <c r="AT14" s="397" t="s">
        <v>202</v>
      </c>
      <c r="AU14" s="75" t="s">
        <v>355</v>
      </c>
      <c r="AV14" s="77"/>
      <c r="AW14" s="78">
        <v>40634</v>
      </c>
      <c r="AX14" s="78">
        <v>40878</v>
      </c>
      <c r="AY14" s="78" t="s">
        <v>148</v>
      </c>
      <c r="AZ14" s="78">
        <v>40665</v>
      </c>
      <c r="BA14" s="78">
        <v>40727</v>
      </c>
      <c r="BB14" s="78"/>
      <c r="BC14" s="78"/>
      <c r="BD14" s="78"/>
      <c r="BE14" s="79"/>
      <c r="BF14" s="78">
        <v>41456</v>
      </c>
      <c r="BG14" s="78" t="s">
        <v>148</v>
      </c>
      <c r="BH14" s="78">
        <v>41706</v>
      </c>
      <c r="BI14" s="78" t="s">
        <v>148</v>
      </c>
      <c r="BJ14" s="77"/>
      <c r="BK14" s="77"/>
      <c r="BL14" s="77"/>
      <c r="BM14" s="80">
        <v>43699</v>
      </c>
      <c r="BN14" s="75" t="s">
        <v>16</v>
      </c>
      <c r="BO14" s="212">
        <f t="shared" si="1"/>
        <v>101</v>
      </c>
      <c r="BP14" s="75">
        <f t="shared" si="2"/>
        <v>93</v>
      </c>
      <c r="BQ14" s="82" t="s">
        <v>356</v>
      </c>
      <c r="BR14" s="75">
        <v>4</v>
      </c>
      <c r="BS14" s="75">
        <v>4</v>
      </c>
      <c r="BT14" s="75">
        <v>2</v>
      </c>
      <c r="BU14" s="75">
        <v>0</v>
      </c>
      <c r="BV14" s="75">
        <v>0</v>
      </c>
      <c r="BW14" s="75">
        <v>0</v>
      </c>
      <c r="BX14" s="75">
        <v>0</v>
      </c>
      <c r="BY14" s="75" t="s">
        <v>161</v>
      </c>
      <c r="BZ14" s="75" t="s">
        <v>161</v>
      </c>
      <c r="CA14" s="75"/>
      <c r="CB14" s="81"/>
      <c r="CC14" s="81"/>
      <c r="CD14" s="75"/>
      <c r="CE14" s="75" t="s">
        <v>161</v>
      </c>
      <c r="CF14" s="75"/>
      <c r="CG14" s="75"/>
      <c r="CH14" s="369">
        <v>3</v>
      </c>
      <c r="CI14" s="75">
        <v>3</v>
      </c>
      <c r="CJ14" s="75"/>
      <c r="CK14" s="75" t="s">
        <v>166</v>
      </c>
    </row>
    <row r="15" spans="1:90" ht="25" customHeight="1" x14ac:dyDescent="0.35">
      <c r="A15" s="75">
        <v>14</v>
      </c>
      <c r="B15" s="75" t="s">
        <v>357</v>
      </c>
      <c r="C15" s="75" t="s">
        <v>358</v>
      </c>
      <c r="D15" s="75"/>
      <c r="E15" s="75" t="s">
        <v>359</v>
      </c>
      <c r="F15" s="75" t="s">
        <v>4140</v>
      </c>
      <c r="G15" s="75">
        <v>1</v>
      </c>
      <c r="H15" s="75" t="s">
        <v>56</v>
      </c>
      <c r="I15" s="84" t="s">
        <v>44</v>
      </c>
      <c r="J15" s="75" t="s">
        <v>360</v>
      </c>
      <c r="K15" s="75" t="s">
        <v>361</v>
      </c>
      <c r="L15" s="75" t="s">
        <v>44</v>
      </c>
      <c r="M15" s="75" t="s">
        <v>148</v>
      </c>
      <c r="N15" s="210" t="s">
        <v>362</v>
      </c>
      <c r="O15" s="2" t="s">
        <v>320</v>
      </c>
      <c r="P15" s="3" t="s">
        <v>149</v>
      </c>
      <c r="Q15" s="75" t="s">
        <v>320</v>
      </c>
      <c r="R15" s="385" t="s">
        <v>363</v>
      </c>
      <c r="S15" s="82" t="s">
        <v>364</v>
      </c>
      <c r="T15" s="338"/>
      <c r="U15" s="211" t="s">
        <v>365</v>
      </c>
      <c r="V15" s="211">
        <v>30815</v>
      </c>
      <c r="W15" s="82" t="s">
        <v>366</v>
      </c>
      <c r="X15" s="82" t="s">
        <v>177</v>
      </c>
      <c r="Y15" s="82" t="s">
        <v>161</v>
      </c>
      <c r="Z15" s="82" t="s">
        <v>156</v>
      </c>
      <c r="AA15" s="75">
        <v>22.5</v>
      </c>
      <c r="AB15" s="77">
        <v>40605</v>
      </c>
      <c r="AC15" s="77">
        <v>40603</v>
      </c>
      <c r="AD15" s="77"/>
      <c r="AE15" s="6" t="s">
        <v>367</v>
      </c>
      <c r="AF15" s="7"/>
      <c r="AG15" s="8"/>
      <c r="AH15" s="75">
        <f t="shared" si="0"/>
        <v>1</v>
      </c>
      <c r="AI15" s="8" t="s">
        <v>159</v>
      </c>
      <c r="AJ15" s="8"/>
      <c r="AK15" s="8"/>
      <c r="AL15" s="8" t="s">
        <v>161</v>
      </c>
      <c r="AM15" s="8"/>
      <c r="AN15" s="8"/>
      <c r="AO15" s="8" t="s">
        <v>162</v>
      </c>
      <c r="AP15" s="8" t="s">
        <v>368</v>
      </c>
      <c r="AQ15" s="2" t="s">
        <v>341</v>
      </c>
      <c r="AR15" s="8" t="s">
        <v>148</v>
      </c>
      <c r="AS15" s="8" t="s">
        <v>369</v>
      </c>
      <c r="AT15" s="398" t="s">
        <v>370</v>
      </c>
      <c r="AU15" s="75" t="s">
        <v>371</v>
      </c>
      <c r="AV15" s="77"/>
      <c r="AW15" s="78">
        <v>40634</v>
      </c>
      <c r="AX15" s="78">
        <v>40878</v>
      </c>
      <c r="AY15" s="78" t="s">
        <v>148</v>
      </c>
      <c r="AZ15" s="78"/>
      <c r="BA15" s="78"/>
      <c r="BB15" s="78"/>
      <c r="BC15" s="78"/>
      <c r="BD15" s="78"/>
      <c r="BE15" s="79"/>
      <c r="BF15" s="78">
        <v>41456</v>
      </c>
      <c r="BG15" s="78" t="s">
        <v>148</v>
      </c>
      <c r="BH15" s="78">
        <v>41707</v>
      </c>
      <c r="BI15" s="78" t="s">
        <v>148</v>
      </c>
      <c r="BJ15" s="77"/>
      <c r="BK15" s="77"/>
      <c r="BL15" s="77"/>
      <c r="BM15" s="80">
        <v>41608</v>
      </c>
      <c r="BN15" s="75" t="s">
        <v>16</v>
      </c>
      <c r="BO15" s="212">
        <f t="shared" si="1"/>
        <v>32</v>
      </c>
      <c r="BP15" s="75">
        <f t="shared" si="2"/>
        <v>24</v>
      </c>
      <c r="BQ15" s="75"/>
      <c r="BR15" s="75">
        <v>0</v>
      </c>
      <c r="BS15" s="75">
        <v>2</v>
      </c>
      <c r="BT15" s="75">
        <v>56</v>
      </c>
      <c r="BU15" s="75">
        <v>4</v>
      </c>
      <c r="BV15" s="75">
        <v>6</v>
      </c>
      <c r="BW15" s="75">
        <v>11</v>
      </c>
      <c r="BX15" s="75">
        <v>7</v>
      </c>
      <c r="BY15" s="75" t="s">
        <v>161</v>
      </c>
      <c r="BZ15" s="75" t="s">
        <v>161</v>
      </c>
      <c r="CA15" s="75"/>
      <c r="CB15" s="81"/>
      <c r="CC15" s="81"/>
      <c r="CD15" s="75"/>
      <c r="CE15" s="75" t="s">
        <v>161</v>
      </c>
      <c r="CF15" s="75"/>
      <c r="CG15" s="75"/>
      <c r="CH15" s="369">
        <v>0</v>
      </c>
      <c r="CI15" s="75">
        <v>0</v>
      </c>
      <c r="CJ15" s="75"/>
      <c r="CK15" s="75" t="s">
        <v>166</v>
      </c>
    </row>
    <row r="16" spans="1:90" ht="25" customHeight="1" x14ac:dyDescent="0.35">
      <c r="A16" s="75">
        <v>15</v>
      </c>
      <c r="B16" s="75" t="s">
        <v>372</v>
      </c>
      <c r="C16" s="75" t="s">
        <v>373</v>
      </c>
      <c r="D16" s="75" t="s">
        <v>374</v>
      </c>
      <c r="E16" s="75" t="s">
        <v>375</v>
      </c>
      <c r="F16" s="75" t="s">
        <v>4139</v>
      </c>
      <c r="G16" s="75">
        <v>1</v>
      </c>
      <c r="H16" s="75" t="s">
        <v>56</v>
      </c>
      <c r="I16" s="75" t="s">
        <v>44</v>
      </c>
      <c r="J16" s="75" t="s">
        <v>376</v>
      </c>
      <c r="K16" s="75" t="s">
        <v>377</v>
      </c>
      <c r="L16" s="75" t="s">
        <v>44</v>
      </c>
      <c r="M16" s="75" t="s">
        <v>148</v>
      </c>
      <c r="N16" s="210"/>
      <c r="O16" s="2" t="s">
        <v>149</v>
      </c>
      <c r="P16" s="9" t="s">
        <v>149</v>
      </c>
      <c r="Q16" s="75" t="s">
        <v>149</v>
      </c>
      <c r="R16" s="385" t="s">
        <v>378</v>
      </c>
      <c r="S16" s="75" t="s">
        <v>378</v>
      </c>
      <c r="T16" s="338"/>
      <c r="U16" s="211" t="s">
        <v>379</v>
      </c>
      <c r="V16" s="211">
        <v>26801</v>
      </c>
      <c r="W16" s="82" t="s">
        <v>380</v>
      </c>
      <c r="X16" s="82" t="s">
        <v>154</v>
      </c>
      <c r="Y16" s="82" t="s">
        <v>161</v>
      </c>
      <c r="Z16" s="82" t="s">
        <v>307</v>
      </c>
      <c r="AA16" s="75">
        <v>21</v>
      </c>
      <c r="AB16" s="77">
        <v>40638</v>
      </c>
      <c r="AC16" s="77">
        <v>40603</v>
      </c>
      <c r="AD16" s="77"/>
      <c r="AE16" s="6" t="s">
        <v>381</v>
      </c>
      <c r="AF16" s="6" t="s">
        <v>382</v>
      </c>
      <c r="AG16" s="2"/>
      <c r="AH16" s="75">
        <f t="shared" si="0"/>
        <v>2</v>
      </c>
      <c r="AI16" s="8" t="s">
        <v>159</v>
      </c>
      <c r="AJ16" s="8" t="s">
        <v>159</v>
      </c>
      <c r="AK16" s="2"/>
      <c r="AL16" s="2" t="s">
        <v>148</v>
      </c>
      <c r="AM16" s="2" t="s">
        <v>161</v>
      </c>
      <c r="AN16" s="2"/>
      <c r="AO16" s="2" t="s">
        <v>200</v>
      </c>
      <c r="AP16" s="2" t="s">
        <v>383</v>
      </c>
      <c r="AQ16" s="2" t="s">
        <v>341</v>
      </c>
      <c r="AR16" s="2" t="s">
        <v>148</v>
      </c>
      <c r="AS16" s="2"/>
      <c r="AT16" s="398" t="s">
        <v>370</v>
      </c>
      <c r="AU16" s="75" t="s">
        <v>384</v>
      </c>
      <c r="AV16" s="77"/>
      <c r="AW16" s="78">
        <v>40634</v>
      </c>
      <c r="AX16" s="78">
        <v>40878</v>
      </c>
      <c r="AY16" s="78" t="s">
        <v>148</v>
      </c>
      <c r="AZ16" s="78"/>
      <c r="BA16" s="78"/>
      <c r="BB16" s="78"/>
      <c r="BC16" s="78"/>
      <c r="BD16" s="78"/>
      <c r="BE16" s="79"/>
      <c r="BF16" s="78">
        <v>41456</v>
      </c>
      <c r="BG16" s="78" t="s">
        <v>148</v>
      </c>
      <c r="BH16" s="78">
        <v>41708</v>
      </c>
      <c r="BI16" s="78" t="s">
        <v>148</v>
      </c>
      <c r="BJ16" s="77"/>
      <c r="BK16" s="77"/>
      <c r="BL16" s="77"/>
      <c r="BM16" s="80">
        <v>43285</v>
      </c>
      <c r="BN16" s="75" t="s">
        <v>16</v>
      </c>
      <c r="BO16" s="212">
        <f t="shared" si="1"/>
        <v>88</v>
      </c>
      <c r="BP16" s="75">
        <f t="shared" si="2"/>
        <v>80</v>
      </c>
      <c r="BQ16" s="75"/>
      <c r="BR16" s="75">
        <v>8</v>
      </c>
      <c r="BS16" s="75">
        <v>45</v>
      </c>
      <c r="BT16" s="75">
        <v>55</v>
      </c>
      <c r="BU16" s="75">
        <v>5</v>
      </c>
      <c r="BV16" s="75">
        <v>2</v>
      </c>
      <c r="BW16" s="75">
        <v>0</v>
      </c>
      <c r="BX16" s="75">
        <v>0</v>
      </c>
      <c r="BY16" s="75" t="s">
        <v>161</v>
      </c>
      <c r="BZ16" s="75" t="s">
        <v>161</v>
      </c>
      <c r="CA16" s="75"/>
      <c r="CB16" s="81"/>
      <c r="CC16" s="81"/>
      <c r="CD16" s="75"/>
      <c r="CE16" s="75" t="s">
        <v>161</v>
      </c>
      <c r="CF16" s="75"/>
      <c r="CG16" s="75"/>
      <c r="CH16" s="369">
        <v>2</v>
      </c>
      <c r="CI16" s="75">
        <v>2</v>
      </c>
      <c r="CJ16" s="75"/>
      <c r="CK16" s="75" t="s">
        <v>166</v>
      </c>
    </row>
    <row r="17" spans="1:90" ht="25" customHeight="1" x14ac:dyDescent="0.35">
      <c r="A17" s="75">
        <v>16</v>
      </c>
      <c r="B17" s="75" t="s">
        <v>385</v>
      </c>
      <c r="C17" s="75" t="s">
        <v>386</v>
      </c>
      <c r="D17" s="75" t="s">
        <v>387</v>
      </c>
      <c r="E17" s="75" t="s">
        <v>388</v>
      </c>
      <c r="F17" s="75" t="s">
        <v>4139</v>
      </c>
      <c r="G17" s="75">
        <v>1</v>
      </c>
      <c r="H17" s="75" t="s">
        <v>51</v>
      </c>
      <c r="I17" s="75" t="s">
        <v>44</v>
      </c>
      <c r="J17" s="75" t="s">
        <v>376</v>
      </c>
      <c r="K17" s="75" t="s">
        <v>389</v>
      </c>
      <c r="L17" s="75" t="s">
        <v>44</v>
      </c>
      <c r="M17" s="75" t="s">
        <v>148</v>
      </c>
      <c r="N17" s="210"/>
      <c r="O17" s="2" t="s">
        <v>191</v>
      </c>
      <c r="P17" s="9" t="s">
        <v>149</v>
      </c>
      <c r="Q17" s="75"/>
      <c r="R17" s="75" t="s">
        <v>390</v>
      </c>
      <c r="S17" s="75" t="s">
        <v>391</v>
      </c>
      <c r="T17" s="338"/>
      <c r="U17" s="77" t="s">
        <v>392</v>
      </c>
      <c r="V17" s="77">
        <v>25201</v>
      </c>
      <c r="W17" s="82" t="s">
        <v>393</v>
      </c>
      <c r="X17" s="82" t="s">
        <v>394</v>
      </c>
      <c r="Y17" s="82" t="s">
        <v>155</v>
      </c>
      <c r="Z17" s="82" t="s">
        <v>307</v>
      </c>
      <c r="AA17" s="75">
        <v>11</v>
      </c>
      <c r="AB17" s="77">
        <v>40605</v>
      </c>
      <c r="AC17" s="77">
        <v>40603</v>
      </c>
      <c r="AD17" s="77"/>
      <c r="AE17" s="6" t="s">
        <v>395</v>
      </c>
      <c r="AF17" s="6" t="s">
        <v>396</v>
      </c>
      <c r="AG17" s="4" t="s">
        <v>397</v>
      </c>
      <c r="AH17" s="75">
        <f t="shared" si="0"/>
        <v>3</v>
      </c>
      <c r="AI17" s="8" t="s">
        <v>159</v>
      </c>
      <c r="AJ17" s="8" t="s">
        <v>159</v>
      </c>
      <c r="AK17" s="8" t="s">
        <v>159</v>
      </c>
      <c r="AL17" s="8" t="s">
        <v>148</v>
      </c>
      <c r="AM17" s="8" t="s">
        <v>161</v>
      </c>
      <c r="AN17" s="8" t="s">
        <v>161</v>
      </c>
      <c r="AO17" s="8" t="s">
        <v>162</v>
      </c>
      <c r="AP17" s="8"/>
      <c r="AQ17" s="2" t="s">
        <v>341</v>
      </c>
      <c r="AR17" s="8" t="s">
        <v>148</v>
      </c>
      <c r="AS17" s="8"/>
      <c r="AT17" s="395" t="s">
        <v>398</v>
      </c>
      <c r="AU17" s="75" t="s">
        <v>399</v>
      </c>
      <c r="AV17" s="77"/>
      <c r="AW17" s="78">
        <v>40634</v>
      </c>
      <c r="AX17" s="78">
        <v>40878</v>
      </c>
      <c r="AY17" s="78" t="s">
        <v>148</v>
      </c>
      <c r="AZ17" s="78"/>
      <c r="BA17" s="78"/>
      <c r="BB17" s="78"/>
      <c r="BC17" s="78"/>
      <c r="BD17" s="78"/>
      <c r="BE17" s="79"/>
      <c r="BF17" s="78">
        <v>41456</v>
      </c>
      <c r="BG17" s="78" t="s">
        <v>148</v>
      </c>
      <c r="BH17" s="78">
        <v>41709</v>
      </c>
      <c r="BI17" s="78" t="s">
        <v>148</v>
      </c>
      <c r="BJ17" s="77"/>
      <c r="BK17" s="77"/>
      <c r="BL17" s="77"/>
      <c r="BM17" s="80">
        <v>41912</v>
      </c>
      <c r="BN17" s="75" t="s">
        <v>16</v>
      </c>
      <c r="BO17" s="212">
        <f t="shared" si="1"/>
        <v>42</v>
      </c>
      <c r="BP17" s="75">
        <f t="shared" si="2"/>
        <v>34</v>
      </c>
      <c r="BQ17" s="75"/>
      <c r="BR17" s="75">
        <v>3</v>
      </c>
      <c r="BS17" s="75">
        <v>10</v>
      </c>
      <c r="BT17" s="75">
        <v>77</v>
      </c>
      <c r="BU17" s="75">
        <v>4</v>
      </c>
      <c r="BV17" s="75">
        <v>10</v>
      </c>
      <c r="BW17" s="75">
        <v>6</v>
      </c>
      <c r="BX17" s="75">
        <v>9</v>
      </c>
      <c r="BY17" s="75" t="s">
        <v>161</v>
      </c>
      <c r="BZ17" s="75" t="s">
        <v>161</v>
      </c>
      <c r="CA17" s="75"/>
      <c r="CB17" s="81"/>
      <c r="CC17" s="81"/>
      <c r="CD17" s="75"/>
      <c r="CE17" s="75" t="s">
        <v>161</v>
      </c>
      <c r="CF17" s="75"/>
      <c r="CG17" s="75"/>
      <c r="CH17" s="369" t="s">
        <v>166</v>
      </c>
      <c r="CI17" s="75" t="s">
        <v>166</v>
      </c>
      <c r="CJ17" s="75"/>
      <c r="CK17" s="75" t="s">
        <v>166</v>
      </c>
    </row>
    <row r="18" spans="1:90" ht="25" customHeight="1" x14ac:dyDescent="0.35">
      <c r="A18" s="75">
        <v>17</v>
      </c>
      <c r="B18" s="75" t="s">
        <v>400</v>
      </c>
      <c r="C18" s="75" t="s">
        <v>401</v>
      </c>
      <c r="D18" s="75" t="s">
        <v>402</v>
      </c>
      <c r="E18" s="75" t="s">
        <v>403</v>
      </c>
      <c r="F18" s="75" t="s">
        <v>4140</v>
      </c>
      <c r="G18" s="75">
        <v>1</v>
      </c>
      <c r="H18" s="75" t="s">
        <v>50</v>
      </c>
      <c r="I18" s="75" t="s">
        <v>42</v>
      </c>
      <c r="J18" s="75" t="s">
        <v>404</v>
      </c>
      <c r="K18" s="75" t="s">
        <v>405</v>
      </c>
      <c r="L18" s="75" t="s">
        <v>42</v>
      </c>
      <c r="M18" s="75" t="s">
        <v>148</v>
      </c>
      <c r="N18" s="210" t="s">
        <v>406</v>
      </c>
      <c r="O18" s="2" t="s">
        <v>149</v>
      </c>
      <c r="P18" s="9" t="s">
        <v>149</v>
      </c>
      <c r="Q18" s="75" t="s">
        <v>149</v>
      </c>
      <c r="R18" s="385" t="s">
        <v>407</v>
      </c>
      <c r="S18" s="82" t="s">
        <v>408</v>
      </c>
      <c r="T18" s="338" t="s">
        <v>409</v>
      </c>
      <c r="U18" s="211" t="s">
        <v>410</v>
      </c>
      <c r="V18" s="211">
        <v>22992</v>
      </c>
      <c r="W18" s="82" t="s">
        <v>411</v>
      </c>
      <c r="X18" s="82" t="s">
        <v>412</v>
      </c>
      <c r="Y18" s="82" t="s">
        <v>155</v>
      </c>
      <c r="Z18" s="82" t="s">
        <v>156</v>
      </c>
      <c r="AA18" s="75">
        <v>17</v>
      </c>
      <c r="AB18" s="77">
        <v>40801</v>
      </c>
      <c r="AC18" s="77">
        <v>40603</v>
      </c>
      <c r="AD18" s="77"/>
      <c r="AE18" s="6" t="s">
        <v>413</v>
      </c>
      <c r="AF18" s="6" t="s">
        <v>414</v>
      </c>
      <c r="AG18" s="4" t="s">
        <v>415</v>
      </c>
      <c r="AH18" s="75">
        <f t="shared" si="0"/>
        <v>3</v>
      </c>
      <c r="AI18" s="8" t="s">
        <v>159</v>
      </c>
      <c r="AJ18" s="8" t="s">
        <v>159</v>
      </c>
      <c r="AK18" s="8" t="s">
        <v>159</v>
      </c>
      <c r="AL18" s="8" t="s">
        <v>148</v>
      </c>
      <c r="AM18" s="8" t="s">
        <v>161</v>
      </c>
      <c r="AN18" s="8" t="s">
        <v>161</v>
      </c>
      <c r="AO18" s="8" t="s">
        <v>162</v>
      </c>
      <c r="AP18" s="8" t="s">
        <v>416</v>
      </c>
      <c r="AQ18" s="8" t="s">
        <v>248</v>
      </c>
      <c r="AR18" s="8" t="s">
        <v>148</v>
      </c>
      <c r="AS18" s="8" t="s">
        <v>417</v>
      </c>
      <c r="AT18" s="395" t="s">
        <v>418</v>
      </c>
      <c r="AU18" s="75" t="s">
        <v>419</v>
      </c>
      <c r="AV18" s="77"/>
      <c r="AW18" s="78">
        <v>40634</v>
      </c>
      <c r="AX18" s="78">
        <v>40878</v>
      </c>
      <c r="AY18" s="78" t="s">
        <v>148</v>
      </c>
      <c r="AZ18" s="78"/>
      <c r="BA18" s="78"/>
      <c r="BB18" s="78"/>
      <c r="BC18" s="78"/>
      <c r="BD18" s="78"/>
      <c r="BE18" s="79" t="s">
        <v>420</v>
      </c>
      <c r="BF18" s="78">
        <v>41456</v>
      </c>
      <c r="BG18" s="78" t="s">
        <v>148</v>
      </c>
      <c r="BH18" s="78">
        <v>41710</v>
      </c>
      <c r="BI18" s="78" t="s">
        <v>148</v>
      </c>
      <c r="BJ18" s="77"/>
      <c r="BK18" s="77"/>
      <c r="BL18" s="77"/>
      <c r="BM18" s="80">
        <v>42277</v>
      </c>
      <c r="BN18" s="75" t="s">
        <v>16</v>
      </c>
      <c r="BO18" s="212">
        <f t="shared" si="1"/>
        <v>54</v>
      </c>
      <c r="BP18" s="75">
        <f t="shared" si="2"/>
        <v>46</v>
      </c>
      <c r="BQ18" s="82" t="s">
        <v>420</v>
      </c>
      <c r="BR18" s="75"/>
      <c r="BS18" s="75">
        <v>3</v>
      </c>
      <c r="BT18" s="75">
        <v>8</v>
      </c>
      <c r="BU18" s="75">
        <v>1</v>
      </c>
      <c r="BV18" s="75">
        <v>1</v>
      </c>
      <c r="BW18" s="75">
        <v>1</v>
      </c>
      <c r="BX18" s="75">
        <v>0</v>
      </c>
      <c r="BY18" s="75" t="s">
        <v>161</v>
      </c>
      <c r="BZ18" s="75" t="s">
        <v>161</v>
      </c>
      <c r="CA18" s="75"/>
      <c r="CB18" s="81"/>
      <c r="CC18" s="81"/>
      <c r="CD18" s="75"/>
      <c r="CE18" s="75" t="s">
        <v>161</v>
      </c>
      <c r="CF18" s="75"/>
      <c r="CG18" s="75"/>
      <c r="CH18" s="369">
        <v>2</v>
      </c>
      <c r="CI18" s="75">
        <v>2</v>
      </c>
      <c r="CJ18" s="75"/>
      <c r="CK18" s="75" t="s">
        <v>166</v>
      </c>
    </row>
    <row r="19" spans="1:90" ht="25" customHeight="1" x14ac:dyDescent="0.35">
      <c r="A19" s="75">
        <v>18</v>
      </c>
      <c r="B19" s="75" t="s">
        <v>421</v>
      </c>
      <c r="C19" s="75" t="s">
        <v>422</v>
      </c>
      <c r="D19" s="75" t="s">
        <v>423</v>
      </c>
      <c r="E19" s="75" t="s">
        <v>424</v>
      </c>
      <c r="F19" s="75" t="s">
        <v>4139</v>
      </c>
      <c r="G19" s="75">
        <v>1</v>
      </c>
      <c r="H19" s="75" t="s">
        <v>52</v>
      </c>
      <c r="I19" s="75" t="s">
        <v>39</v>
      </c>
      <c r="J19" s="75" t="s">
        <v>361</v>
      </c>
      <c r="K19" s="75" t="s">
        <v>361</v>
      </c>
      <c r="L19" s="75" t="s">
        <v>44</v>
      </c>
      <c r="M19" s="75" t="s">
        <v>161</v>
      </c>
      <c r="N19" s="210">
        <v>560454</v>
      </c>
      <c r="O19" s="2" t="s">
        <v>149</v>
      </c>
      <c r="P19" s="9" t="s">
        <v>149</v>
      </c>
      <c r="Q19" s="75" t="s">
        <v>149</v>
      </c>
      <c r="R19" s="385" t="s">
        <v>425</v>
      </c>
      <c r="S19" s="82" t="s">
        <v>426</v>
      </c>
      <c r="T19" s="338" t="s">
        <v>427</v>
      </c>
      <c r="U19" s="211" t="s">
        <v>428</v>
      </c>
      <c r="V19" s="211">
        <v>27511</v>
      </c>
      <c r="W19" s="82" t="s">
        <v>429</v>
      </c>
      <c r="X19" s="82" t="s">
        <v>177</v>
      </c>
      <c r="Y19" s="82" t="s">
        <v>161</v>
      </c>
      <c r="Z19" s="82" t="s">
        <v>307</v>
      </c>
      <c r="AA19" s="75">
        <v>13</v>
      </c>
      <c r="AB19" s="77">
        <v>40582</v>
      </c>
      <c r="AC19" s="77">
        <v>40603</v>
      </c>
      <c r="AD19" s="77"/>
      <c r="AE19" s="6" t="s">
        <v>367</v>
      </c>
      <c r="AF19" s="6" t="s">
        <v>430</v>
      </c>
      <c r="AG19" s="2"/>
      <c r="AH19" s="75">
        <f t="shared" si="0"/>
        <v>2</v>
      </c>
      <c r="AI19" s="2" t="s">
        <v>160</v>
      </c>
      <c r="AJ19" s="2" t="s">
        <v>159</v>
      </c>
      <c r="AK19" s="2"/>
      <c r="AL19" s="2" t="s">
        <v>148</v>
      </c>
      <c r="AM19" s="2" t="s">
        <v>148</v>
      </c>
      <c r="AN19" s="2"/>
      <c r="AO19" s="2" t="s">
        <v>162</v>
      </c>
      <c r="AP19" s="2" t="s">
        <v>201</v>
      </c>
      <c r="AQ19" s="2" t="s">
        <v>311</v>
      </c>
      <c r="AR19" s="2" t="s">
        <v>148</v>
      </c>
      <c r="AS19" s="2" t="s">
        <v>431</v>
      </c>
      <c r="AT19" s="398" t="s">
        <v>432</v>
      </c>
      <c r="AU19" s="75" t="s">
        <v>433</v>
      </c>
      <c r="AV19" s="77"/>
      <c r="AW19" s="78">
        <v>40634</v>
      </c>
      <c r="AX19" s="78">
        <v>40878</v>
      </c>
      <c r="AY19" s="78" t="s">
        <v>148</v>
      </c>
      <c r="AZ19" s="78"/>
      <c r="BA19" s="78"/>
      <c r="BB19" s="78"/>
      <c r="BC19" s="78"/>
      <c r="BD19" s="78"/>
      <c r="BE19" s="79"/>
      <c r="BF19" s="78">
        <v>41456</v>
      </c>
      <c r="BG19" s="78" t="s">
        <v>148</v>
      </c>
      <c r="BH19" s="78">
        <v>41711</v>
      </c>
      <c r="BI19" s="78" t="s">
        <v>148</v>
      </c>
      <c r="BJ19" s="77"/>
      <c r="BK19" s="77"/>
      <c r="BL19" s="77"/>
      <c r="BM19" s="80">
        <v>41334</v>
      </c>
      <c r="BN19" s="75" t="s">
        <v>16</v>
      </c>
      <c r="BO19" s="212">
        <f t="shared" si="1"/>
        <v>24</v>
      </c>
      <c r="BP19" s="75">
        <f t="shared" si="2"/>
        <v>16</v>
      </c>
      <c r="BQ19" s="75"/>
      <c r="BR19" s="75" t="s">
        <v>166</v>
      </c>
      <c r="BS19" s="75">
        <v>4</v>
      </c>
      <c r="BT19" s="75">
        <v>43</v>
      </c>
      <c r="BU19" s="75">
        <v>6</v>
      </c>
      <c r="BV19" s="75">
        <v>4</v>
      </c>
      <c r="BW19" s="75">
        <v>6</v>
      </c>
      <c r="BX19" s="75">
        <v>6</v>
      </c>
      <c r="BY19" s="75" t="s">
        <v>161</v>
      </c>
      <c r="BZ19" s="75" t="s">
        <v>161</v>
      </c>
      <c r="CA19" s="75"/>
      <c r="CB19" s="81"/>
      <c r="CC19" s="81"/>
      <c r="CD19" s="75"/>
      <c r="CE19" s="75" t="s">
        <v>161</v>
      </c>
      <c r="CF19" s="75"/>
      <c r="CG19" s="75"/>
      <c r="CH19" s="369">
        <v>3</v>
      </c>
      <c r="CI19" s="75">
        <v>3</v>
      </c>
      <c r="CJ19" s="75"/>
      <c r="CK19" s="75" t="s">
        <v>166</v>
      </c>
    </row>
    <row r="20" spans="1:90" ht="25" customHeight="1" x14ac:dyDescent="0.35">
      <c r="A20" s="75">
        <v>19</v>
      </c>
      <c r="B20" s="75" t="s">
        <v>434</v>
      </c>
      <c r="C20" s="75" t="s">
        <v>435</v>
      </c>
      <c r="D20" s="75" t="s">
        <v>436</v>
      </c>
      <c r="E20" s="75" t="s">
        <v>145</v>
      </c>
      <c r="F20" s="75" t="s">
        <v>4139</v>
      </c>
      <c r="G20" s="75">
        <v>1</v>
      </c>
      <c r="H20" s="75" t="s">
        <v>52</v>
      </c>
      <c r="I20" s="75" t="s">
        <v>39</v>
      </c>
      <c r="J20" s="75" t="s">
        <v>437</v>
      </c>
      <c r="K20" s="75" t="s">
        <v>437</v>
      </c>
      <c r="L20" s="75" t="s">
        <v>39</v>
      </c>
      <c r="M20" s="75" t="s">
        <v>148</v>
      </c>
      <c r="N20" s="210"/>
      <c r="O20" s="2" t="s">
        <v>149</v>
      </c>
      <c r="P20" s="9" t="s">
        <v>149</v>
      </c>
      <c r="Q20" s="75" t="s">
        <v>149</v>
      </c>
      <c r="R20" s="385" t="s">
        <v>438</v>
      </c>
      <c r="S20" s="75" t="s">
        <v>439</v>
      </c>
      <c r="T20" s="339" t="s">
        <v>440</v>
      </c>
      <c r="U20" s="211" t="s">
        <v>428</v>
      </c>
      <c r="V20" s="211">
        <v>26644</v>
      </c>
      <c r="W20" s="82" t="s">
        <v>441</v>
      </c>
      <c r="X20" s="82" t="s">
        <v>177</v>
      </c>
      <c r="Y20" s="82" t="s">
        <v>161</v>
      </c>
      <c r="Z20" s="82" t="s">
        <v>307</v>
      </c>
      <c r="AA20" s="75">
        <v>21.5</v>
      </c>
      <c r="AB20" s="77">
        <v>40605</v>
      </c>
      <c r="AC20" s="77">
        <v>40603</v>
      </c>
      <c r="AD20" s="77"/>
      <c r="AE20" s="6" t="s">
        <v>442</v>
      </c>
      <c r="AF20" s="7"/>
      <c r="AG20" s="8"/>
      <c r="AH20" s="75">
        <f t="shared" si="0"/>
        <v>1</v>
      </c>
      <c r="AI20" s="8" t="s">
        <v>159</v>
      </c>
      <c r="AJ20" s="8"/>
      <c r="AK20" s="8"/>
      <c r="AL20" s="8" t="s">
        <v>148</v>
      </c>
      <c r="AM20" s="8"/>
      <c r="AN20" s="8"/>
      <c r="AO20" s="8" t="s">
        <v>162</v>
      </c>
      <c r="AP20" s="8" t="s">
        <v>443</v>
      </c>
      <c r="AQ20" s="2" t="s">
        <v>341</v>
      </c>
      <c r="AR20" s="8" t="s">
        <v>148</v>
      </c>
      <c r="AS20" s="8"/>
      <c r="AT20" s="395" t="s">
        <v>283</v>
      </c>
      <c r="AU20" s="75" t="s">
        <v>444</v>
      </c>
      <c r="AV20" s="77"/>
      <c r="AW20" s="78">
        <v>40634</v>
      </c>
      <c r="AX20" s="78">
        <v>40878</v>
      </c>
      <c r="AY20" s="78" t="s">
        <v>148</v>
      </c>
      <c r="AZ20" s="78"/>
      <c r="BA20" s="78"/>
      <c r="BB20" s="78">
        <v>41225</v>
      </c>
      <c r="BC20" s="78"/>
      <c r="BD20" s="78"/>
      <c r="BE20" s="79" t="s">
        <v>445</v>
      </c>
      <c r="BF20" s="78">
        <v>41456</v>
      </c>
      <c r="BG20" s="78" t="s">
        <v>148</v>
      </c>
      <c r="BH20" s="78">
        <v>42064</v>
      </c>
      <c r="BI20" s="78" t="s">
        <v>161</v>
      </c>
      <c r="BJ20" s="77"/>
      <c r="BK20" s="77"/>
      <c r="BL20" s="77"/>
      <c r="BM20" s="80">
        <v>41395</v>
      </c>
      <c r="BN20" s="75" t="s">
        <v>16</v>
      </c>
      <c r="BO20" s="212">
        <f t="shared" si="1"/>
        <v>26</v>
      </c>
      <c r="BP20" s="75">
        <f t="shared" si="2"/>
        <v>18</v>
      </c>
      <c r="BQ20" s="82" t="s">
        <v>445</v>
      </c>
      <c r="BR20" s="75"/>
      <c r="BS20" s="75"/>
      <c r="BT20" s="75">
        <v>12</v>
      </c>
      <c r="BU20" s="75">
        <v>0</v>
      </c>
      <c r="BV20" s="75">
        <v>0</v>
      </c>
      <c r="BW20" s="75">
        <v>4</v>
      </c>
      <c r="BX20" s="75">
        <v>1</v>
      </c>
      <c r="BY20" s="75" t="s">
        <v>161</v>
      </c>
      <c r="BZ20" s="75" t="s">
        <v>161</v>
      </c>
      <c r="CA20" s="75"/>
      <c r="CB20" s="81"/>
      <c r="CC20" s="81"/>
      <c r="CD20" s="75"/>
      <c r="CE20" s="75" t="s">
        <v>161</v>
      </c>
      <c r="CF20" s="75"/>
      <c r="CG20" s="75"/>
      <c r="CH20" s="369">
        <v>3</v>
      </c>
      <c r="CI20" s="75">
        <v>5</v>
      </c>
      <c r="CJ20" s="75"/>
      <c r="CK20" s="75" t="s">
        <v>166</v>
      </c>
    </row>
    <row r="21" spans="1:90" ht="25" customHeight="1" x14ac:dyDescent="0.35">
      <c r="A21" s="85">
        <v>20</v>
      </c>
      <c r="B21" s="85" t="s">
        <v>446</v>
      </c>
      <c r="C21" s="85" t="s">
        <v>435</v>
      </c>
      <c r="D21" s="85" t="s">
        <v>447</v>
      </c>
      <c r="E21" s="85" t="s">
        <v>448</v>
      </c>
      <c r="F21" s="85" t="s">
        <v>4139</v>
      </c>
      <c r="G21" s="85">
        <v>1</v>
      </c>
      <c r="H21" s="85" t="s">
        <v>52</v>
      </c>
      <c r="I21" s="85" t="s">
        <v>36</v>
      </c>
      <c r="J21" s="85" t="s">
        <v>170</v>
      </c>
      <c r="K21" s="85" t="s">
        <v>170</v>
      </c>
      <c r="L21" s="85" t="s">
        <v>44</v>
      </c>
      <c r="M21" s="85" t="s">
        <v>161</v>
      </c>
      <c r="N21" s="213" t="s">
        <v>449</v>
      </c>
      <c r="O21" s="71" t="s">
        <v>191</v>
      </c>
      <c r="P21" s="72" t="s">
        <v>149</v>
      </c>
      <c r="Q21" s="85"/>
      <c r="R21" s="85" t="s">
        <v>450</v>
      </c>
      <c r="S21" s="85" t="s">
        <v>451</v>
      </c>
      <c r="T21" s="340" t="s">
        <v>452</v>
      </c>
      <c r="U21" s="214" t="s">
        <v>453</v>
      </c>
      <c r="V21" s="214">
        <v>28744</v>
      </c>
      <c r="W21" s="215" t="s">
        <v>454</v>
      </c>
      <c r="X21" s="215" t="s">
        <v>177</v>
      </c>
      <c r="Y21" s="215" t="s">
        <v>155</v>
      </c>
      <c r="Z21" s="215" t="s">
        <v>156</v>
      </c>
      <c r="AA21" s="85">
        <v>12</v>
      </c>
      <c r="AB21" s="86">
        <v>40609</v>
      </c>
      <c r="AC21" s="280">
        <v>40603</v>
      </c>
      <c r="AD21" s="86"/>
      <c r="AE21" s="73" t="s">
        <v>455</v>
      </c>
      <c r="AF21" s="73" t="s">
        <v>456</v>
      </c>
      <c r="AG21" s="74"/>
      <c r="AH21" s="85">
        <f t="shared" si="0"/>
        <v>2</v>
      </c>
      <c r="AI21" s="74" t="s">
        <v>159</v>
      </c>
      <c r="AJ21" s="74" t="s">
        <v>160</v>
      </c>
      <c r="AK21" s="74"/>
      <c r="AL21" s="74" t="s">
        <v>148</v>
      </c>
      <c r="AM21" s="74" t="s">
        <v>161</v>
      </c>
      <c r="AN21" s="74"/>
      <c r="AO21" s="74" t="s">
        <v>200</v>
      </c>
      <c r="AP21" s="74"/>
      <c r="AQ21" s="74" t="s">
        <v>457</v>
      </c>
      <c r="AR21" s="74"/>
      <c r="AS21" s="74"/>
      <c r="AT21" s="399" t="s">
        <v>370</v>
      </c>
      <c r="AU21" s="85" t="s">
        <v>458</v>
      </c>
      <c r="AV21" s="86"/>
      <c r="AW21" s="87">
        <v>40634</v>
      </c>
      <c r="AX21" s="87">
        <v>40878</v>
      </c>
      <c r="AY21" s="87" t="s">
        <v>148</v>
      </c>
      <c r="AZ21" s="87"/>
      <c r="BA21" s="87"/>
      <c r="BB21" s="87"/>
      <c r="BC21" s="87"/>
      <c r="BD21" s="87"/>
      <c r="BE21" s="88"/>
      <c r="BF21" s="87">
        <v>41456</v>
      </c>
      <c r="BG21" s="87" t="s">
        <v>148</v>
      </c>
      <c r="BH21" s="87">
        <v>41712</v>
      </c>
      <c r="BI21" s="87" t="s">
        <v>148</v>
      </c>
      <c r="BJ21" s="86"/>
      <c r="BK21" s="86"/>
      <c r="BL21" s="86"/>
      <c r="BM21" s="89">
        <v>43073</v>
      </c>
      <c r="BN21" s="85" t="s">
        <v>16</v>
      </c>
      <c r="BO21" s="216">
        <f>DATEDIF(AW21,BM21, "M")+1</f>
        <v>81</v>
      </c>
      <c r="BP21" s="85">
        <f t="shared" si="2"/>
        <v>73</v>
      </c>
      <c r="BQ21" s="85"/>
      <c r="BR21" s="85">
        <v>1</v>
      </c>
      <c r="BS21" s="85">
        <v>8</v>
      </c>
      <c r="BT21" s="85">
        <v>3</v>
      </c>
      <c r="BU21" s="85">
        <v>0</v>
      </c>
      <c r="BV21" s="85">
        <v>0</v>
      </c>
      <c r="BW21" s="85">
        <v>0</v>
      </c>
      <c r="BX21" s="85">
        <v>0</v>
      </c>
      <c r="BY21" s="85" t="s">
        <v>161</v>
      </c>
      <c r="BZ21" s="85" t="s">
        <v>161</v>
      </c>
      <c r="CA21" s="85"/>
      <c r="CB21" s="90"/>
      <c r="CC21" s="90"/>
      <c r="CD21" s="85"/>
      <c r="CE21" s="85" t="s">
        <v>161</v>
      </c>
      <c r="CF21" s="85"/>
      <c r="CG21" s="85"/>
      <c r="CH21" s="370" t="s">
        <v>166</v>
      </c>
      <c r="CI21" s="85" t="s">
        <v>166</v>
      </c>
      <c r="CJ21" s="85"/>
      <c r="CK21" s="85" t="s">
        <v>166</v>
      </c>
      <c r="CL21" s="381" t="s">
        <v>459</v>
      </c>
    </row>
    <row r="22" spans="1:90" ht="25" customHeight="1" x14ac:dyDescent="0.35">
      <c r="A22" s="91">
        <v>22</v>
      </c>
      <c r="B22" s="91" t="s">
        <v>460</v>
      </c>
      <c r="C22" s="91" t="s">
        <v>461</v>
      </c>
      <c r="D22" s="91" t="s">
        <v>462</v>
      </c>
      <c r="E22" s="91" t="s">
        <v>463</v>
      </c>
      <c r="F22" s="91" t="s">
        <v>4140</v>
      </c>
      <c r="G22" s="91">
        <v>1</v>
      </c>
      <c r="H22" s="91" t="s">
        <v>50</v>
      </c>
      <c r="I22" s="91" t="s">
        <v>42</v>
      </c>
      <c r="J22" s="91"/>
      <c r="K22" s="91"/>
      <c r="L22" s="91"/>
      <c r="M22" s="91"/>
      <c r="N22" s="91" t="s">
        <v>166</v>
      </c>
      <c r="O22" s="91" t="s">
        <v>166</v>
      </c>
      <c r="P22" s="91" t="s">
        <v>166</v>
      </c>
      <c r="Q22" s="91" t="s">
        <v>166</v>
      </c>
      <c r="R22" s="91"/>
      <c r="S22" s="91"/>
      <c r="T22" s="341"/>
      <c r="U22" s="217"/>
      <c r="V22" s="217"/>
      <c r="W22" s="164"/>
      <c r="X22" s="164"/>
      <c r="Y22" s="164"/>
      <c r="Z22" s="164"/>
      <c r="AA22" s="91"/>
      <c r="AB22" s="92"/>
      <c r="AC22" s="281">
        <v>40603</v>
      </c>
      <c r="AD22" s="92">
        <v>40865</v>
      </c>
      <c r="AE22" s="92"/>
      <c r="AF22" s="92"/>
      <c r="AG22" s="92"/>
      <c r="AH22" s="91">
        <f t="shared" si="0"/>
        <v>0</v>
      </c>
      <c r="AI22" s="92"/>
      <c r="AJ22" s="92"/>
      <c r="AK22" s="92"/>
      <c r="AL22" s="92"/>
      <c r="AM22" s="92"/>
      <c r="AN22" s="92"/>
      <c r="AO22" s="92"/>
      <c r="AP22" s="92"/>
      <c r="AQ22" s="92"/>
      <c r="AR22" s="92"/>
      <c r="AS22" s="92"/>
      <c r="AT22" s="400"/>
      <c r="AU22" s="91"/>
      <c r="AV22" s="92"/>
      <c r="AW22" s="93">
        <v>40634</v>
      </c>
      <c r="AX22" s="93"/>
      <c r="AY22" s="93"/>
      <c r="AZ22" s="93"/>
      <c r="BA22" s="93"/>
      <c r="BB22" s="93"/>
      <c r="BC22" s="93"/>
      <c r="BD22" s="93"/>
      <c r="BE22" s="94"/>
      <c r="BF22" s="93"/>
      <c r="BG22" s="93"/>
      <c r="BH22" s="93"/>
      <c r="BI22" s="93"/>
      <c r="BJ22" s="92"/>
      <c r="BK22" s="92"/>
      <c r="BL22" s="92"/>
      <c r="BM22" s="92"/>
      <c r="BN22" s="91" t="s">
        <v>18</v>
      </c>
      <c r="BO22" s="218" t="s">
        <v>18</v>
      </c>
      <c r="BP22" s="218"/>
      <c r="BQ22" s="91"/>
      <c r="BR22" s="91"/>
      <c r="BS22" s="91"/>
      <c r="BT22" s="91"/>
      <c r="BU22" s="91"/>
      <c r="BV22" s="91"/>
      <c r="BW22" s="91"/>
      <c r="BX22" s="91"/>
      <c r="BY22" s="91" t="s">
        <v>161</v>
      </c>
      <c r="BZ22" s="91" t="s">
        <v>191</v>
      </c>
      <c r="CA22" s="91"/>
      <c r="CB22" s="95"/>
      <c r="CC22" s="95"/>
      <c r="CD22" s="91"/>
      <c r="CE22" s="91"/>
      <c r="CF22" s="91"/>
      <c r="CG22" s="91"/>
      <c r="CH22" s="113"/>
      <c r="CI22" s="91"/>
      <c r="CJ22" s="91"/>
      <c r="CK22" s="91" t="s">
        <v>166</v>
      </c>
    </row>
    <row r="23" spans="1:90" ht="25" customHeight="1" x14ac:dyDescent="0.35">
      <c r="A23" s="91">
        <v>23</v>
      </c>
      <c r="B23" s="91" t="s">
        <v>464</v>
      </c>
      <c r="C23" s="91" t="s">
        <v>465</v>
      </c>
      <c r="D23" s="91" t="s">
        <v>466</v>
      </c>
      <c r="E23" s="91" t="s">
        <v>467</v>
      </c>
      <c r="F23" s="91" t="s">
        <v>4139</v>
      </c>
      <c r="G23" s="91">
        <v>1</v>
      </c>
      <c r="H23" s="91" t="s">
        <v>50</v>
      </c>
      <c r="I23" s="91" t="s">
        <v>42</v>
      </c>
      <c r="J23" s="91"/>
      <c r="K23" s="91"/>
      <c r="L23" s="91" t="s">
        <v>42</v>
      </c>
      <c r="M23" s="91" t="s">
        <v>148</v>
      </c>
      <c r="N23" s="91" t="s">
        <v>166</v>
      </c>
      <c r="O23" s="91" t="s">
        <v>166</v>
      </c>
      <c r="P23" s="91" t="s">
        <v>166</v>
      </c>
      <c r="Q23" s="91" t="s">
        <v>166</v>
      </c>
      <c r="R23" s="91"/>
      <c r="S23" s="91"/>
      <c r="T23" s="341"/>
      <c r="U23" s="217"/>
      <c r="V23" s="217"/>
      <c r="W23" s="164"/>
      <c r="X23" s="164"/>
      <c r="Y23" s="164"/>
      <c r="Z23" s="164"/>
      <c r="AA23" s="91"/>
      <c r="AB23" s="92"/>
      <c r="AC23" s="281">
        <v>40603</v>
      </c>
      <c r="AD23" s="92">
        <v>42613</v>
      </c>
      <c r="AE23" s="92"/>
      <c r="AF23" s="92"/>
      <c r="AG23" s="92"/>
      <c r="AH23" s="91">
        <f t="shared" si="0"/>
        <v>0</v>
      </c>
      <c r="AI23" s="92"/>
      <c r="AJ23" s="92"/>
      <c r="AK23" s="92"/>
      <c r="AL23" s="92"/>
      <c r="AM23" s="92"/>
      <c r="AN23" s="92"/>
      <c r="AO23" s="92"/>
      <c r="AP23" s="92"/>
      <c r="AQ23" s="92"/>
      <c r="AR23" s="92"/>
      <c r="AS23" s="92"/>
      <c r="AT23" s="400"/>
      <c r="AU23" s="91"/>
      <c r="AV23" s="92"/>
      <c r="AW23" s="93">
        <v>40634</v>
      </c>
      <c r="AX23" s="93"/>
      <c r="AY23" s="93"/>
      <c r="AZ23" s="93"/>
      <c r="BA23" s="93"/>
      <c r="BB23" s="93"/>
      <c r="BC23" s="93"/>
      <c r="BD23" s="93"/>
      <c r="BE23" s="94"/>
      <c r="BF23" s="93"/>
      <c r="BG23" s="93"/>
      <c r="BH23" s="93"/>
      <c r="BI23" s="93"/>
      <c r="BJ23" s="92"/>
      <c r="BK23" s="92"/>
      <c r="BL23" s="92"/>
      <c r="BM23" s="92"/>
      <c r="BN23" s="91" t="s">
        <v>18</v>
      </c>
      <c r="BO23" s="218" t="s">
        <v>18</v>
      </c>
      <c r="BP23" s="218"/>
      <c r="BQ23" s="91"/>
      <c r="BR23" s="91"/>
      <c r="BS23" s="91"/>
      <c r="BT23" s="91"/>
      <c r="BU23" s="91"/>
      <c r="BV23" s="91"/>
      <c r="BW23" s="91"/>
      <c r="BX23" s="91"/>
      <c r="BY23" s="91" t="s">
        <v>161</v>
      </c>
      <c r="BZ23" s="91" t="s">
        <v>191</v>
      </c>
      <c r="CA23" s="91"/>
      <c r="CB23" s="95"/>
      <c r="CC23" s="95"/>
      <c r="CD23" s="91"/>
      <c r="CE23" s="91"/>
      <c r="CF23" s="91"/>
      <c r="CG23" s="91"/>
      <c r="CH23" s="113"/>
      <c r="CI23" s="91"/>
      <c r="CJ23" s="91"/>
      <c r="CK23" s="91" t="s">
        <v>166</v>
      </c>
    </row>
    <row r="24" spans="1:90" ht="25" customHeight="1" x14ac:dyDescent="0.35">
      <c r="A24" s="91">
        <v>24</v>
      </c>
      <c r="B24" s="91" t="s">
        <v>468</v>
      </c>
      <c r="C24" s="91" t="s">
        <v>469</v>
      </c>
      <c r="D24" s="91" t="s">
        <v>470</v>
      </c>
      <c r="E24" s="91" t="s">
        <v>471</v>
      </c>
      <c r="F24" s="91" t="s">
        <v>4140</v>
      </c>
      <c r="G24" s="91">
        <v>1</v>
      </c>
      <c r="H24" s="91" t="s">
        <v>57</v>
      </c>
      <c r="I24" s="91" t="s">
        <v>41</v>
      </c>
      <c r="J24" s="91"/>
      <c r="K24" s="91"/>
      <c r="L24" s="91"/>
      <c r="M24" s="91"/>
      <c r="N24" s="91" t="s">
        <v>166</v>
      </c>
      <c r="O24" s="91" t="s">
        <v>166</v>
      </c>
      <c r="P24" s="91" t="s">
        <v>166</v>
      </c>
      <c r="Q24" s="91" t="s">
        <v>166</v>
      </c>
      <c r="R24" s="91"/>
      <c r="S24" s="91"/>
      <c r="T24" s="341"/>
      <c r="U24" s="217"/>
      <c r="V24" s="217"/>
      <c r="W24" s="164"/>
      <c r="X24" s="164"/>
      <c r="Y24" s="164"/>
      <c r="Z24" s="164"/>
      <c r="AA24" s="91"/>
      <c r="AB24" s="92"/>
      <c r="AC24" s="281">
        <v>40603</v>
      </c>
      <c r="AD24" s="92">
        <v>41274</v>
      </c>
      <c r="AE24" s="92"/>
      <c r="AF24" s="92"/>
      <c r="AG24" s="92"/>
      <c r="AH24" s="91">
        <f t="shared" si="0"/>
        <v>0</v>
      </c>
      <c r="AI24" s="92"/>
      <c r="AJ24" s="92"/>
      <c r="AK24" s="92"/>
      <c r="AL24" s="92"/>
      <c r="AM24" s="92"/>
      <c r="AN24" s="92"/>
      <c r="AO24" s="92"/>
      <c r="AP24" s="92"/>
      <c r="AQ24" s="92"/>
      <c r="AR24" s="92"/>
      <c r="AS24" s="92"/>
      <c r="AT24" s="400"/>
      <c r="AU24" s="91"/>
      <c r="AV24" s="92"/>
      <c r="AW24" s="93">
        <v>40634</v>
      </c>
      <c r="AX24" s="93"/>
      <c r="AY24" s="93"/>
      <c r="AZ24" s="93"/>
      <c r="BA24" s="93"/>
      <c r="BB24" s="93"/>
      <c r="BC24" s="93"/>
      <c r="BD24" s="93"/>
      <c r="BE24" s="94"/>
      <c r="BF24" s="93"/>
      <c r="BG24" s="93"/>
      <c r="BH24" s="93"/>
      <c r="BI24" s="93"/>
      <c r="BJ24" s="92"/>
      <c r="BK24" s="92"/>
      <c r="BL24" s="92"/>
      <c r="BM24" s="92"/>
      <c r="BN24" s="91" t="s">
        <v>18</v>
      </c>
      <c r="BO24" s="218" t="s">
        <v>18</v>
      </c>
      <c r="BP24" s="218"/>
      <c r="BQ24" s="91"/>
      <c r="BR24" s="91"/>
      <c r="BS24" s="91"/>
      <c r="BT24" s="91"/>
      <c r="BU24" s="91"/>
      <c r="BV24" s="91"/>
      <c r="BW24" s="91"/>
      <c r="BX24" s="91"/>
      <c r="BY24" s="91" t="s">
        <v>161</v>
      </c>
      <c r="BZ24" s="91"/>
      <c r="CA24" s="91"/>
      <c r="CB24" s="95"/>
      <c r="CC24" s="95"/>
      <c r="CD24" s="91"/>
      <c r="CE24" s="91"/>
      <c r="CF24" s="91"/>
      <c r="CG24" s="91"/>
      <c r="CH24" s="113"/>
      <c r="CI24" s="91"/>
      <c r="CJ24" s="91"/>
      <c r="CK24" s="91" t="s">
        <v>166</v>
      </c>
    </row>
    <row r="25" spans="1:90" ht="25" customHeight="1" x14ac:dyDescent="0.35">
      <c r="A25" s="96">
        <v>26</v>
      </c>
      <c r="B25" s="96" t="s">
        <v>472</v>
      </c>
      <c r="C25" s="96" t="s">
        <v>473</v>
      </c>
      <c r="D25" s="96"/>
      <c r="E25" s="96" t="s">
        <v>474</v>
      </c>
      <c r="F25" s="96" t="s">
        <v>4139</v>
      </c>
      <c r="G25" s="96">
        <v>2</v>
      </c>
      <c r="H25" s="96" t="s">
        <v>52</v>
      </c>
      <c r="I25" s="96" t="s">
        <v>31</v>
      </c>
      <c r="J25" s="96" t="s">
        <v>475</v>
      </c>
      <c r="K25" s="96"/>
      <c r="L25" s="96" t="s">
        <v>31</v>
      </c>
      <c r="M25" s="96" t="s">
        <v>148</v>
      </c>
      <c r="N25" s="96"/>
      <c r="O25" s="104" t="s">
        <v>149</v>
      </c>
      <c r="P25" s="219" t="s">
        <v>149</v>
      </c>
      <c r="Q25" s="96"/>
      <c r="R25" s="96" t="s">
        <v>476</v>
      </c>
      <c r="S25" s="96" t="s">
        <v>477</v>
      </c>
      <c r="T25" s="199"/>
      <c r="U25" s="97" t="s">
        <v>478</v>
      </c>
      <c r="V25" s="97">
        <v>27062</v>
      </c>
      <c r="W25" s="105" t="s">
        <v>479</v>
      </c>
      <c r="X25" s="105" t="s">
        <v>177</v>
      </c>
      <c r="Y25" s="105" t="s">
        <v>155</v>
      </c>
      <c r="Z25" s="105" t="s">
        <v>156</v>
      </c>
      <c r="AA25" s="96">
        <v>13.5</v>
      </c>
      <c r="AB25" s="97">
        <v>40924</v>
      </c>
      <c r="AC25" s="282">
        <v>40969</v>
      </c>
      <c r="AD25" s="97"/>
      <c r="AE25" s="97" t="s">
        <v>480</v>
      </c>
      <c r="AF25" s="97" t="s">
        <v>481</v>
      </c>
      <c r="AG25" s="97"/>
      <c r="AH25" s="96">
        <f t="shared" si="0"/>
        <v>2</v>
      </c>
      <c r="AI25" s="97" t="s">
        <v>159</v>
      </c>
      <c r="AJ25" s="97" t="s">
        <v>159</v>
      </c>
      <c r="AK25" s="97"/>
      <c r="AL25" s="97" t="s">
        <v>148</v>
      </c>
      <c r="AM25" s="97" t="s">
        <v>161</v>
      </c>
      <c r="AN25" s="97"/>
      <c r="AO25" s="97" t="s">
        <v>162</v>
      </c>
      <c r="AP25" s="97" t="s">
        <v>247</v>
      </c>
      <c r="AQ25" s="97" t="s">
        <v>482</v>
      </c>
      <c r="AR25" s="97" t="s">
        <v>148</v>
      </c>
      <c r="AS25" s="97"/>
      <c r="AT25" s="401" t="s">
        <v>326</v>
      </c>
      <c r="AU25" s="96" t="s">
        <v>483</v>
      </c>
      <c r="AV25" s="97"/>
      <c r="AW25" s="99">
        <v>40969</v>
      </c>
      <c r="AX25" s="99">
        <v>41214</v>
      </c>
      <c r="AY25" s="99" t="s">
        <v>148</v>
      </c>
      <c r="AZ25" s="99"/>
      <c r="BA25" s="99"/>
      <c r="BB25" s="99"/>
      <c r="BC25" s="99"/>
      <c r="BD25" s="99"/>
      <c r="BE25" s="100"/>
      <c r="BF25" s="99">
        <v>41852</v>
      </c>
      <c r="BG25" s="99" t="s">
        <v>148</v>
      </c>
      <c r="BH25" s="99">
        <v>42064</v>
      </c>
      <c r="BI25" s="99" t="s">
        <v>148</v>
      </c>
      <c r="BJ25" s="97"/>
      <c r="BK25" s="97"/>
      <c r="BL25" s="97"/>
      <c r="BM25" s="101">
        <v>45183</v>
      </c>
      <c r="BN25" s="102" t="s">
        <v>16</v>
      </c>
      <c r="BO25" s="220">
        <f>DATEDIF(AW25,BM25, "M")+1</f>
        <v>139</v>
      </c>
      <c r="BP25" s="96">
        <f t="shared" ref="BP25:BP31" si="3">DATEDIF(AX25,BM25, "M")+1</f>
        <v>131</v>
      </c>
      <c r="BQ25" s="96"/>
      <c r="BR25" s="96">
        <v>1</v>
      </c>
      <c r="BS25" s="96">
        <v>14</v>
      </c>
      <c r="BT25" s="96">
        <v>0</v>
      </c>
      <c r="BU25" s="96">
        <v>1</v>
      </c>
      <c r="BV25" s="96">
        <v>0</v>
      </c>
      <c r="BW25" s="96">
        <v>0</v>
      </c>
      <c r="BX25" s="96">
        <v>0</v>
      </c>
      <c r="BY25" s="96" t="s">
        <v>161</v>
      </c>
      <c r="BZ25" s="96">
        <v>0</v>
      </c>
      <c r="CA25" s="96"/>
      <c r="CB25" s="103"/>
      <c r="CC25" s="103"/>
      <c r="CD25" s="96"/>
      <c r="CE25" s="96" t="s">
        <v>161</v>
      </c>
      <c r="CF25" s="96"/>
      <c r="CG25" s="96"/>
      <c r="CH25" s="371">
        <v>2</v>
      </c>
      <c r="CI25" s="96" t="s">
        <v>166</v>
      </c>
      <c r="CJ25" s="96"/>
      <c r="CK25" s="96" t="s">
        <v>166</v>
      </c>
    </row>
    <row r="26" spans="1:90" ht="25" customHeight="1" x14ac:dyDescent="0.35">
      <c r="A26" s="96">
        <v>27</v>
      </c>
      <c r="B26" s="96" t="s">
        <v>484</v>
      </c>
      <c r="C26" s="96" t="s">
        <v>485</v>
      </c>
      <c r="D26" s="96"/>
      <c r="E26" s="96" t="s">
        <v>486</v>
      </c>
      <c r="F26" s="96" t="s">
        <v>4140</v>
      </c>
      <c r="G26" s="96">
        <v>2</v>
      </c>
      <c r="H26" s="96" t="s">
        <v>51</v>
      </c>
      <c r="I26" s="96" t="s">
        <v>4136</v>
      </c>
      <c r="J26" s="96" t="s">
        <v>487</v>
      </c>
      <c r="K26" s="96" t="s">
        <v>487</v>
      </c>
      <c r="L26" s="96" t="s">
        <v>4136</v>
      </c>
      <c r="M26" s="96" t="s">
        <v>148</v>
      </c>
      <c r="N26" s="221" t="s">
        <v>20</v>
      </c>
      <c r="O26" s="12" t="s">
        <v>149</v>
      </c>
      <c r="P26" s="13" t="s">
        <v>149</v>
      </c>
      <c r="Q26" s="96" t="s">
        <v>149</v>
      </c>
      <c r="R26" s="318" t="s">
        <v>488</v>
      </c>
      <c r="S26" s="96" t="s">
        <v>489</v>
      </c>
      <c r="T26" s="199" t="s">
        <v>490</v>
      </c>
      <c r="U26" s="97" t="s">
        <v>491</v>
      </c>
      <c r="V26" s="97">
        <v>28103</v>
      </c>
      <c r="W26" s="105" t="s">
        <v>492</v>
      </c>
      <c r="X26" s="105" t="s">
        <v>177</v>
      </c>
      <c r="Y26" s="105" t="s">
        <v>161</v>
      </c>
      <c r="Z26" s="105" t="s">
        <v>156</v>
      </c>
      <c r="AA26" s="96">
        <v>18</v>
      </c>
      <c r="AB26" s="97">
        <v>40917</v>
      </c>
      <c r="AC26" s="282">
        <v>40969</v>
      </c>
      <c r="AD26" s="97"/>
      <c r="AE26" s="97" t="s">
        <v>493</v>
      </c>
      <c r="AF26" s="97" t="s">
        <v>295</v>
      </c>
      <c r="AG26" s="97"/>
      <c r="AH26" s="96">
        <f t="shared" si="0"/>
        <v>2</v>
      </c>
      <c r="AI26" s="97" t="s">
        <v>159</v>
      </c>
      <c r="AJ26" s="97" t="s">
        <v>159</v>
      </c>
      <c r="AK26" s="97"/>
      <c r="AL26" s="97" t="s">
        <v>148</v>
      </c>
      <c r="AM26" s="97" t="s">
        <v>148</v>
      </c>
      <c r="AN26" s="97"/>
      <c r="AO26" s="97" t="s">
        <v>162</v>
      </c>
      <c r="AP26" s="97" t="s">
        <v>494</v>
      </c>
      <c r="AQ26" s="104" t="s">
        <v>215</v>
      </c>
      <c r="AR26" s="97" t="s">
        <v>148</v>
      </c>
      <c r="AS26" s="97" t="s">
        <v>495</v>
      </c>
      <c r="AT26" s="402" t="s">
        <v>496</v>
      </c>
      <c r="AU26" s="96" t="s">
        <v>497</v>
      </c>
      <c r="AV26" s="97"/>
      <c r="AW26" s="99">
        <v>40969</v>
      </c>
      <c r="AX26" s="99">
        <v>41214</v>
      </c>
      <c r="AY26" s="99" t="s">
        <v>148</v>
      </c>
      <c r="AZ26" s="99"/>
      <c r="BA26" s="99"/>
      <c r="BB26" s="99"/>
      <c r="BC26" s="99"/>
      <c r="BD26" s="99"/>
      <c r="BE26" s="100"/>
      <c r="BF26" s="99">
        <v>41852</v>
      </c>
      <c r="BG26" s="99" t="s">
        <v>148</v>
      </c>
      <c r="BH26" s="99">
        <v>42064</v>
      </c>
      <c r="BI26" s="99" t="s">
        <v>148</v>
      </c>
      <c r="BJ26" s="97"/>
      <c r="BK26" s="97"/>
      <c r="BL26" s="97"/>
      <c r="BM26" s="101">
        <v>42460</v>
      </c>
      <c r="BN26" s="96" t="s">
        <v>16</v>
      </c>
      <c r="BO26" s="220">
        <f>DATEDIF(AW26,BM26, "M")+1</f>
        <v>49</v>
      </c>
      <c r="BP26" s="96">
        <f t="shared" si="3"/>
        <v>41</v>
      </c>
      <c r="BQ26" s="96"/>
      <c r="BR26" s="96">
        <v>0</v>
      </c>
      <c r="BS26" s="96">
        <v>4</v>
      </c>
      <c r="BT26" s="96">
        <v>36</v>
      </c>
      <c r="BU26" s="96">
        <v>1</v>
      </c>
      <c r="BV26" s="96">
        <v>0</v>
      </c>
      <c r="BW26" s="96">
        <v>1</v>
      </c>
      <c r="BX26" s="96">
        <v>1</v>
      </c>
      <c r="BY26" s="96" t="s">
        <v>161</v>
      </c>
      <c r="BZ26" s="96">
        <v>0</v>
      </c>
      <c r="CA26" s="96"/>
      <c r="CB26" s="103"/>
      <c r="CC26" s="103"/>
      <c r="CD26" s="96"/>
      <c r="CE26" s="96" t="s">
        <v>161</v>
      </c>
      <c r="CF26" s="96"/>
      <c r="CG26" s="96"/>
      <c r="CH26" s="371">
        <v>2</v>
      </c>
      <c r="CI26" s="96">
        <v>2</v>
      </c>
      <c r="CJ26" s="96"/>
      <c r="CK26" s="96" t="s">
        <v>498</v>
      </c>
    </row>
    <row r="27" spans="1:90" ht="25" customHeight="1" x14ac:dyDescent="0.35">
      <c r="A27" s="96">
        <v>28</v>
      </c>
      <c r="B27" s="96" t="s">
        <v>499</v>
      </c>
      <c r="C27" s="96" t="s">
        <v>500</v>
      </c>
      <c r="D27" s="96" t="s">
        <v>501</v>
      </c>
      <c r="E27" s="96" t="s">
        <v>502</v>
      </c>
      <c r="F27" s="96" t="s">
        <v>4139</v>
      </c>
      <c r="G27" s="96">
        <v>2</v>
      </c>
      <c r="H27" s="96" t="s">
        <v>51</v>
      </c>
      <c r="I27" s="96" t="s">
        <v>4136</v>
      </c>
      <c r="J27" s="96" t="s">
        <v>222</v>
      </c>
      <c r="K27" s="96"/>
      <c r="L27" s="96" t="s">
        <v>4136</v>
      </c>
      <c r="M27" s="96" t="s">
        <v>148</v>
      </c>
      <c r="N27" s="96"/>
      <c r="O27" s="96"/>
      <c r="P27" s="96" t="s">
        <v>166</v>
      </c>
      <c r="Q27" s="96"/>
      <c r="R27" s="96" t="s">
        <v>503</v>
      </c>
      <c r="S27" s="96"/>
      <c r="T27" s="199" t="s">
        <v>504</v>
      </c>
      <c r="U27" s="96" t="s">
        <v>505</v>
      </c>
      <c r="V27" s="96">
        <v>26796</v>
      </c>
      <c r="W27" s="96" t="s">
        <v>506</v>
      </c>
      <c r="X27" s="96" t="s">
        <v>177</v>
      </c>
      <c r="Y27" s="96" t="s">
        <v>155</v>
      </c>
      <c r="Z27" s="96" t="s">
        <v>156</v>
      </c>
      <c r="AA27" s="96">
        <v>12</v>
      </c>
      <c r="AB27" s="97">
        <v>40977</v>
      </c>
      <c r="AC27" s="282">
        <v>40969</v>
      </c>
      <c r="AD27" s="96"/>
      <c r="AE27" s="96" t="s">
        <v>507</v>
      </c>
      <c r="AF27" s="97" t="s">
        <v>508</v>
      </c>
      <c r="AG27" s="97"/>
      <c r="AH27" s="96">
        <f t="shared" si="0"/>
        <v>2</v>
      </c>
      <c r="AI27" s="97" t="s">
        <v>159</v>
      </c>
      <c r="AJ27" s="97" t="s">
        <v>200</v>
      </c>
      <c r="AK27" s="97"/>
      <c r="AL27" s="97" t="s">
        <v>148</v>
      </c>
      <c r="AM27" s="97" t="s">
        <v>148</v>
      </c>
      <c r="AN27" s="97"/>
      <c r="AO27" s="97" t="s">
        <v>162</v>
      </c>
      <c r="AP27" s="97" t="s">
        <v>201</v>
      </c>
      <c r="AQ27" s="104" t="s">
        <v>215</v>
      </c>
      <c r="AR27" s="97" t="s">
        <v>148</v>
      </c>
      <c r="AS27" s="97"/>
      <c r="AT27" s="401" t="s">
        <v>296</v>
      </c>
      <c r="AU27" s="96" t="s">
        <v>509</v>
      </c>
      <c r="AV27" s="97"/>
      <c r="AW27" s="99">
        <v>40969</v>
      </c>
      <c r="AX27" s="99">
        <v>41214</v>
      </c>
      <c r="AY27" s="99" t="s">
        <v>148</v>
      </c>
      <c r="AZ27" s="99"/>
      <c r="BA27" s="99"/>
      <c r="BB27" s="99"/>
      <c r="BC27" s="99"/>
      <c r="BD27" s="99"/>
      <c r="BE27" s="100"/>
      <c r="BF27" s="99">
        <v>41852</v>
      </c>
      <c r="BG27" s="99" t="s">
        <v>148</v>
      </c>
      <c r="BH27" s="99">
        <v>42064</v>
      </c>
      <c r="BI27" s="99" t="s">
        <v>148</v>
      </c>
      <c r="BJ27" s="97"/>
      <c r="BK27" s="97"/>
      <c r="BL27" s="97"/>
      <c r="BM27" s="101">
        <v>42704</v>
      </c>
      <c r="BN27" s="96" t="s">
        <v>16</v>
      </c>
      <c r="BO27" s="220">
        <f t="shared" ref="BO27:BO31" si="4">DATEDIF(AW27,BM27, "M")+1</f>
        <v>57</v>
      </c>
      <c r="BP27" s="96">
        <f t="shared" si="3"/>
        <v>49</v>
      </c>
      <c r="BQ27" s="96"/>
      <c r="BR27" s="96">
        <v>2</v>
      </c>
      <c r="BS27" s="96">
        <v>1</v>
      </c>
      <c r="BT27" s="96">
        <v>9</v>
      </c>
      <c r="BU27" s="96">
        <v>1</v>
      </c>
      <c r="BV27" s="96">
        <v>1</v>
      </c>
      <c r="BW27" s="96">
        <v>0</v>
      </c>
      <c r="BX27" s="96">
        <v>0</v>
      </c>
      <c r="BY27" s="96" t="s">
        <v>161</v>
      </c>
      <c r="BZ27" s="96">
        <v>0</v>
      </c>
      <c r="CA27" s="96"/>
      <c r="CB27" s="103"/>
      <c r="CC27" s="103"/>
      <c r="CD27" s="96"/>
      <c r="CE27" s="96" t="s">
        <v>161</v>
      </c>
      <c r="CF27" s="96"/>
      <c r="CG27" s="96"/>
      <c r="CH27" s="371" t="s">
        <v>166</v>
      </c>
      <c r="CI27" s="96" t="s">
        <v>166</v>
      </c>
      <c r="CJ27" s="96"/>
      <c r="CK27" s="96" t="s">
        <v>510</v>
      </c>
    </row>
    <row r="28" spans="1:90" ht="25" customHeight="1" x14ac:dyDescent="0.35">
      <c r="A28" s="96">
        <v>29</v>
      </c>
      <c r="B28" s="96" t="s">
        <v>511</v>
      </c>
      <c r="C28" s="96" t="s">
        <v>512</v>
      </c>
      <c r="D28" s="96" t="s">
        <v>20</v>
      </c>
      <c r="E28" s="96" t="s">
        <v>513</v>
      </c>
      <c r="F28" s="96" t="s">
        <v>4140</v>
      </c>
      <c r="G28" s="96">
        <v>2</v>
      </c>
      <c r="H28" s="96" t="s">
        <v>50</v>
      </c>
      <c r="I28" s="96" t="s">
        <v>37</v>
      </c>
      <c r="J28" s="96" t="s">
        <v>514</v>
      </c>
      <c r="K28" s="96" t="s">
        <v>515</v>
      </c>
      <c r="L28" s="96" t="s">
        <v>37</v>
      </c>
      <c r="M28" s="96" t="s">
        <v>148</v>
      </c>
      <c r="N28" s="221"/>
      <c r="O28" s="12" t="s">
        <v>149</v>
      </c>
      <c r="P28" s="14" t="s">
        <v>149</v>
      </c>
      <c r="Q28" s="96"/>
      <c r="R28" s="318" t="s">
        <v>516</v>
      </c>
      <c r="S28" s="96" t="s">
        <v>517</v>
      </c>
      <c r="T28" s="196" t="s">
        <v>518</v>
      </c>
      <c r="U28" s="97" t="s">
        <v>519</v>
      </c>
      <c r="V28" s="97">
        <v>27531</v>
      </c>
      <c r="W28" s="105"/>
      <c r="X28" s="105" t="s">
        <v>154</v>
      </c>
      <c r="Y28" s="105" t="s">
        <v>520</v>
      </c>
      <c r="Z28" s="105" t="s">
        <v>156</v>
      </c>
      <c r="AA28" s="96"/>
      <c r="AB28" s="97">
        <v>41334</v>
      </c>
      <c r="AC28" s="282">
        <v>40969</v>
      </c>
      <c r="AD28" s="97"/>
      <c r="AE28" s="96" t="s">
        <v>521</v>
      </c>
      <c r="AF28" s="96" t="s">
        <v>522</v>
      </c>
      <c r="AG28" s="96"/>
      <c r="AH28" s="96">
        <f t="shared" si="0"/>
        <v>2</v>
      </c>
      <c r="AI28" s="96" t="s">
        <v>280</v>
      </c>
      <c r="AJ28" s="96" t="s">
        <v>200</v>
      </c>
      <c r="AK28" s="96"/>
      <c r="AL28" s="96" t="s">
        <v>161</v>
      </c>
      <c r="AM28" s="96" t="s">
        <v>161</v>
      </c>
      <c r="AN28" s="96"/>
      <c r="AO28" s="96" t="s">
        <v>162</v>
      </c>
      <c r="AP28" s="96" t="s">
        <v>248</v>
      </c>
      <c r="AQ28" s="96" t="s">
        <v>215</v>
      </c>
      <c r="AR28" s="96" t="s">
        <v>148</v>
      </c>
      <c r="AS28" s="96"/>
      <c r="AT28" s="11" t="s">
        <v>202</v>
      </c>
      <c r="AU28" s="96" t="s">
        <v>523</v>
      </c>
      <c r="AV28" s="96"/>
      <c r="AW28" s="99">
        <v>40969</v>
      </c>
      <c r="AX28" s="99">
        <v>41214</v>
      </c>
      <c r="AY28" s="96" t="s">
        <v>148</v>
      </c>
      <c r="AZ28" s="96"/>
      <c r="BA28" s="96"/>
      <c r="BB28" s="96"/>
      <c r="BC28" s="96"/>
      <c r="BD28" s="96"/>
      <c r="BE28" s="96"/>
      <c r="BF28" s="99">
        <v>41852</v>
      </c>
      <c r="BG28" s="99" t="s">
        <v>148</v>
      </c>
      <c r="BH28" s="99">
        <v>42064</v>
      </c>
      <c r="BI28" s="99" t="s">
        <v>148</v>
      </c>
      <c r="BJ28" s="97"/>
      <c r="BK28" s="97"/>
      <c r="BL28" s="97"/>
      <c r="BM28" s="101">
        <v>42704</v>
      </c>
      <c r="BN28" s="96" t="s">
        <v>16</v>
      </c>
      <c r="BO28" s="220">
        <f t="shared" si="4"/>
        <v>57</v>
      </c>
      <c r="BP28" s="96">
        <f t="shared" si="3"/>
        <v>49</v>
      </c>
      <c r="BQ28" s="105" t="s">
        <v>524</v>
      </c>
      <c r="BR28" s="96">
        <v>8</v>
      </c>
      <c r="BS28" s="96">
        <v>19</v>
      </c>
      <c r="BT28" s="96">
        <v>43</v>
      </c>
      <c r="BU28" s="96">
        <v>2</v>
      </c>
      <c r="BV28" s="96">
        <v>2</v>
      </c>
      <c r="BW28" s="96">
        <v>1</v>
      </c>
      <c r="BX28" s="96">
        <v>0</v>
      </c>
      <c r="BY28" s="96" t="s">
        <v>161</v>
      </c>
      <c r="BZ28" s="96">
        <v>0</v>
      </c>
      <c r="CA28" s="96"/>
      <c r="CB28" s="103"/>
      <c r="CC28" s="103"/>
      <c r="CD28" s="96"/>
      <c r="CE28" s="96" t="s">
        <v>161</v>
      </c>
      <c r="CF28" s="96"/>
      <c r="CG28" s="96"/>
      <c r="CH28" s="371">
        <v>2</v>
      </c>
      <c r="CI28" s="96">
        <v>2</v>
      </c>
      <c r="CJ28" s="96">
        <v>2</v>
      </c>
      <c r="CK28" s="96" t="s">
        <v>166</v>
      </c>
    </row>
    <row r="29" spans="1:90" ht="25" customHeight="1" x14ac:dyDescent="0.35">
      <c r="A29" s="96">
        <v>30</v>
      </c>
      <c r="B29" s="96" t="s">
        <v>525</v>
      </c>
      <c r="C29" s="96" t="s">
        <v>526</v>
      </c>
      <c r="D29" s="96"/>
      <c r="E29" s="96" t="s">
        <v>527</v>
      </c>
      <c r="F29" s="96" t="s">
        <v>4140</v>
      </c>
      <c r="G29" s="96">
        <v>2</v>
      </c>
      <c r="H29" s="96" t="s">
        <v>57</v>
      </c>
      <c r="I29" s="96" t="s">
        <v>41</v>
      </c>
      <c r="J29" s="96" t="s">
        <v>475</v>
      </c>
      <c r="K29" s="96" t="s">
        <v>528</v>
      </c>
      <c r="L29" s="96" t="s">
        <v>42</v>
      </c>
      <c r="M29" s="96" t="s">
        <v>161</v>
      </c>
      <c r="N29" s="221"/>
      <c r="O29" s="12" t="s">
        <v>320</v>
      </c>
      <c r="P29" s="13" t="s">
        <v>320</v>
      </c>
      <c r="Q29" s="96" t="s">
        <v>320</v>
      </c>
      <c r="R29" s="96" t="s">
        <v>529</v>
      </c>
      <c r="S29" s="105" t="s">
        <v>530</v>
      </c>
      <c r="T29" s="199"/>
      <c r="U29" s="222" t="s">
        <v>531</v>
      </c>
      <c r="V29" s="222">
        <v>29064</v>
      </c>
      <c r="W29" s="105" t="s">
        <v>532</v>
      </c>
      <c r="X29" s="105" t="s">
        <v>177</v>
      </c>
      <c r="Y29" s="105" t="s">
        <v>161</v>
      </c>
      <c r="Z29" s="105" t="s">
        <v>156</v>
      </c>
      <c r="AA29" s="96">
        <v>21.5</v>
      </c>
      <c r="AB29" s="97">
        <v>40946</v>
      </c>
      <c r="AC29" s="282">
        <v>40969</v>
      </c>
      <c r="AD29" s="97"/>
      <c r="AE29" s="97" t="s">
        <v>533</v>
      </c>
      <c r="AF29" s="97" t="s">
        <v>534</v>
      </c>
      <c r="AG29" s="97"/>
      <c r="AH29" s="96">
        <f t="shared" si="0"/>
        <v>2</v>
      </c>
      <c r="AI29" s="97" t="s">
        <v>160</v>
      </c>
      <c r="AJ29" s="97" t="s">
        <v>160</v>
      </c>
      <c r="AK29" s="97"/>
      <c r="AL29" s="97" t="s">
        <v>148</v>
      </c>
      <c r="AM29" s="97" t="s">
        <v>148</v>
      </c>
      <c r="AN29" s="97"/>
      <c r="AO29" s="97" t="s">
        <v>180</v>
      </c>
      <c r="AP29" s="97" t="s">
        <v>179</v>
      </c>
      <c r="AQ29" s="97" t="s">
        <v>201</v>
      </c>
      <c r="AR29" s="97" t="s">
        <v>148</v>
      </c>
      <c r="AS29" s="97"/>
      <c r="AT29" s="401" t="s">
        <v>535</v>
      </c>
      <c r="AU29" s="96"/>
      <c r="AV29" s="97"/>
      <c r="AW29" s="99">
        <v>40969</v>
      </c>
      <c r="AX29" s="99">
        <v>41214</v>
      </c>
      <c r="AY29" s="99" t="s">
        <v>148</v>
      </c>
      <c r="AZ29" s="99"/>
      <c r="BA29" s="99"/>
      <c r="BB29" s="99"/>
      <c r="BC29" s="99"/>
      <c r="BD29" s="99"/>
      <c r="BE29" s="100"/>
      <c r="BF29" s="99">
        <v>41852</v>
      </c>
      <c r="BG29" s="99" t="s">
        <v>148</v>
      </c>
      <c r="BH29" s="99">
        <v>42064</v>
      </c>
      <c r="BI29" s="99" t="s">
        <v>148</v>
      </c>
      <c r="BJ29" s="97"/>
      <c r="BK29" s="97"/>
      <c r="BL29" s="97"/>
      <c r="BM29" s="101">
        <v>42735</v>
      </c>
      <c r="BN29" s="96" t="s">
        <v>16</v>
      </c>
      <c r="BO29" s="220">
        <f t="shared" si="4"/>
        <v>58</v>
      </c>
      <c r="BP29" s="96">
        <f t="shared" si="3"/>
        <v>50</v>
      </c>
      <c r="BQ29" s="96"/>
      <c r="BR29" s="96" t="s">
        <v>166</v>
      </c>
      <c r="BS29" s="96">
        <v>0</v>
      </c>
      <c r="BT29" s="96">
        <v>1</v>
      </c>
      <c r="BU29" s="96">
        <v>0</v>
      </c>
      <c r="BV29" s="96">
        <v>0</v>
      </c>
      <c r="BW29" s="96">
        <v>0</v>
      </c>
      <c r="BX29" s="96">
        <v>1</v>
      </c>
      <c r="BY29" s="96" t="s">
        <v>161</v>
      </c>
      <c r="BZ29" s="96">
        <v>0</v>
      </c>
      <c r="CA29" s="96"/>
      <c r="CB29" s="103"/>
      <c r="CC29" s="103"/>
      <c r="CD29" s="96"/>
      <c r="CE29" s="96" t="s">
        <v>161</v>
      </c>
      <c r="CF29" s="96"/>
      <c r="CG29" s="96"/>
      <c r="CH29" s="371" t="s">
        <v>166</v>
      </c>
      <c r="CI29" s="96" t="s">
        <v>166</v>
      </c>
      <c r="CJ29" s="96"/>
      <c r="CK29" s="96" t="s">
        <v>536</v>
      </c>
    </row>
    <row r="30" spans="1:90" ht="25" customHeight="1" x14ac:dyDescent="0.35">
      <c r="A30" s="96">
        <v>31</v>
      </c>
      <c r="B30" s="96" t="s">
        <v>537</v>
      </c>
      <c r="C30" s="96" t="s">
        <v>538</v>
      </c>
      <c r="D30" s="96" t="s">
        <v>539</v>
      </c>
      <c r="E30" s="96" t="s">
        <v>540</v>
      </c>
      <c r="F30" s="96" t="s">
        <v>4139</v>
      </c>
      <c r="G30" s="96">
        <v>2</v>
      </c>
      <c r="H30" s="96" t="s">
        <v>58</v>
      </c>
      <c r="I30" s="96" t="s">
        <v>35</v>
      </c>
      <c r="J30" s="96" t="s">
        <v>475</v>
      </c>
      <c r="K30" s="96" t="s">
        <v>541</v>
      </c>
      <c r="L30" s="96" t="s">
        <v>35</v>
      </c>
      <c r="M30" s="96" t="s">
        <v>148</v>
      </c>
      <c r="N30" s="221"/>
      <c r="O30" s="12" t="s">
        <v>149</v>
      </c>
      <c r="P30" s="13" t="s">
        <v>238</v>
      </c>
      <c r="Q30" s="96" t="s">
        <v>149</v>
      </c>
      <c r="R30" s="318" t="s">
        <v>542</v>
      </c>
      <c r="S30" s="96" t="s">
        <v>543</v>
      </c>
      <c r="T30" s="196" t="s">
        <v>544</v>
      </c>
      <c r="U30" s="97" t="s">
        <v>545</v>
      </c>
      <c r="V30" s="97">
        <v>30697</v>
      </c>
      <c r="W30" s="105" t="s">
        <v>546</v>
      </c>
      <c r="X30" s="105" t="s">
        <v>177</v>
      </c>
      <c r="Y30" s="105" t="s">
        <v>161</v>
      </c>
      <c r="Z30" s="105" t="s">
        <v>156</v>
      </c>
      <c r="AA30" s="96">
        <v>2</v>
      </c>
      <c r="AB30" s="97">
        <v>40946</v>
      </c>
      <c r="AC30" s="282">
        <v>40969</v>
      </c>
      <c r="AD30" s="97"/>
      <c r="AE30" s="97" t="s">
        <v>547</v>
      </c>
      <c r="AF30" s="97" t="s">
        <v>548</v>
      </c>
      <c r="AG30" s="97"/>
      <c r="AH30" s="96">
        <f t="shared" si="0"/>
        <v>2</v>
      </c>
      <c r="AI30" s="97" t="s">
        <v>159</v>
      </c>
      <c r="AJ30" s="97" t="s">
        <v>159</v>
      </c>
      <c r="AK30" s="97"/>
      <c r="AL30" s="97" t="s">
        <v>148</v>
      </c>
      <c r="AM30" s="97" t="s">
        <v>161</v>
      </c>
      <c r="AN30" s="97"/>
      <c r="AO30" s="97" t="s">
        <v>162</v>
      </c>
      <c r="AP30" s="97" t="s">
        <v>179</v>
      </c>
      <c r="AQ30" s="97" t="s">
        <v>248</v>
      </c>
      <c r="AR30" s="97" t="s">
        <v>148</v>
      </c>
      <c r="AS30" s="97" t="s">
        <v>549</v>
      </c>
      <c r="AT30" s="401" t="s">
        <v>550</v>
      </c>
      <c r="AU30" s="96" t="s">
        <v>551</v>
      </c>
      <c r="AV30" s="97"/>
      <c r="AW30" s="99">
        <v>40969</v>
      </c>
      <c r="AX30" s="99">
        <v>41214</v>
      </c>
      <c r="AY30" s="99" t="s">
        <v>148</v>
      </c>
      <c r="AZ30" s="99"/>
      <c r="BA30" s="99"/>
      <c r="BB30" s="99"/>
      <c r="BC30" s="99"/>
      <c r="BD30" s="99"/>
      <c r="BE30" s="100" t="s">
        <v>552</v>
      </c>
      <c r="BF30" s="99">
        <v>41852</v>
      </c>
      <c r="BG30" s="99" t="s">
        <v>148</v>
      </c>
      <c r="BH30" s="99">
        <v>42064</v>
      </c>
      <c r="BI30" s="99" t="s">
        <v>148</v>
      </c>
      <c r="BJ30" s="97"/>
      <c r="BK30" s="97"/>
      <c r="BL30" s="97"/>
      <c r="BM30" s="101">
        <v>42460</v>
      </c>
      <c r="BN30" s="96" t="s">
        <v>16</v>
      </c>
      <c r="BO30" s="220">
        <f t="shared" si="4"/>
        <v>49</v>
      </c>
      <c r="BP30" s="96">
        <f t="shared" si="3"/>
        <v>41</v>
      </c>
      <c r="BQ30" s="105" t="s">
        <v>552</v>
      </c>
      <c r="BR30" s="96">
        <v>0</v>
      </c>
      <c r="BS30" s="96">
        <v>10</v>
      </c>
      <c r="BT30" s="96">
        <v>16</v>
      </c>
      <c r="BU30" s="96">
        <v>6</v>
      </c>
      <c r="BV30" s="96">
        <v>2</v>
      </c>
      <c r="BW30" s="96">
        <v>2</v>
      </c>
      <c r="BX30" s="96">
        <v>0</v>
      </c>
      <c r="BY30" s="96" t="s">
        <v>161</v>
      </c>
      <c r="BZ30" s="96">
        <v>0</v>
      </c>
      <c r="CA30" s="96"/>
      <c r="CB30" s="103"/>
      <c r="CC30" s="103"/>
      <c r="CD30" s="96"/>
      <c r="CE30" s="96" t="s">
        <v>161</v>
      </c>
      <c r="CF30" s="96"/>
      <c r="CG30" s="96"/>
      <c r="CH30" s="371">
        <v>2</v>
      </c>
      <c r="CI30" s="96">
        <v>3</v>
      </c>
      <c r="CJ30" s="96"/>
      <c r="CK30" s="96" t="s">
        <v>536</v>
      </c>
    </row>
    <row r="31" spans="1:90" ht="25" customHeight="1" x14ac:dyDescent="0.35">
      <c r="A31" s="96">
        <v>32</v>
      </c>
      <c r="B31" s="96" t="s">
        <v>553</v>
      </c>
      <c r="C31" s="96" t="s">
        <v>554</v>
      </c>
      <c r="D31" s="96" t="s">
        <v>555</v>
      </c>
      <c r="E31" s="96" t="s">
        <v>556</v>
      </c>
      <c r="F31" s="96" t="s">
        <v>4139</v>
      </c>
      <c r="G31" s="96">
        <v>2</v>
      </c>
      <c r="H31" s="96" t="s">
        <v>52</v>
      </c>
      <c r="I31" s="96" t="s">
        <v>31</v>
      </c>
      <c r="J31" s="96" t="s">
        <v>557</v>
      </c>
      <c r="K31" s="96" t="s">
        <v>558</v>
      </c>
      <c r="L31" s="96" t="s">
        <v>31</v>
      </c>
      <c r="M31" s="96" t="s">
        <v>148</v>
      </c>
      <c r="N31" s="221">
        <v>152419</v>
      </c>
      <c r="O31" s="12"/>
      <c r="P31" s="15" t="s">
        <v>149</v>
      </c>
      <c r="Q31" s="96"/>
      <c r="R31" s="318" t="s">
        <v>559</v>
      </c>
      <c r="S31" s="96" t="s">
        <v>560</v>
      </c>
      <c r="T31" s="196" t="s">
        <v>561</v>
      </c>
      <c r="U31" s="97" t="s">
        <v>562</v>
      </c>
      <c r="V31" s="97">
        <v>27076</v>
      </c>
      <c r="W31" s="105" t="s">
        <v>563</v>
      </c>
      <c r="X31" s="105" t="s">
        <v>177</v>
      </c>
      <c r="Y31" s="105" t="s">
        <v>161</v>
      </c>
      <c r="Z31" s="105" t="s">
        <v>156</v>
      </c>
      <c r="AA31" s="96">
        <v>4</v>
      </c>
      <c r="AB31" s="97">
        <v>40987</v>
      </c>
      <c r="AC31" s="282">
        <v>40969</v>
      </c>
      <c r="AD31" s="97"/>
      <c r="AE31" s="97" t="s">
        <v>564</v>
      </c>
      <c r="AF31" s="97"/>
      <c r="AG31" s="97"/>
      <c r="AH31" s="96">
        <f t="shared" si="0"/>
        <v>1</v>
      </c>
      <c r="AI31" s="97" t="s">
        <v>159</v>
      </c>
      <c r="AJ31" s="97"/>
      <c r="AK31" s="97"/>
      <c r="AL31" s="97" t="s">
        <v>148</v>
      </c>
      <c r="AM31" s="97"/>
      <c r="AN31" s="97"/>
      <c r="AO31" s="97" t="s">
        <v>162</v>
      </c>
      <c r="AP31" s="97" t="s">
        <v>281</v>
      </c>
      <c r="AQ31" s="97" t="s">
        <v>311</v>
      </c>
      <c r="AR31" s="97" t="s">
        <v>148</v>
      </c>
      <c r="AS31" s="97"/>
      <c r="AT31" s="401" t="s">
        <v>326</v>
      </c>
      <c r="AU31" s="96" t="s">
        <v>565</v>
      </c>
      <c r="AV31" s="97"/>
      <c r="AW31" s="99">
        <v>40969</v>
      </c>
      <c r="AX31" s="99">
        <v>41214</v>
      </c>
      <c r="AY31" s="99" t="s">
        <v>148</v>
      </c>
      <c r="AZ31" s="99"/>
      <c r="BA31" s="99"/>
      <c r="BB31" s="99"/>
      <c r="BC31" s="99"/>
      <c r="BD31" s="99"/>
      <c r="BE31" s="100"/>
      <c r="BF31" s="99">
        <v>41852</v>
      </c>
      <c r="BG31" s="99" t="s">
        <v>148</v>
      </c>
      <c r="BH31" s="99">
        <v>42064</v>
      </c>
      <c r="BI31" s="99" t="s">
        <v>148</v>
      </c>
      <c r="BJ31" s="97"/>
      <c r="BK31" s="97"/>
      <c r="BL31" s="97"/>
      <c r="BM31" s="101">
        <v>41729</v>
      </c>
      <c r="BN31" s="96" t="s">
        <v>16</v>
      </c>
      <c r="BO31" s="220">
        <f t="shared" si="4"/>
        <v>25</v>
      </c>
      <c r="BP31" s="96">
        <f t="shared" si="3"/>
        <v>17</v>
      </c>
      <c r="BQ31" s="96"/>
      <c r="BR31" s="96">
        <v>6</v>
      </c>
      <c r="BS31" s="96">
        <v>6</v>
      </c>
      <c r="BT31" s="96">
        <v>93</v>
      </c>
      <c r="BU31" s="96">
        <v>8</v>
      </c>
      <c r="BV31" s="96">
        <v>4</v>
      </c>
      <c r="BW31" s="96">
        <v>18</v>
      </c>
      <c r="BX31" s="96">
        <v>4</v>
      </c>
      <c r="BY31" s="96" t="s">
        <v>161</v>
      </c>
      <c r="BZ31" s="96">
        <v>0</v>
      </c>
      <c r="CA31" s="96"/>
      <c r="CB31" s="103"/>
      <c r="CC31" s="103"/>
      <c r="CD31" s="96"/>
      <c r="CE31" s="96" t="s">
        <v>161</v>
      </c>
      <c r="CF31" s="96"/>
      <c r="CG31" s="96"/>
      <c r="CH31" s="371" t="s">
        <v>166</v>
      </c>
      <c r="CI31" s="96">
        <v>2</v>
      </c>
      <c r="CJ31" s="96"/>
      <c r="CK31" s="96" t="s">
        <v>566</v>
      </c>
    </row>
    <row r="32" spans="1:90" ht="25" customHeight="1" x14ac:dyDescent="0.35">
      <c r="A32" s="96">
        <v>33</v>
      </c>
      <c r="B32" s="96" t="s">
        <v>567</v>
      </c>
      <c r="C32" s="96" t="s">
        <v>568</v>
      </c>
      <c r="D32" s="96"/>
      <c r="E32" s="96" t="s">
        <v>569</v>
      </c>
      <c r="F32" s="96" t="s">
        <v>4139</v>
      </c>
      <c r="G32" s="96">
        <v>2</v>
      </c>
      <c r="H32" s="96" t="s">
        <v>58</v>
      </c>
      <c r="I32" s="96" t="s">
        <v>35</v>
      </c>
      <c r="J32" s="96" t="s">
        <v>475</v>
      </c>
      <c r="K32" s="96"/>
      <c r="L32" s="96" t="s">
        <v>35</v>
      </c>
      <c r="M32" s="96" t="s">
        <v>148</v>
      </c>
      <c r="N32" s="96"/>
      <c r="O32" s="104"/>
      <c r="P32" s="219" t="s">
        <v>166</v>
      </c>
      <c r="Q32" s="96"/>
      <c r="R32" s="96" t="s">
        <v>570</v>
      </c>
      <c r="S32" s="105" t="s">
        <v>571</v>
      </c>
      <c r="T32" s="196" t="s">
        <v>572</v>
      </c>
      <c r="U32" s="97" t="s">
        <v>573</v>
      </c>
      <c r="V32" s="97">
        <v>29825</v>
      </c>
      <c r="W32" s="105" t="s">
        <v>574</v>
      </c>
      <c r="X32" s="105" t="s">
        <v>154</v>
      </c>
      <c r="Y32" s="105" t="s">
        <v>155</v>
      </c>
      <c r="Z32" s="105" t="s">
        <v>156</v>
      </c>
      <c r="AA32" s="96">
        <v>18.5</v>
      </c>
      <c r="AB32" s="97">
        <v>40933</v>
      </c>
      <c r="AC32" s="282">
        <v>40969</v>
      </c>
      <c r="AD32" s="97"/>
      <c r="AE32" s="97" t="s">
        <v>575</v>
      </c>
      <c r="AF32" s="97" t="s">
        <v>576</v>
      </c>
      <c r="AG32" s="97"/>
      <c r="AH32" s="96">
        <f t="shared" ref="AH32:AH63" si="5">COUNTA(AE32:AG32)</f>
        <v>2</v>
      </c>
      <c r="AI32" s="97" t="s">
        <v>159</v>
      </c>
      <c r="AJ32" s="97" t="s">
        <v>200</v>
      </c>
      <c r="AK32" s="97"/>
      <c r="AL32" s="97" t="s">
        <v>148</v>
      </c>
      <c r="AM32" s="97" t="s">
        <v>161</v>
      </c>
      <c r="AN32" s="97"/>
      <c r="AO32" s="97" t="s">
        <v>162</v>
      </c>
      <c r="AP32" s="97" t="s">
        <v>577</v>
      </c>
      <c r="AQ32" s="97"/>
      <c r="AR32" s="97"/>
      <c r="AS32" s="97"/>
      <c r="AT32" s="401" t="s">
        <v>578</v>
      </c>
      <c r="AU32" s="96" t="s">
        <v>579</v>
      </c>
      <c r="AV32" s="97"/>
      <c r="AW32" s="99">
        <v>40969</v>
      </c>
      <c r="AX32" s="99">
        <v>41214</v>
      </c>
      <c r="AY32" s="99" t="s">
        <v>148</v>
      </c>
      <c r="AZ32" s="99"/>
      <c r="BA32" s="99"/>
      <c r="BB32" s="99"/>
      <c r="BC32" s="99"/>
      <c r="BD32" s="99"/>
      <c r="BE32" s="100"/>
      <c r="BF32" s="99">
        <v>41852</v>
      </c>
      <c r="BG32" s="99" t="s">
        <v>148</v>
      </c>
      <c r="BH32" s="99">
        <v>42064</v>
      </c>
      <c r="BI32" s="99" t="s">
        <v>148</v>
      </c>
      <c r="BJ32" s="97"/>
      <c r="BK32" s="97"/>
      <c r="BL32" s="97"/>
      <c r="BM32" s="101"/>
      <c r="BN32" s="106" t="s">
        <v>17</v>
      </c>
      <c r="BO32" s="220"/>
      <c r="BP32" s="96"/>
      <c r="BQ32" s="96"/>
      <c r="BR32" s="96">
        <v>1</v>
      </c>
      <c r="BS32" s="96">
        <v>9</v>
      </c>
      <c r="BT32" s="96">
        <v>0</v>
      </c>
      <c r="BU32" s="96">
        <v>1</v>
      </c>
      <c r="BV32" s="96">
        <v>0</v>
      </c>
      <c r="BW32" s="96">
        <v>0</v>
      </c>
      <c r="BX32" s="96">
        <v>0</v>
      </c>
      <c r="BY32" s="96" t="s">
        <v>161</v>
      </c>
      <c r="BZ32" s="96">
        <v>0</v>
      </c>
      <c r="CA32" s="96"/>
      <c r="CB32" s="103"/>
      <c r="CC32" s="103"/>
      <c r="CD32" s="96"/>
      <c r="CE32" s="96" t="s">
        <v>161</v>
      </c>
      <c r="CF32" s="96"/>
      <c r="CG32" s="96"/>
      <c r="CH32" s="371">
        <v>3</v>
      </c>
      <c r="CI32" s="96" t="s">
        <v>166</v>
      </c>
      <c r="CJ32" s="96"/>
      <c r="CK32" s="96" t="s">
        <v>510</v>
      </c>
    </row>
    <row r="33" spans="1:102" ht="25" customHeight="1" x14ac:dyDescent="0.35">
      <c r="A33" s="96">
        <v>34</v>
      </c>
      <c r="B33" s="96" t="s">
        <v>580</v>
      </c>
      <c r="C33" s="96" t="s">
        <v>581</v>
      </c>
      <c r="D33" s="96" t="s">
        <v>582</v>
      </c>
      <c r="E33" s="96" t="s">
        <v>583</v>
      </c>
      <c r="F33" s="96" t="s">
        <v>4139</v>
      </c>
      <c r="G33" s="96">
        <v>2</v>
      </c>
      <c r="H33" s="96" t="s">
        <v>51</v>
      </c>
      <c r="I33" s="96" t="s">
        <v>4136</v>
      </c>
      <c r="J33" s="96" t="s">
        <v>475</v>
      </c>
      <c r="K33" s="96" t="s">
        <v>541</v>
      </c>
      <c r="L33" s="96" t="s">
        <v>4136</v>
      </c>
      <c r="M33" s="96" t="s">
        <v>148</v>
      </c>
      <c r="N33" s="221"/>
      <c r="O33" s="12" t="s">
        <v>149</v>
      </c>
      <c r="P33" s="13" t="s">
        <v>149</v>
      </c>
      <c r="Q33" s="96" t="s">
        <v>149</v>
      </c>
      <c r="R33" s="96" t="s">
        <v>584</v>
      </c>
      <c r="S33" s="96" t="s">
        <v>585</v>
      </c>
      <c r="T33" s="199"/>
      <c r="U33" s="97" t="s">
        <v>586</v>
      </c>
      <c r="V33" s="97">
        <v>29122</v>
      </c>
      <c r="W33" s="105" t="s">
        <v>587</v>
      </c>
      <c r="X33" s="105" t="s">
        <v>154</v>
      </c>
      <c r="Y33" s="105" t="s">
        <v>155</v>
      </c>
      <c r="Z33" s="105" t="s">
        <v>156</v>
      </c>
      <c r="AA33" s="96">
        <v>5.5</v>
      </c>
      <c r="AB33" s="97">
        <v>40961</v>
      </c>
      <c r="AC33" s="282">
        <v>40969</v>
      </c>
      <c r="AD33" s="97"/>
      <c r="AE33" s="97" t="s">
        <v>588</v>
      </c>
      <c r="AF33" s="97" t="s">
        <v>589</v>
      </c>
      <c r="AG33" s="97" t="s">
        <v>590</v>
      </c>
      <c r="AH33" s="96">
        <f t="shared" si="5"/>
        <v>3</v>
      </c>
      <c r="AI33" s="97" t="s">
        <v>159</v>
      </c>
      <c r="AJ33" s="97" t="s">
        <v>200</v>
      </c>
      <c r="AK33" s="97"/>
      <c r="AL33" s="97" t="s">
        <v>148</v>
      </c>
      <c r="AM33" s="97" t="s">
        <v>161</v>
      </c>
      <c r="AN33" s="97"/>
      <c r="AO33" s="97"/>
      <c r="AP33" s="97" t="s">
        <v>591</v>
      </c>
      <c r="AQ33" s="97" t="s">
        <v>592</v>
      </c>
      <c r="AR33" s="97" t="s">
        <v>148</v>
      </c>
      <c r="AS33" s="97"/>
      <c r="AT33" s="401" t="s">
        <v>593</v>
      </c>
      <c r="AU33" s="96" t="s">
        <v>594</v>
      </c>
      <c r="AV33" s="97"/>
      <c r="AW33" s="99">
        <v>40969</v>
      </c>
      <c r="AX33" s="99">
        <v>41214</v>
      </c>
      <c r="AY33" s="99" t="s">
        <v>148</v>
      </c>
      <c r="AZ33" s="99"/>
      <c r="BA33" s="99"/>
      <c r="BB33" s="99"/>
      <c r="BC33" s="99"/>
      <c r="BD33" s="99"/>
      <c r="BE33" s="100" t="s">
        <v>595</v>
      </c>
      <c r="BF33" s="99">
        <v>41852</v>
      </c>
      <c r="BG33" s="99" t="s">
        <v>148</v>
      </c>
      <c r="BH33" s="99">
        <v>42064</v>
      </c>
      <c r="BI33" s="99" t="s">
        <v>148</v>
      </c>
      <c r="BJ33" s="97"/>
      <c r="BK33" s="97"/>
      <c r="BL33" s="97"/>
      <c r="BM33" s="101">
        <v>42185</v>
      </c>
      <c r="BN33" s="96" t="s">
        <v>16</v>
      </c>
      <c r="BO33" s="220">
        <f t="shared" ref="BO33:BO36" si="6">DATEDIF(AW33,BM33, "M")+1</f>
        <v>40</v>
      </c>
      <c r="BP33" s="96">
        <f t="shared" ref="BP33:BP38" si="7">DATEDIF(AX33,BM33, "M")+1</f>
        <v>32</v>
      </c>
      <c r="BQ33" s="105" t="s">
        <v>595</v>
      </c>
      <c r="BR33" s="96">
        <v>3</v>
      </c>
      <c r="BS33" s="96">
        <v>1</v>
      </c>
      <c r="BT33" s="96">
        <v>13</v>
      </c>
      <c r="BU33" s="96">
        <v>3</v>
      </c>
      <c r="BV33" s="96">
        <v>0</v>
      </c>
      <c r="BW33" s="96">
        <v>0</v>
      </c>
      <c r="BX33" s="96">
        <v>0</v>
      </c>
      <c r="BY33" s="96" t="s">
        <v>161</v>
      </c>
      <c r="BZ33" s="96">
        <v>0</v>
      </c>
      <c r="CA33" s="96"/>
      <c r="CB33" s="103"/>
      <c r="CC33" s="103"/>
      <c r="CD33" s="96"/>
      <c r="CE33" s="96" t="s">
        <v>161</v>
      </c>
      <c r="CF33" s="96"/>
      <c r="CG33" s="96"/>
      <c r="CH33" s="371">
        <v>1</v>
      </c>
      <c r="CI33" s="96">
        <v>2</v>
      </c>
      <c r="CJ33" s="96"/>
      <c r="CK33" s="96" t="s">
        <v>166</v>
      </c>
    </row>
    <row r="34" spans="1:102" ht="25" customHeight="1" x14ac:dyDescent="0.35">
      <c r="A34" s="96">
        <v>35</v>
      </c>
      <c r="B34" s="96" t="s">
        <v>596</v>
      </c>
      <c r="C34" s="96" t="s">
        <v>597</v>
      </c>
      <c r="D34" s="96" t="s">
        <v>598</v>
      </c>
      <c r="E34" s="96" t="s">
        <v>599</v>
      </c>
      <c r="F34" s="96" t="s">
        <v>4139</v>
      </c>
      <c r="G34" s="96">
        <v>2</v>
      </c>
      <c r="H34" s="96" t="s">
        <v>50</v>
      </c>
      <c r="I34" s="96" t="s">
        <v>38</v>
      </c>
      <c r="J34" s="96" t="s">
        <v>600</v>
      </c>
      <c r="K34" s="96" t="s">
        <v>601</v>
      </c>
      <c r="L34" s="96" t="s">
        <v>44</v>
      </c>
      <c r="M34" s="96" t="s">
        <v>161</v>
      </c>
      <c r="N34" s="221"/>
      <c r="O34" s="12" t="s">
        <v>149</v>
      </c>
      <c r="P34" s="13" t="s">
        <v>149</v>
      </c>
      <c r="Q34" s="96" t="s">
        <v>149</v>
      </c>
      <c r="R34" s="96" t="s">
        <v>602</v>
      </c>
      <c r="S34" s="107" t="s">
        <v>603</v>
      </c>
      <c r="T34" s="196" t="s">
        <v>604</v>
      </c>
      <c r="U34" s="222" t="s">
        <v>605</v>
      </c>
      <c r="V34" s="222">
        <v>29322</v>
      </c>
      <c r="W34" s="105" t="s">
        <v>606</v>
      </c>
      <c r="X34" s="105" t="s">
        <v>177</v>
      </c>
      <c r="Y34" s="105" t="s">
        <v>155</v>
      </c>
      <c r="Z34" s="105" t="s">
        <v>156</v>
      </c>
      <c r="AA34" s="96">
        <v>2</v>
      </c>
      <c r="AB34" s="97">
        <v>40987</v>
      </c>
      <c r="AC34" s="282">
        <v>40969</v>
      </c>
      <c r="AD34" s="97"/>
      <c r="AE34" s="97" t="s">
        <v>607</v>
      </c>
      <c r="AF34" s="97" t="s">
        <v>608</v>
      </c>
      <c r="AG34" s="97" t="s">
        <v>609</v>
      </c>
      <c r="AH34" s="96">
        <f t="shared" si="5"/>
        <v>3</v>
      </c>
      <c r="AI34" s="97" t="s">
        <v>159</v>
      </c>
      <c r="AJ34" s="97" t="s">
        <v>159</v>
      </c>
      <c r="AK34" s="97" t="s">
        <v>200</v>
      </c>
      <c r="AL34" s="97" t="s">
        <v>148</v>
      </c>
      <c r="AM34" s="97" t="s">
        <v>148</v>
      </c>
      <c r="AN34" s="97" t="s">
        <v>161</v>
      </c>
      <c r="AO34" s="97" t="s">
        <v>180</v>
      </c>
      <c r="AP34" s="97" t="s">
        <v>610</v>
      </c>
      <c r="AQ34" s="295" t="s">
        <v>611</v>
      </c>
      <c r="AR34" s="97" t="s">
        <v>148</v>
      </c>
      <c r="AS34" s="97"/>
      <c r="AT34" s="402" t="s">
        <v>612</v>
      </c>
      <c r="AU34" s="96" t="s">
        <v>613</v>
      </c>
      <c r="AV34" s="97"/>
      <c r="AW34" s="99">
        <v>40973</v>
      </c>
      <c r="AX34" s="99">
        <v>41225</v>
      </c>
      <c r="AY34" s="99" t="s">
        <v>148</v>
      </c>
      <c r="AZ34" s="99">
        <v>41740</v>
      </c>
      <c r="BA34" s="99"/>
      <c r="BB34" s="99">
        <v>41880</v>
      </c>
      <c r="BC34" s="99"/>
      <c r="BD34" s="99"/>
      <c r="BE34" s="100"/>
      <c r="BF34" s="99">
        <v>41852</v>
      </c>
      <c r="BG34" s="99" t="s">
        <v>148</v>
      </c>
      <c r="BH34" s="99">
        <v>42064</v>
      </c>
      <c r="BI34" s="99" t="s">
        <v>148</v>
      </c>
      <c r="BJ34" s="97">
        <v>42859</v>
      </c>
      <c r="BK34" s="97">
        <v>42859</v>
      </c>
      <c r="BL34" s="97">
        <v>43047</v>
      </c>
      <c r="BM34" s="101">
        <v>43438</v>
      </c>
      <c r="BN34" s="96" t="s">
        <v>16</v>
      </c>
      <c r="BO34" s="220">
        <f t="shared" si="6"/>
        <v>81</v>
      </c>
      <c r="BP34" s="96">
        <f t="shared" si="7"/>
        <v>73</v>
      </c>
      <c r="BQ34" s="105" t="s">
        <v>614</v>
      </c>
      <c r="BR34" s="96">
        <v>6</v>
      </c>
      <c r="BS34" s="96">
        <v>20</v>
      </c>
      <c r="BT34" s="96">
        <v>7</v>
      </c>
      <c r="BU34" s="96">
        <v>1</v>
      </c>
      <c r="BV34" s="96">
        <v>2</v>
      </c>
      <c r="BW34" s="96">
        <v>0</v>
      </c>
      <c r="BX34" s="96">
        <v>0</v>
      </c>
      <c r="BY34" s="96" t="s">
        <v>161</v>
      </c>
      <c r="BZ34" s="96">
        <v>0</v>
      </c>
      <c r="CA34" s="96"/>
      <c r="CB34" s="103"/>
      <c r="CC34" s="103"/>
      <c r="CD34" s="96"/>
      <c r="CE34" s="96" t="s">
        <v>161</v>
      </c>
      <c r="CF34" s="96"/>
      <c r="CG34" s="96"/>
      <c r="CH34" s="371">
        <v>1</v>
      </c>
      <c r="CI34" s="96">
        <v>3</v>
      </c>
      <c r="CJ34" s="96"/>
      <c r="CK34" s="96" t="s">
        <v>510</v>
      </c>
    </row>
    <row r="35" spans="1:102" ht="25" customHeight="1" x14ac:dyDescent="0.35">
      <c r="A35" s="96">
        <v>36</v>
      </c>
      <c r="B35" s="96" t="s">
        <v>615</v>
      </c>
      <c r="C35" s="96" t="s">
        <v>616</v>
      </c>
      <c r="D35" s="96" t="s">
        <v>617</v>
      </c>
      <c r="E35" s="96" t="s">
        <v>618</v>
      </c>
      <c r="F35" s="96" t="s">
        <v>4139</v>
      </c>
      <c r="G35" s="96">
        <v>2</v>
      </c>
      <c r="H35" s="96" t="s">
        <v>50</v>
      </c>
      <c r="I35" s="96" t="s">
        <v>42</v>
      </c>
      <c r="J35" s="96" t="s">
        <v>619</v>
      </c>
      <c r="K35" s="96" t="s">
        <v>620</v>
      </c>
      <c r="L35" s="96" t="s">
        <v>42</v>
      </c>
      <c r="M35" s="96" t="s">
        <v>148</v>
      </c>
      <c r="N35" s="221"/>
      <c r="O35" s="12"/>
      <c r="P35" s="13" t="s">
        <v>166</v>
      </c>
      <c r="Q35" s="96"/>
      <c r="R35" s="96" t="s">
        <v>621</v>
      </c>
      <c r="S35" s="96"/>
      <c r="T35" s="196" t="s">
        <v>622</v>
      </c>
      <c r="U35" s="97" t="s">
        <v>166</v>
      </c>
      <c r="V35" s="97">
        <v>26369</v>
      </c>
      <c r="W35" s="105" t="s">
        <v>623</v>
      </c>
      <c r="X35" s="105" t="s">
        <v>177</v>
      </c>
      <c r="Y35" s="105" t="s">
        <v>161</v>
      </c>
      <c r="Z35" s="105" t="s">
        <v>156</v>
      </c>
      <c r="AA35" s="96">
        <v>15</v>
      </c>
      <c r="AB35" s="97">
        <v>40959</v>
      </c>
      <c r="AC35" s="282">
        <v>40969</v>
      </c>
      <c r="AD35" s="97"/>
      <c r="AE35" s="97" t="s">
        <v>533</v>
      </c>
      <c r="AF35" s="97" t="s">
        <v>624</v>
      </c>
      <c r="AG35" s="97"/>
      <c r="AH35" s="96">
        <f t="shared" si="5"/>
        <v>2</v>
      </c>
      <c r="AI35" s="97" t="s">
        <v>159</v>
      </c>
      <c r="AJ35" s="97" t="s">
        <v>159</v>
      </c>
      <c r="AK35" s="97"/>
      <c r="AL35" s="97" t="s">
        <v>148</v>
      </c>
      <c r="AM35" s="97" t="s">
        <v>161</v>
      </c>
      <c r="AN35" s="97"/>
      <c r="AO35" s="97" t="s">
        <v>162</v>
      </c>
      <c r="AP35" s="97"/>
      <c r="AQ35" s="97"/>
      <c r="AR35" s="97"/>
      <c r="AS35" s="97"/>
      <c r="AT35" s="401" t="s">
        <v>166</v>
      </c>
      <c r="AU35" s="96" t="s">
        <v>625</v>
      </c>
      <c r="AV35" s="97"/>
      <c r="AW35" s="99">
        <v>40969</v>
      </c>
      <c r="AX35" s="99">
        <v>41214</v>
      </c>
      <c r="AY35" s="99" t="s">
        <v>148</v>
      </c>
      <c r="AZ35" s="99"/>
      <c r="BA35" s="99"/>
      <c r="BB35" s="99"/>
      <c r="BC35" s="99"/>
      <c r="BD35" s="99"/>
      <c r="BE35" s="100"/>
      <c r="BF35" s="99">
        <v>41852</v>
      </c>
      <c r="BG35" s="99" t="s">
        <v>148</v>
      </c>
      <c r="BH35" s="99">
        <v>42064</v>
      </c>
      <c r="BI35" s="99" t="s">
        <v>148</v>
      </c>
      <c r="BJ35" s="97"/>
      <c r="BK35" s="97"/>
      <c r="BL35" s="97"/>
      <c r="BM35" s="101">
        <v>42735</v>
      </c>
      <c r="BN35" s="96" t="s">
        <v>16</v>
      </c>
      <c r="BO35" s="220">
        <f t="shared" si="6"/>
        <v>58</v>
      </c>
      <c r="BP35" s="96">
        <f t="shared" si="7"/>
        <v>50</v>
      </c>
      <c r="BQ35" s="96"/>
      <c r="BR35" s="96">
        <v>1</v>
      </c>
      <c r="BS35" s="96">
        <v>6</v>
      </c>
      <c r="BT35" s="96">
        <v>6</v>
      </c>
      <c r="BU35" s="96">
        <v>0</v>
      </c>
      <c r="BV35" s="96">
        <v>0</v>
      </c>
      <c r="BW35" s="96">
        <v>0</v>
      </c>
      <c r="BX35" s="96">
        <v>0</v>
      </c>
      <c r="BY35" s="96" t="s">
        <v>161</v>
      </c>
      <c r="BZ35" s="96">
        <v>0</v>
      </c>
      <c r="CA35" s="96"/>
      <c r="CB35" s="103"/>
      <c r="CC35" s="103"/>
      <c r="CD35" s="96"/>
      <c r="CE35" s="96" t="s">
        <v>161</v>
      </c>
      <c r="CF35" s="96"/>
      <c r="CG35" s="96"/>
      <c r="CH35" s="371" t="s">
        <v>166</v>
      </c>
      <c r="CI35" s="96" t="s">
        <v>166</v>
      </c>
      <c r="CJ35" s="96"/>
      <c r="CK35" s="96" t="s">
        <v>536</v>
      </c>
    </row>
    <row r="36" spans="1:102" ht="25" customHeight="1" x14ac:dyDescent="0.35">
      <c r="A36" s="96">
        <v>37</v>
      </c>
      <c r="B36" s="96" t="s">
        <v>626</v>
      </c>
      <c r="C36" s="96" t="s">
        <v>627</v>
      </c>
      <c r="D36" s="96" t="s">
        <v>628</v>
      </c>
      <c r="E36" s="96" t="s">
        <v>629</v>
      </c>
      <c r="F36" s="96" t="s">
        <v>4140</v>
      </c>
      <c r="G36" s="96">
        <v>2</v>
      </c>
      <c r="H36" s="96" t="s">
        <v>52</v>
      </c>
      <c r="I36" s="96" t="s">
        <v>39</v>
      </c>
      <c r="J36" s="96" t="s">
        <v>360</v>
      </c>
      <c r="K36" s="96" t="s">
        <v>437</v>
      </c>
      <c r="L36" s="96" t="s">
        <v>39</v>
      </c>
      <c r="M36" s="96" t="s">
        <v>148</v>
      </c>
      <c r="N36" s="221"/>
      <c r="O36" s="12" t="s">
        <v>149</v>
      </c>
      <c r="P36" s="15" t="s">
        <v>149</v>
      </c>
      <c r="Q36" s="96" t="s">
        <v>149</v>
      </c>
      <c r="R36" s="318" t="s">
        <v>630</v>
      </c>
      <c r="S36" s="318" t="s">
        <v>631</v>
      </c>
      <c r="T36" s="196" t="s">
        <v>632</v>
      </c>
      <c r="U36" s="97" t="s">
        <v>428</v>
      </c>
      <c r="V36" s="97">
        <v>29380</v>
      </c>
      <c r="W36" s="105" t="s">
        <v>633</v>
      </c>
      <c r="X36" s="105" t="s">
        <v>177</v>
      </c>
      <c r="Y36" s="105" t="s">
        <v>161</v>
      </c>
      <c r="Z36" s="105" t="s">
        <v>156</v>
      </c>
      <c r="AA36" s="96">
        <v>11</v>
      </c>
      <c r="AB36" s="97">
        <v>40961</v>
      </c>
      <c r="AC36" s="282">
        <v>40969</v>
      </c>
      <c r="AD36" s="97"/>
      <c r="AE36" s="96" t="s">
        <v>634</v>
      </c>
      <c r="AF36" s="96" t="s">
        <v>635</v>
      </c>
      <c r="AG36" s="97"/>
      <c r="AH36" s="96">
        <f t="shared" si="5"/>
        <v>2</v>
      </c>
      <c r="AI36" s="97" t="s">
        <v>159</v>
      </c>
      <c r="AJ36" s="97"/>
      <c r="AK36" s="97"/>
      <c r="AL36" s="97" t="s">
        <v>148</v>
      </c>
      <c r="AM36" s="97"/>
      <c r="AN36" s="97"/>
      <c r="AO36" s="97" t="s">
        <v>162</v>
      </c>
      <c r="AP36" s="97" t="s">
        <v>443</v>
      </c>
      <c r="AQ36" s="97" t="s">
        <v>248</v>
      </c>
      <c r="AR36" s="97" t="s">
        <v>148</v>
      </c>
      <c r="AS36" s="97"/>
      <c r="AT36" s="401" t="s">
        <v>283</v>
      </c>
      <c r="AU36" s="96" t="s">
        <v>636</v>
      </c>
      <c r="AV36" s="97"/>
      <c r="AW36" s="99">
        <v>40969</v>
      </c>
      <c r="AX36" s="99">
        <v>41214</v>
      </c>
      <c r="AY36" s="99" t="s">
        <v>148</v>
      </c>
      <c r="AZ36" s="99"/>
      <c r="BA36" s="99"/>
      <c r="BB36" s="99"/>
      <c r="BC36" s="99"/>
      <c r="BD36" s="99"/>
      <c r="BE36" s="100"/>
      <c r="BF36" s="99">
        <v>41852</v>
      </c>
      <c r="BG36" s="99" t="s">
        <v>148</v>
      </c>
      <c r="BH36" s="99">
        <v>42064</v>
      </c>
      <c r="BI36" s="99" t="s">
        <v>148</v>
      </c>
      <c r="BJ36" s="97"/>
      <c r="BK36" s="97"/>
      <c r="BL36" s="97"/>
      <c r="BM36" s="101">
        <v>41729</v>
      </c>
      <c r="BN36" s="96" t="s">
        <v>16</v>
      </c>
      <c r="BO36" s="220">
        <f t="shared" si="6"/>
        <v>25</v>
      </c>
      <c r="BP36" s="96">
        <f t="shared" si="7"/>
        <v>17</v>
      </c>
      <c r="BQ36" s="96"/>
      <c r="BR36" s="96">
        <v>1</v>
      </c>
      <c r="BS36" s="96">
        <v>0</v>
      </c>
      <c r="BT36" s="96">
        <v>12</v>
      </c>
      <c r="BU36" s="96">
        <v>1</v>
      </c>
      <c r="BV36" s="96">
        <v>0</v>
      </c>
      <c r="BW36" s="96">
        <v>1</v>
      </c>
      <c r="BX36" s="96">
        <v>0</v>
      </c>
      <c r="BY36" s="96" t="s">
        <v>637</v>
      </c>
      <c r="BZ36" s="96">
        <v>0</v>
      </c>
      <c r="CA36" s="96"/>
      <c r="CB36" s="103"/>
      <c r="CC36" s="103"/>
      <c r="CD36" s="96"/>
      <c r="CE36" s="96" t="s">
        <v>161</v>
      </c>
      <c r="CF36" s="96"/>
      <c r="CG36" s="96"/>
      <c r="CH36" s="371">
        <v>2</v>
      </c>
      <c r="CI36" s="96">
        <v>3</v>
      </c>
      <c r="CJ36" s="96"/>
      <c r="CK36" s="96" t="s">
        <v>536</v>
      </c>
    </row>
    <row r="37" spans="1:102" ht="25" customHeight="1" x14ac:dyDescent="0.35">
      <c r="A37" s="85">
        <v>38</v>
      </c>
      <c r="B37" s="85" t="s">
        <v>638</v>
      </c>
      <c r="C37" s="85" t="s">
        <v>639</v>
      </c>
      <c r="D37" s="85" t="s">
        <v>640</v>
      </c>
      <c r="E37" s="85" t="s">
        <v>641</v>
      </c>
      <c r="F37" s="85" t="s">
        <v>4140</v>
      </c>
      <c r="G37" s="85">
        <v>2</v>
      </c>
      <c r="H37" s="85" t="s">
        <v>52</v>
      </c>
      <c r="I37" s="85" t="s">
        <v>31</v>
      </c>
      <c r="J37" s="85" t="s">
        <v>222</v>
      </c>
      <c r="K37" s="85"/>
      <c r="L37" s="85" t="s">
        <v>31</v>
      </c>
      <c r="M37" s="85" t="s">
        <v>148</v>
      </c>
      <c r="N37" s="85"/>
      <c r="O37" s="290"/>
      <c r="P37" s="85" t="s">
        <v>149</v>
      </c>
      <c r="Q37" s="85" t="s">
        <v>149</v>
      </c>
      <c r="R37" s="85" t="s">
        <v>642</v>
      </c>
      <c r="S37" s="291" t="s">
        <v>643</v>
      </c>
      <c r="T37" s="340" t="s">
        <v>644</v>
      </c>
      <c r="U37" s="86" t="s">
        <v>645</v>
      </c>
      <c r="V37" s="86">
        <v>26284</v>
      </c>
      <c r="W37" s="215" t="s">
        <v>646</v>
      </c>
      <c r="X37" s="215" t="s">
        <v>177</v>
      </c>
      <c r="Y37" s="215" t="s">
        <v>161</v>
      </c>
      <c r="Z37" s="215" t="s">
        <v>156</v>
      </c>
      <c r="AA37" s="85">
        <v>17</v>
      </c>
      <c r="AB37" s="86">
        <v>40920</v>
      </c>
      <c r="AC37" s="280">
        <v>40969</v>
      </c>
      <c r="AD37" s="86"/>
      <c r="AE37" s="86" t="s">
        <v>647</v>
      </c>
      <c r="AF37" s="86"/>
      <c r="AG37" s="86"/>
      <c r="AH37" s="85">
        <f t="shared" si="5"/>
        <v>1</v>
      </c>
      <c r="AI37" s="86" t="s">
        <v>159</v>
      </c>
      <c r="AJ37" s="86"/>
      <c r="AK37" s="86"/>
      <c r="AL37" s="86" t="s">
        <v>148</v>
      </c>
      <c r="AM37" s="86"/>
      <c r="AN37" s="86"/>
      <c r="AO37" s="86" t="s">
        <v>162</v>
      </c>
      <c r="AP37" s="86"/>
      <c r="AQ37" s="86" t="s">
        <v>201</v>
      </c>
      <c r="AR37" s="86"/>
      <c r="AS37" s="86"/>
      <c r="AT37" s="403" t="s">
        <v>31</v>
      </c>
      <c r="AU37" s="85" t="s">
        <v>648</v>
      </c>
      <c r="AV37" s="86"/>
      <c r="AW37" s="87">
        <v>40969</v>
      </c>
      <c r="AX37" s="87">
        <v>41214</v>
      </c>
      <c r="AY37" s="87" t="s">
        <v>148</v>
      </c>
      <c r="AZ37" s="87"/>
      <c r="BA37" s="87"/>
      <c r="BB37" s="87"/>
      <c r="BC37" s="87"/>
      <c r="BD37" s="87"/>
      <c r="BE37" s="88"/>
      <c r="BF37" s="87">
        <v>41852</v>
      </c>
      <c r="BG37" s="87" t="s">
        <v>148</v>
      </c>
      <c r="BH37" s="87">
        <v>42064</v>
      </c>
      <c r="BI37" s="87" t="s">
        <v>148</v>
      </c>
      <c r="BJ37" s="86"/>
      <c r="BK37" s="86"/>
      <c r="BL37" s="86"/>
      <c r="BM37" s="89">
        <v>43787</v>
      </c>
      <c r="BN37" s="85" t="s">
        <v>16</v>
      </c>
      <c r="BO37" s="216">
        <f>DATEDIF(AW37,BM37, "M")+1</f>
        <v>93</v>
      </c>
      <c r="BP37" s="85">
        <f t="shared" si="7"/>
        <v>85</v>
      </c>
      <c r="BQ37" s="85"/>
      <c r="BR37" s="85">
        <v>4</v>
      </c>
      <c r="BS37" s="85">
        <v>0</v>
      </c>
      <c r="BT37" s="85">
        <v>0</v>
      </c>
      <c r="BU37" s="85">
        <v>0</v>
      </c>
      <c r="BV37" s="85">
        <v>0</v>
      </c>
      <c r="BW37" s="85">
        <v>0</v>
      </c>
      <c r="BX37" s="85">
        <v>0</v>
      </c>
      <c r="BY37" s="85" t="s">
        <v>161</v>
      </c>
      <c r="BZ37" s="85">
        <v>0</v>
      </c>
      <c r="CA37" s="85"/>
      <c r="CB37" s="90"/>
      <c r="CC37" s="90"/>
      <c r="CD37" s="85"/>
      <c r="CE37" s="85" t="s">
        <v>161</v>
      </c>
      <c r="CF37" s="85"/>
      <c r="CG37" s="85"/>
      <c r="CH37" s="370">
        <v>3</v>
      </c>
      <c r="CI37" s="85">
        <v>3</v>
      </c>
      <c r="CJ37" s="85"/>
      <c r="CK37" s="85" t="s">
        <v>166</v>
      </c>
      <c r="CL37" s="292" t="s">
        <v>649</v>
      </c>
    </row>
    <row r="38" spans="1:102" ht="25" customHeight="1" x14ac:dyDescent="0.35">
      <c r="A38" s="96">
        <v>39</v>
      </c>
      <c r="B38" s="96" t="s">
        <v>650</v>
      </c>
      <c r="C38" s="96" t="s">
        <v>386</v>
      </c>
      <c r="D38" s="96" t="s">
        <v>651</v>
      </c>
      <c r="E38" s="96" t="s">
        <v>652</v>
      </c>
      <c r="F38" s="96" t="s">
        <v>4139</v>
      </c>
      <c r="G38" s="96">
        <v>2</v>
      </c>
      <c r="H38" s="96" t="s">
        <v>51</v>
      </c>
      <c r="I38" s="96" t="s">
        <v>4136</v>
      </c>
      <c r="J38" s="96" t="s">
        <v>653</v>
      </c>
      <c r="K38" s="96" t="s">
        <v>654</v>
      </c>
      <c r="L38" s="96" t="s">
        <v>4136</v>
      </c>
      <c r="M38" s="96" t="s">
        <v>148</v>
      </c>
      <c r="N38" s="221"/>
      <c r="O38" s="12"/>
      <c r="P38" s="16" t="s">
        <v>238</v>
      </c>
      <c r="Q38" s="96" t="s">
        <v>149</v>
      </c>
      <c r="R38" s="96" t="s">
        <v>655</v>
      </c>
      <c r="S38" s="105" t="s">
        <v>656</v>
      </c>
      <c r="T38" s="196" t="s">
        <v>657</v>
      </c>
      <c r="U38" s="97" t="s">
        <v>658</v>
      </c>
      <c r="V38" s="97">
        <v>27826</v>
      </c>
      <c r="W38" s="105" t="s">
        <v>659</v>
      </c>
      <c r="X38" s="105" t="s">
        <v>154</v>
      </c>
      <c r="Y38" s="105" t="s">
        <v>155</v>
      </c>
      <c r="Z38" s="105" t="s">
        <v>156</v>
      </c>
      <c r="AA38" s="96">
        <v>8</v>
      </c>
      <c r="AB38" s="97">
        <v>41186</v>
      </c>
      <c r="AC38" s="282">
        <v>40969</v>
      </c>
      <c r="AD38" s="97"/>
      <c r="AE38" s="97" t="s">
        <v>660</v>
      </c>
      <c r="AF38" s="97" t="s">
        <v>661</v>
      </c>
      <c r="AG38" s="97" t="s">
        <v>662</v>
      </c>
      <c r="AH38" s="96">
        <f t="shared" si="5"/>
        <v>3</v>
      </c>
      <c r="AI38" s="97" t="s">
        <v>280</v>
      </c>
      <c r="AJ38" s="97" t="s">
        <v>280</v>
      </c>
      <c r="AK38" s="97" t="s">
        <v>280</v>
      </c>
      <c r="AL38" s="97" t="s">
        <v>161</v>
      </c>
      <c r="AM38" s="97" t="s">
        <v>161</v>
      </c>
      <c r="AN38" s="97" t="s">
        <v>161</v>
      </c>
      <c r="AO38" s="97" t="s">
        <v>162</v>
      </c>
      <c r="AP38" s="97" t="s">
        <v>201</v>
      </c>
      <c r="AQ38" s="97" t="s">
        <v>201</v>
      </c>
      <c r="AR38" s="97" t="s">
        <v>161</v>
      </c>
      <c r="AS38" s="97" t="s">
        <v>663</v>
      </c>
      <c r="AT38" s="401" t="s">
        <v>296</v>
      </c>
      <c r="AU38" s="96" t="s">
        <v>664</v>
      </c>
      <c r="AV38" s="97"/>
      <c r="AW38" s="99">
        <v>40969</v>
      </c>
      <c r="AX38" s="99">
        <v>41214</v>
      </c>
      <c r="AY38" s="99" t="s">
        <v>148</v>
      </c>
      <c r="AZ38" s="99"/>
      <c r="BA38" s="99"/>
      <c r="BB38" s="99"/>
      <c r="BC38" s="99"/>
      <c r="BD38" s="99"/>
      <c r="BE38" s="100"/>
      <c r="BF38" s="99">
        <v>41852</v>
      </c>
      <c r="BG38" s="99" t="s">
        <v>148</v>
      </c>
      <c r="BH38" s="99">
        <v>42064</v>
      </c>
      <c r="BI38" s="99" t="s">
        <v>148</v>
      </c>
      <c r="BJ38" s="97"/>
      <c r="BK38" s="97"/>
      <c r="BL38" s="97"/>
      <c r="BM38" s="101">
        <v>42064</v>
      </c>
      <c r="BN38" s="96" t="s">
        <v>16</v>
      </c>
      <c r="BO38" s="220">
        <f>DATEDIF(AW38,BM38, "M")+1</f>
        <v>37</v>
      </c>
      <c r="BP38" s="96">
        <f t="shared" si="7"/>
        <v>29</v>
      </c>
      <c r="BQ38" s="96"/>
      <c r="BR38" s="96">
        <v>0</v>
      </c>
      <c r="BS38" s="96">
        <v>2</v>
      </c>
      <c r="BT38" s="96">
        <v>6</v>
      </c>
      <c r="BU38" s="96">
        <v>1</v>
      </c>
      <c r="BV38" s="96">
        <v>0</v>
      </c>
      <c r="BW38" s="96">
        <v>1</v>
      </c>
      <c r="BX38" s="96">
        <v>0</v>
      </c>
      <c r="BY38" s="96" t="s">
        <v>161</v>
      </c>
      <c r="BZ38" s="96">
        <v>0</v>
      </c>
      <c r="CA38" s="96"/>
      <c r="CB38" s="103"/>
      <c r="CC38" s="103"/>
      <c r="CD38" s="96"/>
      <c r="CE38" s="96" t="s">
        <v>161</v>
      </c>
      <c r="CF38" s="96"/>
      <c r="CG38" s="96"/>
      <c r="CH38" s="371">
        <v>5</v>
      </c>
      <c r="CI38" s="96">
        <v>6</v>
      </c>
      <c r="CJ38" s="96"/>
      <c r="CK38" s="96" t="s">
        <v>166</v>
      </c>
    </row>
    <row r="39" spans="1:102" s="114" customFormat="1" ht="25" customHeight="1" x14ac:dyDescent="0.35">
      <c r="A39" s="91">
        <v>40</v>
      </c>
      <c r="B39" s="91" t="s">
        <v>665</v>
      </c>
      <c r="C39" s="91" t="s">
        <v>666</v>
      </c>
      <c r="D39" s="91" t="s">
        <v>667</v>
      </c>
      <c r="E39" s="91" t="s">
        <v>668</v>
      </c>
      <c r="F39" s="91" t="s">
        <v>4140</v>
      </c>
      <c r="G39" s="91">
        <v>2</v>
      </c>
      <c r="H39" s="91" t="s">
        <v>56</v>
      </c>
      <c r="I39" s="91" t="s">
        <v>44</v>
      </c>
      <c r="J39" s="91" t="s">
        <v>669</v>
      </c>
      <c r="K39" s="91" t="s">
        <v>670</v>
      </c>
      <c r="L39" s="91" t="s">
        <v>44</v>
      </c>
      <c r="M39" s="91" t="s">
        <v>148</v>
      </c>
      <c r="N39" s="91"/>
      <c r="O39" s="249"/>
      <c r="P39" s="250" t="s">
        <v>166</v>
      </c>
      <c r="Q39" s="91"/>
      <c r="R39" s="91" t="s">
        <v>671</v>
      </c>
      <c r="S39" s="91" t="s">
        <v>672</v>
      </c>
      <c r="T39" s="341" t="s">
        <v>673</v>
      </c>
      <c r="U39" s="92" t="s">
        <v>674</v>
      </c>
      <c r="V39" s="92">
        <v>27470</v>
      </c>
      <c r="W39" s="164" t="s">
        <v>675</v>
      </c>
      <c r="X39" s="164" t="s">
        <v>177</v>
      </c>
      <c r="Y39" s="164" t="s">
        <v>161</v>
      </c>
      <c r="Z39" s="164" t="s">
        <v>156</v>
      </c>
      <c r="AA39" s="91">
        <v>15.5</v>
      </c>
      <c r="AB39" s="92">
        <v>40952</v>
      </c>
      <c r="AC39" s="281">
        <v>40969</v>
      </c>
      <c r="AD39" s="92">
        <v>45741</v>
      </c>
      <c r="AE39" s="92" t="s">
        <v>676</v>
      </c>
      <c r="AF39" s="92" t="s">
        <v>677</v>
      </c>
      <c r="AG39" s="92" t="s">
        <v>678</v>
      </c>
      <c r="AH39" s="91">
        <f t="shared" si="5"/>
        <v>3</v>
      </c>
      <c r="AI39" s="92" t="s">
        <v>280</v>
      </c>
      <c r="AJ39" s="92" t="s">
        <v>159</v>
      </c>
      <c r="AK39" s="92" t="s">
        <v>679</v>
      </c>
      <c r="AL39" s="92" t="s">
        <v>148</v>
      </c>
      <c r="AM39" s="92" t="s">
        <v>148</v>
      </c>
      <c r="AN39" s="92" t="s">
        <v>148</v>
      </c>
      <c r="AO39" s="92" t="s">
        <v>162</v>
      </c>
      <c r="AP39" s="92" t="s">
        <v>201</v>
      </c>
      <c r="AQ39" s="92"/>
      <c r="AR39" s="92"/>
      <c r="AS39" s="92"/>
      <c r="AT39" s="400" t="s">
        <v>166</v>
      </c>
      <c r="AU39" s="91" t="s">
        <v>680</v>
      </c>
      <c r="AV39" s="92"/>
      <c r="AW39" s="93">
        <v>40969</v>
      </c>
      <c r="AX39" s="93">
        <v>41214</v>
      </c>
      <c r="AY39" s="93" t="s">
        <v>148</v>
      </c>
      <c r="AZ39" s="93"/>
      <c r="BA39" s="93"/>
      <c r="BB39" s="93"/>
      <c r="BC39" s="93"/>
      <c r="BD39" s="93"/>
      <c r="BE39" s="94"/>
      <c r="BF39" s="93">
        <v>41852</v>
      </c>
      <c r="BG39" s="93" t="s">
        <v>148</v>
      </c>
      <c r="BH39" s="93">
        <v>42064</v>
      </c>
      <c r="BI39" s="93" t="s">
        <v>148</v>
      </c>
      <c r="BJ39" s="92"/>
      <c r="BK39" s="92"/>
      <c r="BL39" s="92"/>
      <c r="BM39" s="109"/>
      <c r="BN39" s="151" t="s">
        <v>18</v>
      </c>
      <c r="BO39" s="265"/>
      <c r="BP39" s="91"/>
      <c r="BQ39" s="91"/>
      <c r="BR39" s="91">
        <v>1</v>
      </c>
      <c r="BS39" s="91">
        <v>0</v>
      </c>
      <c r="BT39" s="91">
        <v>0</v>
      </c>
      <c r="BU39" s="91">
        <v>0</v>
      </c>
      <c r="BV39" s="91">
        <v>0</v>
      </c>
      <c r="BW39" s="91">
        <v>0</v>
      </c>
      <c r="BX39" s="91">
        <v>0</v>
      </c>
      <c r="BY39" s="91" t="s">
        <v>161</v>
      </c>
      <c r="BZ39" s="91">
        <v>0</v>
      </c>
      <c r="CA39" s="91"/>
      <c r="CB39" s="95"/>
      <c r="CC39" s="95"/>
      <c r="CD39" s="91"/>
      <c r="CE39" s="91" t="s">
        <v>161</v>
      </c>
      <c r="CF39" s="91"/>
      <c r="CG39" s="91"/>
      <c r="CH39" s="113">
        <v>1</v>
      </c>
      <c r="CI39" s="91" t="s">
        <v>166</v>
      </c>
      <c r="CJ39" s="91"/>
      <c r="CK39" s="91" t="s">
        <v>166</v>
      </c>
      <c r="CS39" s="364"/>
      <c r="CT39" s="364"/>
      <c r="CU39" s="364"/>
      <c r="CW39" s="364"/>
      <c r="CX39" s="364"/>
    </row>
    <row r="40" spans="1:102" ht="25" customHeight="1" x14ac:dyDescent="0.35">
      <c r="A40" s="96">
        <v>41</v>
      </c>
      <c r="B40" s="96" t="s">
        <v>681</v>
      </c>
      <c r="C40" s="96" t="s">
        <v>682</v>
      </c>
      <c r="D40" s="96" t="s">
        <v>683</v>
      </c>
      <c r="E40" s="96" t="s">
        <v>684</v>
      </c>
      <c r="F40" s="96" t="s">
        <v>4140</v>
      </c>
      <c r="G40" s="96">
        <v>2</v>
      </c>
      <c r="H40" s="96" t="s">
        <v>58</v>
      </c>
      <c r="I40" s="96" t="s">
        <v>35</v>
      </c>
      <c r="J40" s="96" t="s">
        <v>475</v>
      </c>
      <c r="K40" s="96" t="s">
        <v>685</v>
      </c>
      <c r="L40" s="96" t="s">
        <v>35</v>
      </c>
      <c r="M40" s="96" t="s">
        <v>148</v>
      </c>
      <c r="N40" s="221"/>
      <c r="O40" s="12" t="s">
        <v>149</v>
      </c>
      <c r="P40" s="16" t="s">
        <v>149</v>
      </c>
      <c r="Q40" s="96" t="s">
        <v>149</v>
      </c>
      <c r="R40" s="318" t="s">
        <v>686</v>
      </c>
      <c r="S40" s="96" t="s">
        <v>687</v>
      </c>
      <c r="T40" s="196" t="s">
        <v>688</v>
      </c>
      <c r="U40" s="97" t="s">
        <v>689</v>
      </c>
      <c r="V40" s="97">
        <v>28657</v>
      </c>
      <c r="W40" s="105" t="s">
        <v>690</v>
      </c>
      <c r="X40" s="105" t="s">
        <v>177</v>
      </c>
      <c r="Y40" s="105" t="s">
        <v>161</v>
      </c>
      <c r="Z40" s="105" t="s">
        <v>156</v>
      </c>
      <c r="AA40" s="96">
        <v>29</v>
      </c>
      <c r="AB40" s="97">
        <v>40867</v>
      </c>
      <c r="AC40" s="282">
        <v>40969</v>
      </c>
      <c r="AD40" s="97"/>
      <c r="AE40" s="97" t="s">
        <v>691</v>
      </c>
      <c r="AF40" s="97" t="s">
        <v>692</v>
      </c>
      <c r="AG40" s="97" t="s">
        <v>693</v>
      </c>
      <c r="AH40" s="96">
        <f t="shared" si="5"/>
        <v>3</v>
      </c>
      <c r="AI40" s="97" t="s">
        <v>159</v>
      </c>
      <c r="AJ40" s="97" t="s">
        <v>159</v>
      </c>
      <c r="AK40" s="97" t="s">
        <v>679</v>
      </c>
      <c r="AL40" s="97" t="s">
        <v>148</v>
      </c>
      <c r="AM40" s="97" t="s">
        <v>161</v>
      </c>
      <c r="AN40" s="97" t="s">
        <v>161</v>
      </c>
      <c r="AO40" s="97" t="s">
        <v>162</v>
      </c>
      <c r="AP40" s="97" t="s">
        <v>201</v>
      </c>
      <c r="AQ40" s="97" t="s">
        <v>201</v>
      </c>
      <c r="AR40" s="97" t="s">
        <v>161</v>
      </c>
      <c r="AS40" s="97"/>
      <c r="AT40" s="401" t="s">
        <v>694</v>
      </c>
      <c r="AU40" s="96" t="s">
        <v>695</v>
      </c>
      <c r="AV40" s="97"/>
      <c r="AW40" s="99">
        <v>40969</v>
      </c>
      <c r="AX40" s="99">
        <v>41214</v>
      </c>
      <c r="AY40" s="99" t="s">
        <v>148</v>
      </c>
      <c r="AZ40" s="99"/>
      <c r="BA40" s="99"/>
      <c r="BB40" s="99"/>
      <c r="BC40" s="99"/>
      <c r="BD40" s="99"/>
      <c r="BE40" s="100"/>
      <c r="BF40" s="99">
        <v>41852</v>
      </c>
      <c r="BG40" s="99" t="s">
        <v>148</v>
      </c>
      <c r="BH40" s="99">
        <v>42064</v>
      </c>
      <c r="BI40" s="99" t="s">
        <v>148</v>
      </c>
      <c r="BJ40" s="97"/>
      <c r="BK40" s="97"/>
      <c r="BL40" s="97"/>
      <c r="BM40" s="101">
        <v>43108</v>
      </c>
      <c r="BN40" s="96" t="s">
        <v>16</v>
      </c>
      <c r="BO40" s="220">
        <f t="shared" ref="BO40:BO41" si="8">DATEDIF(AW40,BM40, "M")+1</f>
        <v>71</v>
      </c>
      <c r="BP40" s="96">
        <f t="shared" ref="BP40:BP41" si="9">DATEDIF(AX40,BM40, "M")+1</f>
        <v>63</v>
      </c>
      <c r="BQ40" s="96"/>
      <c r="BR40" s="96">
        <v>6</v>
      </c>
      <c r="BS40" s="96">
        <v>20</v>
      </c>
      <c r="BT40" s="96">
        <v>18</v>
      </c>
      <c r="BU40" s="96">
        <v>5</v>
      </c>
      <c r="BV40" s="96">
        <v>0</v>
      </c>
      <c r="BW40" s="96">
        <v>0</v>
      </c>
      <c r="BX40" s="96">
        <v>0</v>
      </c>
      <c r="BY40" s="96" t="s">
        <v>696</v>
      </c>
      <c r="BZ40" s="96">
        <v>0</v>
      </c>
      <c r="CA40" s="96"/>
      <c r="CB40" s="103"/>
      <c r="CC40" s="103"/>
      <c r="CD40" s="96"/>
      <c r="CE40" s="96" t="s">
        <v>161</v>
      </c>
      <c r="CF40" s="96"/>
      <c r="CG40" s="96"/>
      <c r="CH40" s="371">
        <v>3</v>
      </c>
      <c r="CI40" s="96">
        <v>3</v>
      </c>
      <c r="CJ40" s="96"/>
      <c r="CK40" s="96" t="s">
        <v>166</v>
      </c>
    </row>
    <row r="41" spans="1:102" ht="25" customHeight="1" x14ac:dyDescent="0.35">
      <c r="A41" s="96">
        <v>42</v>
      </c>
      <c r="B41" s="96" t="s">
        <v>697</v>
      </c>
      <c r="C41" s="96" t="s">
        <v>698</v>
      </c>
      <c r="D41" s="96"/>
      <c r="E41" s="96" t="s">
        <v>699</v>
      </c>
      <c r="F41" s="96" t="s">
        <v>4140</v>
      </c>
      <c r="G41" s="96">
        <v>2</v>
      </c>
      <c r="H41" s="96" t="s">
        <v>58</v>
      </c>
      <c r="I41" s="96" t="s">
        <v>35</v>
      </c>
      <c r="J41" s="96" t="s">
        <v>700</v>
      </c>
      <c r="K41" s="96"/>
      <c r="L41" s="96" t="s">
        <v>35</v>
      </c>
      <c r="M41" s="96" t="s">
        <v>148</v>
      </c>
      <c r="N41" s="221"/>
      <c r="O41" s="12"/>
      <c r="P41" s="16" t="s">
        <v>166</v>
      </c>
      <c r="Q41" s="96"/>
      <c r="R41" s="318" t="s">
        <v>701</v>
      </c>
      <c r="S41" s="96" t="s">
        <v>702</v>
      </c>
      <c r="T41" s="196" t="s">
        <v>703</v>
      </c>
      <c r="U41" s="97" t="s">
        <v>704</v>
      </c>
      <c r="V41" s="97">
        <v>26892</v>
      </c>
      <c r="W41" s="105" t="s">
        <v>705</v>
      </c>
      <c r="X41" s="105" t="s">
        <v>154</v>
      </c>
      <c r="Y41" s="105" t="s">
        <v>161</v>
      </c>
      <c r="Z41" s="105" t="s">
        <v>156</v>
      </c>
      <c r="AA41" s="96">
        <v>19</v>
      </c>
      <c r="AB41" s="97">
        <v>40931</v>
      </c>
      <c r="AC41" s="282">
        <v>40969</v>
      </c>
      <c r="AD41" s="97"/>
      <c r="AE41" s="97" t="s">
        <v>706</v>
      </c>
      <c r="AF41" s="97" t="s">
        <v>707</v>
      </c>
      <c r="AG41" s="97" t="s">
        <v>691</v>
      </c>
      <c r="AH41" s="96">
        <f t="shared" si="5"/>
        <v>3</v>
      </c>
      <c r="AI41" s="97" t="s">
        <v>159</v>
      </c>
      <c r="AJ41" s="97" t="s">
        <v>159</v>
      </c>
      <c r="AK41" s="97" t="s">
        <v>679</v>
      </c>
      <c r="AL41" s="97" t="s">
        <v>148</v>
      </c>
      <c r="AM41" s="97" t="s">
        <v>161</v>
      </c>
      <c r="AN41" s="97" t="s">
        <v>148</v>
      </c>
      <c r="AO41" s="97"/>
      <c r="AP41" s="97" t="s">
        <v>201</v>
      </c>
      <c r="AQ41" s="97" t="s">
        <v>248</v>
      </c>
      <c r="AR41" s="97" t="s">
        <v>148</v>
      </c>
      <c r="AS41" s="97"/>
      <c r="AT41" s="401" t="s">
        <v>694</v>
      </c>
      <c r="AU41" s="96" t="s">
        <v>708</v>
      </c>
      <c r="AV41" s="97"/>
      <c r="AW41" s="99">
        <v>40969</v>
      </c>
      <c r="AX41" s="99">
        <v>41214</v>
      </c>
      <c r="AY41" s="99" t="s">
        <v>148</v>
      </c>
      <c r="AZ41" s="99"/>
      <c r="BA41" s="99"/>
      <c r="BB41" s="99"/>
      <c r="BC41" s="99"/>
      <c r="BD41" s="99"/>
      <c r="BE41" s="100"/>
      <c r="BF41" s="99">
        <v>41852</v>
      </c>
      <c r="BG41" s="99" t="s">
        <v>148</v>
      </c>
      <c r="BH41" s="99">
        <v>42064</v>
      </c>
      <c r="BI41" s="99" t="s">
        <v>148</v>
      </c>
      <c r="BJ41" s="97"/>
      <c r="BK41" s="97"/>
      <c r="BL41" s="97"/>
      <c r="BM41" s="101">
        <v>42766</v>
      </c>
      <c r="BN41" s="96" t="s">
        <v>16</v>
      </c>
      <c r="BO41" s="220">
        <f t="shared" si="8"/>
        <v>59</v>
      </c>
      <c r="BP41" s="96">
        <f t="shared" si="9"/>
        <v>51</v>
      </c>
      <c r="BQ41" s="96"/>
      <c r="BR41" s="96" t="s">
        <v>166</v>
      </c>
      <c r="BS41" s="96">
        <v>2</v>
      </c>
      <c r="BT41" s="96">
        <v>0</v>
      </c>
      <c r="BU41" s="96">
        <v>1</v>
      </c>
      <c r="BV41" s="96">
        <v>0</v>
      </c>
      <c r="BW41" s="96">
        <v>0</v>
      </c>
      <c r="BX41" s="96">
        <v>0</v>
      </c>
      <c r="BY41" s="96" t="s">
        <v>161</v>
      </c>
      <c r="BZ41" s="96">
        <v>0</v>
      </c>
      <c r="CA41" s="96"/>
      <c r="CB41" s="103"/>
      <c r="CC41" s="103"/>
      <c r="CD41" s="96"/>
      <c r="CE41" s="96" t="s">
        <v>161</v>
      </c>
      <c r="CF41" s="96"/>
      <c r="CG41" s="96"/>
      <c r="CH41" s="371" t="s">
        <v>166</v>
      </c>
      <c r="CI41" s="96" t="s">
        <v>166</v>
      </c>
      <c r="CJ41" s="96"/>
      <c r="CK41" s="96" t="s">
        <v>166</v>
      </c>
    </row>
    <row r="42" spans="1:102" s="114" customFormat="1" ht="25" customHeight="1" x14ac:dyDescent="0.35">
      <c r="A42" s="91">
        <v>43</v>
      </c>
      <c r="B42" s="91" t="s">
        <v>709</v>
      </c>
      <c r="C42" s="91" t="s">
        <v>710</v>
      </c>
      <c r="D42" s="91"/>
      <c r="E42" s="91" t="s">
        <v>711</v>
      </c>
      <c r="F42" s="91" t="s">
        <v>4139</v>
      </c>
      <c r="G42" s="91">
        <v>2</v>
      </c>
      <c r="H42" s="91" t="s">
        <v>56</v>
      </c>
      <c r="I42" s="91" t="s">
        <v>44</v>
      </c>
      <c r="J42" s="91" t="s">
        <v>475</v>
      </c>
      <c r="K42" s="91"/>
      <c r="L42" s="91" t="s">
        <v>44</v>
      </c>
      <c r="M42" s="91" t="s">
        <v>148</v>
      </c>
      <c r="N42" s="91"/>
      <c r="O42" s="249"/>
      <c r="P42" s="250" t="s">
        <v>166</v>
      </c>
      <c r="Q42" s="91"/>
      <c r="R42" s="389" t="s">
        <v>712</v>
      </c>
      <c r="S42" s="91"/>
      <c r="T42" s="341" t="s">
        <v>713</v>
      </c>
      <c r="U42" s="92" t="s">
        <v>714</v>
      </c>
      <c r="V42" s="92">
        <v>28270</v>
      </c>
      <c r="W42" s="164" t="s">
        <v>715</v>
      </c>
      <c r="X42" s="164" t="s">
        <v>154</v>
      </c>
      <c r="Y42" s="164" t="s">
        <v>161</v>
      </c>
      <c r="Z42" s="164" t="s">
        <v>156</v>
      </c>
      <c r="AA42" s="91">
        <v>1.5</v>
      </c>
      <c r="AB42" s="92">
        <v>40892</v>
      </c>
      <c r="AC42" s="281">
        <v>40969</v>
      </c>
      <c r="AD42" s="92">
        <v>45741</v>
      </c>
      <c r="AE42" s="92" t="s">
        <v>381</v>
      </c>
      <c r="AF42" s="92" t="s">
        <v>716</v>
      </c>
      <c r="AG42" s="92" t="s">
        <v>717</v>
      </c>
      <c r="AH42" s="91">
        <f t="shared" si="5"/>
        <v>3</v>
      </c>
      <c r="AI42" s="92" t="s">
        <v>159</v>
      </c>
      <c r="AJ42" s="92" t="s">
        <v>159</v>
      </c>
      <c r="AK42" s="92" t="s">
        <v>679</v>
      </c>
      <c r="AL42" s="92" t="s">
        <v>148</v>
      </c>
      <c r="AM42" s="92" t="s">
        <v>161</v>
      </c>
      <c r="AN42" s="92" t="s">
        <v>161</v>
      </c>
      <c r="AO42" s="92" t="s">
        <v>180</v>
      </c>
      <c r="AP42" s="92" t="s">
        <v>718</v>
      </c>
      <c r="AQ42" s="92"/>
      <c r="AR42" s="92"/>
      <c r="AS42" s="92"/>
      <c r="AT42" s="400" t="s">
        <v>370</v>
      </c>
      <c r="AU42" s="91" t="s">
        <v>719</v>
      </c>
      <c r="AV42" s="92"/>
      <c r="AW42" s="93">
        <v>40969</v>
      </c>
      <c r="AX42" s="93">
        <v>41214</v>
      </c>
      <c r="AY42" s="93" t="s">
        <v>148</v>
      </c>
      <c r="AZ42" s="93"/>
      <c r="BA42" s="93"/>
      <c r="BB42" s="93"/>
      <c r="BC42" s="93"/>
      <c r="BD42" s="93"/>
      <c r="BE42" s="94"/>
      <c r="BF42" s="93">
        <v>41852</v>
      </c>
      <c r="BG42" s="93" t="s">
        <v>148</v>
      </c>
      <c r="BH42" s="93" t="s">
        <v>720</v>
      </c>
      <c r="BI42" s="93" t="s">
        <v>161</v>
      </c>
      <c r="BJ42" s="92"/>
      <c r="BK42" s="92"/>
      <c r="BL42" s="92"/>
      <c r="BM42" s="109"/>
      <c r="BN42" s="193" t="s">
        <v>18</v>
      </c>
      <c r="BO42" s="265"/>
      <c r="BP42" s="91"/>
      <c r="BQ42" s="91"/>
      <c r="BR42" s="91">
        <v>1</v>
      </c>
      <c r="BS42" s="91">
        <v>31</v>
      </c>
      <c r="BT42" s="91">
        <v>0</v>
      </c>
      <c r="BU42" s="91">
        <v>7</v>
      </c>
      <c r="BV42" s="91">
        <v>3</v>
      </c>
      <c r="BW42" s="91">
        <v>0</v>
      </c>
      <c r="BX42" s="91">
        <v>0</v>
      </c>
      <c r="BY42" s="91" t="s">
        <v>161</v>
      </c>
      <c r="BZ42" s="91">
        <v>0</v>
      </c>
      <c r="CA42" s="91"/>
      <c r="CB42" s="95"/>
      <c r="CC42" s="95"/>
      <c r="CD42" s="91"/>
      <c r="CE42" s="91" t="s">
        <v>161</v>
      </c>
      <c r="CF42" s="91"/>
      <c r="CG42" s="91"/>
      <c r="CH42" s="113" t="s">
        <v>166</v>
      </c>
      <c r="CI42" s="91" t="s">
        <v>166</v>
      </c>
      <c r="CJ42" s="91"/>
      <c r="CK42" s="91" t="s">
        <v>166</v>
      </c>
      <c r="CS42" s="364"/>
      <c r="CT42" s="364"/>
      <c r="CU42" s="364"/>
      <c r="CW42" s="364"/>
      <c r="CX42" s="364"/>
    </row>
    <row r="43" spans="1:102" ht="25" customHeight="1" x14ac:dyDescent="0.35">
      <c r="A43" s="91">
        <v>44</v>
      </c>
      <c r="B43" s="91" t="s">
        <v>721</v>
      </c>
      <c r="C43" s="91" t="s">
        <v>722</v>
      </c>
      <c r="D43" s="91" t="s">
        <v>723</v>
      </c>
      <c r="E43" s="91" t="s">
        <v>724</v>
      </c>
      <c r="F43" s="91" t="s">
        <v>4140</v>
      </c>
      <c r="G43" s="91">
        <v>2</v>
      </c>
      <c r="H43" s="108" t="s">
        <v>50</v>
      </c>
      <c r="I43" s="91" t="s">
        <v>42</v>
      </c>
      <c r="J43" s="91"/>
      <c r="K43" s="91"/>
      <c r="L43" s="91" t="s">
        <v>44</v>
      </c>
      <c r="M43" s="91" t="s">
        <v>161</v>
      </c>
      <c r="N43" s="91" t="s">
        <v>166</v>
      </c>
      <c r="O43" s="91" t="s">
        <v>166</v>
      </c>
      <c r="P43" s="91" t="s">
        <v>166</v>
      </c>
      <c r="Q43" s="91" t="s">
        <v>166</v>
      </c>
      <c r="R43" s="91"/>
      <c r="S43" s="91"/>
      <c r="T43" s="200"/>
      <c r="U43" s="92"/>
      <c r="V43" s="92"/>
      <c r="W43" s="164"/>
      <c r="X43" s="164"/>
      <c r="Y43" s="164"/>
      <c r="Z43" s="164"/>
      <c r="AA43" s="91">
        <v>4</v>
      </c>
      <c r="AB43" s="109"/>
      <c r="AC43" s="281">
        <v>40969</v>
      </c>
      <c r="AD43" s="92">
        <v>42662</v>
      </c>
      <c r="AE43" s="110"/>
      <c r="AF43" s="92"/>
      <c r="AG43" s="92"/>
      <c r="AH43" s="91">
        <f t="shared" si="5"/>
        <v>0</v>
      </c>
      <c r="AI43" s="92"/>
      <c r="AJ43" s="92"/>
      <c r="AK43" s="92"/>
      <c r="AL43" s="92"/>
      <c r="AM43" s="92"/>
      <c r="AN43" s="92"/>
      <c r="AO43" s="92"/>
      <c r="AP43" s="110"/>
      <c r="AQ43" s="92"/>
      <c r="AR43" s="92"/>
      <c r="AS43" s="92"/>
      <c r="AT43" s="400"/>
      <c r="AU43" s="91"/>
      <c r="AV43" s="109"/>
      <c r="AW43" s="93">
        <v>40969</v>
      </c>
      <c r="AX43" s="93"/>
      <c r="AY43" s="93"/>
      <c r="AZ43" s="93"/>
      <c r="BA43" s="111"/>
      <c r="BB43" s="93"/>
      <c r="BC43" s="438"/>
      <c r="BD43" s="438"/>
      <c r="BE43" s="112"/>
      <c r="BF43" s="93"/>
      <c r="BG43" s="93"/>
      <c r="BH43" s="93"/>
      <c r="BI43" s="93"/>
      <c r="BJ43" s="92"/>
      <c r="BK43" s="92"/>
      <c r="BL43" s="92"/>
      <c r="BM43" s="92"/>
      <c r="BN43" s="91" t="s">
        <v>18</v>
      </c>
      <c r="BO43" s="218" t="s">
        <v>18</v>
      </c>
      <c r="BP43" s="218"/>
      <c r="BQ43" s="91"/>
      <c r="BR43" s="91"/>
      <c r="BS43" s="91"/>
      <c r="BT43" s="91"/>
      <c r="BU43" s="91"/>
      <c r="BV43" s="91"/>
      <c r="BW43" s="91"/>
      <c r="BX43" s="91"/>
      <c r="BY43" s="91" t="s">
        <v>161</v>
      </c>
      <c r="BZ43" s="91"/>
      <c r="CA43" s="91"/>
      <c r="CB43" s="95"/>
      <c r="CC43" s="95"/>
      <c r="CD43" s="91"/>
      <c r="CE43" s="91"/>
      <c r="CF43" s="91"/>
      <c r="CG43" s="91"/>
      <c r="CH43" s="113"/>
      <c r="CI43" s="91"/>
      <c r="CJ43" s="91"/>
      <c r="CK43" s="91" t="s">
        <v>536</v>
      </c>
    </row>
    <row r="44" spans="1:102" ht="25" customHeight="1" x14ac:dyDescent="0.35">
      <c r="A44" s="91">
        <v>45</v>
      </c>
      <c r="B44" s="91" t="s">
        <v>725</v>
      </c>
      <c r="C44" s="91" t="s">
        <v>726</v>
      </c>
      <c r="D44" s="91" t="s">
        <v>727</v>
      </c>
      <c r="E44" s="91" t="s">
        <v>728</v>
      </c>
      <c r="F44" s="91" t="s">
        <v>4139</v>
      </c>
      <c r="G44" s="91">
        <v>2</v>
      </c>
      <c r="H44" s="108" t="s">
        <v>57</v>
      </c>
      <c r="I44" s="91" t="s">
        <v>40</v>
      </c>
      <c r="J44" s="91"/>
      <c r="K44" s="91" t="s">
        <v>729</v>
      </c>
      <c r="L44" s="91" t="s">
        <v>41</v>
      </c>
      <c r="M44" s="91" t="s">
        <v>161</v>
      </c>
      <c r="N44" s="91" t="s">
        <v>166</v>
      </c>
      <c r="O44" s="91" t="s">
        <v>166</v>
      </c>
      <c r="P44" s="91" t="s">
        <v>166</v>
      </c>
      <c r="Q44" s="91" t="s">
        <v>166</v>
      </c>
      <c r="R44" s="91" t="s">
        <v>730</v>
      </c>
      <c r="S44" s="91" t="s">
        <v>731</v>
      </c>
      <c r="T44" s="200"/>
      <c r="U44" s="91"/>
      <c r="V44" s="91"/>
      <c r="W44" s="91"/>
      <c r="X44" s="91"/>
      <c r="Y44" s="91"/>
      <c r="Z44" s="91"/>
      <c r="AA44" s="91">
        <v>22.5</v>
      </c>
      <c r="AB44" s="113"/>
      <c r="AC44" s="281">
        <v>40969</v>
      </c>
      <c r="AD44" s="92">
        <v>42380</v>
      </c>
      <c r="AE44" s="108"/>
      <c r="AF44" s="91"/>
      <c r="AG44" s="91"/>
      <c r="AH44" s="91">
        <f t="shared" si="5"/>
        <v>0</v>
      </c>
      <c r="AI44" s="91"/>
      <c r="AJ44" s="91"/>
      <c r="AK44" s="91"/>
      <c r="AL44" s="91"/>
      <c r="AM44" s="91"/>
      <c r="AN44" s="91"/>
      <c r="AO44" s="91"/>
      <c r="AP44" s="114"/>
      <c r="AQ44" s="114"/>
      <c r="AR44" s="114"/>
      <c r="AS44" s="114"/>
      <c r="AT44" s="404"/>
      <c r="AU44" s="114"/>
      <c r="AV44" s="114"/>
      <c r="AW44" s="93">
        <v>40969</v>
      </c>
      <c r="AX44" s="91"/>
      <c r="AY44" s="91"/>
      <c r="AZ44" s="91"/>
      <c r="BA44" s="114"/>
      <c r="BB44" s="114"/>
      <c r="BC44" s="114"/>
      <c r="BD44" s="114"/>
      <c r="BE44" s="114"/>
      <c r="BF44" s="91"/>
      <c r="BG44" s="91"/>
      <c r="BH44" s="91"/>
      <c r="BI44" s="91"/>
      <c r="BJ44" s="91"/>
      <c r="BK44" s="91"/>
      <c r="BL44" s="91"/>
      <c r="BM44" s="91"/>
      <c r="BN44" s="115" t="s">
        <v>18</v>
      </c>
      <c r="BO44" s="91" t="s">
        <v>18</v>
      </c>
      <c r="BP44" s="91"/>
      <c r="BQ44" s="91"/>
      <c r="BR44" s="91"/>
      <c r="BS44" s="91"/>
      <c r="BT44" s="91"/>
      <c r="BU44" s="91"/>
      <c r="BV44" s="91"/>
      <c r="BW44" s="91"/>
      <c r="BX44" s="91"/>
      <c r="BY44" s="91" t="s">
        <v>161</v>
      </c>
      <c r="BZ44" s="91"/>
      <c r="CA44" s="91"/>
      <c r="CB44" s="95"/>
      <c r="CC44" s="95"/>
      <c r="CD44" s="91"/>
      <c r="CE44" s="91"/>
      <c r="CF44" s="91"/>
      <c r="CG44" s="91"/>
      <c r="CH44" s="113"/>
      <c r="CI44" s="91"/>
      <c r="CJ44" s="91"/>
      <c r="CK44" s="91" t="s">
        <v>166</v>
      </c>
    </row>
    <row r="45" spans="1:102" ht="25" customHeight="1" x14ac:dyDescent="0.35">
      <c r="A45" s="116">
        <v>47</v>
      </c>
      <c r="B45" s="116" t="s">
        <v>732</v>
      </c>
      <c r="C45" s="116" t="s">
        <v>733</v>
      </c>
      <c r="D45" s="116" t="s">
        <v>734</v>
      </c>
      <c r="E45" s="116" t="s">
        <v>735</v>
      </c>
      <c r="F45" s="116" t="s">
        <v>4140</v>
      </c>
      <c r="G45" s="116">
        <v>3</v>
      </c>
      <c r="H45" s="116" t="s">
        <v>52</v>
      </c>
      <c r="I45" s="116" t="s">
        <v>31</v>
      </c>
      <c r="J45" s="116" t="s">
        <v>736</v>
      </c>
      <c r="K45" s="116" t="s">
        <v>737</v>
      </c>
      <c r="L45" s="116" t="s">
        <v>31</v>
      </c>
      <c r="M45" s="116" t="s">
        <v>148</v>
      </c>
      <c r="N45" s="223" t="s">
        <v>738</v>
      </c>
      <c r="O45" s="18" t="s">
        <v>320</v>
      </c>
      <c r="P45" s="19" t="s">
        <v>320</v>
      </c>
      <c r="Q45" s="116" t="s">
        <v>320</v>
      </c>
      <c r="R45" s="388" t="s">
        <v>739</v>
      </c>
      <c r="S45" s="388" t="s">
        <v>740</v>
      </c>
      <c r="T45" s="342" t="s">
        <v>741</v>
      </c>
      <c r="U45" s="117" t="s">
        <v>742</v>
      </c>
      <c r="V45" s="117">
        <v>26540</v>
      </c>
      <c r="W45" s="121" t="s">
        <v>743</v>
      </c>
      <c r="X45" s="121" t="s">
        <v>154</v>
      </c>
      <c r="Y45" s="121" t="s">
        <v>161</v>
      </c>
      <c r="Z45" s="121" t="s">
        <v>156</v>
      </c>
      <c r="AA45" s="116">
        <v>17</v>
      </c>
      <c r="AB45" s="117">
        <v>41325</v>
      </c>
      <c r="AC45" s="283">
        <v>41334</v>
      </c>
      <c r="AD45" s="117"/>
      <c r="AE45" s="20" t="s">
        <v>744</v>
      </c>
      <c r="AF45" s="124" t="s">
        <v>745</v>
      </c>
      <c r="AG45" s="124"/>
      <c r="AH45" s="116">
        <f t="shared" si="5"/>
        <v>2</v>
      </c>
      <c r="AI45" s="18" t="s">
        <v>159</v>
      </c>
      <c r="AJ45" s="20"/>
      <c r="AK45" s="20"/>
      <c r="AL45" s="20" t="s">
        <v>148</v>
      </c>
      <c r="AM45" s="20"/>
      <c r="AN45" s="20"/>
      <c r="AO45" s="20" t="s">
        <v>200</v>
      </c>
      <c r="AP45" s="20" t="s">
        <v>746</v>
      </c>
      <c r="AQ45" s="20" t="s">
        <v>163</v>
      </c>
      <c r="AR45" s="20" t="s">
        <v>148</v>
      </c>
      <c r="AS45" s="20" t="s">
        <v>747</v>
      </c>
      <c r="AT45" s="405" t="s">
        <v>326</v>
      </c>
      <c r="AU45" s="116" t="s">
        <v>748</v>
      </c>
      <c r="AV45" s="117"/>
      <c r="AW45" s="118">
        <v>41334</v>
      </c>
      <c r="AX45" s="118">
        <v>41579</v>
      </c>
      <c r="AY45" s="118" t="s">
        <v>148</v>
      </c>
      <c r="AZ45" s="118">
        <v>41913</v>
      </c>
      <c r="BA45" s="118"/>
      <c r="BB45" s="118">
        <v>42153</v>
      </c>
      <c r="BC45" s="118"/>
      <c r="BD45" s="118"/>
      <c r="BE45" s="119" t="s">
        <v>749</v>
      </c>
      <c r="BF45" s="118">
        <v>42217</v>
      </c>
      <c r="BG45" s="118" t="s">
        <v>148</v>
      </c>
      <c r="BH45" s="118">
        <v>42428</v>
      </c>
      <c r="BI45" s="118" t="s">
        <v>148</v>
      </c>
      <c r="BJ45" s="117">
        <v>42976</v>
      </c>
      <c r="BK45" s="117">
        <v>43011</v>
      </c>
      <c r="BL45" s="117">
        <v>43038</v>
      </c>
      <c r="BM45" s="120">
        <v>43038</v>
      </c>
      <c r="BN45" s="116" t="s">
        <v>16</v>
      </c>
      <c r="BO45" s="224">
        <f>DATEDIF(AW45,BM45, "M")+1</f>
        <v>56</v>
      </c>
      <c r="BP45" s="116">
        <f t="shared" ref="BP45:BP52" si="10">DATEDIF(AX45,BM45, "M")+1</f>
        <v>48</v>
      </c>
      <c r="BQ45" s="121" t="s">
        <v>749</v>
      </c>
      <c r="BR45" s="116">
        <v>0</v>
      </c>
      <c r="BS45" s="116">
        <v>0</v>
      </c>
      <c r="BT45" s="116">
        <v>5</v>
      </c>
      <c r="BU45" s="116">
        <v>2</v>
      </c>
      <c r="BV45" s="116">
        <v>0</v>
      </c>
      <c r="BW45" s="116">
        <v>0</v>
      </c>
      <c r="BX45" s="116">
        <v>0</v>
      </c>
      <c r="BY45" s="116" t="s">
        <v>161</v>
      </c>
      <c r="BZ45" s="116">
        <v>0</v>
      </c>
      <c r="CA45" s="116"/>
      <c r="CB45" s="122"/>
      <c r="CC45" s="122"/>
      <c r="CD45" s="116"/>
      <c r="CE45" s="116" t="s">
        <v>161</v>
      </c>
      <c r="CF45" s="116"/>
      <c r="CG45" s="116"/>
      <c r="CH45" s="372">
        <v>1</v>
      </c>
      <c r="CI45" s="116">
        <v>1</v>
      </c>
      <c r="CJ45" s="116"/>
      <c r="CK45" s="116" t="s">
        <v>536</v>
      </c>
    </row>
    <row r="46" spans="1:102" ht="25" customHeight="1" x14ac:dyDescent="0.35">
      <c r="A46" s="116">
        <v>48</v>
      </c>
      <c r="B46" s="116" t="s">
        <v>750</v>
      </c>
      <c r="C46" s="116" t="s">
        <v>751</v>
      </c>
      <c r="D46" s="116"/>
      <c r="E46" s="116" t="s">
        <v>752</v>
      </c>
      <c r="F46" s="116" t="s">
        <v>4140</v>
      </c>
      <c r="G46" s="116">
        <v>3</v>
      </c>
      <c r="H46" s="116" t="s">
        <v>50</v>
      </c>
      <c r="I46" s="116" t="s">
        <v>42</v>
      </c>
      <c r="J46" s="116" t="s">
        <v>475</v>
      </c>
      <c r="K46" s="116"/>
      <c r="L46" s="116" t="s">
        <v>42</v>
      </c>
      <c r="M46" s="116" t="s">
        <v>148</v>
      </c>
      <c r="N46" s="116"/>
      <c r="O46" s="225" t="s">
        <v>149</v>
      </c>
      <c r="P46" s="226" t="s">
        <v>238</v>
      </c>
      <c r="Q46" s="116" t="s">
        <v>149</v>
      </c>
      <c r="R46" s="116" t="s">
        <v>753</v>
      </c>
      <c r="S46" s="123" t="s">
        <v>754</v>
      </c>
      <c r="T46" s="342" t="s">
        <v>755</v>
      </c>
      <c r="U46" s="117" t="s">
        <v>166</v>
      </c>
      <c r="V46" s="117">
        <v>27702</v>
      </c>
      <c r="W46" s="121" t="s">
        <v>756</v>
      </c>
      <c r="X46" s="121" t="s">
        <v>154</v>
      </c>
      <c r="Y46" s="121" t="s">
        <v>155</v>
      </c>
      <c r="Z46" s="121" t="s">
        <v>156</v>
      </c>
      <c r="AA46" s="116">
        <v>18.5</v>
      </c>
      <c r="AB46" s="117">
        <v>41329</v>
      </c>
      <c r="AC46" s="283">
        <v>41334</v>
      </c>
      <c r="AD46" s="117"/>
      <c r="AE46" s="21" t="s">
        <v>757</v>
      </c>
      <c r="AF46" s="116" t="s">
        <v>758</v>
      </c>
      <c r="AG46" s="116"/>
      <c r="AH46" s="116">
        <f t="shared" si="5"/>
        <v>2</v>
      </c>
      <c r="AI46" s="18" t="s">
        <v>159</v>
      </c>
      <c r="AJ46" s="116"/>
      <c r="AK46" s="116"/>
      <c r="AL46" s="116" t="s">
        <v>148</v>
      </c>
      <c r="AM46" s="116"/>
      <c r="AN46" s="116"/>
      <c r="AO46" s="116" t="s">
        <v>162</v>
      </c>
      <c r="AP46" s="116"/>
      <c r="AQ46" s="116" t="s">
        <v>201</v>
      </c>
      <c r="AR46" s="116" t="s">
        <v>148</v>
      </c>
      <c r="AS46" s="116"/>
      <c r="AT46" s="17" t="s">
        <v>418</v>
      </c>
      <c r="AU46" s="116" t="s">
        <v>759</v>
      </c>
      <c r="AV46" s="117"/>
      <c r="AW46" s="118">
        <v>41334</v>
      </c>
      <c r="AX46" s="118">
        <v>41579</v>
      </c>
      <c r="AY46" s="118" t="s">
        <v>148</v>
      </c>
      <c r="AZ46" s="118"/>
      <c r="BA46" s="118"/>
      <c r="BB46" s="118"/>
      <c r="BC46" s="118"/>
      <c r="BD46" s="118"/>
      <c r="BE46" s="119"/>
      <c r="BF46" s="118">
        <v>42217</v>
      </c>
      <c r="BG46" s="118" t="s">
        <v>148</v>
      </c>
      <c r="BH46" s="118">
        <v>42428</v>
      </c>
      <c r="BI46" s="118" t="s">
        <v>148</v>
      </c>
      <c r="BJ46" s="117"/>
      <c r="BK46" s="117"/>
      <c r="BL46" s="117"/>
      <c r="BM46" s="120">
        <v>43819</v>
      </c>
      <c r="BN46" s="116" t="s">
        <v>16</v>
      </c>
      <c r="BO46" s="224">
        <f t="shared" ref="BO46:BO52" si="11">DATEDIF(AW46,BM46, "M")+1</f>
        <v>82</v>
      </c>
      <c r="BP46" s="116">
        <f t="shared" si="10"/>
        <v>74</v>
      </c>
      <c r="BQ46" s="116"/>
      <c r="BR46" s="116">
        <v>2</v>
      </c>
      <c r="BS46" s="116">
        <v>1</v>
      </c>
      <c r="BT46" s="116">
        <v>1</v>
      </c>
      <c r="BU46" s="116">
        <v>0</v>
      </c>
      <c r="BV46" s="116">
        <v>0</v>
      </c>
      <c r="BW46" s="116">
        <v>0</v>
      </c>
      <c r="BX46" s="116">
        <v>0</v>
      </c>
      <c r="BY46" s="116" t="s">
        <v>161</v>
      </c>
      <c r="BZ46" s="116">
        <v>0</v>
      </c>
      <c r="CA46" s="116"/>
      <c r="CB46" s="122"/>
      <c r="CC46" s="122"/>
      <c r="CD46" s="116"/>
      <c r="CE46" s="116" t="s">
        <v>161</v>
      </c>
      <c r="CF46" s="116"/>
      <c r="CG46" s="116"/>
      <c r="CH46" s="372">
        <v>1</v>
      </c>
      <c r="CI46" s="116">
        <v>4</v>
      </c>
      <c r="CJ46" s="116"/>
      <c r="CK46" s="116" t="s">
        <v>536</v>
      </c>
    </row>
    <row r="47" spans="1:102" ht="25" customHeight="1" x14ac:dyDescent="0.35">
      <c r="A47" s="116">
        <v>49</v>
      </c>
      <c r="B47" s="116" t="s">
        <v>760</v>
      </c>
      <c r="C47" s="116" t="s">
        <v>761</v>
      </c>
      <c r="D47" s="116" t="s">
        <v>762</v>
      </c>
      <c r="E47" s="116" t="s">
        <v>763</v>
      </c>
      <c r="F47" s="116" t="s">
        <v>4140</v>
      </c>
      <c r="G47" s="116">
        <v>3</v>
      </c>
      <c r="H47" s="116" t="s">
        <v>50</v>
      </c>
      <c r="I47" s="116" t="s">
        <v>42</v>
      </c>
      <c r="J47" s="116" t="s">
        <v>700</v>
      </c>
      <c r="K47" s="116" t="s">
        <v>764</v>
      </c>
      <c r="L47" s="116" t="s">
        <v>42</v>
      </c>
      <c r="M47" s="116" t="s">
        <v>148</v>
      </c>
      <c r="N47" s="223" t="s">
        <v>765</v>
      </c>
      <c r="O47" s="227" t="s">
        <v>320</v>
      </c>
      <c r="P47" s="22" t="s">
        <v>320</v>
      </c>
      <c r="Q47" s="116"/>
      <c r="R47" s="388" t="s">
        <v>766</v>
      </c>
      <c r="S47" s="116" t="s">
        <v>767</v>
      </c>
      <c r="T47" s="343" t="s">
        <v>768</v>
      </c>
      <c r="U47" s="117" t="s">
        <v>769</v>
      </c>
      <c r="V47" s="117">
        <v>30620</v>
      </c>
      <c r="W47" s="121" t="s">
        <v>770</v>
      </c>
      <c r="X47" s="121" t="s">
        <v>177</v>
      </c>
      <c r="Y47" s="121" t="s">
        <v>161</v>
      </c>
      <c r="Z47" s="121" t="s">
        <v>156</v>
      </c>
      <c r="AA47" s="116">
        <v>6.5</v>
      </c>
      <c r="AB47" s="117">
        <v>41097</v>
      </c>
      <c r="AC47" s="283">
        <v>41334</v>
      </c>
      <c r="AD47" s="117"/>
      <c r="AE47" s="20" t="s">
        <v>771</v>
      </c>
      <c r="AF47" s="23" t="s">
        <v>772</v>
      </c>
      <c r="AG47" s="23" t="s">
        <v>773</v>
      </c>
      <c r="AH47" s="116">
        <f t="shared" si="5"/>
        <v>3</v>
      </c>
      <c r="AI47" s="18" t="s">
        <v>159</v>
      </c>
      <c r="AJ47" s="18" t="s">
        <v>159</v>
      </c>
      <c r="AK47" s="18" t="s">
        <v>159</v>
      </c>
      <c r="AL47" s="18" t="s">
        <v>148</v>
      </c>
      <c r="AM47" s="18" t="s">
        <v>161</v>
      </c>
      <c r="AN47" s="18" t="s">
        <v>161</v>
      </c>
      <c r="AO47" s="18" t="s">
        <v>200</v>
      </c>
      <c r="AP47" s="18" t="s">
        <v>774</v>
      </c>
      <c r="AQ47" s="18" t="s">
        <v>775</v>
      </c>
      <c r="AR47" s="18" t="s">
        <v>148</v>
      </c>
      <c r="AS47" s="18"/>
      <c r="AT47" s="406"/>
      <c r="AU47" s="116" t="s">
        <v>776</v>
      </c>
      <c r="AV47" s="117"/>
      <c r="AW47" s="118">
        <v>41334</v>
      </c>
      <c r="AX47" s="118">
        <v>41579</v>
      </c>
      <c r="AY47" s="118" t="s">
        <v>148</v>
      </c>
      <c r="AZ47" s="118"/>
      <c r="BA47" s="118"/>
      <c r="BB47" s="118"/>
      <c r="BC47" s="118"/>
      <c r="BD47" s="118"/>
      <c r="BE47" s="119" t="s">
        <v>777</v>
      </c>
      <c r="BF47" s="118">
        <v>42217</v>
      </c>
      <c r="BG47" s="118" t="s">
        <v>148</v>
      </c>
      <c r="BH47" s="118">
        <v>42428</v>
      </c>
      <c r="BI47" s="118" t="s">
        <v>148</v>
      </c>
      <c r="BJ47" s="117"/>
      <c r="BK47" s="117"/>
      <c r="BL47" s="117"/>
      <c r="BM47" s="120">
        <v>42735</v>
      </c>
      <c r="BN47" s="116" t="s">
        <v>16</v>
      </c>
      <c r="BO47" s="224">
        <f t="shared" si="11"/>
        <v>46</v>
      </c>
      <c r="BP47" s="116">
        <f t="shared" si="10"/>
        <v>38</v>
      </c>
      <c r="BQ47" s="121" t="s">
        <v>777</v>
      </c>
      <c r="BR47" s="116">
        <v>1</v>
      </c>
      <c r="BS47" s="116">
        <v>1</v>
      </c>
      <c r="BT47" s="116">
        <v>4</v>
      </c>
      <c r="BU47" s="116">
        <v>1</v>
      </c>
      <c r="BV47" s="116">
        <v>0</v>
      </c>
      <c r="BW47" s="116">
        <v>0</v>
      </c>
      <c r="BX47" s="116">
        <v>0</v>
      </c>
      <c r="BY47" s="116" t="s">
        <v>161</v>
      </c>
      <c r="BZ47" s="116">
        <v>0</v>
      </c>
      <c r="CA47" s="116"/>
      <c r="CB47" s="122"/>
      <c r="CC47" s="122"/>
      <c r="CD47" s="116"/>
      <c r="CE47" s="116" t="s">
        <v>161</v>
      </c>
      <c r="CF47" s="116"/>
      <c r="CG47" s="116"/>
      <c r="CH47" s="372">
        <v>0</v>
      </c>
      <c r="CI47" s="116">
        <v>0</v>
      </c>
      <c r="CJ47" s="116"/>
      <c r="CK47" s="116" t="s">
        <v>536</v>
      </c>
    </row>
    <row r="48" spans="1:102" ht="25" customHeight="1" x14ac:dyDescent="0.35">
      <c r="A48" s="116">
        <v>50</v>
      </c>
      <c r="B48" s="116" t="s">
        <v>778</v>
      </c>
      <c r="C48" s="116" t="s">
        <v>779</v>
      </c>
      <c r="D48" s="116" t="s">
        <v>780</v>
      </c>
      <c r="E48" s="116" t="s">
        <v>781</v>
      </c>
      <c r="F48" s="116" t="s">
        <v>4140</v>
      </c>
      <c r="G48" s="116">
        <v>3</v>
      </c>
      <c r="H48" s="116" t="s">
        <v>52</v>
      </c>
      <c r="I48" s="116" t="s">
        <v>31</v>
      </c>
      <c r="J48" s="116" t="s">
        <v>782</v>
      </c>
      <c r="K48" s="116" t="s">
        <v>783</v>
      </c>
      <c r="L48" s="116" t="s">
        <v>31</v>
      </c>
      <c r="M48" s="116" t="s">
        <v>148</v>
      </c>
      <c r="N48" s="223"/>
      <c r="O48" s="227" t="s">
        <v>320</v>
      </c>
      <c r="P48" s="22" t="s">
        <v>320</v>
      </c>
      <c r="Q48" s="116"/>
      <c r="R48" s="388" t="s">
        <v>784</v>
      </c>
      <c r="S48" s="116" t="s">
        <v>785</v>
      </c>
      <c r="T48" s="342" t="s">
        <v>786</v>
      </c>
      <c r="U48" s="117" t="s">
        <v>787</v>
      </c>
      <c r="V48" s="117">
        <v>26913</v>
      </c>
      <c r="W48" s="121" t="s">
        <v>788</v>
      </c>
      <c r="X48" s="121" t="s">
        <v>177</v>
      </c>
      <c r="Y48" s="121" t="s">
        <v>161</v>
      </c>
      <c r="Z48" s="121" t="s">
        <v>156</v>
      </c>
      <c r="AA48" s="116">
        <v>6.5</v>
      </c>
      <c r="AB48" s="117">
        <v>41326</v>
      </c>
      <c r="AC48" s="283">
        <v>41334</v>
      </c>
      <c r="AD48" s="117"/>
      <c r="AE48" s="20" t="s">
        <v>789</v>
      </c>
      <c r="AF48" s="124"/>
      <c r="AG48" s="124"/>
      <c r="AH48" s="116">
        <f t="shared" si="5"/>
        <v>1</v>
      </c>
      <c r="AI48" s="18" t="s">
        <v>159</v>
      </c>
      <c r="AJ48" s="20"/>
      <c r="AK48" s="20"/>
      <c r="AL48" s="20" t="s">
        <v>148</v>
      </c>
      <c r="AM48" s="20"/>
      <c r="AN48" s="20"/>
      <c r="AO48" s="20" t="s">
        <v>162</v>
      </c>
      <c r="AP48" s="20" t="s">
        <v>790</v>
      </c>
      <c r="AQ48" s="20" t="s">
        <v>482</v>
      </c>
      <c r="AR48" s="20" t="s">
        <v>161</v>
      </c>
      <c r="AS48" s="20" t="s">
        <v>791</v>
      </c>
      <c r="AT48" s="405" t="s">
        <v>326</v>
      </c>
      <c r="AU48" s="116" t="s">
        <v>792</v>
      </c>
      <c r="AV48" s="117"/>
      <c r="AW48" s="118">
        <v>41334</v>
      </c>
      <c r="AX48" s="118">
        <v>41579</v>
      </c>
      <c r="AY48" s="118" t="s">
        <v>148</v>
      </c>
      <c r="AZ48" s="118"/>
      <c r="BA48" s="118"/>
      <c r="BB48" s="118"/>
      <c r="BC48" s="118"/>
      <c r="BD48" s="118"/>
      <c r="BE48" s="119"/>
      <c r="BF48" s="118">
        <v>42217</v>
      </c>
      <c r="BG48" s="118" t="s">
        <v>148</v>
      </c>
      <c r="BH48" s="118">
        <v>42428</v>
      </c>
      <c r="BI48" s="118" t="s">
        <v>148</v>
      </c>
      <c r="BJ48" s="117"/>
      <c r="BK48" s="117"/>
      <c r="BL48" s="117"/>
      <c r="BM48" s="120">
        <v>42916</v>
      </c>
      <c r="BN48" s="116" t="s">
        <v>16</v>
      </c>
      <c r="BO48" s="224">
        <f t="shared" si="11"/>
        <v>52</v>
      </c>
      <c r="BP48" s="116">
        <f t="shared" si="10"/>
        <v>44</v>
      </c>
      <c r="BQ48" s="116"/>
      <c r="BR48" s="116">
        <v>0</v>
      </c>
      <c r="BS48" s="116">
        <v>18</v>
      </c>
      <c r="BT48" s="116">
        <v>17</v>
      </c>
      <c r="BU48" s="116">
        <v>11</v>
      </c>
      <c r="BV48" s="116">
        <v>1</v>
      </c>
      <c r="BW48" s="116">
        <v>0</v>
      </c>
      <c r="BX48" s="116">
        <v>0</v>
      </c>
      <c r="BY48" s="116" t="s">
        <v>161</v>
      </c>
      <c r="BZ48" s="116">
        <v>0</v>
      </c>
      <c r="CA48" s="116"/>
      <c r="CB48" s="122"/>
      <c r="CC48" s="122"/>
      <c r="CD48" s="116"/>
      <c r="CE48" s="116" t="s">
        <v>161</v>
      </c>
      <c r="CF48" s="116"/>
      <c r="CG48" s="116"/>
      <c r="CH48" s="372">
        <v>0</v>
      </c>
      <c r="CI48" s="116">
        <v>0</v>
      </c>
      <c r="CJ48" s="116"/>
      <c r="CK48" s="116" t="s">
        <v>566</v>
      </c>
    </row>
    <row r="49" spans="1:102" ht="25" customHeight="1" x14ac:dyDescent="0.35">
      <c r="A49" s="116">
        <v>51</v>
      </c>
      <c r="B49" s="116" t="s">
        <v>793</v>
      </c>
      <c r="C49" s="116" t="s">
        <v>794</v>
      </c>
      <c r="D49" s="116" t="s">
        <v>795</v>
      </c>
      <c r="E49" s="116" t="s">
        <v>796</v>
      </c>
      <c r="F49" s="116" t="s">
        <v>4139</v>
      </c>
      <c r="G49" s="116">
        <v>3</v>
      </c>
      <c r="H49" s="116" t="s">
        <v>58</v>
      </c>
      <c r="I49" s="116" t="s">
        <v>35</v>
      </c>
      <c r="J49" s="116" t="s">
        <v>797</v>
      </c>
      <c r="K49" s="116"/>
      <c r="L49" s="116" t="s">
        <v>35</v>
      </c>
      <c r="M49" s="116" t="s">
        <v>148</v>
      </c>
      <c r="N49" s="223"/>
      <c r="O49" s="228" t="s">
        <v>149</v>
      </c>
      <c r="P49" s="22" t="s">
        <v>149</v>
      </c>
      <c r="Q49" s="116" t="s">
        <v>149</v>
      </c>
      <c r="R49" s="388" t="s">
        <v>798</v>
      </c>
      <c r="S49" s="116" t="s">
        <v>799</v>
      </c>
      <c r="T49" s="342" t="s">
        <v>800</v>
      </c>
      <c r="U49" s="117" t="s">
        <v>801</v>
      </c>
      <c r="V49" s="117">
        <v>29083</v>
      </c>
      <c r="W49" s="121" t="s">
        <v>802</v>
      </c>
      <c r="X49" s="121" t="s">
        <v>803</v>
      </c>
      <c r="Y49" s="121" t="s">
        <v>155</v>
      </c>
      <c r="Z49" s="121" t="s">
        <v>156</v>
      </c>
      <c r="AA49" s="116">
        <v>18.5</v>
      </c>
      <c r="AB49" s="117">
        <v>41163</v>
      </c>
      <c r="AC49" s="283">
        <v>41334</v>
      </c>
      <c r="AD49" s="117"/>
      <c r="AE49" s="116" t="s">
        <v>804</v>
      </c>
      <c r="AF49" s="127" t="s">
        <v>805</v>
      </c>
      <c r="AG49" s="127"/>
      <c r="AH49" s="116">
        <f t="shared" si="5"/>
        <v>2</v>
      </c>
      <c r="AI49" s="18" t="s">
        <v>159</v>
      </c>
      <c r="AJ49" s="20"/>
      <c r="AK49" s="20"/>
      <c r="AL49" s="20" t="s">
        <v>148</v>
      </c>
      <c r="AM49" s="20"/>
      <c r="AN49" s="20"/>
      <c r="AO49" s="20" t="s">
        <v>162</v>
      </c>
      <c r="AP49" s="20" t="s">
        <v>179</v>
      </c>
      <c r="AQ49" s="20" t="s">
        <v>201</v>
      </c>
      <c r="AR49" s="20" t="s">
        <v>148</v>
      </c>
      <c r="AS49" s="20"/>
      <c r="AT49" s="405" t="s">
        <v>550</v>
      </c>
      <c r="AU49" s="116" t="s">
        <v>806</v>
      </c>
      <c r="AV49" s="117"/>
      <c r="AW49" s="118">
        <v>41334</v>
      </c>
      <c r="AX49" s="118">
        <v>41579</v>
      </c>
      <c r="AY49" s="118" t="s">
        <v>148</v>
      </c>
      <c r="AZ49" s="118"/>
      <c r="BA49" s="118"/>
      <c r="BB49" s="118"/>
      <c r="BC49" s="118"/>
      <c r="BD49" s="118"/>
      <c r="BE49" s="119"/>
      <c r="BF49" s="118">
        <v>42217</v>
      </c>
      <c r="BG49" s="118" t="s">
        <v>148</v>
      </c>
      <c r="BH49" s="118">
        <v>42428</v>
      </c>
      <c r="BI49" s="118" t="s">
        <v>148</v>
      </c>
      <c r="BJ49" s="117"/>
      <c r="BK49" s="117"/>
      <c r="BL49" s="117"/>
      <c r="BM49" s="120">
        <v>42460</v>
      </c>
      <c r="BN49" s="116" t="s">
        <v>16</v>
      </c>
      <c r="BO49" s="224">
        <f t="shared" si="11"/>
        <v>37</v>
      </c>
      <c r="BP49" s="116">
        <f t="shared" si="10"/>
        <v>29</v>
      </c>
      <c r="BQ49" s="116"/>
      <c r="BR49" s="116">
        <v>0</v>
      </c>
      <c r="BS49" s="116">
        <v>6</v>
      </c>
      <c r="BT49" s="116">
        <v>31</v>
      </c>
      <c r="BU49" s="116">
        <v>0</v>
      </c>
      <c r="BV49" s="116">
        <v>1</v>
      </c>
      <c r="BW49" s="116">
        <v>0</v>
      </c>
      <c r="BX49" s="116">
        <v>0</v>
      </c>
      <c r="BY49" s="116" t="s">
        <v>161</v>
      </c>
      <c r="BZ49" s="116">
        <v>0</v>
      </c>
      <c r="CA49" s="116"/>
      <c r="CB49" s="122"/>
      <c r="CC49" s="122"/>
      <c r="CD49" s="116"/>
      <c r="CE49" s="116" t="s">
        <v>161</v>
      </c>
      <c r="CF49" s="116"/>
      <c r="CG49" s="116"/>
      <c r="CH49" s="372">
        <v>1</v>
      </c>
      <c r="CI49" s="116">
        <v>2</v>
      </c>
      <c r="CJ49" s="116"/>
      <c r="CK49" s="116" t="s">
        <v>807</v>
      </c>
    </row>
    <row r="50" spans="1:102" ht="25" customHeight="1" x14ac:dyDescent="0.35">
      <c r="A50" s="116">
        <v>52</v>
      </c>
      <c r="B50" s="116" t="s">
        <v>808</v>
      </c>
      <c r="C50" s="116" t="s">
        <v>809</v>
      </c>
      <c r="D50" s="116" t="s">
        <v>810</v>
      </c>
      <c r="E50" s="116" t="s">
        <v>811</v>
      </c>
      <c r="F50" s="116" t="s">
        <v>4139</v>
      </c>
      <c r="G50" s="116">
        <v>3</v>
      </c>
      <c r="H50" s="116" t="s">
        <v>53</v>
      </c>
      <c r="I50" s="116" t="s">
        <v>43</v>
      </c>
      <c r="J50" s="116" t="s">
        <v>600</v>
      </c>
      <c r="K50" s="116"/>
      <c r="L50" s="116" t="s">
        <v>43</v>
      </c>
      <c r="M50" s="116" t="s">
        <v>148</v>
      </c>
      <c r="N50" s="223"/>
      <c r="O50" s="228"/>
      <c r="P50" s="22" t="s">
        <v>166</v>
      </c>
      <c r="Q50" s="116"/>
      <c r="R50" s="116" t="s">
        <v>812</v>
      </c>
      <c r="S50" s="116" t="s">
        <v>813</v>
      </c>
      <c r="T50" s="342" t="s">
        <v>814</v>
      </c>
      <c r="U50" s="117" t="s">
        <v>815</v>
      </c>
      <c r="V50" s="117">
        <v>28395</v>
      </c>
      <c r="W50" s="121" t="s">
        <v>816</v>
      </c>
      <c r="X50" s="121" t="s">
        <v>177</v>
      </c>
      <c r="Y50" s="121" t="s">
        <v>161</v>
      </c>
      <c r="Z50" s="121" t="s">
        <v>156</v>
      </c>
      <c r="AA50" s="116">
        <v>15</v>
      </c>
      <c r="AB50" s="117">
        <v>41200</v>
      </c>
      <c r="AC50" s="283">
        <v>41334</v>
      </c>
      <c r="AD50" s="117"/>
      <c r="AE50" s="20" t="s">
        <v>817</v>
      </c>
      <c r="AF50" s="124"/>
      <c r="AG50" s="124"/>
      <c r="AH50" s="116">
        <f t="shared" si="5"/>
        <v>1</v>
      </c>
      <c r="AI50" s="18" t="s">
        <v>159</v>
      </c>
      <c r="AJ50" s="20"/>
      <c r="AK50" s="20"/>
      <c r="AL50" s="20" t="s">
        <v>148</v>
      </c>
      <c r="AM50" s="20"/>
      <c r="AN50" s="20"/>
      <c r="AO50" s="20" t="s">
        <v>162</v>
      </c>
      <c r="AP50" s="20" t="s">
        <v>818</v>
      </c>
      <c r="AQ50" s="20" t="s">
        <v>818</v>
      </c>
      <c r="AR50" s="20" t="s">
        <v>161</v>
      </c>
      <c r="AS50" s="20"/>
      <c r="AT50" s="405" t="s">
        <v>296</v>
      </c>
      <c r="AU50" s="116" t="s">
        <v>819</v>
      </c>
      <c r="AV50" s="117"/>
      <c r="AW50" s="118">
        <v>41334</v>
      </c>
      <c r="AX50" s="118">
        <v>41579</v>
      </c>
      <c r="AY50" s="118" t="s">
        <v>148</v>
      </c>
      <c r="AZ50" s="118"/>
      <c r="BA50" s="118"/>
      <c r="BB50" s="118"/>
      <c r="BC50" s="118"/>
      <c r="BD50" s="118"/>
      <c r="BE50" s="119" t="s">
        <v>820</v>
      </c>
      <c r="BF50" s="118">
        <v>42217</v>
      </c>
      <c r="BG50" s="118" t="s">
        <v>148</v>
      </c>
      <c r="BH50" s="118">
        <v>42428</v>
      </c>
      <c r="BI50" s="118" t="s">
        <v>148</v>
      </c>
      <c r="BJ50" s="117"/>
      <c r="BK50" s="117"/>
      <c r="BL50" s="117"/>
      <c r="BM50" s="120">
        <v>43069</v>
      </c>
      <c r="BN50" s="116" t="s">
        <v>16</v>
      </c>
      <c r="BO50" s="224">
        <f t="shared" si="11"/>
        <v>57</v>
      </c>
      <c r="BP50" s="116">
        <f t="shared" si="10"/>
        <v>49</v>
      </c>
      <c r="BQ50" s="121" t="s">
        <v>820</v>
      </c>
      <c r="BR50" s="116">
        <v>0</v>
      </c>
      <c r="BS50" s="116">
        <v>3</v>
      </c>
      <c r="BT50" s="116">
        <v>3</v>
      </c>
      <c r="BU50" s="116">
        <v>2</v>
      </c>
      <c r="BV50" s="116">
        <v>0</v>
      </c>
      <c r="BW50" s="116">
        <v>0</v>
      </c>
      <c r="BX50" s="116">
        <v>0</v>
      </c>
      <c r="BY50" s="116" t="s">
        <v>161</v>
      </c>
      <c r="BZ50" s="116">
        <v>0</v>
      </c>
      <c r="CA50" s="116"/>
      <c r="CB50" s="122"/>
      <c r="CC50" s="122"/>
      <c r="CD50" s="116"/>
      <c r="CE50" s="116" t="s">
        <v>161</v>
      </c>
      <c r="CF50" s="116"/>
      <c r="CG50" s="116"/>
      <c r="CH50" s="372" t="s">
        <v>166</v>
      </c>
      <c r="CI50" s="116" t="s">
        <v>166</v>
      </c>
      <c r="CJ50" s="116"/>
      <c r="CK50" s="116" t="s">
        <v>536</v>
      </c>
    </row>
    <row r="51" spans="1:102" ht="25" customHeight="1" x14ac:dyDescent="0.35">
      <c r="A51" s="116">
        <v>53</v>
      </c>
      <c r="B51" s="116" t="s">
        <v>821</v>
      </c>
      <c r="C51" s="116" t="s">
        <v>822</v>
      </c>
      <c r="D51" s="116" t="s">
        <v>823</v>
      </c>
      <c r="E51" s="116" t="s">
        <v>824</v>
      </c>
      <c r="F51" s="116" t="s">
        <v>4139</v>
      </c>
      <c r="G51" s="116">
        <v>3</v>
      </c>
      <c r="H51" s="116" t="s">
        <v>52</v>
      </c>
      <c r="I51" s="116" t="s">
        <v>31</v>
      </c>
      <c r="J51" s="116" t="s">
        <v>825</v>
      </c>
      <c r="K51" s="116" t="s">
        <v>826</v>
      </c>
      <c r="L51" s="116" t="s">
        <v>31</v>
      </c>
      <c r="M51" s="116" t="s">
        <v>148</v>
      </c>
      <c r="N51" s="223">
        <v>95534</v>
      </c>
      <c r="O51" s="228" t="s">
        <v>149</v>
      </c>
      <c r="P51" s="22" t="s">
        <v>149</v>
      </c>
      <c r="Q51" s="116" t="s">
        <v>149</v>
      </c>
      <c r="R51" s="388" t="s">
        <v>827</v>
      </c>
      <c r="S51" s="116" t="s">
        <v>828</v>
      </c>
      <c r="T51" s="342" t="s">
        <v>829</v>
      </c>
      <c r="U51" s="117" t="s">
        <v>830</v>
      </c>
      <c r="V51" s="117">
        <v>28708</v>
      </c>
      <c r="W51" s="121" t="s">
        <v>831</v>
      </c>
      <c r="X51" s="121" t="s">
        <v>803</v>
      </c>
      <c r="Y51" s="121" t="s">
        <v>155</v>
      </c>
      <c r="Z51" s="121" t="s">
        <v>156</v>
      </c>
      <c r="AA51" s="116">
        <v>14.5</v>
      </c>
      <c r="AB51" s="117">
        <v>41004</v>
      </c>
      <c r="AC51" s="283">
        <v>41334</v>
      </c>
      <c r="AD51" s="117"/>
      <c r="AE51" s="20" t="s">
        <v>832</v>
      </c>
      <c r="AF51" s="124"/>
      <c r="AG51" s="124"/>
      <c r="AH51" s="116">
        <f t="shared" si="5"/>
        <v>1</v>
      </c>
      <c r="AI51" s="18" t="s">
        <v>159</v>
      </c>
      <c r="AJ51" s="124"/>
      <c r="AK51" s="124"/>
      <c r="AL51" s="124" t="s">
        <v>148</v>
      </c>
      <c r="AM51" s="124"/>
      <c r="AN51" s="124"/>
      <c r="AO51" s="124" t="s">
        <v>162</v>
      </c>
      <c r="AP51" s="124" t="s">
        <v>201</v>
      </c>
      <c r="AQ51" s="124" t="s">
        <v>248</v>
      </c>
      <c r="AR51" s="124" t="s">
        <v>148</v>
      </c>
      <c r="AS51" s="124"/>
      <c r="AT51" s="407" t="s">
        <v>326</v>
      </c>
      <c r="AU51" s="116" t="s">
        <v>833</v>
      </c>
      <c r="AV51" s="117"/>
      <c r="AW51" s="118">
        <v>41334</v>
      </c>
      <c r="AX51" s="118">
        <v>41579</v>
      </c>
      <c r="AY51" s="118" t="s">
        <v>148</v>
      </c>
      <c r="AZ51" s="118"/>
      <c r="BA51" s="118"/>
      <c r="BB51" s="118"/>
      <c r="BC51" s="118"/>
      <c r="BD51" s="118"/>
      <c r="BE51" s="119"/>
      <c r="BF51" s="118">
        <v>42217</v>
      </c>
      <c r="BG51" s="118" t="s">
        <v>148</v>
      </c>
      <c r="BH51" s="118">
        <v>42794</v>
      </c>
      <c r="BI51" s="118" t="s">
        <v>161</v>
      </c>
      <c r="BJ51" s="117"/>
      <c r="BK51" s="117"/>
      <c r="BL51" s="117"/>
      <c r="BM51" s="120">
        <v>42978</v>
      </c>
      <c r="BN51" s="116" t="s">
        <v>16</v>
      </c>
      <c r="BO51" s="224">
        <f t="shared" si="11"/>
        <v>54</v>
      </c>
      <c r="BP51" s="116">
        <f t="shared" si="10"/>
        <v>46</v>
      </c>
      <c r="BQ51" s="116"/>
      <c r="BR51" s="116">
        <v>0</v>
      </c>
      <c r="BS51" s="116">
        <v>3</v>
      </c>
      <c r="BT51" s="116">
        <v>4</v>
      </c>
      <c r="BU51" s="116">
        <v>2</v>
      </c>
      <c r="BV51" s="116">
        <v>0</v>
      </c>
      <c r="BW51" s="116">
        <v>0</v>
      </c>
      <c r="BX51" s="116">
        <v>0</v>
      </c>
      <c r="BY51" s="116" t="s">
        <v>161</v>
      </c>
      <c r="BZ51" s="116">
        <v>0</v>
      </c>
      <c r="CA51" s="116"/>
      <c r="CB51" s="122"/>
      <c r="CC51" s="122"/>
      <c r="CD51" s="116"/>
      <c r="CE51" s="116" t="s">
        <v>161</v>
      </c>
      <c r="CF51" s="116"/>
      <c r="CG51" s="116"/>
      <c r="CH51" s="372"/>
      <c r="CI51" s="116">
        <v>1</v>
      </c>
      <c r="CJ51" s="116"/>
      <c r="CK51" s="116" t="s">
        <v>566</v>
      </c>
    </row>
    <row r="52" spans="1:102" ht="25" customHeight="1" x14ac:dyDescent="0.35">
      <c r="A52" s="116">
        <v>54</v>
      </c>
      <c r="B52" s="116" t="s">
        <v>834</v>
      </c>
      <c r="C52" s="116" t="s">
        <v>835</v>
      </c>
      <c r="D52" s="116" t="s">
        <v>836</v>
      </c>
      <c r="E52" s="116" t="s">
        <v>837</v>
      </c>
      <c r="F52" s="116" t="s">
        <v>4139</v>
      </c>
      <c r="G52" s="116">
        <v>3</v>
      </c>
      <c r="H52" s="116" t="s">
        <v>51</v>
      </c>
      <c r="I52" s="116" t="s">
        <v>4136</v>
      </c>
      <c r="J52" s="116" t="s">
        <v>797</v>
      </c>
      <c r="K52" s="116" t="s">
        <v>838</v>
      </c>
      <c r="L52" s="116" t="s">
        <v>4136</v>
      </c>
      <c r="M52" s="116" t="s">
        <v>148</v>
      </c>
      <c r="N52" s="223"/>
      <c r="O52" s="228"/>
      <c r="P52" s="22" t="s">
        <v>149</v>
      </c>
      <c r="Q52" s="116"/>
      <c r="R52" s="388" t="s">
        <v>839</v>
      </c>
      <c r="S52" s="116" t="s">
        <v>840</v>
      </c>
      <c r="T52" s="342" t="s">
        <v>841</v>
      </c>
      <c r="U52" s="117" t="s">
        <v>842</v>
      </c>
      <c r="V52" s="117">
        <v>29697</v>
      </c>
      <c r="W52" s="121" t="s">
        <v>843</v>
      </c>
      <c r="X52" s="121" t="s">
        <v>177</v>
      </c>
      <c r="Y52" s="121" t="s">
        <v>155</v>
      </c>
      <c r="Z52" s="121" t="s">
        <v>156</v>
      </c>
      <c r="AA52" s="116">
        <v>10.5</v>
      </c>
      <c r="AB52" s="117">
        <v>40848</v>
      </c>
      <c r="AC52" s="283">
        <v>41334</v>
      </c>
      <c r="AD52" s="117"/>
      <c r="AE52" s="20" t="s">
        <v>507</v>
      </c>
      <c r="AF52" s="124"/>
      <c r="AG52" s="124"/>
      <c r="AH52" s="116">
        <f t="shared" si="5"/>
        <v>1</v>
      </c>
      <c r="AI52" s="18" t="s">
        <v>159</v>
      </c>
      <c r="AJ52" s="124"/>
      <c r="AK52" s="124"/>
      <c r="AL52" s="124" t="s">
        <v>148</v>
      </c>
      <c r="AM52" s="124"/>
      <c r="AN52" s="124"/>
      <c r="AO52" s="124" t="s">
        <v>162</v>
      </c>
      <c r="AP52" s="124" t="s">
        <v>844</v>
      </c>
      <c r="AQ52" s="124" t="s">
        <v>201</v>
      </c>
      <c r="AR52" s="124" t="s">
        <v>148</v>
      </c>
      <c r="AS52" s="124"/>
      <c r="AT52" s="407" t="s">
        <v>296</v>
      </c>
      <c r="AU52" s="116" t="s">
        <v>845</v>
      </c>
      <c r="AV52" s="117"/>
      <c r="AW52" s="118">
        <v>41334</v>
      </c>
      <c r="AX52" s="118">
        <v>41579</v>
      </c>
      <c r="AY52" s="118" t="s">
        <v>148</v>
      </c>
      <c r="AZ52" s="118"/>
      <c r="BA52" s="118"/>
      <c r="BB52" s="118"/>
      <c r="BC52" s="118"/>
      <c r="BD52" s="118"/>
      <c r="BE52" s="119"/>
      <c r="BF52" s="118">
        <v>42217</v>
      </c>
      <c r="BG52" s="118" t="s">
        <v>148</v>
      </c>
      <c r="BH52" s="118">
        <v>42428</v>
      </c>
      <c r="BI52" s="118" t="s">
        <v>148</v>
      </c>
      <c r="BJ52" s="117"/>
      <c r="BK52" s="117"/>
      <c r="BL52" s="117"/>
      <c r="BM52" s="120">
        <v>42173</v>
      </c>
      <c r="BN52" s="116" t="s">
        <v>16</v>
      </c>
      <c r="BO52" s="224">
        <f t="shared" si="11"/>
        <v>28</v>
      </c>
      <c r="BP52" s="116">
        <f t="shared" si="10"/>
        <v>20</v>
      </c>
      <c r="BQ52" s="116"/>
      <c r="BR52" s="116">
        <v>1</v>
      </c>
      <c r="BS52" s="116">
        <v>1</v>
      </c>
      <c r="BT52" s="116">
        <v>15</v>
      </c>
      <c r="BU52" s="116">
        <v>2</v>
      </c>
      <c r="BV52" s="116">
        <v>0</v>
      </c>
      <c r="BW52" s="116">
        <v>2</v>
      </c>
      <c r="BX52" s="116">
        <v>0</v>
      </c>
      <c r="BY52" s="116" t="s">
        <v>161</v>
      </c>
      <c r="BZ52" s="116">
        <v>0</v>
      </c>
      <c r="CA52" s="116"/>
      <c r="CB52" s="122"/>
      <c r="CC52" s="122"/>
      <c r="CD52" s="116"/>
      <c r="CE52" s="116" t="s">
        <v>161</v>
      </c>
      <c r="CF52" s="116"/>
      <c r="CG52" s="116"/>
      <c r="CH52" s="372" t="s">
        <v>166</v>
      </c>
      <c r="CI52" s="116" t="s">
        <v>166</v>
      </c>
      <c r="CJ52" s="116"/>
      <c r="CK52" s="116" t="s">
        <v>807</v>
      </c>
    </row>
    <row r="53" spans="1:102" ht="25" customHeight="1" x14ac:dyDescent="0.35">
      <c r="A53" s="116">
        <v>55</v>
      </c>
      <c r="B53" s="116" t="s">
        <v>846</v>
      </c>
      <c r="C53" s="116" t="s">
        <v>847</v>
      </c>
      <c r="D53" s="116" t="s">
        <v>848</v>
      </c>
      <c r="E53" s="116" t="s">
        <v>849</v>
      </c>
      <c r="F53" s="116" t="s">
        <v>4140</v>
      </c>
      <c r="G53" s="116">
        <v>3</v>
      </c>
      <c r="H53" s="116" t="s">
        <v>50</v>
      </c>
      <c r="I53" s="116" t="s">
        <v>37</v>
      </c>
      <c r="J53" s="116" t="s">
        <v>850</v>
      </c>
      <c r="K53" s="116" t="s">
        <v>851</v>
      </c>
      <c r="L53" s="116" t="s">
        <v>37</v>
      </c>
      <c r="M53" s="116" t="s">
        <v>148</v>
      </c>
      <c r="N53" s="116" t="s">
        <v>852</v>
      </c>
      <c r="O53" s="225" t="s">
        <v>149</v>
      </c>
      <c r="P53" s="226" t="s">
        <v>853</v>
      </c>
      <c r="Q53" s="116"/>
      <c r="R53" s="116" t="s">
        <v>854</v>
      </c>
      <c r="S53" s="116" t="s">
        <v>855</v>
      </c>
      <c r="T53" s="342" t="s">
        <v>856</v>
      </c>
      <c r="U53" s="117" t="s">
        <v>857</v>
      </c>
      <c r="V53" s="117">
        <v>26750</v>
      </c>
      <c r="W53" s="121" t="s">
        <v>858</v>
      </c>
      <c r="X53" s="121" t="s">
        <v>177</v>
      </c>
      <c r="Y53" s="121" t="s">
        <v>161</v>
      </c>
      <c r="Z53" s="121" t="s">
        <v>156</v>
      </c>
      <c r="AA53" s="116">
        <v>15</v>
      </c>
      <c r="AB53" s="117">
        <v>41153</v>
      </c>
      <c r="AC53" s="283">
        <v>41334</v>
      </c>
      <c r="AD53" s="117"/>
      <c r="AE53" s="21" t="s">
        <v>859</v>
      </c>
      <c r="AF53" s="23" t="s">
        <v>860</v>
      </c>
      <c r="AG53" s="116"/>
      <c r="AH53" s="116">
        <f t="shared" si="5"/>
        <v>2</v>
      </c>
      <c r="AI53" s="18" t="s">
        <v>159</v>
      </c>
      <c r="AJ53" s="18" t="s">
        <v>159</v>
      </c>
      <c r="AK53" s="116"/>
      <c r="AL53" s="116" t="s">
        <v>148</v>
      </c>
      <c r="AM53" s="116" t="s">
        <v>148</v>
      </c>
      <c r="AN53" s="116"/>
      <c r="AO53" s="116" t="s">
        <v>162</v>
      </c>
      <c r="AP53" s="116" t="s">
        <v>201</v>
      </c>
      <c r="AQ53" s="116"/>
      <c r="AR53" s="116"/>
      <c r="AS53" s="116"/>
      <c r="AT53" s="17" t="s">
        <v>202</v>
      </c>
      <c r="AU53" s="116" t="s">
        <v>861</v>
      </c>
      <c r="AV53" s="117"/>
      <c r="AW53" s="118">
        <v>41334</v>
      </c>
      <c r="AX53" s="118">
        <v>41579</v>
      </c>
      <c r="AY53" s="118" t="s">
        <v>148</v>
      </c>
      <c r="AZ53" s="118"/>
      <c r="BA53" s="118"/>
      <c r="BB53" s="118"/>
      <c r="BC53" s="118"/>
      <c r="BD53" s="118"/>
      <c r="BE53" s="119"/>
      <c r="BF53" s="118">
        <v>42585</v>
      </c>
      <c r="BG53" s="118" t="s">
        <v>161</v>
      </c>
      <c r="BH53" s="118">
        <v>42793</v>
      </c>
      <c r="BI53" s="118" t="s">
        <v>161</v>
      </c>
      <c r="BJ53" s="117"/>
      <c r="BK53" s="117"/>
      <c r="BL53" s="117"/>
      <c r="BM53" s="120"/>
      <c r="BN53" s="125" t="s">
        <v>17</v>
      </c>
      <c r="BO53" s="224"/>
      <c r="BP53" s="116"/>
      <c r="BQ53" s="116"/>
      <c r="BR53" s="116">
        <v>0</v>
      </c>
      <c r="BS53" s="116">
        <v>7</v>
      </c>
      <c r="BT53" s="116">
        <v>0</v>
      </c>
      <c r="BU53" s="116">
        <v>0</v>
      </c>
      <c r="BV53" s="116">
        <v>0</v>
      </c>
      <c r="BW53" s="116">
        <v>0</v>
      </c>
      <c r="BX53" s="116">
        <v>0</v>
      </c>
      <c r="BY53" s="116" t="s">
        <v>161</v>
      </c>
      <c r="BZ53" s="116">
        <v>0</v>
      </c>
      <c r="CA53" s="116"/>
      <c r="CB53" s="122"/>
      <c r="CC53" s="122"/>
      <c r="CD53" s="116"/>
      <c r="CE53" s="116" t="s">
        <v>161</v>
      </c>
      <c r="CF53" s="116"/>
      <c r="CG53" s="116"/>
      <c r="CH53" s="372">
        <v>3</v>
      </c>
      <c r="CI53" s="116" t="s">
        <v>166</v>
      </c>
      <c r="CJ53" s="116"/>
      <c r="CK53" s="116" t="s">
        <v>807</v>
      </c>
    </row>
    <row r="54" spans="1:102" ht="25" customHeight="1" x14ac:dyDescent="0.35">
      <c r="A54" s="116">
        <v>56</v>
      </c>
      <c r="B54" s="116" t="s">
        <v>862</v>
      </c>
      <c r="C54" s="116" t="s">
        <v>863</v>
      </c>
      <c r="D54" s="116" t="s">
        <v>864</v>
      </c>
      <c r="E54" s="116" t="s">
        <v>865</v>
      </c>
      <c r="F54" s="116" t="s">
        <v>4140</v>
      </c>
      <c r="G54" s="116">
        <v>3</v>
      </c>
      <c r="H54" s="116" t="s">
        <v>56</v>
      </c>
      <c r="I54" s="116" t="s">
        <v>44</v>
      </c>
      <c r="J54" s="116" t="s">
        <v>600</v>
      </c>
      <c r="K54" s="116" t="s">
        <v>866</v>
      </c>
      <c r="L54" s="116" t="s">
        <v>44</v>
      </c>
      <c r="M54" s="116" t="s">
        <v>148</v>
      </c>
      <c r="N54" s="223">
        <v>705854</v>
      </c>
      <c r="O54" s="228"/>
      <c r="P54" s="22" t="s">
        <v>149</v>
      </c>
      <c r="Q54" s="116"/>
      <c r="R54" s="116" t="s">
        <v>867</v>
      </c>
      <c r="S54" s="126" t="s">
        <v>868</v>
      </c>
      <c r="T54" s="343">
        <v>113585404</v>
      </c>
      <c r="U54" s="117" t="s">
        <v>869</v>
      </c>
      <c r="V54" s="117">
        <v>29258</v>
      </c>
      <c r="W54" s="121" t="s">
        <v>870</v>
      </c>
      <c r="X54" s="121" t="s">
        <v>177</v>
      </c>
      <c r="Y54" s="121" t="s">
        <v>161</v>
      </c>
      <c r="Z54" s="121" t="s">
        <v>156</v>
      </c>
      <c r="AA54" s="116">
        <v>8.5</v>
      </c>
      <c r="AB54" s="117">
        <v>41548</v>
      </c>
      <c r="AC54" s="283">
        <v>41334</v>
      </c>
      <c r="AD54" s="117"/>
      <c r="AE54" s="20" t="s">
        <v>871</v>
      </c>
      <c r="AF54" s="124"/>
      <c r="AG54" s="124"/>
      <c r="AH54" s="116">
        <f t="shared" si="5"/>
        <v>1</v>
      </c>
      <c r="AI54" s="20" t="s">
        <v>280</v>
      </c>
      <c r="AJ54" s="124"/>
      <c r="AK54" s="124"/>
      <c r="AL54" s="124" t="s">
        <v>161</v>
      </c>
      <c r="AM54" s="124"/>
      <c r="AN54" s="124"/>
      <c r="AO54" s="124" t="s">
        <v>200</v>
      </c>
      <c r="AP54" s="124" t="s">
        <v>872</v>
      </c>
      <c r="AQ54" s="124" t="s">
        <v>873</v>
      </c>
      <c r="AR54" s="124" t="s">
        <v>148</v>
      </c>
      <c r="AS54" s="124"/>
      <c r="AT54" s="407" t="s">
        <v>874</v>
      </c>
      <c r="AU54" s="116" t="s">
        <v>875</v>
      </c>
      <c r="AV54" s="117"/>
      <c r="AW54" s="118">
        <v>41334</v>
      </c>
      <c r="AX54" s="118">
        <v>41579</v>
      </c>
      <c r="AY54" s="118" t="s">
        <v>148</v>
      </c>
      <c r="AZ54" s="118"/>
      <c r="BA54" s="118"/>
      <c r="BB54" s="118"/>
      <c r="BC54" s="118"/>
      <c r="BD54" s="118"/>
      <c r="BE54" s="119" t="s">
        <v>876</v>
      </c>
      <c r="BF54" s="118">
        <v>42217</v>
      </c>
      <c r="BG54" s="118" t="s">
        <v>148</v>
      </c>
      <c r="BH54" s="118">
        <v>42428</v>
      </c>
      <c r="BI54" s="118" t="s">
        <v>148</v>
      </c>
      <c r="BJ54" s="117"/>
      <c r="BK54" s="117"/>
      <c r="BL54" s="117"/>
      <c r="BM54" s="120">
        <v>43291</v>
      </c>
      <c r="BN54" s="116" t="s">
        <v>16</v>
      </c>
      <c r="BO54" s="224">
        <f>DATEDIF(AW54,BM54, "M")+1</f>
        <v>65</v>
      </c>
      <c r="BP54" s="116">
        <f>DATEDIF(AX54,BM54, "M")+1</f>
        <v>57</v>
      </c>
      <c r="BQ54" s="121" t="s">
        <v>876</v>
      </c>
      <c r="BR54" s="116">
        <v>0</v>
      </c>
      <c r="BS54" s="116">
        <v>5</v>
      </c>
      <c r="BT54" s="116">
        <v>31</v>
      </c>
      <c r="BU54" s="116">
        <v>1</v>
      </c>
      <c r="BV54" s="116">
        <v>0</v>
      </c>
      <c r="BW54" s="116">
        <v>0</v>
      </c>
      <c r="BX54" s="116">
        <v>0</v>
      </c>
      <c r="BY54" s="116" t="s">
        <v>161</v>
      </c>
      <c r="BZ54" s="116">
        <v>0</v>
      </c>
      <c r="CA54" s="116"/>
      <c r="CB54" s="122"/>
      <c r="CC54" s="122"/>
      <c r="CD54" s="116"/>
      <c r="CE54" s="116" t="s">
        <v>161</v>
      </c>
      <c r="CF54" s="116"/>
      <c r="CG54" s="116"/>
      <c r="CH54" s="372">
        <v>1</v>
      </c>
      <c r="CI54" s="116">
        <v>2</v>
      </c>
      <c r="CJ54" s="116"/>
      <c r="CK54" s="116" t="s">
        <v>498</v>
      </c>
    </row>
    <row r="55" spans="1:102" ht="25" customHeight="1" x14ac:dyDescent="0.35">
      <c r="A55" s="116">
        <v>57</v>
      </c>
      <c r="B55" s="116" t="s">
        <v>877</v>
      </c>
      <c r="C55" s="116" t="s">
        <v>823</v>
      </c>
      <c r="D55" s="116"/>
      <c r="E55" s="116" t="s">
        <v>878</v>
      </c>
      <c r="F55" s="116" t="s">
        <v>4139</v>
      </c>
      <c r="G55" s="116">
        <v>3</v>
      </c>
      <c r="H55" s="116" t="s">
        <v>53</v>
      </c>
      <c r="I55" s="116" t="s">
        <v>43</v>
      </c>
      <c r="J55" s="116" t="s">
        <v>360</v>
      </c>
      <c r="K55" s="116"/>
      <c r="L55" s="116" t="s">
        <v>37</v>
      </c>
      <c r="M55" s="116" t="s">
        <v>161</v>
      </c>
      <c r="N55" s="116" t="s">
        <v>879</v>
      </c>
      <c r="O55" s="225" t="s">
        <v>149</v>
      </c>
      <c r="P55" s="226" t="s">
        <v>149</v>
      </c>
      <c r="Q55" s="116"/>
      <c r="R55" s="116" t="s">
        <v>880</v>
      </c>
      <c r="S55" s="121" t="s">
        <v>881</v>
      </c>
      <c r="T55" s="342" t="s">
        <v>882</v>
      </c>
      <c r="U55" s="117" t="s">
        <v>883</v>
      </c>
      <c r="V55" s="117">
        <v>27997</v>
      </c>
      <c r="W55" s="121" t="s">
        <v>884</v>
      </c>
      <c r="X55" s="121" t="s">
        <v>177</v>
      </c>
      <c r="Y55" s="121" t="s">
        <v>161</v>
      </c>
      <c r="Z55" s="121" t="s">
        <v>156</v>
      </c>
      <c r="AA55" s="116">
        <v>17.5</v>
      </c>
      <c r="AB55" s="117">
        <v>41360</v>
      </c>
      <c r="AC55" s="283">
        <v>41334</v>
      </c>
      <c r="AD55" s="117"/>
      <c r="AE55" s="116" t="s">
        <v>885</v>
      </c>
      <c r="AF55" s="116" t="s">
        <v>886</v>
      </c>
      <c r="AG55" s="116"/>
      <c r="AH55" s="116">
        <f t="shared" si="5"/>
        <v>2</v>
      </c>
      <c r="AI55" s="121" t="s">
        <v>160</v>
      </c>
      <c r="AJ55" s="116"/>
      <c r="AK55" s="116"/>
      <c r="AL55" s="116" t="s">
        <v>148</v>
      </c>
      <c r="AM55" s="116"/>
      <c r="AN55" s="116"/>
      <c r="AO55" s="116" t="s">
        <v>162</v>
      </c>
      <c r="AP55" s="116" t="s">
        <v>179</v>
      </c>
      <c r="AQ55" s="116" t="s">
        <v>179</v>
      </c>
      <c r="AR55" s="116" t="s">
        <v>161</v>
      </c>
      <c r="AS55" s="116"/>
      <c r="AT55" s="17" t="s">
        <v>217</v>
      </c>
      <c r="AU55" s="116"/>
      <c r="AV55" s="117"/>
      <c r="AW55" s="118">
        <v>41334</v>
      </c>
      <c r="AX55" s="118">
        <v>41579</v>
      </c>
      <c r="AY55" s="118" t="s">
        <v>148</v>
      </c>
      <c r="AZ55" s="118">
        <v>42860</v>
      </c>
      <c r="BA55" s="118">
        <v>42860</v>
      </c>
      <c r="BB55" s="118"/>
      <c r="BC55" s="118"/>
      <c r="BD55" s="118"/>
      <c r="BE55" s="119" t="s">
        <v>887</v>
      </c>
      <c r="BF55" s="118">
        <v>42948</v>
      </c>
      <c r="BG55" s="118" t="s">
        <v>161</v>
      </c>
      <c r="BH55" s="118">
        <v>43164</v>
      </c>
      <c r="BI55" s="118" t="s">
        <v>161</v>
      </c>
      <c r="BJ55" s="117"/>
      <c r="BK55" s="117"/>
      <c r="BL55" s="117"/>
      <c r="BM55" s="120"/>
      <c r="BN55" s="125" t="s">
        <v>17</v>
      </c>
      <c r="BO55" s="224"/>
      <c r="BP55" s="116"/>
      <c r="BQ55" s="116"/>
      <c r="BR55" s="116">
        <v>0</v>
      </c>
      <c r="BS55" s="116">
        <v>0</v>
      </c>
      <c r="BT55" s="116">
        <v>0</v>
      </c>
      <c r="BU55" s="116">
        <v>0</v>
      </c>
      <c r="BV55" s="116">
        <v>0</v>
      </c>
      <c r="BW55" s="116">
        <v>0</v>
      </c>
      <c r="BX55" s="116">
        <v>0</v>
      </c>
      <c r="BY55" s="116" t="s">
        <v>161</v>
      </c>
      <c r="BZ55" s="116">
        <v>0</v>
      </c>
      <c r="CA55" s="116"/>
      <c r="CB55" s="122"/>
      <c r="CC55" s="122"/>
      <c r="CD55" s="116"/>
      <c r="CE55" s="116" t="s">
        <v>161</v>
      </c>
      <c r="CF55" s="116"/>
      <c r="CG55" s="116"/>
      <c r="CH55" s="372">
        <v>4</v>
      </c>
      <c r="CI55" s="116">
        <v>5</v>
      </c>
      <c r="CJ55" s="116"/>
      <c r="CK55" s="116" t="s">
        <v>498</v>
      </c>
    </row>
    <row r="56" spans="1:102" ht="25" customHeight="1" x14ac:dyDescent="0.35">
      <c r="A56" s="116">
        <v>58</v>
      </c>
      <c r="B56" s="116" t="s">
        <v>888</v>
      </c>
      <c r="C56" s="116" t="s">
        <v>889</v>
      </c>
      <c r="D56" s="116" t="s">
        <v>890</v>
      </c>
      <c r="E56" s="116" t="s">
        <v>891</v>
      </c>
      <c r="F56" s="116" t="s">
        <v>4139</v>
      </c>
      <c r="G56" s="116">
        <v>3</v>
      </c>
      <c r="H56" s="116" t="s">
        <v>50</v>
      </c>
      <c r="I56" s="116" t="s">
        <v>37</v>
      </c>
      <c r="J56" s="116" t="s">
        <v>892</v>
      </c>
      <c r="K56" s="116" t="s">
        <v>528</v>
      </c>
      <c r="L56" s="116" t="s">
        <v>37</v>
      </c>
      <c r="M56" s="116" t="s">
        <v>148</v>
      </c>
      <c r="N56" s="223" t="s">
        <v>893</v>
      </c>
      <c r="O56" s="228" t="s">
        <v>149</v>
      </c>
      <c r="P56" s="22" t="s">
        <v>149</v>
      </c>
      <c r="Q56" s="116" t="s">
        <v>149</v>
      </c>
      <c r="R56" s="116" t="s">
        <v>894</v>
      </c>
      <c r="S56" s="121" t="s">
        <v>895</v>
      </c>
      <c r="T56" s="343" t="s">
        <v>896</v>
      </c>
      <c r="U56" s="229" t="s">
        <v>897</v>
      </c>
      <c r="V56" s="229">
        <v>26787</v>
      </c>
      <c r="W56" s="121" t="s">
        <v>898</v>
      </c>
      <c r="X56" s="121" t="s">
        <v>177</v>
      </c>
      <c r="Y56" s="121" t="s">
        <v>161</v>
      </c>
      <c r="Z56" s="121" t="s">
        <v>156</v>
      </c>
      <c r="AA56" s="116">
        <v>22.5</v>
      </c>
      <c r="AB56" s="117">
        <v>41130</v>
      </c>
      <c r="AC56" s="283">
        <v>41334</v>
      </c>
      <c r="AD56" s="117"/>
      <c r="AE56" s="20" t="s">
        <v>899</v>
      </c>
      <c r="AF56" s="20" t="s">
        <v>900</v>
      </c>
      <c r="AG56" s="127"/>
      <c r="AH56" s="116">
        <f t="shared" si="5"/>
        <v>2</v>
      </c>
      <c r="AI56" s="20" t="s">
        <v>159</v>
      </c>
      <c r="AJ56" s="127"/>
      <c r="AK56" s="127"/>
      <c r="AL56" s="127" t="s">
        <v>148</v>
      </c>
      <c r="AM56" s="127"/>
      <c r="AN56" s="127"/>
      <c r="AO56" s="127" t="s">
        <v>162</v>
      </c>
      <c r="AP56" s="127" t="s">
        <v>179</v>
      </c>
      <c r="AQ56" s="230" t="s">
        <v>248</v>
      </c>
      <c r="AR56" s="127" t="s">
        <v>148</v>
      </c>
      <c r="AS56" s="127"/>
      <c r="AT56" s="408" t="s">
        <v>202</v>
      </c>
      <c r="AU56" s="116" t="s">
        <v>901</v>
      </c>
      <c r="AV56" s="117"/>
      <c r="AW56" s="118">
        <v>41334</v>
      </c>
      <c r="AX56" s="118">
        <v>41579</v>
      </c>
      <c r="AY56" s="118" t="s">
        <v>148</v>
      </c>
      <c r="AZ56" s="118">
        <v>41802</v>
      </c>
      <c r="BA56" s="118"/>
      <c r="BB56" s="118">
        <v>41960</v>
      </c>
      <c r="BC56" s="118"/>
      <c r="BD56" s="118"/>
      <c r="BE56" s="119" t="s">
        <v>902</v>
      </c>
      <c r="BF56" s="118">
        <v>42217</v>
      </c>
      <c r="BG56" s="118" t="s">
        <v>148</v>
      </c>
      <c r="BH56" s="118">
        <v>42428</v>
      </c>
      <c r="BI56" s="118" t="s">
        <v>148</v>
      </c>
      <c r="BJ56" s="117">
        <v>42522</v>
      </c>
      <c r="BK56" s="117">
        <v>42660</v>
      </c>
      <c r="BL56" s="117">
        <v>42678</v>
      </c>
      <c r="BM56" s="120">
        <v>42678</v>
      </c>
      <c r="BN56" s="116" t="s">
        <v>16</v>
      </c>
      <c r="BO56" s="224">
        <f t="shared" ref="BO56:BO60" si="12">DATEDIF(AW56,BM56, "M")+1</f>
        <v>45</v>
      </c>
      <c r="BP56" s="116">
        <f t="shared" ref="BP56:BP60" si="13">DATEDIF(AX56,BM56, "M")+1</f>
        <v>37</v>
      </c>
      <c r="BQ56" s="121" t="s">
        <v>902</v>
      </c>
      <c r="BR56" s="116">
        <v>0</v>
      </c>
      <c r="BS56" s="116">
        <v>1</v>
      </c>
      <c r="BT56" s="116">
        <v>4</v>
      </c>
      <c r="BU56" s="116">
        <v>0</v>
      </c>
      <c r="BV56" s="116">
        <v>0</v>
      </c>
      <c r="BW56" s="116">
        <v>2</v>
      </c>
      <c r="BX56" s="116">
        <v>0</v>
      </c>
      <c r="BY56" s="116" t="s">
        <v>161</v>
      </c>
      <c r="BZ56" s="116">
        <v>0</v>
      </c>
      <c r="CA56" s="116"/>
      <c r="CB56" s="122"/>
      <c r="CC56" s="122"/>
      <c r="CD56" s="116"/>
      <c r="CE56" s="116" t="s">
        <v>161</v>
      </c>
      <c r="CF56" s="116"/>
      <c r="CG56" s="116"/>
      <c r="CH56" s="372">
        <v>3</v>
      </c>
      <c r="CI56" s="116">
        <v>3</v>
      </c>
      <c r="CJ56" s="116"/>
      <c r="CK56" s="116" t="s">
        <v>536</v>
      </c>
    </row>
    <row r="57" spans="1:102" ht="25" customHeight="1" x14ac:dyDescent="0.35">
      <c r="A57" s="116">
        <v>59</v>
      </c>
      <c r="B57" s="116" t="s">
        <v>903</v>
      </c>
      <c r="C57" s="116" t="s">
        <v>904</v>
      </c>
      <c r="D57" s="116" t="s">
        <v>905</v>
      </c>
      <c r="E57" s="116" t="s">
        <v>906</v>
      </c>
      <c r="F57" s="116" t="s">
        <v>4139</v>
      </c>
      <c r="G57" s="116">
        <v>3</v>
      </c>
      <c r="H57" s="116" t="s">
        <v>52</v>
      </c>
      <c r="I57" s="116" t="s">
        <v>39</v>
      </c>
      <c r="J57" s="116" t="s">
        <v>475</v>
      </c>
      <c r="K57" s="116"/>
      <c r="L57" s="116" t="s">
        <v>39</v>
      </c>
      <c r="M57" s="116" t="s">
        <v>148</v>
      </c>
      <c r="N57" s="223"/>
      <c r="O57" s="228" t="s">
        <v>149</v>
      </c>
      <c r="P57" s="22" t="s">
        <v>149</v>
      </c>
      <c r="Q57" s="116" t="s">
        <v>149</v>
      </c>
      <c r="R57" s="388" t="s">
        <v>907</v>
      </c>
      <c r="S57" s="116" t="s">
        <v>908</v>
      </c>
      <c r="T57" s="342" t="s">
        <v>909</v>
      </c>
      <c r="U57" s="117" t="s">
        <v>910</v>
      </c>
      <c r="V57" s="117">
        <v>26608</v>
      </c>
      <c r="W57" s="121" t="s">
        <v>911</v>
      </c>
      <c r="X57" s="121" t="s">
        <v>177</v>
      </c>
      <c r="Y57" s="121" t="s">
        <v>161</v>
      </c>
      <c r="Z57" s="121" t="s">
        <v>156</v>
      </c>
      <c r="AA57" s="116">
        <v>20</v>
      </c>
      <c r="AB57" s="117">
        <v>41178</v>
      </c>
      <c r="AC57" s="283">
        <v>41334</v>
      </c>
      <c r="AD57" s="117"/>
      <c r="AE57" s="20" t="s">
        <v>912</v>
      </c>
      <c r="AF57" s="124"/>
      <c r="AG57" s="124"/>
      <c r="AH57" s="116">
        <f t="shared" si="5"/>
        <v>1</v>
      </c>
      <c r="AI57" s="20" t="s">
        <v>159</v>
      </c>
      <c r="AJ57" s="124"/>
      <c r="AK57" s="124"/>
      <c r="AL57" s="124" t="s">
        <v>148</v>
      </c>
      <c r="AM57" s="124"/>
      <c r="AN57" s="124"/>
      <c r="AO57" s="124" t="s">
        <v>162</v>
      </c>
      <c r="AP57" s="124" t="s">
        <v>443</v>
      </c>
      <c r="AQ57" s="124" t="s">
        <v>248</v>
      </c>
      <c r="AR57" s="124" t="s">
        <v>148</v>
      </c>
      <c r="AS57" s="230" t="s">
        <v>913</v>
      </c>
      <c r="AT57" s="407" t="s">
        <v>283</v>
      </c>
      <c r="AU57" s="116" t="s">
        <v>914</v>
      </c>
      <c r="AV57" s="117"/>
      <c r="AW57" s="118">
        <v>41334</v>
      </c>
      <c r="AX57" s="118">
        <v>41579</v>
      </c>
      <c r="AY57" s="118" t="s">
        <v>148</v>
      </c>
      <c r="AZ57" s="118">
        <v>41506</v>
      </c>
      <c r="BA57" s="116"/>
      <c r="BB57" s="118">
        <v>43403</v>
      </c>
      <c r="BC57" s="118"/>
      <c r="BD57" s="118"/>
      <c r="BE57" s="119" t="s">
        <v>915</v>
      </c>
      <c r="BF57" s="118">
        <v>42217</v>
      </c>
      <c r="BG57" s="118" t="s">
        <v>148</v>
      </c>
      <c r="BH57" s="118">
        <v>42428</v>
      </c>
      <c r="BI57" s="118" t="s">
        <v>148</v>
      </c>
      <c r="BJ57" s="117">
        <v>42205</v>
      </c>
      <c r="BK57" s="117">
        <v>42231</v>
      </c>
      <c r="BL57" s="117">
        <v>42258</v>
      </c>
      <c r="BM57" s="120">
        <v>42350</v>
      </c>
      <c r="BN57" s="116" t="s">
        <v>16</v>
      </c>
      <c r="BO57" s="224">
        <f t="shared" si="12"/>
        <v>34</v>
      </c>
      <c r="BP57" s="116">
        <f t="shared" si="13"/>
        <v>26</v>
      </c>
      <c r="BQ57" s="121" t="s">
        <v>915</v>
      </c>
      <c r="BR57" s="116">
        <v>3</v>
      </c>
      <c r="BS57" s="116">
        <v>1</v>
      </c>
      <c r="BT57" s="116">
        <v>13</v>
      </c>
      <c r="BU57" s="116">
        <v>2</v>
      </c>
      <c r="BV57" s="116">
        <v>0</v>
      </c>
      <c r="BW57" s="116">
        <v>3</v>
      </c>
      <c r="BX57" s="116">
        <v>0</v>
      </c>
      <c r="BY57" s="116" t="s">
        <v>161</v>
      </c>
      <c r="BZ57" s="116">
        <v>0</v>
      </c>
      <c r="CA57" s="116"/>
      <c r="CB57" s="122"/>
      <c r="CC57" s="122"/>
      <c r="CD57" s="116"/>
      <c r="CE57" s="116" t="s">
        <v>161</v>
      </c>
      <c r="CF57" s="116"/>
      <c r="CG57" s="116"/>
      <c r="CH57" s="372">
        <v>2</v>
      </c>
      <c r="CI57" s="116">
        <v>3</v>
      </c>
      <c r="CJ57" s="116"/>
      <c r="CK57" s="116" t="s">
        <v>536</v>
      </c>
    </row>
    <row r="58" spans="1:102" ht="25" customHeight="1" x14ac:dyDescent="0.35">
      <c r="A58" s="116">
        <v>60</v>
      </c>
      <c r="B58" s="116" t="s">
        <v>916</v>
      </c>
      <c r="C58" s="116" t="s">
        <v>917</v>
      </c>
      <c r="D58" s="116" t="s">
        <v>918</v>
      </c>
      <c r="E58" s="116" t="s">
        <v>919</v>
      </c>
      <c r="F58" s="116" t="s">
        <v>4140</v>
      </c>
      <c r="G58" s="116">
        <v>3</v>
      </c>
      <c r="H58" s="116" t="s">
        <v>50</v>
      </c>
      <c r="I58" s="116" t="s">
        <v>37</v>
      </c>
      <c r="J58" s="116" t="s">
        <v>475</v>
      </c>
      <c r="K58" s="116" t="s">
        <v>920</v>
      </c>
      <c r="L58" s="116" t="s">
        <v>42</v>
      </c>
      <c r="M58" s="116" t="s">
        <v>161</v>
      </c>
      <c r="N58" s="223" t="s">
        <v>921</v>
      </c>
      <c r="O58" s="228" t="s">
        <v>149</v>
      </c>
      <c r="P58" s="22" t="s">
        <v>149</v>
      </c>
      <c r="Q58" s="116" t="s">
        <v>149</v>
      </c>
      <c r="R58" s="388" t="s">
        <v>922</v>
      </c>
      <c r="S58" s="116" t="s">
        <v>923</v>
      </c>
      <c r="T58" s="342" t="s">
        <v>924</v>
      </c>
      <c r="U58" s="117" t="s">
        <v>925</v>
      </c>
      <c r="V58" s="117">
        <v>28293</v>
      </c>
      <c r="W58" s="121" t="s">
        <v>926</v>
      </c>
      <c r="X58" s="121" t="s">
        <v>177</v>
      </c>
      <c r="Y58" s="121" t="s">
        <v>161</v>
      </c>
      <c r="Z58" s="121" t="s">
        <v>156</v>
      </c>
      <c r="AA58" s="116">
        <v>3.5</v>
      </c>
      <c r="AB58" s="117">
        <v>41432</v>
      </c>
      <c r="AC58" s="283">
        <v>41334</v>
      </c>
      <c r="AD58" s="117"/>
      <c r="AE58" s="20" t="s">
        <v>927</v>
      </c>
      <c r="AF58" s="124"/>
      <c r="AG58" s="124"/>
      <c r="AH58" s="116">
        <f t="shared" si="5"/>
        <v>1</v>
      </c>
      <c r="AI58" s="20" t="s">
        <v>159</v>
      </c>
      <c r="AJ58" s="124"/>
      <c r="AK58" s="124"/>
      <c r="AL58" s="124" t="s">
        <v>148</v>
      </c>
      <c r="AM58" s="124"/>
      <c r="AN58" s="124"/>
      <c r="AO58" s="124" t="s">
        <v>162</v>
      </c>
      <c r="AP58" s="124" t="s">
        <v>179</v>
      </c>
      <c r="AQ58" s="124" t="s">
        <v>201</v>
      </c>
      <c r="AR58" s="124" t="s">
        <v>148</v>
      </c>
      <c r="AS58" s="230" t="s">
        <v>928</v>
      </c>
      <c r="AT58" s="407" t="s">
        <v>202</v>
      </c>
      <c r="AU58" s="116" t="s">
        <v>929</v>
      </c>
      <c r="AV58" s="117"/>
      <c r="AW58" s="118">
        <v>41334</v>
      </c>
      <c r="AX58" s="118">
        <v>41579</v>
      </c>
      <c r="AY58" s="118" t="s">
        <v>148</v>
      </c>
      <c r="AZ58" s="118"/>
      <c r="BA58" s="118"/>
      <c r="BB58" s="118"/>
      <c r="BC58" s="118"/>
      <c r="BD58" s="118"/>
      <c r="BE58" s="119"/>
      <c r="BF58" s="118">
        <v>42217</v>
      </c>
      <c r="BG58" s="118" t="s">
        <v>148</v>
      </c>
      <c r="BH58" s="118">
        <v>42428</v>
      </c>
      <c r="BI58" s="118" t="s">
        <v>148</v>
      </c>
      <c r="BJ58" s="117"/>
      <c r="BK58" s="117"/>
      <c r="BL58" s="117"/>
      <c r="BM58" s="120">
        <v>42855</v>
      </c>
      <c r="BN58" s="116" t="s">
        <v>16</v>
      </c>
      <c r="BO58" s="224">
        <f t="shared" si="12"/>
        <v>50</v>
      </c>
      <c r="BP58" s="116">
        <f t="shared" si="13"/>
        <v>42</v>
      </c>
      <c r="BQ58" s="116"/>
      <c r="BR58" s="116">
        <v>3</v>
      </c>
      <c r="BS58" s="116">
        <v>3</v>
      </c>
      <c r="BT58" s="116">
        <v>10</v>
      </c>
      <c r="BU58" s="116">
        <v>4</v>
      </c>
      <c r="BV58" s="116">
        <v>1</v>
      </c>
      <c r="BW58" s="116">
        <v>0</v>
      </c>
      <c r="BX58" s="116">
        <v>0</v>
      </c>
      <c r="BY58" s="116" t="s">
        <v>161</v>
      </c>
      <c r="BZ58" s="116">
        <v>0</v>
      </c>
      <c r="CA58" s="116"/>
      <c r="CB58" s="122"/>
      <c r="CC58" s="122"/>
      <c r="CD58" s="116"/>
      <c r="CE58" s="116" t="s">
        <v>161</v>
      </c>
      <c r="CF58" s="116"/>
      <c r="CG58" s="116"/>
      <c r="CH58" s="372">
        <v>3</v>
      </c>
      <c r="CI58" s="116">
        <v>3</v>
      </c>
      <c r="CJ58" s="116"/>
      <c r="CK58" s="116" t="s">
        <v>807</v>
      </c>
    </row>
    <row r="59" spans="1:102" ht="25" customHeight="1" x14ac:dyDescent="0.35">
      <c r="A59" s="116">
        <v>61</v>
      </c>
      <c r="B59" s="116" t="s">
        <v>930</v>
      </c>
      <c r="C59" s="116" t="s">
        <v>931</v>
      </c>
      <c r="D59" s="116" t="s">
        <v>932</v>
      </c>
      <c r="E59" s="116" t="s">
        <v>933</v>
      </c>
      <c r="F59" s="116" t="s">
        <v>4139</v>
      </c>
      <c r="G59" s="116">
        <v>3</v>
      </c>
      <c r="H59" s="116" t="s">
        <v>52</v>
      </c>
      <c r="I59" s="116" t="s">
        <v>39</v>
      </c>
      <c r="J59" s="116" t="s">
        <v>934</v>
      </c>
      <c r="K59" s="116" t="s">
        <v>934</v>
      </c>
      <c r="L59" s="116" t="s">
        <v>44</v>
      </c>
      <c r="M59" s="116" t="s">
        <v>161</v>
      </c>
      <c r="N59" s="223">
        <v>671975</v>
      </c>
      <c r="O59" s="228" t="s">
        <v>149</v>
      </c>
      <c r="P59" s="22" t="s">
        <v>149</v>
      </c>
      <c r="Q59" s="116" t="s">
        <v>149</v>
      </c>
      <c r="R59" s="388" t="s">
        <v>935</v>
      </c>
      <c r="S59" s="121" t="s">
        <v>936</v>
      </c>
      <c r="T59" s="342" t="s">
        <v>937</v>
      </c>
      <c r="U59" s="117" t="s">
        <v>938</v>
      </c>
      <c r="V59" s="117">
        <v>27857</v>
      </c>
      <c r="W59" s="121" t="s">
        <v>939</v>
      </c>
      <c r="X59" s="121" t="s">
        <v>177</v>
      </c>
      <c r="Y59" s="121" t="s">
        <v>161</v>
      </c>
      <c r="Z59" s="121" t="s">
        <v>156</v>
      </c>
      <c r="AA59" s="116">
        <v>11.5</v>
      </c>
      <c r="AB59" s="117">
        <v>41330</v>
      </c>
      <c r="AC59" s="283">
        <v>41334</v>
      </c>
      <c r="AD59" s="117"/>
      <c r="AE59" s="20" t="s">
        <v>940</v>
      </c>
      <c r="AF59" s="127"/>
      <c r="AG59" s="127"/>
      <c r="AH59" s="116">
        <f t="shared" si="5"/>
        <v>1</v>
      </c>
      <c r="AI59" s="20" t="s">
        <v>160</v>
      </c>
      <c r="AJ59" s="127"/>
      <c r="AK59" s="127"/>
      <c r="AL59" s="127" t="s">
        <v>161</v>
      </c>
      <c r="AM59" s="127"/>
      <c r="AN59" s="127"/>
      <c r="AO59" s="127" t="s">
        <v>162</v>
      </c>
      <c r="AP59" s="127" t="s">
        <v>443</v>
      </c>
      <c r="AQ59" s="127" t="s">
        <v>941</v>
      </c>
      <c r="AR59" s="127" t="s">
        <v>148</v>
      </c>
      <c r="AS59" s="230" t="s">
        <v>942</v>
      </c>
      <c r="AT59" s="408" t="s">
        <v>283</v>
      </c>
      <c r="AU59" s="116" t="s">
        <v>943</v>
      </c>
      <c r="AV59" s="117"/>
      <c r="AW59" s="118">
        <v>41337</v>
      </c>
      <c r="AX59" s="118">
        <v>41579</v>
      </c>
      <c r="AY59" s="118" t="s">
        <v>148</v>
      </c>
      <c r="AZ59" s="118">
        <v>41485</v>
      </c>
      <c r="BA59" s="118"/>
      <c r="BB59" s="118">
        <v>41607</v>
      </c>
      <c r="BC59" s="118"/>
      <c r="BD59" s="118"/>
      <c r="BE59" s="119"/>
      <c r="BF59" s="118">
        <v>42227</v>
      </c>
      <c r="BG59" s="118" t="s">
        <v>148</v>
      </c>
      <c r="BH59" s="118">
        <v>42429</v>
      </c>
      <c r="BI59" s="118" t="s">
        <v>148</v>
      </c>
      <c r="BJ59" s="117">
        <v>42429</v>
      </c>
      <c r="BK59" s="117">
        <v>42559</v>
      </c>
      <c r="BL59" s="117">
        <v>42618</v>
      </c>
      <c r="BM59" s="120">
        <v>42620</v>
      </c>
      <c r="BN59" s="116" t="s">
        <v>16</v>
      </c>
      <c r="BO59" s="224">
        <f t="shared" si="12"/>
        <v>43</v>
      </c>
      <c r="BP59" s="116">
        <f t="shared" si="13"/>
        <v>35</v>
      </c>
      <c r="BQ59" s="121" t="s">
        <v>944</v>
      </c>
      <c r="BR59" s="116">
        <v>9</v>
      </c>
      <c r="BS59" s="116">
        <v>5</v>
      </c>
      <c r="BT59" s="116">
        <v>10</v>
      </c>
      <c r="BU59" s="116">
        <v>4</v>
      </c>
      <c r="BV59" s="116">
        <v>2</v>
      </c>
      <c r="BW59" s="116">
        <v>2</v>
      </c>
      <c r="BX59" s="116">
        <v>1</v>
      </c>
      <c r="BY59" s="116" t="s">
        <v>161</v>
      </c>
      <c r="BZ59" s="116">
        <v>0</v>
      </c>
      <c r="CA59" s="116"/>
      <c r="CB59" s="122"/>
      <c r="CC59" s="122"/>
      <c r="CD59" s="116"/>
      <c r="CE59" s="116" t="s">
        <v>161</v>
      </c>
      <c r="CF59" s="116"/>
      <c r="CG59" s="116"/>
      <c r="CH59" s="372">
        <v>1</v>
      </c>
      <c r="CI59" s="116">
        <v>3</v>
      </c>
      <c r="CJ59" s="116"/>
      <c r="CK59" s="116" t="s">
        <v>498</v>
      </c>
    </row>
    <row r="60" spans="1:102" ht="25" customHeight="1" x14ac:dyDescent="0.35">
      <c r="A60" s="116">
        <v>62</v>
      </c>
      <c r="B60" s="116" t="s">
        <v>945</v>
      </c>
      <c r="C60" s="116" t="s">
        <v>946</v>
      </c>
      <c r="D60" s="116" t="s">
        <v>947</v>
      </c>
      <c r="E60" s="116" t="s">
        <v>948</v>
      </c>
      <c r="F60" s="116" t="s">
        <v>4140</v>
      </c>
      <c r="G60" s="116">
        <v>3</v>
      </c>
      <c r="H60" s="116" t="s">
        <v>58</v>
      </c>
      <c r="I60" s="116" t="s">
        <v>35</v>
      </c>
      <c r="J60" s="116" t="s">
        <v>600</v>
      </c>
      <c r="K60" s="116" t="s">
        <v>949</v>
      </c>
      <c r="L60" s="116" t="s">
        <v>35</v>
      </c>
      <c r="M60" s="116" t="s">
        <v>148</v>
      </c>
      <c r="N60" s="116"/>
      <c r="O60" s="225" t="s">
        <v>149</v>
      </c>
      <c r="P60" s="226" t="s">
        <v>149</v>
      </c>
      <c r="Q60" s="116" t="s">
        <v>149</v>
      </c>
      <c r="R60" s="116" t="s">
        <v>950</v>
      </c>
      <c r="S60" s="121" t="s">
        <v>951</v>
      </c>
      <c r="T60" s="342" t="s">
        <v>952</v>
      </c>
      <c r="U60" s="117" t="s">
        <v>953</v>
      </c>
      <c r="V60" s="117">
        <v>28469</v>
      </c>
      <c r="W60" s="121" t="s">
        <v>954</v>
      </c>
      <c r="X60" s="121" t="s">
        <v>177</v>
      </c>
      <c r="Y60" s="121" t="s">
        <v>161</v>
      </c>
      <c r="Z60" s="121" t="s">
        <v>156</v>
      </c>
      <c r="AA60" s="116">
        <v>20.5</v>
      </c>
      <c r="AB60" s="117">
        <v>41325</v>
      </c>
      <c r="AC60" s="283">
        <v>41334</v>
      </c>
      <c r="AD60" s="116"/>
      <c r="AE60" s="20" t="s">
        <v>955</v>
      </c>
      <c r="AF60" s="127" t="s">
        <v>956</v>
      </c>
      <c r="AG60" s="116"/>
      <c r="AH60" s="116">
        <f t="shared" si="5"/>
        <v>2</v>
      </c>
      <c r="AI60" s="121" t="s">
        <v>280</v>
      </c>
      <c r="AJ60" s="116" t="s">
        <v>159</v>
      </c>
      <c r="AK60" s="116"/>
      <c r="AL60" s="116" t="s">
        <v>161</v>
      </c>
      <c r="AM60" s="116"/>
      <c r="AN60" s="116"/>
      <c r="AO60" s="116" t="s">
        <v>957</v>
      </c>
      <c r="AP60" s="116" t="s">
        <v>179</v>
      </c>
      <c r="AQ60" s="116"/>
      <c r="AR60" s="116"/>
      <c r="AS60" s="116"/>
      <c r="AT60" s="17" t="s">
        <v>578</v>
      </c>
      <c r="AU60" s="116"/>
      <c r="AV60" s="117"/>
      <c r="AW60" s="118">
        <v>41334</v>
      </c>
      <c r="AX60" s="118">
        <v>41579</v>
      </c>
      <c r="AY60" s="118" t="s">
        <v>148</v>
      </c>
      <c r="AZ60" s="118"/>
      <c r="BA60" s="118"/>
      <c r="BB60" s="118"/>
      <c r="BC60" s="118"/>
      <c r="BD60" s="118"/>
      <c r="BE60" s="119"/>
      <c r="BF60" s="118">
        <v>42217</v>
      </c>
      <c r="BG60" s="118" t="s">
        <v>148</v>
      </c>
      <c r="BH60" s="118">
        <v>42428</v>
      </c>
      <c r="BI60" s="118" t="s">
        <v>148</v>
      </c>
      <c r="BJ60" s="117"/>
      <c r="BK60" s="117">
        <v>44578</v>
      </c>
      <c r="BL60" s="117"/>
      <c r="BM60" s="120">
        <v>44578</v>
      </c>
      <c r="BN60" s="116" t="s">
        <v>16</v>
      </c>
      <c r="BO60" s="224">
        <f t="shared" si="12"/>
        <v>107</v>
      </c>
      <c r="BP60" s="116">
        <f t="shared" si="13"/>
        <v>99</v>
      </c>
      <c r="BQ60" s="116" t="s">
        <v>958</v>
      </c>
      <c r="BR60" s="116">
        <v>0</v>
      </c>
      <c r="BS60" s="116">
        <v>0</v>
      </c>
      <c r="BT60" s="116">
        <v>0</v>
      </c>
      <c r="BU60" s="116">
        <v>0</v>
      </c>
      <c r="BV60" s="116">
        <v>0</v>
      </c>
      <c r="BW60" s="116">
        <v>0</v>
      </c>
      <c r="BX60" s="116">
        <v>0</v>
      </c>
      <c r="BY60" s="116" t="s">
        <v>161</v>
      </c>
      <c r="BZ60" s="116">
        <v>0</v>
      </c>
      <c r="CA60" s="116"/>
      <c r="CB60" s="122"/>
      <c r="CC60" s="122"/>
      <c r="CD60" s="116"/>
      <c r="CE60" s="116" t="s">
        <v>161</v>
      </c>
      <c r="CF60" s="116"/>
      <c r="CG60" s="116"/>
      <c r="CH60" s="372">
        <v>2</v>
      </c>
      <c r="CI60" s="116">
        <v>2</v>
      </c>
      <c r="CJ60" s="116"/>
      <c r="CK60" s="116" t="s">
        <v>536</v>
      </c>
    </row>
    <row r="61" spans="1:102" s="114" customFormat="1" ht="25" customHeight="1" x14ac:dyDescent="0.35">
      <c r="A61" s="91">
        <v>63</v>
      </c>
      <c r="B61" s="91" t="s">
        <v>959</v>
      </c>
      <c r="C61" s="91" t="s">
        <v>960</v>
      </c>
      <c r="D61" s="91" t="s">
        <v>961</v>
      </c>
      <c r="E61" s="91" t="s">
        <v>962</v>
      </c>
      <c r="F61" s="91" t="s">
        <v>4140</v>
      </c>
      <c r="G61" s="91">
        <v>3</v>
      </c>
      <c r="H61" s="91" t="s">
        <v>56</v>
      </c>
      <c r="I61" s="91" t="s">
        <v>44</v>
      </c>
      <c r="J61" s="91" t="s">
        <v>600</v>
      </c>
      <c r="K61" s="91"/>
      <c r="L61" s="91" t="s">
        <v>44</v>
      </c>
      <c r="M61" s="91" t="s">
        <v>148</v>
      </c>
      <c r="N61" s="91"/>
      <c r="O61" s="249"/>
      <c r="P61" s="250" t="s">
        <v>166</v>
      </c>
      <c r="Q61" s="91"/>
      <c r="R61" s="91" t="s">
        <v>963</v>
      </c>
      <c r="S61" s="91" t="s">
        <v>964</v>
      </c>
      <c r="T61" s="341" t="s">
        <v>965</v>
      </c>
      <c r="U61" s="92" t="s">
        <v>966</v>
      </c>
      <c r="V61" s="92">
        <v>29865</v>
      </c>
      <c r="W61" s="164" t="s">
        <v>967</v>
      </c>
      <c r="X61" s="164" t="s">
        <v>177</v>
      </c>
      <c r="Y61" s="164" t="s">
        <v>161</v>
      </c>
      <c r="Z61" s="164" t="s">
        <v>156</v>
      </c>
      <c r="AA61" s="91">
        <v>4</v>
      </c>
      <c r="AB61" s="92">
        <v>41345</v>
      </c>
      <c r="AC61" s="281">
        <v>41334</v>
      </c>
      <c r="AD61" s="92">
        <v>45741</v>
      </c>
      <c r="AE61" s="365" t="s">
        <v>968</v>
      </c>
      <c r="AF61" s="50" t="s">
        <v>969</v>
      </c>
      <c r="AG61" s="91"/>
      <c r="AH61" s="91">
        <f t="shared" si="5"/>
        <v>2</v>
      </c>
      <c r="AI61" s="366" t="s">
        <v>159</v>
      </c>
      <c r="AJ61" s="91" t="s">
        <v>200</v>
      </c>
      <c r="AK61" s="91"/>
      <c r="AL61" s="91" t="s">
        <v>148</v>
      </c>
      <c r="AM61" s="91" t="s">
        <v>161</v>
      </c>
      <c r="AN61" s="91"/>
      <c r="AO61" s="91" t="s">
        <v>162</v>
      </c>
      <c r="AP61" s="91" t="s">
        <v>180</v>
      </c>
      <c r="AQ61" s="91"/>
      <c r="AR61" s="91"/>
      <c r="AS61" s="91"/>
      <c r="AT61" s="10" t="s">
        <v>370</v>
      </c>
      <c r="AU61" s="91" t="s">
        <v>970</v>
      </c>
      <c r="AV61" s="92"/>
      <c r="AW61" s="93">
        <v>41334</v>
      </c>
      <c r="AX61" s="93">
        <v>41579</v>
      </c>
      <c r="AY61" s="93" t="s">
        <v>148</v>
      </c>
      <c r="AZ61" s="93"/>
      <c r="BA61" s="93"/>
      <c r="BB61" s="93"/>
      <c r="BC61" s="93"/>
      <c r="BD61" s="93"/>
      <c r="BE61" s="94"/>
      <c r="BF61" s="93">
        <v>42217</v>
      </c>
      <c r="BG61" s="93" t="s">
        <v>148</v>
      </c>
      <c r="BH61" s="93">
        <v>42428</v>
      </c>
      <c r="BI61" s="93" t="s">
        <v>148</v>
      </c>
      <c r="BJ61" s="92"/>
      <c r="BK61" s="92"/>
      <c r="BL61" s="92"/>
      <c r="BM61" s="109"/>
      <c r="BN61" s="151" t="s">
        <v>18</v>
      </c>
      <c r="BO61" s="265"/>
      <c r="BP61" s="91"/>
      <c r="BQ61" s="91"/>
      <c r="BR61" s="91">
        <v>1</v>
      </c>
      <c r="BS61" s="91">
        <v>13</v>
      </c>
      <c r="BT61" s="91">
        <v>0</v>
      </c>
      <c r="BU61" s="91">
        <v>0</v>
      </c>
      <c r="BV61" s="91">
        <v>0</v>
      </c>
      <c r="BW61" s="91">
        <v>0</v>
      </c>
      <c r="BX61" s="91">
        <v>0</v>
      </c>
      <c r="BY61" s="91" t="s">
        <v>161</v>
      </c>
      <c r="BZ61" s="91">
        <v>0</v>
      </c>
      <c r="CA61" s="91"/>
      <c r="CB61" s="95"/>
      <c r="CC61" s="95"/>
      <c r="CD61" s="91"/>
      <c r="CE61" s="91" t="s">
        <v>161</v>
      </c>
      <c r="CF61" s="91"/>
      <c r="CG61" s="91"/>
      <c r="CH61" s="113" t="s">
        <v>166</v>
      </c>
      <c r="CI61" s="91" t="s">
        <v>166</v>
      </c>
      <c r="CJ61" s="91"/>
      <c r="CK61" s="91" t="s">
        <v>166</v>
      </c>
      <c r="CS61" s="364"/>
      <c r="CT61" s="364"/>
      <c r="CU61" s="364"/>
      <c r="CW61" s="364"/>
      <c r="CX61" s="364"/>
    </row>
    <row r="62" spans="1:102" ht="25" customHeight="1" x14ac:dyDescent="0.35">
      <c r="A62" s="116">
        <v>64</v>
      </c>
      <c r="B62" s="116" t="s">
        <v>971</v>
      </c>
      <c r="C62" s="116" t="s">
        <v>972</v>
      </c>
      <c r="D62" s="116" t="s">
        <v>973</v>
      </c>
      <c r="E62" s="116" t="s">
        <v>974</v>
      </c>
      <c r="F62" s="116" t="s">
        <v>4140</v>
      </c>
      <c r="G62" s="116">
        <v>3</v>
      </c>
      <c r="H62" s="116" t="s">
        <v>52</v>
      </c>
      <c r="I62" s="116" t="s">
        <v>39</v>
      </c>
      <c r="J62" s="116" t="s">
        <v>360</v>
      </c>
      <c r="K62" s="116" t="s">
        <v>975</v>
      </c>
      <c r="L62" s="116" t="s">
        <v>39</v>
      </c>
      <c r="M62" s="116" t="s">
        <v>148</v>
      </c>
      <c r="N62" s="223" t="s">
        <v>976</v>
      </c>
      <c r="O62" s="228" t="s">
        <v>149</v>
      </c>
      <c r="P62" s="22" t="s">
        <v>149</v>
      </c>
      <c r="Q62" s="116" t="s">
        <v>149</v>
      </c>
      <c r="R62" s="388" t="s">
        <v>977</v>
      </c>
      <c r="S62" s="116" t="s">
        <v>978</v>
      </c>
      <c r="T62" s="342" t="s">
        <v>979</v>
      </c>
      <c r="U62" s="117" t="s">
        <v>980</v>
      </c>
      <c r="V62" s="117">
        <v>27926</v>
      </c>
      <c r="W62" s="121" t="s">
        <v>981</v>
      </c>
      <c r="X62" s="121" t="s">
        <v>177</v>
      </c>
      <c r="Y62" s="121" t="s">
        <v>161</v>
      </c>
      <c r="Z62" s="121" t="s">
        <v>307</v>
      </c>
      <c r="AA62" s="116">
        <v>19.5</v>
      </c>
      <c r="AB62" s="117">
        <v>41304</v>
      </c>
      <c r="AC62" s="283">
        <v>41334</v>
      </c>
      <c r="AD62" s="117"/>
      <c r="AE62" s="20" t="s">
        <v>982</v>
      </c>
      <c r="AF62" s="23" t="s">
        <v>983</v>
      </c>
      <c r="AG62" s="124"/>
      <c r="AH62" s="116">
        <f t="shared" si="5"/>
        <v>2</v>
      </c>
      <c r="AI62" s="20" t="s">
        <v>159</v>
      </c>
      <c r="AJ62" s="20" t="s">
        <v>159</v>
      </c>
      <c r="AK62" s="124"/>
      <c r="AL62" s="124" t="s">
        <v>148</v>
      </c>
      <c r="AM62" s="124" t="s">
        <v>148</v>
      </c>
      <c r="AN62" s="124"/>
      <c r="AO62" s="124" t="s">
        <v>162</v>
      </c>
      <c r="AP62" s="124" t="s">
        <v>443</v>
      </c>
      <c r="AQ62" s="128" t="s">
        <v>941</v>
      </c>
      <c r="AR62" s="124" t="s">
        <v>148</v>
      </c>
      <c r="AS62" s="230" t="s">
        <v>984</v>
      </c>
      <c r="AT62" s="407" t="s">
        <v>283</v>
      </c>
      <c r="AU62" s="116" t="s">
        <v>985</v>
      </c>
      <c r="AV62" s="117"/>
      <c r="AW62" s="118">
        <v>41334</v>
      </c>
      <c r="AX62" s="118">
        <v>41579</v>
      </c>
      <c r="AY62" s="118" t="s">
        <v>148</v>
      </c>
      <c r="AZ62" s="118"/>
      <c r="BA62" s="118"/>
      <c r="BB62" s="118"/>
      <c r="BC62" s="118"/>
      <c r="BD62" s="118"/>
      <c r="BE62" s="119"/>
      <c r="BF62" s="118">
        <v>42217</v>
      </c>
      <c r="BG62" s="118" t="s">
        <v>148</v>
      </c>
      <c r="BH62" s="118">
        <v>42428</v>
      </c>
      <c r="BI62" s="118" t="s">
        <v>148</v>
      </c>
      <c r="BJ62" s="117"/>
      <c r="BK62" s="117"/>
      <c r="BL62" s="117"/>
      <c r="BM62" s="120">
        <v>42151</v>
      </c>
      <c r="BN62" s="116" t="s">
        <v>16</v>
      </c>
      <c r="BO62" s="224">
        <f t="shared" ref="BO62:BO64" si="14">DATEDIF(AW62,BM62, "M")+1</f>
        <v>27</v>
      </c>
      <c r="BP62" s="116">
        <f t="shared" ref="BP62:BP64" si="15">DATEDIF(AX62,BM62, "M")+1</f>
        <v>19</v>
      </c>
      <c r="BQ62" s="116"/>
      <c r="BR62" s="116">
        <v>1</v>
      </c>
      <c r="BS62" s="116">
        <v>0</v>
      </c>
      <c r="BT62" s="116">
        <v>12</v>
      </c>
      <c r="BU62" s="116">
        <v>0</v>
      </c>
      <c r="BV62" s="116">
        <v>0</v>
      </c>
      <c r="BW62" s="116">
        <v>1</v>
      </c>
      <c r="BX62" s="116">
        <v>1</v>
      </c>
      <c r="BY62" s="116" t="s">
        <v>986</v>
      </c>
      <c r="BZ62" s="116">
        <v>0</v>
      </c>
      <c r="CA62" s="116"/>
      <c r="CB62" s="122"/>
      <c r="CC62" s="122"/>
      <c r="CD62" s="116"/>
      <c r="CE62" s="116" t="s">
        <v>161</v>
      </c>
      <c r="CF62" s="116"/>
      <c r="CG62" s="116"/>
      <c r="CH62" s="372">
        <v>5</v>
      </c>
      <c r="CI62" s="116">
        <v>5</v>
      </c>
      <c r="CJ62" s="116"/>
      <c r="CK62" s="116" t="s">
        <v>536</v>
      </c>
    </row>
    <row r="63" spans="1:102" ht="25" customHeight="1" x14ac:dyDescent="0.35">
      <c r="A63" s="116">
        <v>65</v>
      </c>
      <c r="B63" s="116" t="s">
        <v>987</v>
      </c>
      <c r="C63" s="116" t="s">
        <v>988</v>
      </c>
      <c r="D63" s="116" t="s">
        <v>989</v>
      </c>
      <c r="E63" s="116" t="s">
        <v>990</v>
      </c>
      <c r="F63" s="116" t="s">
        <v>4140</v>
      </c>
      <c r="G63" s="116">
        <v>3</v>
      </c>
      <c r="H63" s="116" t="s">
        <v>52</v>
      </c>
      <c r="I63" s="116" t="s">
        <v>31</v>
      </c>
      <c r="J63" s="116" t="s">
        <v>600</v>
      </c>
      <c r="K63" s="116"/>
      <c r="L63" s="116" t="s">
        <v>31</v>
      </c>
      <c r="M63" s="116" t="s">
        <v>148</v>
      </c>
      <c r="N63" s="223"/>
      <c r="O63" s="228" t="s">
        <v>149</v>
      </c>
      <c r="P63" s="22" t="s">
        <v>149</v>
      </c>
      <c r="Q63" s="116" t="s">
        <v>149</v>
      </c>
      <c r="R63" s="116" t="s">
        <v>991</v>
      </c>
      <c r="S63" s="116" t="s">
        <v>992</v>
      </c>
      <c r="T63" s="342" t="s">
        <v>993</v>
      </c>
      <c r="U63" s="117" t="s">
        <v>994</v>
      </c>
      <c r="V63" s="117">
        <v>28167</v>
      </c>
      <c r="W63" s="121" t="s">
        <v>995</v>
      </c>
      <c r="X63" s="121" t="s">
        <v>177</v>
      </c>
      <c r="Y63" s="121" t="s">
        <v>161</v>
      </c>
      <c r="Z63" s="121" t="s">
        <v>156</v>
      </c>
      <c r="AA63" s="116">
        <v>15</v>
      </c>
      <c r="AB63" s="117">
        <v>41178</v>
      </c>
      <c r="AC63" s="283">
        <v>41334</v>
      </c>
      <c r="AD63" s="117"/>
      <c r="AE63" s="20" t="s">
        <v>996</v>
      </c>
      <c r="AF63" s="124"/>
      <c r="AG63" s="124"/>
      <c r="AH63" s="116">
        <f t="shared" si="5"/>
        <v>1</v>
      </c>
      <c r="AI63" s="20" t="s">
        <v>159</v>
      </c>
      <c r="AJ63" s="124"/>
      <c r="AK63" s="124"/>
      <c r="AL63" s="124" t="s">
        <v>148</v>
      </c>
      <c r="AM63" s="124"/>
      <c r="AN63" s="124"/>
      <c r="AO63" s="124" t="s">
        <v>162</v>
      </c>
      <c r="AP63" s="124" t="s">
        <v>997</v>
      </c>
      <c r="AQ63" s="128" t="s">
        <v>998</v>
      </c>
      <c r="AR63" s="124" t="s">
        <v>148</v>
      </c>
      <c r="AS63" s="124"/>
      <c r="AT63" s="409" t="s">
        <v>999</v>
      </c>
      <c r="AU63" s="116" t="s">
        <v>1000</v>
      </c>
      <c r="AV63" s="117"/>
      <c r="AW63" s="118">
        <v>41337</v>
      </c>
      <c r="AX63" s="118">
        <v>41596</v>
      </c>
      <c r="AY63" s="118" t="s">
        <v>148</v>
      </c>
      <c r="AZ63" s="118">
        <v>41883</v>
      </c>
      <c r="BA63" s="118"/>
      <c r="BB63" s="118">
        <v>42040</v>
      </c>
      <c r="BC63" s="118"/>
      <c r="BD63" s="118"/>
      <c r="BE63" s="119"/>
      <c r="BF63" s="118">
        <v>42217</v>
      </c>
      <c r="BG63" s="118" t="s">
        <v>148</v>
      </c>
      <c r="BH63" s="118">
        <v>42429</v>
      </c>
      <c r="BI63" s="118" t="s">
        <v>148</v>
      </c>
      <c r="BJ63" s="117"/>
      <c r="BK63" s="117" t="s">
        <v>1001</v>
      </c>
      <c r="BL63" s="117">
        <v>42957</v>
      </c>
      <c r="BM63" s="120">
        <v>42825</v>
      </c>
      <c r="BN63" s="116" t="s">
        <v>16</v>
      </c>
      <c r="BO63" s="224">
        <f t="shared" si="14"/>
        <v>49</v>
      </c>
      <c r="BP63" s="116">
        <f t="shared" si="15"/>
        <v>41</v>
      </c>
      <c r="BQ63" s="121" t="s">
        <v>1002</v>
      </c>
      <c r="BR63" s="116">
        <v>1</v>
      </c>
      <c r="BS63" s="116">
        <v>3</v>
      </c>
      <c r="BT63" s="116">
        <v>6</v>
      </c>
      <c r="BU63" s="116">
        <v>3</v>
      </c>
      <c r="BV63" s="116">
        <v>0</v>
      </c>
      <c r="BW63" s="116">
        <v>0</v>
      </c>
      <c r="BX63" s="116">
        <v>0</v>
      </c>
      <c r="BY63" s="116" t="s">
        <v>161</v>
      </c>
      <c r="BZ63" s="116">
        <v>0</v>
      </c>
      <c r="CA63" s="116"/>
      <c r="CB63" s="122"/>
      <c r="CC63" s="122"/>
      <c r="CD63" s="116"/>
      <c r="CE63" s="116" t="s">
        <v>161</v>
      </c>
      <c r="CF63" s="116"/>
      <c r="CG63" s="116"/>
      <c r="CH63" s="372">
        <v>3</v>
      </c>
      <c r="CI63" s="116">
        <v>3</v>
      </c>
      <c r="CJ63" s="116"/>
      <c r="CK63" s="116" t="s">
        <v>807</v>
      </c>
    </row>
    <row r="64" spans="1:102" ht="25" customHeight="1" x14ac:dyDescent="0.35">
      <c r="A64" s="116">
        <v>66</v>
      </c>
      <c r="B64" s="116" t="s">
        <v>1003</v>
      </c>
      <c r="C64" s="116" t="s">
        <v>1004</v>
      </c>
      <c r="D64" s="116" t="s">
        <v>20</v>
      </c>
      <c r="E64" s="116" t="s">
        <v>1005</v>
      </c>
      <c r="F64" s="116" t="s">
        <v>4140</v>
      </c>
      <c r="G64" s="116">
        <v>3</v>
      </c>
      <c r="H64" s="116" t="s">
        <v>57</v>
      </c>
      <c r="I64" s="116" t="s">
        <v>41</v>
      </c>
      <c r="J64" s="116" t="s">
        <v>1006</v>
      </c>
      <c r="K64" s="116" t="s">
        <v>1007</v>
      </c>
      <c r="L64" s="116" t="s">
        <v>41</v>
      </c>
      <c r="M64" s="116" t="s">
        <v>148</v>
      </c>
      <c r="N64" s="223" t="s">
        <v>1008</v>
      </c>
      <c r="O64" s="228" t="s">
        <v>149</v>
      </c>
      <c r="P64" s="22" t="s">
        <v>149</v>
      </c>
      <c r="Q64" s="116" t="s">
        <v>149</v>
      </c>
      <c r="R64" s="116" t="s">
        <v>1009</v>
      </c>
      <c r="S64" s="116" t="s">
        <v>1010</v>
      </c>
      <c r="T64" s="342" t="s">
        <v>1011</v>
      </c>
      <c r="U64" s="117" t="s">
        <v>1012</v>
      </c>
      <c r="V64" s="117">
        <v>29476</v>
      </c>
      <c r="W64" s="121" t="s">
        <v>1013</v>
      </c>
      <c r="X64" s="121" t="s">
        <v>803</v>
      </c>
      <c r="Y64" s="121" t="s">
        <v>155</v>
      </c>
      <c r="Z64" s="121" t="s">
        <v>156</v>
      </c>
      <c r="AA64" s="116">
        <v>19.5</v>
      </c>
      <c r="AB64" s="117">
        <v>41205</v>
      </c>
      <c r="AC64" s="283">
        <v>40969</v>
      </c>
      <c r="AD64" s="117"/>
      <c r="AE64" s="20" t="s">
        <v>1014</v>
      </c>
      <c r="AF64" s="23" t="s">
        <v>1015</v>
      </c>
      <c r="AG64" s="124"/>
      <c r="AH64" s="116">
        <f t="shared" ref="AH64:AH94" si="16">COUNTA(AE64:AG64)</f>
        <v>2</v>
      </c>
      <c r="AI64" s="20" t="s">
        <v>159</v>
      </c>
      <c r="AJ64" s="20" t="s">
        <v>159</v>
      </c>
      <c r="AK64" s="124"/>
      <c r="AL64" s="124" t="s">
        <v>148</v>
      </c>
      <c r="AM64" s="124" t="s">
        <v>161</v>
      </c>
      <c r="AN64" s="124"/>
      <c r="AO64" s="124" t="s">
        <v>162</v>
      </c>
      <c r="AP64" s="124" t="s">
        <v>179</v>
      </c>
      <c r="AQ64" s="124" t="s">
        <v>248</v>
      </c>
      <c r="AR64" s="124" t="s">
        <v>148</v>
      </c>
      <c r="AS64" s="124"/>
      <c r="AT64" s="407" t="s">
        <v>535</v>
      </c>
      <c r="AU64" s="116" t="s">
        <v>1016</v>
      </c>
      <c r="AV64" s="117"/>
      <c r="AW64" s="118">
        <v>41334</v>
      </c>
      <c r="AX64" s="118">
        <v>41579</v>
      </c>
      <c r="AY64" s="118" t="s">
        <v>148</v>
      </c>
      <c r="AZ64" s="118">
        <v>41432</v>
      </c>
      <c r="BA64" s="118"/>
      <c r="BB64" s="118">
        <v>41590</v>
      </c>
      <c r="BC64" s="118"/>
      <c r="BD64" s="118"/>
      <c r="BE64" s="119" t="s">
        <v>1017</v>
      </c>
      <c r="BF64" s="118">
        <v>42217</v>
      </c>
      <c r="BG64" s="118" t="s">
        <v>148</v>
      </c>
      <c r="BH64" s="118">
        <v>42428</v>
      </c>
      <c r="BI64" s="118" t="s">
        <v>148</v>
      </c>
      <c r="BJ64" s="117">
        <v>42260</v>
      </c>
      <c r="BK64" s="117">
        <v>42565</v>
      </c>
      <c r="BL64" s="117">
        <v>42612</v>
      </c>
      <c r="BM64" s="120">
        <v>42612</v>
      </c>
      <c r="BN64" s="116" t="s">
        <v>16</v>
      </c>
      <c r="BO64" s="224">
        <f t="shared" si="14"/>
        <v>42</v>
      </c>
      <c r="BP64" s="116">
        <f t="shared" si="15"/>
        <v>34</v>
      </c>
      <c r="BQ64" s="121" t="s">
        <v>1017</v>
      </c>
      <c r="BR64" s="116">
        <v>0</v>
      </c>
      <c r="BS64" s="116">
        <v>0</v>
      </c>
      <c r="BT64" s="116">
        <v>8</v>
      </c>
      <c r="BU64" s="116">
        <v>2</v>
      </c>
      <c r="BV64" s="116">
        <v>0</v>
      </c>
      <c r="BW64" s="116">
        <v>0</v>
      </c>
      <c r="BX64" s="116">
        <v>0</v>
      </c>
      <c r="BY64" s="116" t="s">
        <v>161</v>
      </c>
      <c r="BZ64" s="116">
        <v>0</v>
      </c>
      <c r="CA64" s="116"/>
      <c r="CB64" s="122"/>
      <c r="CC64" s="122"/>
      <c r="CD64" s="116"/>
      <c r="CE64" s="116" t="s">
        <v>161</v>
      </c>
      <c r="CF64" s="116"/>
      <c r="CG64" s="116"/>
      <c r="CH64" s="372">
        <v>2</v>
      </c>
      <c r="CI64" s="116">
        <v>2</v>
      </c>
      <c r="CJ64" s="116" t="s">
        <v>1018</v>
      </c>
      <c r="CK64" s="116" t="s">
        <v>536</v>
      </c>
    </row>
    <row r="65" spans="1:89" ht="25" customHeight="1" x14ac:dyDescent="0.35">
      <c r="A65" s="116">
        <v>67</v>
      </c>
      <c r="B65" s="116" t="s">
        <v>1019</v>
      </c>
      <c r="C65" s="116" t="s">
        <v>1020</v>
      </c>
      <c r="D65" s="116" t="s">
        <v>1021</v>
      </c>
      <c r="E65" s="116" t="s">
        <v>1022</v>
      </c>
      <c r="F65" s="116" t="s">
        <v>4140</v>
      </c>
      <c r="G65" s="116">
        <v>3</v>
      </c>
      <c r="H65" s="116" t="s">
        <v>50</v>
      </c>
      <c r="I65" s="116" t="s">
        <v>37</v>
      </c>
      <c r="J65" s="116" t="s">
        <v>1023</v>
      </c>
      <c r="K65" s="116" t="s">
        <v>1024</v>
      </c>
      <c r="L65" s="116" t="s">
        <v>37</v>
      </c>
      <c r="M65" s="116" t="s">
        <v>148</v>
      </c>
      <c r="N65" s="116" t="s">
        <v>1025</v>
      </c>
      <c r="O65" s="225"/>
      <c r="P65" s="226" t="s">
        <v>149</v>
      </c>
      <c r="Q65" s="116"/>
      <c r="R65" s="116" t="s">
        <v>1026</v>
      </c>
      <c r="S65" s="116" t="s">
        <v>1027</v>
      </c>
      <c r="T65" s="342" t="s">
        <v>1028</v>
      </c>
      <c r="U65" s="117" t="s">
        <v>1029</v>
      </c>
      <c r="V65" s="117">
        <v>28857</v>
      </c>
      <c r="W65" s="121" t="s">
        <v>1030</v>
      </c>
      <c r="X65" s="121" t="s">
        <v>177</v>
      </c>
      <c r="Y65" s="121" t="s">
        <v>161</v>
      </c>
      <c r="Z65" s="121" t="s">
        <v>156</v>
      </c>
      <c r="AA65" s="116">
        <v>5</v>
      </c>
      <c r="AB65" s="117">
        <v>41153</v>
      </c>
      <c r="AC65" s="283">
        <v>41334</v>
      </c>
      <c r="AD65" s="117"/>
      <c r="AE65" s="21" t="s">
        <v>1031</v>
      </c>
      <c r="AF65" s="23" t="s">
        <v>1032</v>
      </c>
      <c r="AG65" s="116"/>
      <c r="AH65" s="116">
        <f t="shared" si="16"/>
        <v>2</v>
      </c>
      <c r="AI65" s="20" t="s">
        <v>159</v>
      </c>
      <c r="AJ65" s="116" t="s">
        <v>200</v>
      </c>
      <c r="AK65" s="116"/>
      <c r="AL65" s="116">
        <v>2013</v>
      </c>
      <c r="AM65" s="116"/>
      <c r="AN65" s="116"/>
      <c r="AO65" s="116"/>
      <c r="AP65" s="116" t="s">
        <v>179</v>
      </c>
      <c r="AQ65" s="116"/>
      <c r="AR65" s="116"/>
      <c r="AS65" s="116"/>
      <c r="AT65" s="17" t="s">
        <v>202</v>
      </c>
      <c r="AU65" s="116" t="s">
        <v>1033</v>
      </c>
      <c r="AV65" s="117"/>
      <c r="AW65" s="118">
        <v>41334</v>
      </c>
      <c r="AX65" s="118">
        <v>41579</v>
      </c>
      <c r="AY65" s="118" t="s">
        <v>148</v>
      </c>
      <c r="AZ65" s="118"/>
      <c r="BA65" s="118"/>
      <c r="BB65" s="118"/>
      <c r="BC65" s="118"/>
      <c r="BD65" s="118"/>
      <c r="BE65" s="119"/>
      <c r="BF65" s="118">
        <v>42583</v>
      </c>
      <c r="BG65" s="118" t="s">
        <v>161</v>
      </c>
      <c r="BH65" s="118">
        <v>42793</v>
      </c>
      <c r="BI65" s="118" t="s">
        <v>161</v>
      </c>
      <c r="BJ65" s="117"/>
      <c r="BK65" s="117"/>
      <c r="BL65" s="117"/>
      <c r="BM65" s="120"/>
      <c r="BN65" s="125" t="s">
        <v>17</v>
      </c>
      <c r="BO65" s="224"/>
      <c r="BP65" s="116"/>
      <c r="BQ65" s="116"/>
      <c r="BR65" s="116">
        <v>0</v>
      </c>
      <c r="BS65" s="116">
        <v>0</v>
      </c>
      <c r="BT65" s="116">
        <v>0</v>
      </c>
      <c r="BU65" s="116">
        <v>0</v>
      </c>
      <c r="BV65" s="116">
        <v>0</v>
      </c>
      <c r="BW65" s="116">
        <v>0</v>
      </c>
      <c r="BX65" s="116">
        <v>0</v>
      </c>
      <c r="BY65" s="116" t="s">
        <v>1034</v>
      </c>
      <c r="BZ65" s="116">
        <v>0</v>
      </c>
      <c r="CA65" s="116"/>
      <c r="CB65" s="122"/>
      <c r="CC65" s="122"/>
      <c r="CD65" s="116"/>
      <c r="CE65" s="116" t="s">
        <v>161</v>
      </c>
      <c r="CF65" s="116"/>
      <c r="CG65" s="116"/>
      <c r="CH65" s="372" t="s">
        <v>166</v>
      </c>
      <c r="CI65" s="116" t="s">
        <v>166</v>
      </c>
      <c r="CJ65" s="116"/>
      <c r="CK65" s="116" t="s">
        <v>807</v>
      </c>
    </row>
    <row r="66" spans="1:89" ht="25" customHeight="1" x14ac:dyDescent="0.35">
      <c r="A66" s="116">
        <v>68</v>
      </c>
      <c r="B66" s="116" t="s">
        <v>1035</v>
      </c>
      <c r="C66" s="116" t="s">
        <v>1036</v>
      </c>
      <c r="D66" s="116"/>
      <c r="E66" s="116" t="s">
        <v>1037</v>
      </c>
      <c r="F66" s="116" t="s">
        <v>4139</v>
      </c>
      <c r="G66" s="116">
        <v>3</v>
      </c>
      <c r="H66" s="116" t="s">
        <v>51</v>
      </c>
      <c r="I66" s="116" t="s">
        <v>4136</v>
      </c>
      <c r="J66" s="116" t="s">
        <v>600</v>
      </c>
      <c r="K66" s="116" t="s">
        <v>600</v>
      </c>
      <c r="L66" s="116" t="s">
        <v>4136</v>
      </c>
      <c r="M66" s="116" t="s">
        <v>148</v>
      </c>
      <c r="N66" s="231" t="s">
        <v>1038</v>
      </c>
      <c r="O66" s="228"/>
      <c r="P66" s="22" t="s">
        <v>149</v>
      </c>
      <c r="Q66" s="116" t="s">
        <v>149</v>
      </c>
      <c r="R66" s="126" t="s">
        <v>1039</v>
      </c>
      <c r="S66" s="116" t="s">
        <v>1040</v>
      </c>
      <c r="T66" s="342" t="s">
        <v>1041</v>
      </c>
      <c r="U66" s="117" t="s">
        <v>815</v>
      </c>
      <c r="V66" s="117">
        <v>28167</v>
      </c>
      <c r="W66" s="121" t="s">
        <v>1042</v>
      </c>
      <c r="X66" s="121" t="s">
        <v>177</v>
      </c>
      <c r="Y66" s="121" t="s">
        <v>155</v>
      </c>
      <c r="Z66" s="121" t="s">
        <v>156</v>
      </c>
      <c r="AA66" s="116">
        <v>8.5</v>
      </c>
      <c r="AB66" s="117">
        <v>41579</v>
      </c>
      <c r="AC66" s="283">
        <v>41334</v>
      </c>
      <c r="AD66" s="117"/>
      <c r="AE66" s="20" t="s">
        <v>1043</v>
      </c>
      <c r="AF66" s="20" t="s">
        <v>1044</v>
      </c>
      <c r="AG66" s="20"/>
      <c r="AH66" s="116">
        <f t="shared" si="16"/>
        <v>2</v>
      </c>
      <c r="AI66" s="20" t="s">
        <v>159</v>
      </c>
      <c r="AJ66" s="20" t="s">
        <v>159</v>
      </c>
      <c r="AK66" s="20"/>
      <c r="AL66" s="20" t="s">
        <v>161</v>
      </c>
      <c r="AM66" s="20" t="s">
        <v>161</v>
      </c>
      <c r="AN66" s="20"/>
      <c r="AO66" s="20" t="s">
        <v>162</v>
      </c>
      <c r="AP66" s="20" t="s">
        <v>201</v>
      </c>
      <c r="AQ66" s="20" t="s">
        <v>215</v>
      </c>
      <c r="AR66" s="20" t="s">
        <v>148</v>
      </c>
      <c r="AS66" s="20"/>
      <c r="AT66" s="405" t="s">
        <v>296</v>
      </c>
      <c r="AU66" s="116" t="s">
        <v>1045</v>
      </c>
      <c r="AV66" s="117"/>
      <c r="AW66" s="118">
        <v>41334</v>
      </c>
      <c r="AX66" s="118">
        <v>41579</v>
      </c>
      <c r="AY66" s="118" t="s">
        <v>148</v>
      </c>
      <c r="AZ66" s="118">
        <v>41415</v>
      </c>
      <c r="BA66" s="118">
        <v>41700</v>
      </c>
      <c r="BB66" s="118"/>
      <c r="BC66" s="118"/>
      <c r="BD66" s="118"/>
      <c r="BE66" s="119" t="s">
        <v>1046</v>
      </c>
      <c r="BF66" s="118">
        <v>42217</v>
      </c>
      <c r="BG66" s="118" t="s">
        <v>148</v>
      </c>
      <c r="BH66" s="118">
        <v>42428</v>
      </c>
      <c r="BI66" s="118" t="s">
        <v>148</v>
      </c>
      <c r="BJ66" s="117"/>
      <c r="BK66" s="117"/>
      <c r="BL66" s="117"/>
      <c r="BM66" s="120">
        <v>43568</v>
      </c>
      <c r="BN66" s="116" t="s">
        <v>16</v>
      </c>
      <c r="BO66" s="224">
        <f>DATEDIF(AW66,BM66, "M")+1</f>
        <v>74</v>
      </c>
      <c r="BP66" s="116">
        <f>DATEDIF(AX66,BM66, "M")+1</f>
        <v>66</v>
      </c>
      <c r="BQ66" s="116"/>
      <c r="BR66" s="116">
        <v>1</v>
      </c>
      <c r="BS66" s="116">
        <v>16</v>
      </c>
      <c r="BT66" s="116">
        <v>5</v>
      </c>
      <c r="BU66" s="116">
        <v>5</v>
      </c>
      <c r="BV66" s="116">
        <v>1</v>
      </c>
      <c r="BW66" s="116">
        <v>0</v>
      </c>
      <c r="BX66" s="116">
        <v>0</v>
      </c>
      <c r="BY66" s="116" t="s">
        <v>161</v>
      </c>
      <c r="BZ66" s="116">
        <v>0</v>
      </c>
      <c r="CA66" s="116"/>
      <c r="CB66" s="122"/>
      <c r="CC66" s="122"/>
      <c r="CD66" s="116"/>
      <c r="CE66" s="116" t="s">
        <v>161</v>
      </c>
      <c r="CF66" s="116"/>
      <c r="CG66" s="116"/>
      <c r="CH66" s="372">
        <v>1</v>
      </c>
      <c r="CI66" s="116">
        <v>3</v>
      </c>
      <c r="CJ66" s="116"/>
      <c r="CK66" s="116" t="s">
        <v>807</v>
      </c>
    </row>
    <row r="67" spans="1:89" ht="25" customHeight="1" x14ac:dyDescent="0.35">
      <c r="A67" s="91">
        <v>70</v>
      </c>
      <c r="B67" s="91" t="s">
        <v>1047</v>
      </c>
      <c r="C67" s="91" t="s">
        <v>1048</v>
      </c>
      <c r="D67" s="91"/>
      <c r="E67" s="91" t="s">
        <v>1049</v>
      </c>
      <c r="F67" s="91" t="s">
        <v>4139</v>
      </c>
      <c r="G67" s="91">
        <v>3</v>
      </c>
      <c r="H67" s="91" t="s">
        <v>56</v>
      </c>
      <c r="I67" s="91" t="s">
        <v>44</v>
      </c>
      <c r="J67" s="91"/>
      <c r="K67" s="91"/>
      <c r="L67" s="91" t="s">
        <v>44</v>
      </c>
      <c r="M67" s="91" t="s">
        <v>161</v>
      </c>
      <c r="N67" s="91" t="s">
        <v>166</v>
      </c>
      <c r="O67" s="91" t="s">
        <v>166</v>
      </c>
      <c r="P67" s="91" t="s">
        <v>166</v>
      </c>
      <c r="Q67" s="91" t="s">
        <v>166</v>
      </c>
      <c r="R67" s="91"/>
      <c r="S67" s="91"/>
      <c r="T67" s="341"/>
      <c r="U67" s="92"/>
      <c r="V67" s="92"/>
      <c r="W67" s="164"/>
      <c r="X67" s="164"/>
      <c r="Y67" s="164"/>
      <c r="Z67" s="164"/>
      <c r="AA67" s="91"/>
      <c r="AB67" s="92"/>
      <c r="AC67" s="281">
        <v>41334</v>
      </c>
      <c r="AD67" s="92">
        <v>42004</v>
      </c>
      <c r="AE67" s="92"/>
      <c r="AF67" s="92"/>
      <c r="AG67" s="92"/>
      <c r="AH67" s="91">
        <f t="shared" si="16"/>
        <v>0</v>
      </c>
      <c r="AI67" s="92"/>
      <c r="AJ67" s="92"/>
      <c r="AK67" s="92"/>
      <c r="AL67" s="92"/>
      <c r="AM67" s="92"/>
      <c r="AN67" s="92"/>
      <c r="AO67" s="92"/>
      <c r="AP67" s="92"/>
      <c r="AQ67" s="92"/>
      <c r="AR67" s="92"/>
      <c r="AS67" s="92"/>
      <c r="AT67" s="400"/>
      <c r="AU67" s="91"/>
      <c r="AV67" s="92"/>
      <c r="AW67" s="93">
        <v>41334</v>
      </c>
      <c r="AX67" s="93"/>
      <c r="AY67" s="93"/>
      <c r="AZ67" s="93"/>
      <c r="BA67" s="93"/>
      <c r="BB67" s="93"/>
      <c r="BC67" s="93"/>
      <c r="BD67" s="93"/>
      <c r="BE67" s="94"/>
      <c r="BF67" s="93"/>
      <c r="BG67" s="93"/>
      <c r="BH67" s="93"/>
      <c r="BI67" s="93"/>
      <c r="BJ67" s="92"/>
      <c r="BK67" s="92"/>
      <c r="BL67" s="92"/>
      <c r="BM67" s="92"/>
      <c r="BN67" s="115" t="s">
        <v>18</v>
      </c>
      <c r="BO67" s="218" t="s">
        <v>18</v>
      </c>
      <c r="BP67" s="218"/>
      <c r="BQ67" s="91"/>
      <c r="BR67" s="91"/>
      <c r="BS67" s="91"/>
      <c r="BT67" s="91"/>
      <c r="BU67" s="91"/>
      <c r="BV67" s="91"/>
      <c r="BW67" s="91"/>
      <c r="BX67" s="91"/>
      <c r="BY67" s="91" t="s">
        <v>161</v>
      </c>
      <c r="BZ67" s="91"/>
      <c r="CA67" s="91"/>
      <c r="CB67" s="95"/>
      <c r="CC67" s="95"/>
      <c r="CD67" s="91"/>
      <c r="CE67" s="91"/>
      <c r="CF67" s="91"/>
      <c r="CG67" s="91"/>
      <c r="CH67" s="113"/>
      <c r="CI67" s="91"/>
      <c r="CJ67" s="91"/>
      <c r="CK67" s="91" t="s">
        <v>166</v>
      </c>
    </row>
    <row r="68" spans="1:89" ht="25" customHeight="1" x14ac:dyDescent="0.35">
      <c r="A68" s="129">
        <v>71</v>
      </c>
      <c r="B68" s="129" t="s">
        <v>1050</v>
      </c>
      <c r="C68" s="129" t="s">
        <v>1051</v>
      </c>
      <c r="D68" s="129" t="s">
        <v>617</v>
      </c>
      <c r="E68" s="129" t="s">
        <v>1052</v>
      </c>
      <c r="F68" s="129" t="s">
        <v>4139</v>
      </c>
      <c r="G68" s="129">
        <v>4</v>
      </c>
      <c r="H68" s="129" t="s">
        <v>52</v>
      </c>
      <c r="I68" s="129" t="s">
        <v>31</v>
      </c>
      <c r="J68" s="129" t="s">
        <v>1053</v>
      </c>
      <c r="K68" s="129" t="s">
        <v>1054</v>
      </c>
      <c r="L68" s="129" t="s">
        <v>42</v>
      </c>
      <c r="M68" s="129" t="s">
        <v>161</v>
      </c>
      <c r="N68" s="232" t="s">
        <v>1055</v>
      </c>
      <c r="O68" s="48" t="s">
        <v>149</v>
      </c>
      <c r="P68" s="48" t="s">
        <v>149</v>
      </c>
      <c r="Q68" s="129"/>
      <c r="R68" s="129" t="s">
        <v>1056</v>
      </c>
      <c r="S68" s="130" t="s">
        <v>1057</v>
      </c>
      <c r="T68" s="344" t="s">
        <v>1058</v>
      </c>
      <c r="U68" s="131" t="s">
        <v>1059</v>
      </c>
      <c r="V68" s="131">
        <v>27906</v>
      </c>
      <c r="W68" s="233" t="s">
        <v>1060</v>
      </c>
      <c r="X68" s="233" t="s">
        <v>177</v>
      </c>
      <c r="Y68" s="233" t="s">
        <v>161</v>
      </c>
      <c r="Z68" s="233" t="s">
        <v>156</v>
      </c>
      <c r="AA68" s="129">
        <v>33</v>
      </c>
      <c r="AB68" s="131">
        <v>42277</v>
      </c>
      <c r="AC68" s="284">
        <v>41699</v>
      </c>
      <c r="AD68" s="131"/>
      <c r="AE68" s="129" t="s">
        <v>1061</v>
      </c>
      <c r="AF68" s="132" t="s">
        <v>1062</v>
      </c>
      <c r="AG68" s="132"/>
      <c r="AH68" s="129">
        <f t="shared" si="16"/>
        <v>2</v>
      </c>
      <c r="AI68" s="234" t="s">
        <v>160</v>
      </c>
      <c r="AJ68" s="132"/>
      <c r="AK68" s="132"/>
      <c r="AL68" s="132" t="s">
        <v>148</v>
      </c>
      <c r="AM68" s="132"/>
      <c r="AN68" s="132"/>
      <c r="AO68" s="132" t="s">
        <v>162</v>
      </c>
      <c r="AP68" s="132" t="s">
        <v>997</v>
      </c>
      <c r="AQ68" s="132" t="s">
        <v>443</v>
      </c>
      <c r="AR68" s="132" t="s">
        <v>148</v>
      </c>
      <c r="AS68" s="132"/>
      <c r="AT68" s="410" t="s">
        <v>326</v>
      </c>
      <c r="AU68" s="129" t="s">
        <v>1063</v>
      </c>
      <c r="AV68" s="131"/>
      <c r="AW68" s="133">
        <v>41700</v>
      </c>
      <c r="AX68" s="133">
        <v>41946</v>
      </c>
      <c r="AY68" s="133" t="s">
        <v>148</v>
      </c>
      <c r="AZ68" s="133"/>
      <c r="BA68" s="133"/>
      <c r="BB68" s="133"/>
      <c r="BC68" s="133"/>
      <c r="BD68" s="133"/>
      <c r="BE68" s="134" t="s">
        <v>1064</v>
      </c>
      <c r="BF68" s="133">
        <v>42585</v>
      </c>
      <c r="BG68" s="133" t="s">
        <v>148</v>
      </c>
      <c r="BH68" s="133">
        <v>42793</v>
      </c>
      <c r="BI68" s="133" t="s">
        <v>148</v>
      </c>
      <c r="BJ68" s="131">
        <v>42951</v>
      </c>
      <c r="BK68" s="131"/>
      <c r="BL68" s="131"/>
      <c r="BM68" s="135">
        <v>43089</v>
      </c>
      <c r="BN68" s="136" t="s">
        <v>16</v>
      </c>
      <c r="BO68" s="235">
        <f>DATEDIF(AW68,BM68, "M")+1</f>
        <v>46</v>
      </c>
      <c r="BP68" s="136">
        <f t="shared" ref="BP68:BP82" si="17">DATEDIF(AX68,BM68, "M")+1</f>
        <v>38</v>
      </c>
      <c r="BQ68" s="129"/>
      <c r="BR68" s="129">
        <v>2</v>
      </c>
      <c r="BS68" s="129">
        <v>0</v>
      </c>
      <c r="BT68" s="129">
        <v>2</v>
      </c>
      <c r="BU68" s="129">
        <v>3</v>
      </c>
      <c r="BV68" s="129">
        <v>1</v>
      </c>
      <c r="BW68" s="129">
        <v>0</v>
      </c>
      <c r="BX68" s="129">
        <v>1</v>
      </c>
      <c r="BY68" s="129" t="s">
        <v>161</v>
      </c>
      <c r="BZ68" s="129">
        <v>0</v>
      </c>
      <c r="CA68" s="129"/>
      <c r="CB68" s="137"/>
      <c r="CC68" s="137"/>
      <c r="CD68" s="129"/>
      <c r="CE68" s="129" t="s">
        <v>161</v>
      </c>
      <c r="CF68" s="129"/>
      <c r="CG68" s="129"/>
      <c r="CH68" s="373">
        <v>2</v>
      </c>
      <c r="CI68" s="136">
        <v>3</v>
      </c>
      <c r="CJ68" s="136">
        <v>2</v>
      </c>
      <c r="CK68" s="136" t="s">
        <v>498</v>
      </c>
    </row>
    <row r="69" spans="1:89" ht="25" customHeight="1" x14ac:dyDescent="0.35">
      <c r="A69" s="136">
        <v>72</v>
      </c>
      <c r="B69" s="136" t="s">
        <v>1065</v>
      </c>
      <c r="C69" s="136" t="s">
        <v>1066</v>
      </c>
      <c r="D69" s="136" t="s">
        <v>1067</v>
      </c>
      <c r="E69" s="136" t="s">
        <v>1068</v>
      </c>
      <c r="F69" s="136" t="s">
        <v>4139</v>
      </c>
      <c r="G69" s="136">
        <v>4</v>
      </c>
      <c r="H69" s="129" t="s">
        <v>56</v>
      </c>
      <c r="I69" s="129" t="s">
        <v>44</v>
      </c>
      <c r="J69" s="129" t="s">
        <v>1069</v>
      </c>
      <c r="K69" s="129" t="s">
        <v>1070</v>
      </c>
      <c r="L69" s="129" t="s">
        <v>44</v>
      </c>
      <c r="M69" s="129" t="s">
        <v>148</v>
      </c>
      <c r="N69" s="136">
        <v>769258</v>
      </c>
      <c r="O69" s="236" t="s">
        <v>149</v>
      </c>
      <c r="P69" s="237" t="s">
        <v>149</v>
      </c>
      <c r="Q69" s="136" t="s">
        <v>149</v>
      </c>
      <c r="R69" s="136" t="s">
        <v>1071</v>
      </c>
      <c r="S69" s="136" t="s">
        <v>1072</v>
      </c>
      <c r="T69" s="345" t="s">
        <v>1073</v>
      </c>
      <c r="U69" s="139" t="s">
        <v>815</v>
      </c>
      <c r="V69" s="139">
        <v>29840</v>
      </c>
      <c r="W69" s="147" t="s">
        <v>1074</v>
      </c>
      <c r="X69" s="147" t="s">
        <v>154</v>
      </c>
      <c r="Y69" s="147" t="s">
        <v>155</v>
      </c>
      <c r="Z69" s="147" t="s">
        <v>156</v>
      </c>
      <c r="AA69" s="136">
        <v>6</v>
      </c>
      <c r="AB69" s="139">
        <v>42809</v>
      </c>
      <c r="AC69" s="285">
        <v>41699</v>
      </c>
      <c r="AD69" s="139"/>
      <c r="AE69" s="28" t="s">
        <v>1075</v>
      </c>
      <c r="AF69" s="136"/>
      <c r="AG69" s="136"/>
      <c r="AH69" s="136">
        <f t="shared" si="16"/>
        <v>1</v>
      </c>
      <c r="AI69" s="27" t="s">
        <v>159</v>
      </c>
      <c r="AJ69" s="136"/>
      <c r="AK69" s="136"/>
      <c r="AL69" s="136" t="s">
        <v>148</v>
      </c>
      <c r="AM69" s="136"/>
      <c r="AN69" s="136"/>
      <c r="AO69" s="136" t="s">
        <v>180</v>
      </c>
      <c r="AP69" s="136" t="s">
        <v>180</v>
      </c>
      <c r="AQ69" s="136" t="s">
        <v>1076</v>
      </c>
      <c r="AR69" s="136" t="s">
        <v>148</v>
      </c>
      <c r="AS69" s="136"/>
      <c r="AT69" s="26" t="s">
        <v>370</v>
      </c>
      <c r="AU69" s="136" t="s">
        <v>1077</v>
      </c>
      <c r="AV69" s="139"/>
      <c r="AW69" s="141">
        <v>41700</v>
      </c>
      <c r="AX69" s="141">
        <v>41946</v>
      </c>
      <c r="AY69" s="141" t="s">
        <v>148</v>
      </c>
      <c r="AZ69" s="141">
        <v>42341</v>
      </c>
      <c r="BA69" s="141">
        <v>42579</v>
      </c>
      <c r="BB69" s="141"/>
      <c r="BC69" s="141"/>
      <c r="BD69" s="141"/>
      <c r="BE69" s="142" t="s">
        <v>1078</v>
      </c>
      <c r="BF69" s="141">
        <v>42950</v>
      </c>
      <c r="BG69" s="141" t="s">
        <v>161</v>
      </c>
      <c r="BH69" s="141">
        <v>43164</v>
      </c>
      <c r="BI69" s="141" t="s">
        <v>161</v>
      </c>
      <c r="BJ69" s="139"/>
      <c r="BK69" s="139"/>
      <c r="BL69" s="139"/>
      <c r="BM69" s="143">
        <v>43799</v>
      </c>
      <c r="BN69" s="136" t="s">
        <v>16</v>
      </c>
      <c r="BO69" s="235">
        <f t="shared" ref="BO69:BO76" si="18">DATEDIF(AW69,BM69, "M")+1</f>
        <v>69</v>
      </c>
      <c r="BP69" s="136">
        <f t="shared" si="17"/>
        <v>61</v>
      </c>
      <c r="BQ69" s="136"/>
      <c r="BR69" s="136">
        <v>1</v>
      </c>
      <c r="BS69" s="136">
        <v>17</v>
      </c>
      <c r="BT69" s="136">
        <v>11</v>
      </c>
      <c r="BU69" s="136">
        <v>4</v>
      </c>
      <c r="BV69" s="136">
        <v>0</v>
      </c>
      <c r="BW69" s="136">
        <v>0</v>
      </c>
      <c r="BX69" s="136">
        <v>0</v>
      </c>
      <c r="BY69" s="136" t="s">
        <v>161</v>
      </c>
      <c r="BZ69" s="136">
        <v>0</v>
      </c>
      <c r="CA69" s="136"/>
      <c r="CB69" s="144"/>
      <c r="CC69" s="144"/>
      <c r="CD69" s="136"/>
      <c r="CE69" s="136" t="s">
        <v>161</v>
      </c>
      <c r="CF69" s="136"/>
      <c r="CG69" s="136"/>
      <c r="CH69" s="374">
        <v>1</v>
      </c>
      <c r="CI69" s="136" t="s">
        <v>166</v>
      </c>
      <c r="CJ69" s="136"/>
      <c r="CK69" s="136" t="s">
        <v>807</v>
      </c>
    </row>
    <row r="70" spans="1:89" ht="25" customHeight="1" x14ac:dyDescent="0.35">
      <c r="A70" s="136">
        <v>73</v>
      </c>
      <c r="B70" s="136" t="s">
        <v>1079</v>
      </c>
      <c r="C70" s="136" t="s">
        <v>1080</v>
      </c>
      <c r="D70" s="136" t="s">
        <v>20</v>
      </c>
      <c r="E70" s="136" t="s">
        <v>1081</v>
      </c>
      <c r="F70" s="136" t="s">
        <v>4139</v>
      </c>
      <c r="G70" s="136">
        <v>4</v>
      </c>
      <c r="H70" s="129" t="s">
        <v>58</v>
      </c>
      <c r="I70" s="129" t="s">
        <v>35</v>
      </c>
      <c r="J70" s="129" t="s">
        <v>600</v>
      </c>
      <c r="K70" s="129" t="s">
        <v>1082</v>
      </c>
      <c r="L70" s="129" t="s">
        <v>35</v>
      </c>
      <c r="M70" s="129" t="s">
        <v>148</v>
      </c>
      <c r="N70" s="195" t="s">
        <v>1083</v>
      </c>
      <c r="O70" s="239" t="s">
        <v>149</v>
      </c>
      <c r="P70" s="25" t="s">
        <v>149</v>
      </c>
      <c r="Q70" s="136" t="s">
        <v>149</v>
      </c>
      <c r="R70" s="136" t="s">
        <v>1084</v>
      </c>
      <c r="S70" s="145" t="s">
        <v>1085</v>
      </c>
      <c r="T70" s="345" t="s">
        <v>1086</v>
      </c>
      <c r="U70" s="139" t="s">
        <v>815</v>
      </c>
      <c r="V70" s="139">
        <v>28400</v>
      </c>
      <c r="W70" s="147" t="s">
        <v>1087</v>
      </c>
      <c r="X70" s="147" t="s">
        <v>803</v>
      </c>
      <c r="Y70" s="147" t="s">
        <v>155</v>
      </c>
      <c r="Z70" s="147" t="s">
        <v>156</v>
      </c>
      <c r="AA70" s="136">
        <v>25.5</v>
      </c>
      <c r="AB70" s="139">
        <v>41710</v>
      </c>
      <c r="AC70" s="285">
        <v>41699</v>
      </c>
      <c r="AD70" s="139"/>
      <c r="AE70" s="27" t="s">
        <v>1088</v>
      </c>
      <c r="AF70" s="27" t="s">
        <v>1089</v>
      </c>
      <c r="AG70" s="27" t="s">
        <v>1090</v>
      </c>
      <c r="AH70" s="136">
        <f t="shared" si="16"/>
        <v>3</v>
      </c>
      <c r="AI70" s="27" t="s">
        <v>159</v>
      </c>
      <c r="AJ70" s="146"/>
      <c r="AK70" s="146"/>
      <c r="AL70" s="146" t="s">
        <v>161</v>
      </c>
      <c r="AM70" s="146"/>
      <c r="AN70" s="146"/>
      <c r="AO70" s="146" t="s">
        <v>162</v>
      </c>
      <c r="AP70" s="146" t="s">
        <v>179</v>
      </c>
      <c r="AQ70" s="146" t="s">
        <v>201</v>
      </c>
      <c r="AR70" s="146" t="s">
        <v>161</v>
      </c>
      <c r="AS70" s="146"/>
      <c r="AT70" s="411" t="s">
        <v>550</v>
      </c>
      <c r="AU70" s="136" t="s">
        <v>1091</v>
      </c>
      <c r="AV70" s="139"/>
      <c r="AW70" s="141">
        <v>41700</v>
      </c>
      <c r="AX70" s="141">
        <v>41946</v>
      </c>
      <c r="AY70" s="141" t="s">
        <v>148</v>
      </c>
      <c r="AZ70" s="141"/>
      <c r="BA70" s="141"/>
      <c r="BB70" s="141"/>
      <c r="BC70" s="141"/>
      <c r="BD70" s="141"/>
      <c r="BE70" s="142"/>
      <c r="BF70" s="141">
        <v>42585</v>
      </c>
      <c r="BG70" s="141" t="s">
        <v>148</v>
      </c>
      <c r="BH70" s="141">
        <v>42793</v>
      </c>
      <c r="BI70" s="141" t="s">
        <v>148</v>
      </c>
      <c r="BJ70" s="139"/>
      <c r="BK70" s="139"/>
      <c r="BL70" s="139"/>
      <c r="BM70" s="143">
        <v>42824</v>
      </c>
      <c r="BN70" s="136" t="s">
        <v>16</v>
      </c>
      <c r="BO70" s="235">
        <f t="shared" si="18"/>
        <v>37</v>
      </c>
      <c r="BP70" s="136">
        <f t="shared" si="17"/>
        <v>29</v>
      </c>
      <c r="BQ70" s="136"/>
      <c r="BR70" s="136">
        <v>1</v>
      </c>
      <c r="BS70" s="136">
        <v>4</v>
      </c>
      <c r="BT70" s="136">
        <v>8</v>
      </c>
      <c r="BU70" s="136">
        <v>1</v>
      </c>
      <c r="BV70" s="136">
        <v>0</v>
      </c>
      <c r="BW70" s="136">
        <v>0</v>
      </c>
      <c r="BX70" s="136">
        <v>0</v>
      </c>
      <c r="BY70" s="136" t="s">
        <v>161</v>
      </c>
      <c r="BZ70" s="136">
        <v>0</v>
      </c>
      <c r="CA70" s="136"/>
      <c r="CB70" s="144"/>
      <c r="CC70" s="144"/>
      <c r="CD70" s="136"/>
      <c r="CE70" s="136" t="s">
        <v>161</v>
      </c>
      <c r="CF70" s="136"/>
      <c r="CG70" s="136"/>
      <c r="CH70" s="374">
        <v>3</v>
      </c>
      <c r="CI70" s="136">
        <v>4</v>
      </c>
      <c r="CJ70" s="136"/>
      <c r="CK70" s="136" t="s">
        <v>807</v>
      </c>
    </row>
    <row r="71" spans="1:89" ht="25" customHeight="1" x14ac:dyDescent="0.35">
      <c r="A71" s="136">
        <v>74</v>
      </c>
      <c r="B71" s="136" t="s">
        <v>1092</v>
      </c>
      <c r="C71" s="136" t="s">
        <v>1093</v>
      </c>
      <c r="D71" s="136" t="s">
        <v>1094</v>
      </c>
      <c r="E71" s="136" t="s">
        <v>1095</v>
      </c>
      <c r="F71" s="136" t="s">
        <v>4140</v>
      </c>
      <c r="G71" s="136">
        <v>4</v>
      </c>
      <c r="H71" s="129" t="s">
        <v>52</v>
      </c>
      <c r="I71" s="129" t="s">
        <v>39</v>
      </c>
      <c r="J71" s="129" t="s">
        <v>1096</v>
      </c>
      <c r="K71" s="129" t="s">
        <v>1097</v>
      </c>
      <c r="L71" s="129" t="s">
        <v>39</v>
      </c>
      <c r="M71" s="129" t="s">
        <v>148</v>
      </c>
      <c r="N71" s="195" t="s">
        <v>1098</v>
      </c>
      <c r="O71" s="239" t="s">
        <v>149</v>
      </c>
      <c r="P71" s="25" t="s">
        <v>149</v>
      </c>
      <c r="Q71" s="136" t="s">
        <v>149</v>
      </c>
      <c r="R71" s="136" t="s">
        <v>1099</v>
      </c>
      <c r="S71" s="136" t="s">
        <v>1100</v>
      </c>
      <c r="T71" s="345" t="s">
        <v>1101</v>
      </c>
      <c r="U71" s="139" t="s">
        <v>1102</v>
      </c>
      <c r="V71" s="139">
        <v>27152</v>
      </c>
      <c r="W71" s="147" t="s">
        <v>1103</v>
      </c>
      <c r="X71" s="147" t="s">
        <v>154</v>
      </c>
      <c r="Y71" s="147" t="s">
        <v>161</v>
      </c>
      <c r="Z71" s="147" t="s">
        <v>156</v>
      </c>
      <c r="AA71" s="136">
        <v>14</v>
      </c>
      <c r="AB71" s="139">
        <v>41348</v>
      </c>
      <c r="AC71" s="285">
        <v>41699</v>
      </c>
      <c r="AD71" s="139"/>
      <c r="AE71" s="136" t="s">
        <v>1104</v>
      </c>
      <c r="AF71" s="136" t="s">
        <v>1105</v>
      </c>
      <c r="AG71" s="146"/>
      <c r="AH71" s="136">
        <f t="shared" si="16"/>
        <v>2</v>
      </c>
      <c r="AI71" s="27" t="s">
        <v>159</v>
      </c>
      <c r="AJ71" s="146"/>
      <c r="AK71" s="146"/>
      <c r="AL71" s="146" t="s">
        <v>148</v>
      </c>
      <c r="AM71" s="146"/>
      <c r="AN71" s="146"/>
      <c r="AO71" s="146" t="s">
        <v>162</v>
      </c>
      <c r="AP71" s="146" t="s">
        <v>201</v>
      </c>
      <c r="AQ71" s="293" t="s">
        <v>215</v>
      </c>
      <c r="AR71" s="146" t="s">
        <v>148</v>
      </c>
      <c r="AS71" s="293" t="s">
        <v>1106</v>
      </c>
      <c r="AT71" s="411" t="s">
        <v>283</v>
      </c>
      <c r="AU71" s="136" t="s">
        <v>1107</v>
      </c>
      <c r="AV71" s="139"/>
      <c r="AW71" s="141">
        <v>41700</v>
      </c>
      <c r="AX71" s="141">
        <v>41946</v>
      </c>
      <c r="AY71" s="141" t="s">
        <v>148</v>
      </c>
      <c r="AZ71" s="141"/>
      <c r="BA71" s="141"/>
      <c r="BB71" s="141"/>
      <c r="BC71" s="141"/>
      <c r="BD71" s="141"/>
      <c r="BE71" s="142" t="s">
        <v>1108</v>
      </c>
      <c r="BF71" s="141">
        <v>42585</v>
      </c>
      <c r="BG71" s="141" t="s">
        <v>148</v>
      </c>
      <c r="BH71" s="141">
        <v>42793</v>
      </c>
      <c r="BI71" s="141" t="s">
        <v>148</v>
      </c>
      <c r="BJ71" s="139"/>
      <c r="BK71" s="139"/>
      <c r="BL71" s="139"/>
      <c r="BM71" s="143">
        <v>42825</v>
      </c>
      <c r="BN71" s="136" t="s">
        <v>16</v>
      </c>
      <c r="BO71" s="235">
        <f t="shared" si="18"/>
        <v>37</v>
      </c>
      <c r="BP71" s="136">
        <f t="shared" si="17"/>
        <v>29</v>
      </c>
      <c r="BQ71" s="147" t="s">
        <v>1108</v>
      </c>
      <c r="BR71" s="136">
        <v>9</v>
      </c>
      <c r="BS71" s="136">
        <v>6</v>
      </c>
      <c r="BT71" s="136">
        <v>15</v>
      </c>
      <c r="BU71" s="136">
        <v>0</v>
      </c>
      <c r="BV71" s="136">
        <v>1</v>
      </c>
      <c r="BW71" s="136">
        <v>0</v>
      </c>
      <c r="BX71" s="136">
        <v>0</v>
      </c>
      <c r="BY71" s="136" t="s">
        <v>161</v>
      </c>
      <c r="BZ71" s="136">
        <v>0</v>
      </c>
      <c r="CA71" s="136"/>
      <c r="CB71" s="144"/>
      <c r="CC71" s="144"/>
      <c r="CD71" s="136"/>
      <c r="CE71" s="136" t="s">
        <v>161</v>
      </c>
      <c r="CF71" s="136"/>
      <c r="CG71" s="136"/>
      <c r="CH71" s="374">
        <v>3</v>
      </c>
      <c r="CI71" s="136">
        <v>3</v>
      </c>
      <c r="CJ71" s="136"/>
      <c r="CK71" s="136" t="s">
        <v>807</v>
      </c>
    </row>
    <row r="72" spans="1:89" ht="25" customHeight="1" x14ac:dyDescent="0.35">
      <c r="A72" s="136">
        <v>75</v>
      </c>
      <c r="B72" s="136" t="s">
        <v>1109</v>
      </c>
      <c r="C72" s="136" t="s">
        <v>1110</v>
      </c>
      <c r="D72" s="136" t="s">
        <v>1111</v>
      </c>
      <c r="E72" s="136" t="s">
        <v>1112</v>
      </c>
      <c r="F72" s="136" t="s">
        <v>4139</v>
      </c>
      <c r="G72" s="136">
        <v>4</v>
      </c>
      <c r="H72" s="129" t="s">
        <v>52</v>
      </c>
      <c r="I72" s="129" t="s">
        <v>31</v>
      </c>
      <c r="J72" s="129" t="s">
        <v>1113</v>
      </c>
      <c r="K72" s="129" t="s">
        <v>147</v>
      </c>
      <c r="L72" s="129" t="s">
        <v>31</v>
      </c>
      <c r="M72" s="129" t="s">
        <v>148</v>
      </c>
      <c r="N72" s="136">
        <v>65466</v>
      </c>
      <c r="O72" s="236" t="s">
        <v>149</v>
      </c>
      <c r="P72" s="237" t="s">
        <v>149</v>
      </c>
      <c r="Q72" s="136" t="s">
        <v>149</v>
      </c>
      <c r="R72" s="387" t="s">
        <v>1114</v>
      </c>
      <c r="S72" s="136" t="s">
        <v>1115</v>
      </c>
      <c r="T72" s="345" t="s">
        <v>1116</v>
      </c>
      <c r="U72" s="139" t="s">
        <v>152</v>
      </c>
      <c r="V72" s="139">
        <v>27687</v>
      </c>
      <c r="W72" s="147" t="s">
        <v>1117</v>
      </c>
      <c r="X72" s="147" t="s">
        <v>177</v>
      </c>
      <c r="Y72" s="147" t="s">
        <v>161</v>
      </c>
      <c r="Z72" s="147" t="s">
        <v>156</v>
      </c>
      <c r="AA72" s="136">
        <v>3</v>
      </c>
      <c r="AB72" s="139">
        <v>41830</v>
      </c>
      <c r="AC72" s="285">
        <v>41699</v>
      </c>
      <c r="AD72" s="139"/>
      <c r="AE72" s="28" t="s">
        <v>1118</v>
      </c>
      <c r="AF72" s="28" t="s">
        <v>1119</v>
      </c>
      <c r="AG72" s="136"/>
      <c r="AH72" s="136">
        <f t="shared" si="16"/>
        <v>2</v>
      </c>
      <c r="AI72" s="27" t="s">
        <v>159</v>
      </c>
      <c r="AJ72" s="136"/>
      <c r="AK72" s="136"/>
      <c r="AL72" s="136" t="s">
        <v>148</v>
      </c>
      <c r="AM72" s="136"/>
      <c r="AN72" s="136"/>
      <c r="AO72" s="136" t="s">
        <v>162</v>
      </c>
      <c r="AP72" s="136" t="s">
        <v>201</v>
      </c>
      <c r="AQ72" s="147" t="s">
        <v>1120</v>
      </c>
      <c r="AR72" s="136" t="s">
        <v>148</v>
      </c>
      <c r="AS72" s="136"/>
      <c r="AT72" s="26" t="s">
        <v>326</v>
      </c>
      <c r="AU72" s="136" t="s">
        <v>1121</v>
      </c>
      <c r="AV72" s="139"/>
      <c r="AW72" s="141">
        <v>41700</v>
      </c>
      <c r="AX72" s="141">
        <v>41946</v>
      </c>
      <c r="AY72" s="141" t="s">
        <v>148</v>
      </c>
      <c r="AZ72" s="141">
        <v>42866</v>
      </c>
      <c r="BA72" s="141">
        <v>42829</v>
      </c>
      <c r="BB72" s="141">
        <v>42863</v>
      </c>
      <c r="BC72" s="141"/>
      <c r="BD72" s="141"/>
      <c r="BE72" s="142" t="s">
        <v>1122</v>
      </c>
      <c r="BF72" s="141">
        <v>42950</v>
      </c>
      <c r="BG72" s="141" t="s">
        <v>161</v>
      </c>
      <c r="BH72" s="141">
        <v>43164</v>
      </c>
      <c r="BI72" s="141" t="s">
        <v>161</v>
      </c>
      <c r="BJ72" s="139"/>
      <c r="BK72" s="139"/>
      <c r="BL72" s="139"/>
      <c r="BM72" s="143">
        <v>44260</v>
      </c>
      <c r="BN72" s="136" t="s">
        <v>16</v>
      </c>
      <c r="BO72" s="235">
        <f t="shared" si="18"/>
        <v>85</v>
      </c>
      <c r="BP72" s="136">
        <f t="shared" si="17"/>
        <v>77</v>
      </c>
      <c r="BQ72" s="136"/>
      <c r="BR72" s="136">
        <v>14</v>
      </c>
      <c r="BS72" s="136">
        <v>17</v>
      </c>
      <c r="BT72" s="136">
        <v>2</v>
      </c>
      <c r="BU72" s="136">
        <v>5</v>
      </c>
      <c r="BV72" s="136">
        <v>5</v>
      </c>
      <c r="BW72" s="136">
        <v>0</v>
      </c>
      <c r="BX72" s="136">
        <v>0</v>
      </c>
      <c r="BY72" s="136" t="s">
        <v>161</v>
      </c>
      <c r="BZ72" s="136">
        <v>0</v>
      </c>
      <c r="CA72" s="136"/>
      <c r="CB72" s="144"/>
      <c r="CC72" s="144"/>
      <c r="CD72" s="136"/>
      <c r="CE72" s="136" t="s">
        <v>161</v>
      </c>
      <c r="CF72" s="136"/>
      <c r="CG72" s="136"/>
      <c r="CH72" s="374">
        <v>2</v>
      </c>
      <c r="CI72" s="136">
        <v>2</v>
      </c>
      <c r="CJ72" s="136"/>
      <c r="CK72" s="136" t="s">
        <v>536</v>
      </c>
    </row>
    <row r="73" spans="1:89" ht="25" customHeight="1" x14ac:dyDescent="0.35">
      <c r="A73" s="136">
        <v>76</v>
      </c>
      <c r="B73" s="136" t="s">
        <v>1123</v>
      </c>
      <c r="C73" s="136" t="s">
        <v>1124</v>
      </c>
      <c r="D73" s="136" t="s">
        <v>20</v>
      </c>
      <c r="E73" s="136" t="s">
        <v>1125</v>
      </c>
      <c r="F73" s="136" t="s">
        <v>4139</v>
      </c>
      <c r="G73" s="136">
        <v>4</v>
      </c>
      <c r="H73" s="129" t="s">
        <v>58</v>
      </c>
      <c r="I73" s="129" t="s">
        <v>35</v>
      </c>
      <c r="J73" s="129" t="s">
        <v>1126</v>
      </c>
      <c r="K73" s="129" t="s">
        <v>1127</v>
      </c>
      <c r="L73" s="129" t="s">
        <v>44</v>
      </c>
      <c r="M73" s="129" t="s">
        <v>161</v>
      </c>
      <c r="N73" s="136">
        <v>1018550</v>
      </c>
      <c r="O73" s="236" t="s">
        <v>149</v>
      </c>
      <c r="P73" s="237" t="s">
        <v>149</v>
      </c>
      <c r="Q73" s="136" t="s">
        <v>149</v>
      </c>
      <c r="R73" s="136" t="s">
        <v>1128</v>
      </c>
      <c r="S73" s="136" t="s">
        <v>1129</v>
      </c>
      <c r="T73" s="345" t="s">
        <v>1130</v>
      </c>
      <c r="U73" s="139" t="s">
        <v>1131</v>
      </c>
      <c r="V73" s="139">
        <v>29807</v>
      </c>
      <c r="W73" s="147" t="s">
        <v>1132</v>
      </c>
      <c r="X73" s="147" t="s">
        <v>177</v>
      </c>
      <c r="Y73" s="147" t="s">
        <v>161</v>
      </c>
      <c r="Z73" s="147" t="s">
        <v>156</v>
      </c>
      <c r="AA73" s="136">
        <v>13.5</v>
      </c>
      <c r="AB73" s="139">
        <v>42005</v>
      </c>
      <c r="AC73" s="285">
        <v>41699</v>
      </c>
      <c r="AD73" s="139"/>
      <c r="AE73" s="28" t="s">
        <v>1133</v>
      </c>
      <c r="AF73" s="136" t="s">
        <v>1134</v>
      </c>
      <c r="AG73" s="136" t="s">
        <v>1135</v>
      </c>
      <c r="AH73" s="136">
        <f t="shared" si="16"/>
        <v>3</v>
      </c>
      <c r="AI73" s="27" t="s">
        <v>160</v>
      </c>
      <c r="AJ73" s="136"/>
      <c r="AK73" s="136"/>
      <c r="AL73" s="136" t="s">
        <v>148</v>
      </c>
      <c r="AM73" s="136"/>
      <c r="AN73" s="136"/>
      <c r="AO73" s="136" t="s">
        <v>162</v>
      </c>
      <c r="AP73" s="136" t="s">
        <v>179</v>
      </c>
      <c r="AQ73" s="136" t="s">
        <v>179</v>
      </c>
      <c r="AR73" s="136" t="s">
        <v>161</v>
      </c>
      <c r="AS73" s="136"/>
      <c r="AT73" s="26" t="s">
        <v>578</v>
      </c>
      <c r="AU73" s="136" t="s">
        <v>1136</v>
      </c>
      <c r="AV73" s="139"/>
      <c r="AW73" s="141">
        <v>41700</v>
      </c>
      <c r="AX73" s="141">
        <v>41946</v>
      </c>
      <c r="AY73" s="141" t="s">
        <v>148</v>
      </c>
      <c r="AZ73" s="141">
        <v>42104</v>
      </c>
      <c r="BA73" s="141">
        <v>42109</v>
      </c>
      <c r="BB73" s="141"/>
      <c r="BC73" s="141"/>
      <c r="BD73" s="141"/>
      <c r="BE73" s="142"/>
      <c r="BF73" s="141">
        <v>42585</v>
      </c>
      <c r="BG73" s="141" t="s">
        <v>148</v>
      </c>
      <c r="BH73" s="141">
        <v>42793</v>
      </c>
      <c r="BI73" s="141" t="s">
        <v>148</v>
      </c>
      <c r="BJ73" s="139"/>
      <c r="BK73" s="139"/>
      <c r="BL73" s="139"/>
      <c r="BM73" s="143">
        <v>44365</v>
      </c>
      <c r="BN73" s="136" t="s">
        <v>16</v>
      </c>
      <c r="BO73" s="235">
        <f t="shared" si="18"/>
        <v>88</v>
      </c>
      <c r="BP73" s="136">
        <f t="shared" si="17"/>
        <v>80</v>
      </c>
      <c r="BQ73" s="136" t="s">
        <v>1137</v>
      </c>
      <c r="BR73" s="136">
        <v>1</v>
      </c>
      <c r="BS73" s="136">
        <v>11</v>
      </c>
      <c r="BT73" s="136">
        <v>3</v>
      </c>
      <c r="BU73" s="136">
        <v>2</v>
      </c>
      <c r="BV73" s="136">
        <v>0</v>
      </c>
      <c r="BW73" s="136">
        <v>0</v>
      </c>
      <c r="BX73" s="136">
        <v>0</v>
      </c>
      <c r="BY73" s="136" t="s">
        <v>161</v>
      </c>
      <c r="BZ73" s="136">
        <v>0</v>
      </c>
      <c r="CA73" s="136"/>
      <c r="CB73" s="144"/>
      <c r="CC73" s="144"/>
      <c r="CD73" s="136"/>
      <c r="CE73" s="136" t="s">
        <v>161</v>
      </c>
      <c r="CF73" s="136"/>
      <c r="CG73" s="136"/>
      <c r="CH73" s="374">
        <v>1</v>
      </c>
      <c r="CI73" s="136">
        <v>2</v>
      </c>
      <c r="CJ73" s="136"/>
      <c r="CK73" s="136" t="s">
        <v>807</v>
      </c>
    </row>
    <row r="74" spans="1:89" ht="25" customHeight="1" x14ac:dyDescent="0.35">
      <c r="A74" s="136">
        <v>77</v>
      </c>
      <c r="B74" s="136" t="s">
        <v>1138</v>
      </c>
      <c r="C74" s="136" t="s">
        <v>185</v>
      </c>
      <c r="D74" s="136" t="s">
        <v>1139</v>
      </c>
      <c r="E74" s="136" t="s">
        <v>1140</v>
      </c>
      <c r="F74" s="136" t="s">
        <v>4140</v>
      </c>
      <c r="G74" s="136">
        <v>4</v>
      </c>
      <c r="H74" s="129" t="s">
        <v>50</v>
      </c>
      <c r="I74" s="129" t="s">
        <v>37</v>
      </c>
      <c r="J74" s="129" t="s">
        <v>1141</v>
      </c>
      <c r="K74" s="129" t="s">
        <v>1142</v>
      </c>
      <c r="L74" s="129" t="s">
        <v>42</v>
      </c>
      <c r="M74" s="129" t="s">
        <v>161</v>
      </c>
      <c r="N74" s="136" t="s">
        <v>1143</v>
      </c>
      <c r="O74" s="236" t="s">
        <v>149</v>
      </c>
      <c r="P74" s="237" t="s">
        <v>149</v>
      </c>
      <c r="Q74" s="237"/>
      <c r="R74" s="136" t="s">
        <v>1144</v>
      </c>
      <c r="S74" s="136" t="s">
        <v>1145</v>
      </c>
      <c r="T74" s="345" t="s">
        <v>1146</v>
      </c>
      <c r="U74" s="139" t="s">
        <v>815</v>
      </c>
      <c r="V74" s="139">
        <v>29345</v>
      </c>
      <c r="W74" s="147" t="s">
        <v>1147</v>
      </c>
      <c r="X74" s="147" t="s">
        <v>177</v>
      </c>
      <c r="Y74" s="147" t="s">
        <v>161</v>
      </c>
      <c r="Z74" s="147" t="s">
        <v>156</v>
      </c>
      <c r="AA74" s="136">
        <v>17</v>
      </c>
      <c r="AB74" s="139">
        <v>41730</v>
      </c>
      <c r="AC74" s="285">
        <v>41699</v>
      </c>
      <c r="AD74" s="139"/>
      <c r="AE74" s="136" t="s">
        <v>1148</v>
      </c>
      <c r="AF74" s="136" t="s">
        <v>1149</v>
      </c>
      <c r="AG74" s="136" t="s">
        <v>1150</v>
      </c>
      <c r="AH74" s="136">
        <f>COUNTA(AF74:AG74)</f>
        <v>2</v>
      </c>
      <c r="AI74" s="27" t="s">
        <v>160</v>
      </c>
      <c r="AJ74" s="136"/>
      <c r="AK74" s="136"/>
      <c r="AL74" s="136" t="s">
        <v>148</v>
      </c>
      <c r="AM74" s="136"/>
      <c r="AN74" s="136"/>
      <c r="AO74" s="136" t="s">
        <v>162</v>
      </c>
      <c r="AP74" s="136" t="s">
        <v>1151</v>
      </c>
      <c r="AQ74" s="136" t="s">
        <v>201</v>
      </c>
      <c r="AR74" s="136" t="s">
        <v>148</v>
      </c>
      <c r="AS74" s="136"/>
      <c r="AT74" s="26" t="s">
        <v>202</v>
      </c>
      <c r="AU74" s="136" t="s">
        <v>1152</v>
      </c>
      <c r="AV74" s="139"/>
      <c r="AW74" s="141">
        <v>41700</v>
      </c>
      <c r="AX74" s="141">
        <v>41946</v>
      </c>
      <c r="AY74" s="141" t="s">
        <v>148</v>
      </c>
      <c r="AZ74" s="141">
        <v>42047</v>
      </c>
      <c r="BA74" s="141">
        <v>42073</v>
      </c>
      <c r="BB74" s="141"/>
      <c r="BC74" s="141"/>
      <c r="BD74" s="141"/>
      <c r="BE74" s="142" t="s">
        <v>1153</v>
      </c>
      <c r="BF74" s="141">
        <v>42585</v>
      </c>
      <c r="BG74" s="141" t="s">
        <v>148</v>
      </c>
      <c r="BH74" s="141">
        <v>42793</v>
      </c>
      <c r="BI74" s="141" t="s">
        <v>148</v>
      </c>
      <c r="BJ74" s="139"/>
      <c r="BK74" s="139"/>
      <c r="BL74" s="139"/>
      <c r="BM74" s="143">
        <v>44442</v>
      </c>
      <c r="BN74" s="136" t="s">
        <v>16</v>
      </c>
      <c r="BO74" s="235">
        <f t="shared" si="18"/>
        <v>91</v>
      </c>
      <c r="BP74" s="136">
        <f t="shared" si="17"/>
        <v>83</v>
      </c>
      <c r="BQ74" s="136"/>
      <c r="BR74" s="136">
        <v>0</v>
      </c>
      <c r="BS74" s="136">
        <v>0</v>
      </c>
      <c r="BT74" s="136">
        <v>0</v>
      </c>
      <c r="BU74" s="136">
        <v>0</v>
      </c>
      <c r="BV74" s="136">
        <v>0</v>
      </c>
      <c r="BW74" s="136">
        <v>0</v>
      </c>
      <c r="BX74" s="136">
        <v>0</v>
      </c>
      <c r="BY74" s="136" t="s">
        <v>1154</v>
      </c>
      <c r="BZ74" s="136">
        <v>0</v>
      </c>
      <c r="CA74" s="136"/>
      <c r="CB74" s="144"/>
      <c r="CC74" s="144"/>
      <c r="CD74" s="136"/>
      <c r="CE74" s="136" t="s">
        <v>161</v>
      </c>
      <c r="CF74" s="136"/>
      <c r="CG74" s="136"/>
      <c r="CH74" s="374">
        <v>1</v>
      </c>
      <c r="CI74" s="136">
        <v>2</v>
      </c>
      <c r="CJ74" s="136"/>
      <c r="CK74" s="136" t="s">
        <v>807</v>
      </c>
    </row>
    <row r="75" spans="1:89" ht="25" customHeight="1" x14ac:dyDescent="0.35">
      <c r="A75" s="136">
        <v>78</v>
      </c>
      <c r="B75" s="136" t="s">
        <v>1155</v>
      </c>
      <c r="C75" s="136" t="s">
        <v>1156</v>
      </c>
      <c r="D75" s="136"/>
      <c r="E75" s="136" t="s">
        <v>1157</v>
      </c>
      <c r="F75" s="136" t="s">
        <v>4139</v>
      </c>
      <c r="G75" s="136">
        <v>4</v>
      </c>
      <c r="H75" s="129" t="s">
        <v>56</v>
      </c>
      <c r="I75" s="129" t="s">
        <v>44</v>
      </c>
      <c r="J75" s="129" t="s">
        <v>1158</v>
      </c>
      <c r="K75" s="129" t="s">
        <v>1159</v>
      </c>
      <c r="L75" s="129" t="s">
        <v>44</v>
      </c>
      <c r="M75" s="129" t="s">
        <v>148</v>
      </c>
      <c r="N75" s="136"/>
      <c r="O75" s="236" t="s">
        <v>149</v>
      </c>
      <c r="P75" s="236" t="s">
        <v>149</v>
      </c>
      <c r="Q75" s="136" t="s">
        <v>149</v>
      </c>
      <c r="R75" s="136" t="s">
        <v>1160</v>
      </c>
      <c r="S75" s="136" t="s">
        <v>1161</v>
      </c>
      <c r="T75" s="346">
        <v>27716861252</v>
      </c>
      <c r="U75" s="139" t="s">
        <v>1162</v>
      </c>
      <c r="V75" s="139">
        <v>29781</v>
      </c>
      <c r="W75" s="147" t="s">
        <v>1163</v>
      </c>
      <c r="X75" s="147" t="s">
        <v>154</v>
      </c>
      <c r="Y75" s="147" t="s">
        <v>161</v>
      </c>
      <c r="Z75" s="147" t="s">
        <v>156</v>
      </c>
      <c r="AA75" s="136">
        <v>12</v>
      </c>
      <c r="AB75" s="139">
        <v>41617</v>
      </c>
      <c r="AC75" s="285">
        <v>41699</v>
      </c>
      <c r="AD75" s="139"/>
      <c r="AE75" s="28" t="s">
        <v>1164</v>
      </c>
      <c r="AF75" s="136"/>
      <c r="AG75" s="136"/>
      <c r="AH75" s="136">
        <f t="shared" si="16"/>
        <v>1</v>
      </c>
      <c r="AI75" s="27" t="s">
        <v>159</v>
      </c>
      <c r="AJ75" s="136"/>
      <c r="AK75" s="136"/>
      <c r="AL75" s="136" t="s">
        <v>161</v>
      </c>
      <c r="AM75" s="136"/>
      <c r="AN75" s="136"/>
      <c r="AO75" s="136" t="s">
        <v>162</v>
      </c>
      <c r="AP75" s="136" t="s">
        <v>201</v>
      </c>
      <c r="AQ75" s="136"/>
      <c r="AR75" s="136"/>
      <c r="AS75" s="136"/>
      <c r="AT75" s="26" t="s">
        <v>370</v>
      </c>
      <c r="AU75" s="136" t="s">
        <v>1165</v>
      </c>
      <c r="AV75" s="139"/>
      <c r="AW75" s="141">
        <v>41700</v>
      </c>
      <c r="AX75" s="141">
        <v>41946</v>
      </c>
      <c r="AY75" s="141" t="s">
        <v>148</v>
      </c>
      <c r="AZ75" s="141">
        <v>42846</v>
      </c>
      <c r="BA75" s="141">
        <v>42509</v>
      </c>
      <c r="BB75" s="141"/>
      <c r="BC75" s="141"/>
      <c r="BD75" s="141"/>
      <c r="BE75" s="142" t="s">
        <v>1166</v>
      </c>
      <c r="BF75" s="141">
        <v>43315</v>
      </c>
      <c r="BG75" s="141" t="s">
        <v>161</v>
      </c>
      <c r="BH75" s="141">
        <v>43528</v>
      </c>
      <c r="BI75" s="141" t="s">
        <v>161</v>
      </c>
      <c r="BJ75" s="139"/>
      <c r="BK75" s="139"/>
      <c r="BL75" s="139"/>
      <c r="BM75" s="143">
        <v>44658</v>
      </c>
      <c r="BN75" s="129" t="s">
        <v>16</v>
      </c>
      <c r="BO75" s="235">
        <f t="shared" si="18"/>
        <v>98</v>
      </c>
      <c r="BP75" s="136">
        <f t="shared" si="17"/>
        <v>90</v>
      </c>
      <c r="BQ75" s="136" t="s">
        <v>1167</v>
      </c>
      <c r="BR75" s="136">
        <v>4</v>
      </c>
      <c r="BS75" s="136">
        <v>5</v>
      </c>
      <c r="BT75" s="136">
        <v>0</v>
      </c>
      <c r="BU75" s="136">
        <v>2</v>
      </c>
      <c r="BV75" s="136">
        <v>3</v>
      </c>
      <c r="BW75" s="136">
        <v>0</v>
      </c>
      <c r="BX75" s="136">
        <v>0</v>
      </c>
      <c r="BY75" s="136" t="s">
        <v>161</v>
      </c>
      <c r="BZ75" s="136">
        <v>0</v>
      </c>
      <c r="CA75" s="136"/>
      <c r="CB75" s="144"/>
      <c r="CC75" s="144"/>
      <c r="CD75" s="136"/>
      <c r="CE75" s="136" t="s">
        <v>161</v>
      </c>
      <c r="CF75" s="136"/>
      <c r="CG75" s="136"/>
      <c r="CH75" s="374">
        <v>0</v>
      </c>
      <c r="CI75" s="136">
        <v>1</v>
      </c>
      <c r="CJ75" s="136"/>
      <c r="CK75" s="136" t="s">
        <v>807</v>
      </c>
    </row>
    <row r="76" spans="1:89" ht="25" customHeight="1" x14ac:dyDescent="0.35">
      <c r="A76" s="136">
        <v>79</v>
      </c>
      <c r="B76" s="136" t="s">
        <v>1168</v>
      </c>
      <c r="C76" s="136" t="s">
        <v>1169</v>
      </c>
      <c r="D76" s="136" t="s">
        <v>1170</v>
      </c>
      <c r="E76" s="136" t="s">
        <v>1171</v>
      </c>
      <c r="F76" s="136" t="s">
        <v>4140</v>
      </c>
      <c r="G76" s="136">
        <v>4</v>
      </c>
      <c r="H76" s="129" t="s">
        <v>50</v>
      </c>
      <c r="I76" s="129" t="s">
        <v>42</v>
      </c>
      <c r="J76" s="129" t="s">
        <v>1172</v>
      </c>
      <c r="K76" s="129" t="s">
        <v>1173</v>
      </c>
      <c r="L76" s="129" t="s">
        <v>42</v>
      </c>
      <c r="M76" s="129" t="s">
        <v>148</v>
      </c>
      <c r="N76" s="136" t="s">
        <v>1174</v>
      </c>
      <c r="O76" s="236" t="s">
        <v>149</v>
      </c>
      <c r="P76" s="237" t="s">
        <v>853</v>
      </c>
      <c r="Q76" s="136" t="s">
        <v>853</v>
      </c>
      <c r="R76" s="136" t="s">
        <v>1175</v>
      </c>
      <c r="S76" s="136" t="s">
        <v>1176</v>
      </c>
      <c r="T76" s="345" t="s">
        <v>1177</v>
      </c>
      <c r="U76" s="139" t="s">
        <v>1178</v>
      </c>
      <c r="V76" s="139">
        <v>29842</v>
      </c>
      <c r="W76" s="147" t="s">
        <v>1179</v>
      </c>
      <c r="X76" s="147" t="s">
        <v>154</v>
      </c>
      <c r="Y76" s="147" t="s">
        <v>155</v>
      </c>
      <c r="Z76" s="147" t="s">
        <v>156</v>
      </c>
      <c r="AA76" s="136">
        <v>37</v>
      </c>
      <c r="AB76" s="139">
        <v>42078</v>
      </c>
      <c r="AC76" s="285">
        <v>41699</v>
      </c>
      <c r="AD76" s="139"/>
      <c r="AE76" s="28" t="s">
        <v>1180</v>
      </c>
      <c r="AF76" s="136"/>
      <c r="AG76" s="136"/>
      <c r="AH76" s="136">
        <f t="shared" si="16"/>
        <v>1</v>
      </c>
      <c r="AI76" s="27" t="s">
        <v>159</v>
      </c>
      <c r="AJ76" s="136"/>
      <c r="AK76" s="136"/>
      <c r="AL76" s="136" t="s">
        <v>148</v>
      </c>
      <c r="AM76" s="136"/>
      <c r="AN76" s="136"/>
      <c r="AO76" s="136" t="s">
        <v>162</v>
      </c>
      <c r="AP76" s="136" t="s">
        <v>1181</v>
      </c>
      <c r="AQ76" s="136" t="s">
        <v>1181</v>
      </c>
      <c r="AR76" s="136"/>
      <c r="AS76" s="136"/>
      <c r="AT76" s="26" t="s">
        <v>418</v>
      </c>
      <c r="AU76" s="136" t="s">
        <v>1182</v>
      </c>
      <c r="AV76" s="139"/>
      <c r="AW76" s="141">
        <v>41700</v>
      </c>
      <c r="AX76" s="141">
        <v>41946</v>
      </c>
      <c r="AY76" s="141" t="s">
        <v>148</v>
      </c>
      <c r="AZ76" s="141">
        <v>43699</v>
      </c>
      <c r="BA76" s="141">
        <v>42238</v>
      </c>
      <c r="BB76" s="141"/>
      <c r="BC76" s="141"/>
      <c r="BD76" s="141"/>
      <c r="BE76" s="142"/>
      <c r="BF76" s="141">
        <v>42585</v>
      </c>
      <c r="BG76" s="141" t="s">
        <v>148</v>
      </c>
      <c r="BH76" s="141">
        <v>42793</v>
      </c>
      <c r="BI76" s="141" t="s">
        <v>148</v>
      </c>
      <c r="BJ76" s="139"/>
      <c r="BK76" s="139"/>
      <c r="BL76" s="139"/>
      <c r="BM76" s="143">
        <v>45191</v>
      </c>
      <c r="BN76" s="148" t="s">
        <v>16</v>
      </c>
      <c r="BO76" s="238">
        <f t="shared" si="18"/>
        <v>115</v>
      </c>
      <c r="BP76" s="136">
        <f t="shared" si="17"/>
        <v>107</v>
      </c>
      <c r="BQ76" s="136" t="s">
        <v>1183</v>
      </c>
      <c r="BR76" s="136">
        <v>0</v>
      </c>
      <c r="BS76" s="136">
        <v>5</v>
      </c>
      <c r="BT76" s="136">
        <v>0</v>
      </c>
      <c r="BU76" s="136">
        <v>1</v>
      </c>
      <c r="BV76" s="136">
        <v>0</v>
      </c>
      <c r="BW76" s="136">
        <v>0</v>
      </c>
      <c r="BX76" s="136">
        <v>0</v>
      </c>
      <c r="BY76" s="136" t="s">
        <v>1154</v>
      </c>
      <c r="BZ76" s="136">
        <v>0</v>
      </c>
      <c r="CA76" s="136"/>
      <c r="CB76" s="144"/>
      <c r="CC76" s="144"/>
      <c r="CD76" s="136"/>
      <c r="CE76" s="136" t="s">
        <v>161</v>
      </c>
      <c r="CF76" s="136"/>
      <c r="CG76" s="136"/>
      <c r="CH76" s="374">
        <v>1</v>
      </c>
      <c r="CI76" s="136">
        <v>3</v>
      </c>
      <c r="CJ76" s="136"/>
      <c r="CK76" s="136" t="s">
        <v>807</v>
      </c>
    </row>
    <row r="77" spans="1:89" ht="25" customHeight="1" x14ac:dyDescent="0.35">
      <c r="A77" s="136">
        <v>80</v>
      </c>
      <c r="B77" s="136" t="s">
        <v>1184</v>
      </c>
      <c r="C77" s="136" t="s">
        <v>1185</v>
      </c>
      <c r="D77" s="136" t="s">
        <v>1186</v>
      </c>
      <c r="E77" s="136" t="s">
        <v>1187</v>
      </c>
      <c r="F77" s="136" t="s">
        <v>4140</v>
      </c>
      <c r="G77" s="136">
        <v>4</v>
      </c>
      <c r="H77" s="129" t="s">
        <v>51</v>
      </c>
      <c r="I77" s="129" t="s">
        <v>4136</v>
      </c>
      <c r="J77" s="129" t="s">
        <v>1188</v>
      </c>
      <c r="K77" s="129" t="s">
        <v>1189</v>
      </c>
      <c r="L77" s="129" t="s">
        <v>4136</v>
      </c>
      <c r="M77" s="129" t="s">
        <v>148</v>
      </c>
      <c r="N77" s="138" t="s">
        <v>1190</v>
      </c>
      <c r="O77" s="236" t="s">
        <v>320</v>
      </c>
      <c r="P77" s="237" t="s">
        <v>149</v>
      </c>
      <c r="Q77" s="136" t="s">
        <v>149</v>
      </c>
      <c r="R77" s="136" t="s">
        <v>1191</v>
      </c>
      <c r="S77" s="136" t="s">
        <v>1192</v>
      </c>
      <c r="T77" s="345" t="s">
        <v>1193</v>
      </c>
      <c r="U77" s="139" t="s">
        <v>1194</v>
      </c>
      <c r="V77" s="139">
        <v>30933</v>
      </c>
      <c r="W77" s="147" t="s">
        <v>1195</v>
      </c>
      <c r="X77" s="147" t="s">
        <v>177</v>
      </c>
      <c r="Y77" s="147" t="s">
        <v>161</v>
      </c>
      <c r="Z77" s="147" t="s">
        <v>156</v>
      </c>
      <c r="AA77" s="136">
        <v>36</v>
      </c>
      <c r="AB77" s="139">
        <v>41729</v>
      </c>
      <c r="AC77" s="285">
        <v>41699</v>
      </c>
      <c r="AD77" s="139"/>
      <c r="AE77" s="29" t="s">
        <v>1196</v>
      </c>
      <c r="AF77" s="136" t="s">
        <v>1197</v>
      </c>
      <c r="AG77" s="136" t="s">
        <v>1198</v>
      </c>
      <c r="AH77" s="136">
        <f t="shared" si="16"/>
        <v>3</v>
      </c>
      <c r="AI77" s="27" t="s">
        <v>159</v>
      </c>
      <c r="AJ77" s="136"/>
      <c r="AK77" s="136"/>
      <c r="AL77" s="136" t="s">
        <v>148</v>
      </c>
      <c r="AM77" s="136"/>
      <c r="AN77" s="136"/>
      <c r="AO77" s="136" t="s">
        <v>180</v>
      </c>
      <c r="AP77" s="136" t="s">
        <v>1199</v>
      </c>
      <c r="AQ77" s="136" t="s">
        <v>1200</v>
      </c>
      <c r="AR77" s="136" t="s">
        <v>148</v>
      </c>
      <c r="AS77" s="136"/>
      <c r="AT77" s="26" t="s">
        <v>1201</v>
      </c>
      <c r="AU77" s="136" t="s">
        <v>1202</v>
      </c>
      <c r="AV77" s="139"/>
      <c r="AW77" s="141">
        <v>41700</v>
      </c>
      <c r="AX77" s="141">
        <v>41946</v>
      </c>
      <c r="AY77" s="141" t="s">
        <v>148</v>
      </c>
      <c r="AZ77" s="141"/>
      <c r="BA77" s="141"/>
      <c r="BB77" s="141"/>
      <c r="BC77" s="141"/>
      <c r="BD77" s="141"/>
      <c r="BE77" s="142"/>
      <c r="BF77" s="141">
        <v>42585</v>
      </c>
      <c r="BG77" s="141" t="s">
        <v>148</v>
      </c>
      <c r="BH77" s="141">
        <v>42793</v>
      </c>
      <c r="BI77" s="141" t="s">
        <v>148</v>
      </c>
      <c r="BJ77" s="139"/>
      <c r="BK77" s="139">
        <v>44176</v>
      </c>
      <c r="BL77" s="139"/>
      <c r="BM77" s="143">
        <v>44539</v>
      </c>
      <c r="BN77" s="136" t="s">
        <v>16</v>
      </c>
      <c r="BO77" s="136">
        <f t="shared" ref="BO77" si="19">DATEDIF(AW77,BM77, "M")+1</f>
        <v>94</v>
      </c>
      <c r="BP77" s="136">
        <f t="shared" si="17"/>
        <v>86</v>
      </c>
      <c r="BQ77" s="136"/>
      <c r="BR77" s="136">
        <v>0</v>
      </c>
      <c r="BS77" s="136">
        <v>6</v>
      </c>
      <c r="BT77" s="136">
        <v>0</v>
      </c>
      <c r="BU77" s="136">
        <v>1</v>
      </c>
      <c r="BV77" s="136">
        <v>0</v>
      </c>
      <c r="BW77" s="136">
        <v>0</v>
      </c>
      <c r="BX77" s="136">
        <v>0</v>
      </c>
      <c r="BY77" s="136" t="s">
        <v>161</v>
      </c>
      <c r="BZ77" s="136">
        <v>0</v>
      </c>
      <c r="CA77" s="136"/>
      <c r="CB77" s="144"/>
      <c r="CC77" s="144"/>
      <c r="CD77" s="136"/>
      <c r="CE77" s="136" t="s">
        <v>161</v>
      </c>
      <c r="CF77" s="136"/>
      <c r="CG77" s="136"/>
      <c r="CH77" s="374">
        <v>0</v>
      </c>
      <c r="CI77" s="136">
        <v>1</v>
      </c>
      <c r="CJ77" s="136"/>
      <c r="CK77" s="136" t="s">
        <v>498</v>
      </c>
    </row>
    <row r="78" spans="1:89" ht="25" customHeight="1" x14ac:dyDescent="0.35">
      <c r="A78" s="136">
        <v>81</v>
      </c>
      <c r="B78" s="136" t="s">
        <v>1203</v>
      </c>
      <c r="C78" s="136" t="s">
        <v>1204</v>
      </c>
      <c r="D78" s="136" t="s">
        <v>1205</v>
      </c>
      <c r="E78" s="136" t="s">
        <v>1206</v>
      </c>
      <c r="F78" s="136" t="s">
        <v>4140</v>
      </c>
      <c r="G78" s="136">
        <v>4</v>
      </c>
      <c r="H78" s="129" t="s">
        <v>58</v>
      </c>
      <c r="I78" s="129" t="s">
        <v>35</v>
      </c>
      <c r="J78" s="129" t="s">
        <v>1207</v>
      </c>
      <c r="K78" s="129" t="s">
        <v>1207</v>
      </c>
      <c r="L78" s="129" t="s">
        <v>44</v>
      </c>
      <c r="M78" s="129" t="s">
        <v>161</v>
      </c>
      <c r="N78" s="136">
        <v>1060654</v>
      </c>
      <c r="O78" s="236" t="s">
        <v>149</v>
      </c>
      <c r="P78" s="237" t="s">
        <v>149</v>
      </c>
      <c r="Q78" s="136" t="s">
        <v>149</v>
      </c>
      <c r="R78" s="136" t="s">
        <v>1208</v>
      </c>
      <c r="S78" s="145" t="s">
        <v>1209</v>
      </c>
      <c r="T78" s="345" t="s">
        <v>1210</v>
      </c>
      <c r="U78" s="139" t="s">
        <v>1211</v>
      </c>
      <c r="V78" s="139">
        <v>28080</v>
      </c>
      <c r="W78" s="147" t="s">
        <v>1212</v>
      </c>
      <c r="X78" s="147" t="s">
        <v>154</v>
      </c>
      <c r="Y78" s="147" t="s">
        <v>155</v>
      </c>
      <c r="Z78" s="147" t="s">
        <v>156</v>
      </c>
      <c r="AA78" s="136">
        <v>15.5</v>
      </c>
      <c r="AB78" s="139">
        <v>42886</v>
      </c>
      <c r="AC78" s="285">
        <v>41699</v>
      </c>
      <c r="AD78" s="139"/>
      <c r="AE78" s="28" t="s">
        <v>1213</v>
      </c>
      <c r="AF78" s="136"/>
      <c r="AG78" s="136"/>
      <c r="AH78" s="136">
        <f t="shared" si="16"/>
        <v>1</v>
      </c>
      <c r="AI78" s="147" t="s">
        <v>160</v>
      </c>
      <c r="AJ78" s="136"/>
      <c r="AK78" s="136"/>
      <c r="AL78" s="136" t="s">
        <v>148</v>
      </c>
      <c r="AM78" s="136"/>
      <c r="AN78" s="136"/>
      <c r="AO78" s="136" t="s">
        <v>180</v>
      </c>
      <c r="AP78" s="136" t="s">
        <v>180</v>
      </c>
      <c r="AQ78" s="136" t="s">
        <v>1214</v>
      </c>
      <c r="AR78" s="136" t="s">
        <v>148</v>
      </c>
      <c r="AS78" s="136"/>
      <c r="AT78" s="26" t="s">
        <v>578</v>
      </c>
      <c r="AU78" s="136" t="s">
        <v>1215</v>
      </c>
      <c r="AV78" s="139"/>
      <c r="AW78" s="141">
        <v>41700</v>
      </c>
      <c r="AX78" s="141">
        <v>41946</v>
      </c>
      <c r="AY78" s="141" t="s">
        <v>148</v>
      </c>
      <c r="AZ78" s="141">
        <v>42207</v>
      </c>
      <c r="BA78" s="141">
        <v>43503</v>
      </c>
      <c r="BB78" s="141"/>
      <c r="BC78" s="141"/>
      <c r="BD78" s="141"/>
      <c r="BE78" s="142" t="s">
        <v>1216</v>
      </c>
      <c r="BF78" s="141">
        <v>42585</v>
      </c>
      <c r="BG78" s="141" t="s">
        <v>148</v>
      </c>
      <c r="BH78" s="141">
        <v>42793</v>
      </c>
      <c r="BI78" s="141" t="s">
        <v>148</v>
      </c>
      <c r="BJ78" s="139"/>
      <c r="BK78" s="139"/>
      <c r="BL78" s="139"/>
      <c r="BM78" s="143">
        <v>44508</v>
      </c>
      <c r="BN78" s="136" t="s">
        <v>16</v>
      </c>
      <c r="BO78" s="235">
        <f t="shared" ref="BO78:BO82" si="20">DATEDIF(AW78,BM78, "M")+1</f>
        <v>93</v>
      </c>
      <c r="BP78" s="136">
        <f t="shared" si="17"/>
        <v>85</v>
      </c>
      <c r="BQ78" s="136"/>
      <c r="BR78" s="136">
        <v>1</v>
      </c>
      <c r="BS78" s="136">
        <v>15</v>
      </c>
      <c r="BT78" s="136">
        <v>6</v>
      </c>
      <c r="BU78" s="136">
        <v>1</v>
      </c>
      <c r="BV78" s="136">
        <v>1</v>
      </c>
      <c r="BW78" s="136">
        <v>0</v>
      </c>
      <c r="BX78" s="136">
        <v>0</v>
      </c>
      <c r="BY78" s="136" t="s">
        <v>161</v>
      </c>
      <c r="BZ78" s="136">
        <v>0</v>
      </c>
      <c r="CA78" s="136"/>
      <c r="CB78" s="144"/>
      <c r="CC78" s="144"/>
      <c r="CD78" s="136"/>
      <c r="CE78" s="136" t="s">
        <v>161</v>
      </c>
      <c r="CF78" s="136"/>
      <c r="CG78" s="136"/>
      <c r="CH78" s="374" t="s">
        <v>166</v>
      </c>
      <c r="CI78" s="136" t="s">
        <v>166</v>
      </c>
      <c r="CJ78" s="136"/>
      <c r="CK78" s="136" t="s">
        <v>536</v>
      </c>
    </row>
    <row r="79" spans="1:89" ht="25" customHeight="1" x14ac:dyDescent="0.35">
      <c r="A79" s="136">
        <v>82</v>
      </c>
      <c r="B79" s="136" t="s">
        <v>1217</v>
      </c>
      <c r="C79" s="136" t="s">
        <v>1218</v>
      </c>
      <c r="D79" s="136" t="s">
        <v>1219</v>
      </c>
      <c r="E79" s="136" t="s">
        <v>1220</v>
      </c>
      <c r="F79" s="136" t="s">
        <v>4140</v>
      </c>
      <c r="G79" s="136">
        <v>4</v>
      </c>
      <c r="H79" s="129" t="s">
        <v>50</v>
      </c>
      <c r="I79" s="129" t="s">
        <v>37</v>
      </c>
      <c r="J79" s="129" t="s">
        <v>1221</v>
      </c>
      <c r="K79" s="129" t="s">
        <v>1222</v>
      </c>
      <c r="L79" s="129" t="s">
        <v>42</v>
      </c>
      <c r="M79" s="129" t="s">
        <v>161</v>
      </c>
      <c r="N79" s="195" t="s">
        <v>1223</v>
      </c>
      <c r="O79" s="239" t="s">
        <v>149</v>
      </c>
      <c r="P79" s="25" t="s">
        <v>149</v>
      </c>
      <c r="Q79" s="136" t="s">
        <v>149</v>
      </c>
      <c r="R79" s="387" t="s">
        <v>1224</v>
      </c>
      <c r="S79" s="136" t="s">
        <v>1225</v>
      </c>
      <c r="T79" s="346" t="s">
        <v>1226</v>
      </c>
      <c r="U79" s="139" t="s">
        <v>1227</v>
      </c>
      <c r="V79" s="139">
        <v>29172</v>
      </c>
      <c r="W79" s="147" t="s">
        <v>1228</v>
      </c>
      <c r="X79" s="147" t="s">
        <v>177</v>
      </c>
      <c r="Y79" s="147" t="s">
        <v>161</v>
      </c>
      <c r="Z79" s="147" t="s">
        <v>156</v>
      </c>
      <c r="AA79" s="136">
        <v>10</v>
      </c>
      <c r="AB79" s="139">
        <v>41913</v>
      </c>
      <c r="AC79" s="285">
        <v>41699</v>
      </c>
      <c r="AD79" s="139"/>
      <c r="AE79" s="27" t="s">
        <v>1229</v>
      </c>
      <c r="AF79" s="146" t="s">
        <v>1230</v>
      </c>
      <c r="AG79" s="146"/>
      <c r="AH79" s="136">
        <f t="shared" si="16"/>
        <v>2</v>
      </c>
      <c r="AI79" s="147" t="s">
        <v>160</v>
      </c>
      <c r="AJ79" s="146"/>
      <c r="AK79" s="146"/>
      <c r="AL79" s="146" t="s">
        <v>148</v>
      </c>
      <c r="AM79" s="146"/>
      <c r="AN79" s="146"/>
      <c r="AO79" s="146" t="s">
        <v>162</v>
      </c>
      <c r="AP79" s="146" t="s">
        <v>179</v>
      </c>
      <c r="AQ79" s="146" t="s">
        <v>201</v>
      </c>
      <c r="AR79" s="146" t="s">
        <v>148</v>
      </c>
      <c r="AS79" s="146"/>
      <c r="AT79" s="411" t="s">
        <v>1231</v>
      </c>
      <c r="AU79" s="136" t="s">
        <v>1232</v>
      </c>
      <c r="AV79" s="139"/>
      <c r="AW79" s="141">
        <v>41701</v>
      </c>
      <c r="AX79" s="141">
        <v>41946</v>
      </c>
      <c r="AY79" s="141" t="s">
        <v>148</v>
      </c>
      <c r="AZ79" s="141"/>
      <c r="BA79" s="141"/>
      <c r="BB79" s="141"/>
      <c r="BC79" s="141"/>
      <c r="BD79" s="141"/>
      <c r="BE79" s="142" t="s">
        <v>1233</v>
      </c>
      <c r="BF79" s="141">
        <v>42585</v>
      </c>
      <c r="BG79" s="141" t="s">
        <v>148</v>
      </c>
      <c r="BH79" s="141">
        <v>42793</v>
      </c>
      <c r="BI79" s="141" t="s">
        <v>148</v>
      </c>
      <c r="BJ79" s="139"/>
      <c r="BK79" s="139"/>
      <c r="BL79" s="139"/>
      <c r="BM79" s="143">
        <v>43242</v>
      </c>
      <c r="BN79" s="136" t="s">
        <v>16</v>
      </c>
      <c r="BO79" s="235">
        <f t="shared" si="20"/>
        <v>51</v>
      </c>
      <c r="BP79" s="136">
        <f t="shared" si="17"/>
        <v>43</v>
      </c>
      <c r="BQ79" s="147" t="s">
        <v>1234</v>
      </c>
      <c r="BR79" s="136">
        <v>2</v>
      </c>
      <c r="BS79" s="136">
        <v>3</v>
      </c>
      <c r="BT79" s="136">
        <v>5</v>
      </c>
      <c r="BU79" s="136">
        <v>6</v>
      </c>
      <c r="BV79" s="136">
        <v>1</v>
      </c>
      <c r="BW79" s="136">
        <v>0</v>
      </c>
      <c r="BX79" s="136">
        <v>0</v>
      </c>
      <c r="BY79" s="136" t="s">
        <v>161</v>
      </c>
      <c r="BZ79" s="136">
        <v>0</v>
      </c>
      <c r="CA79" s="136"/>
      <c r="CB79" s="144"/>
      <c r="CC79" s="144"/>
      <c r="CD79" s="136"/>
      <c r="CE79" s="136" t="s">
        <v>161</v>
      </c>
      <c r="CF79" s="136"/>
      <c r="CG79" s="136"/>
      <c r="CH79" s="374">
        <v>2</v>
      </c>
      <c r="CI79" s="136">
        <v>3</v>
      </c>
      <c r="CJ79" s="136"/>
      <c r="CK79" s="136" t="s">
        <v>536</v>
      </c>
    </row>
    <row r="80" spans="1:89" ht="25" customHeight="1" x14ac:dyDescent="0.35">
      <c r="A80" s="136">
        <v>83</v>
      </c>
      <c r="B80" s="136" t="s">
        <v>1235</v>
      </c>
      <c r="C80" s="136" t="s">
        <v>1236</v>
      </c>
      <c r="D80" s="136"/>
      <c r="E80" s="136" t="s">
        <v>1237</v>
      </c>
      <c r="F80" s="136" t="s">
        <v>4139</v>
      </c>
      <c r="G80" s="136">
        <v>4</v>
      </c>
      <c r="H80" s="129" t="s">
        <v>58</v>
      </c>
      <c r="I80" s="129" t="s">
        <v>35</v>
      </c>
      <c r="J80" s="129" t="s">
        <v>600</v>
      </c>
      <c r="K80" s="129" t="s">
        <v>1238</v>
      </c>
      <c r="L80" s="129" t="s">
        <v>35</v>
      </c>
      <c r="M80" s="129" t="s">
        <v>148</v>
      </c>
      <c r="N80" s="195"/>
      <c r="O80" s="239" t="s">
        <v>149</v>
      </c>
      <c r="P80" s="25" t="s">
        <v>149</v>
      </c>
      <c r="Q80" s="136" t="s">
        <v>149</v>
      </c>
      <c r="R80" s="387" t="s">
        <v>1239</v>
      </c>
      <c r="S80" s="149" t="s">
        <v>1240</v>
      </c>
      <c r="T80" s="346" t="s">
        <v>1241</v>
      </c>
      <c r="U80" s="139" t="s">
        <v>1242</v>
      </c>
      <c r="V80" s="139">
        <v>27712</v>
      </c>
      <c r="W80" s="147" t="s">
        <v>1243</v>
      </c>
      <c r="X80" s="147" t="s">
        <v>177</v>
      </c>
      <c r="Y80" s="147" t="s">
        <v>161</v>
      </c>
      <c r="Z80" s="147" t="s">
        <v>156</v>
      </c>
      <c r="AA80" s="136">
        <v>9.5</v>
      </c>
      <c r="AB80" s="139">
        <v>41604</v>
      </c>
      <c r="AC80" s="285">
        <v>41699</v>
      </c>
      <c r="AD80" s="139"/>
      <c r="AE80" s="27" t="s">
        <v>1244</v>
      </c>
      <c r="AF80" s="146" t="s">
        <v>1245</v>
      </c>
      <c r="AG80" s="146"/>
      <c r="AH80" s="136">
        <f t="shared" si="16"/>
        <v>2</v>
      </c>
      <c r="AI80" s="27" t="s">
        <v>159</v>
      </c>
      <c r="AJ80" s="146"/>
      <c r="AK80" s="146"/>
      <c r="AL80" s="146" t="s">
        <v>148</v>
      </c>
      <c r="AM80" s="146"/>
      <c r="AN80" s="146"/>
      <c r="AO80" s="146" t="s">
        <v>162</v>
      </c>
      <c r="AP80" s="146" t="s">
        <v>1246</v>
      </c>
      <c r="AQ80" s="146" t="s">
        <v>775</v>
      </c>
      <c r="AR80" s="146" t="s">
        <v>148</v>
      </c>
      <c r="AS80" s="146"/>
      <c r="AT80" s="411" t="s">
        <v>550</v>
      </c>
      <c r="AU80" s="136" t="s">
        <v>1247</v>
      </c>
      <c r="AV80" s="139"/>
      <c r="AW80" s="141">
        <v>41702</v>
      </c>
      <c r="AX80" s="141">
        <v>41946</v>
      </c>
      <c r="AY80" s="141" t="s">
        <v>148</v>
      </c>
      <c r="AZ80" s="141"/>
      <c r="BA80" s="141"/>
      <c r="BB80" s="141"/>
      <c r="BC80" s="141"/>
      <c r="BD80" s="141"/>
      <c r="BE80" s="142" t="s">
        <v>1248</v>
      </c>
      <c r="BF80" s="141">
        <v>42585</v>
      </c>
      <c r="BG80" s="141" t="s">
        <v>148</v>
      </c>
      <c r="BH80" s="141">
        <v>43164</v>
      </c>
      <c r="BI80" s="141" t="s">
        <v>161</v>
      </c>
      <c r="BJ80" s="139">
        <v>43256</v>
      </c>
      <c r="BK80" s="139">
        <v>43378</v>
      </c>
      <c r="BL80" s="139">
        <v>43399</v>
      </c>
      <c r="BM80" s="143">
        <v>43399</v>
      </c>
      <c r="BN80" s="136" t="s">
        <v>16</v>
      </c>
      <c r="BO80" s="235">
        <f t="shared" si="20"/>
        <v>56</v>
      </c>
      <c r="BP80" s="136">
        <f t="shared" si="17"/>
        <v>48</v>
      </c>
      <c r="BQ80" s="147" t="s">
        <v>1248</v>
      </c>
      <c r="BR80" s="136">
        <v>0</v>
      </c>
      <c r="BS80" s="136">
        <v>6</v>
      </c>
      <c r="BT80" s="136">
        <v>19</v>
      </c>
      <c r="BU80" s="136">
        <v>3</v>
      </c>
      <c r="BV80" s="136">
        <v>0</v>
      </c>
      <c r="BW80" s="136">
        <v>0</v>
      </c>
      <c r="BX80" s="136">
        <v>0</v>
      </c>
      <c r="BY80" s="136" t="s">
        <v>161</v>
      </c>
      <c r="BZ80" s="136">
        <v>0</v>
      </c>
      <c r="CA80" s="136"/>
      <c r="CB80" s="144"/>
      <c r="CC80" s="144"/>
      <c r="CD80" s="136"/>
      <c r="CE80" s="136" t="s">
        <v>161</v>
      </c>
      <c r="CF80" s="136"/>
      <c r="CG80" s="136"/>
      <c r="CH80" s="25">
        <v>2</v>
      </c>
      <c r="CI80" s="136">
        <v>3</v>
      </c>
      <c r="CJ80" s="136"/>
      <c r="CK80" s="136" t="s">
        <v>807</v>
      </c>
    </row>
    <row r="81" spans="1:89" ht="25" customHeight="1" x14ac:dyDescent="0.35">
      <c r="A81" s="136">
        <v>84</v>
      </c>
      <c r="B81" s="136" t="s">
        <v>1249</v>
      </c>
      <c r="C81" s="136" t="s">
        <v>1250</v>
      </c>
      <c r="D81" s="136" t="s">
        <v>1251</v>
      </c>
      <c r="E81" s="136" t="s">
        <v>1252</v>
      </c>
      <c r="F81" s="136" t="s">
        <v>4140</v>
      </c>
      <c r="G81" s="136">
        <v>4</v>
      </c>
      <c r="H81" s="129" t="s">
        <v>57</v>
      </c>
      <c r="I81" s="129" t="s">
        <v>40</v>
      </c>
      <c r="J81" s="129" t="s">
        <v>1253</v>
      </c>
      <c r="K81" s="129" t="s">
        <v>1254</v>
      </c>
      <c r="L81" s="129" t="s">
        <v>44</v>
      </c>
      <c r="M81" s="129" t="s">
        <v>161</v>
      </c>
      <c r="N81" s="136">
        <v>1197596</v>
      </c>
      <c r="O81" s="236"/>
      <c r="P81" s="237" t="s">
        <v>149</v>
      </c>
      <c r="Q81" s="136" t="s">
        <v>149</v>
      </c>
      <c r="R81" s="136" t="s">
        <v>1255</v>
      </c>
      <c r="S81" s="145" t="s">
        <v>1256</v>
      </c>
      <c r="T81" s="346" t="s">
        <v>1257</v>
      </c>
      <c r="U81" s="139" t="s">
        <v>1258</v>
      </c>
      <c r="V81" s="139">
        <v>30809</v>
      </c>
      <c r="W81" s="147" t="s">
        <v>1259</v>
      </c>
      <c r="X81" s="147" t="s">
        <v>177</v>
      </c>
      <c r="Y81" s="147" t="s">
        <v>161</v>
      </c>
      <c r="Z81" s="147" t="s">
        <v>156</v>
      </c>
      <c r="AA81" s="136">
        <v>9.5</v>
      </c>
      <c r="AB81" s="139">
        <v>42036</v>
      </c>
      <c r="AC81" s="285">
        <v>41699</v>
      </c>
      <c r="AD81" s="139"/>
      <c r="AE81" s="28" t="s">
        <v>1260</v>
      </c>
      <c r="AF81" s="136" t="s">
        <v>1261</v>
      </c>
      <c r="AG81" s="136" t="s">
        <v>1262</v>
      </c>
      <c r="AH81" s="136">
        <f t="shared" si="16"/>
        <v>3</v>
      </c>
      <c r="AI81" s="147" t="s">
        <v>159</v>
      </c>
      <c r="AJ81" s="136"/>
      <c r="AK81" s="136"/>
      <c r="AL81" s="136" t="s">
        <v>148</v>
      </c>
      <c r="AM81" s="136"/>
      <c r="AN81" s="136"/>
      <c r="AO81" s="136" t="s">
        <v>180</v>
      </c>
      <c r="AP81" s="136" t="s">
        <v>1263</v>
      </c>
      <c r="AQ81" s="136" t="s">
        <v>591</v>
      </c>
      <c r="AR81" s="136" t="s">
        <v>148</v>
      </c>
      <c r="AS81" s="136"/>
      <c r="AT81" s="26" t="s">
        <v>1264</v>
      </c>
      <c r="AU81" s="136" t="s">
        <v>1265</v>
      </c>
      <c r="AV81" s="139"/>
      <c r="AW81" s="141">
        <v>41703</v>
      </c>
      <c r="AX81" s="141">
        <v>41946</v>
      </c>
      <c r="AY81" s="141" t="s">
        <v>148</v>
      </c>
      <c r="AZ81" s="141">
        <v>42205</v>
      </c>
      <c r="BA81" s="141">
        <v>42230</v>
      </c>
      <c r="BB81" s="141"/>
      <c r="BC81" s="141"/>
      <c r="BD81" s="141"/>
      <c r="BE81" s="142" t="s">
        <v>1266</v>
      </c>
      <c r="BF81" s="141">
        <v>42585</v>
      </c>
      <c r="BG81" s="141" t="s">
        <v>148</v>
      </c>
      <c r="BH81" s="141">
        <v>42793</v>
      </c>
      <c r="BI81" s="141" t="s">
        <v>148</v>
      </c>
      <c r="BJ81" s="139"/>
      <c r="BK81" s="139"/>
      <c r="BL81" s="139"/>
      <c r="BM81" s="143">
        <v>43830</v>
      </c>
      <c r="BN81" s="136" t="s">
        <v>16</v>
      </c>
      <c r="BO81" s="235">
        <f t="shared" si="20"/>
        <v>70</v>
      </c>
      <c r="BP81" s="136">
        <f t="shared" si="17"/>
        <v>62</v>
      </c>
      <c r="BQ81" s="136"/>
      <c r="BR81" s="136">
        <v>1</v>
      </c>
      <c r="BS81" s="136">
        <v>5</v>
      </c>
      <c r="BT81" s="136">
        <v>3</v>
      </c>
      <c r="BU81" s="136">
        <v>2</v>
      </c>
      <c r="BV81" s="136">
        <v>0</v>
      </c>
      <c r="BW81" s="136">
        <v>0</v>
      </c>
      <c r="BX81" s="136">
        <v>0</v>
      </c>
      <c r="BY81" s="136" t="s">
        <v>1154</v>
      </c>
      <c r="BZ81" s="136">
        <v>0</v>
      </c>
      <c r="CA81" s="136"/>
      <c r="CB81" s="144"/>
      <c r="CC81" s="144"/>
      <c r="CD81" s="136"/>
      <c r="CE81" s="136" t="s">
        <v>161</v>
      </c>
      <c r="CF81" s="136"/>
      <c r="CG81" s="136"/>
      <c r="CH81" s="374">
        <v>1</v>
      </c>
      <c r="CI81" s="136">
        <v>2</v>
      </c>
      <c r="CJ81" s="136"/>
      <c r="CK81" s="136" t="s">
        <v>807</v>
      </c>
    </row>
    <row r="82" spans="1:89" ht="25" customHeight="1" x14ac:dyDescent="0.35">
      <c r="A82" s="136">
        <v>85</v>
      </c>
      <c r="B82" s="136" t="s">
        <v>1267</v>
      </c>
      <c r="C82" s="136" t="s">
        <v>1268</v>
      </c>
      <c r="D82" s="136" t="s">
        <v>904</v>
      </c>
      <c r="E82" s="136" t="s">
        <v>1269</v>
      </c>
      <c r="F82" s="136" t="s">
        <v>4139</v>
      </c>
      <c r="G82" s="136">
        <v>4</v>
      </c>
      <c r="H82" s="129" t="s">
        <v>50</v>
      </c>
      <c r="I82" s="129" t="s">
        <v>37</v>
      </c>
      <c r="J82" s="129" t="s">
        <v>1270</v>
      </c>
      <c r="K82" s="129" t="s">
        <v>1270</v>
      </c>
      <c r="L82" s="129" t="s">
        <v>42</v>
      </c>
      <c r="M82" s="129" t="s">
        <v>161</v>
      </c>
      <c r="N82" s="195" t="s">
        <v>1271</v>
      </c>
      <c r="O82" s="239" t="s">
        <v>149</v>
      </c>
      <c r="P82" s="25" t="s">
        <v>149</v>
      </c>
      <c r="Q82" s="136" t="s">
        <v>149</v>
      </c>
      <c r="R82" s="387" t="s">
        <v>1272</v>
      </c>
      <c r="S82" s="387" t="s">
        <v>1273</v>
      </c>
      <c r="T82" s="345" t="s">
        <v>1274</v>
      </c>
      <c r="U82" s="139" t="s">
        <v>1275</v>
      </c>
      <c r="V82" s="139">
        <v>28497</v>
      </c>
      <c r="W82" s="147" t="s">
        <v>1276</v>
      </c>
      <c r="X82" s="147" t="s">
        <v>177</v>
      </c>
      <c r="Y82" s="147" t="s">
        <v>155</v>
      </c>
      <c r="Z82" s="147" t="s">
        <v>156</v>
      </c>
      <c r="AA82" s="136">
        <v>13</v>
      </c>
      <c r="AB82" s="139">
        <v>41642</v>
      </c>
      <c r="AC82" s="285">
        <v>41699</v>
      </c>
      <c r="AD82" s="139"/>
      <c r="AE82" s="27" t="s">
        <v>1277</v>
      </c>
      <c r="AF82" s="146" t="s">
        <v>1278</v>
      </c>
      <c r="AG82" s="146"/>
      <c r="AH82" s="136">
        <f t="shared" si="16"/>
        <v>2</v>
      </c>
      <c r="AI82" s="27" t="s">
        <v>160</v>
      </c>
      <c r="AJ82" s="146"/>
      <c r="AK82" s="146"/>
      <c r="AL82" s="146" t="s">
        <v>148</v>
      </c>
      <c r="AM82" s="146"/>
      <c r="AN82" s="146"/>
      <c r="AO82" s="146" t="s">
        <v>162</v>
      </c>
      <c r="AP82" s="146" t="s">
        <v>1279</v>
      </c>
      <c r="AQ82" s="146" t="s">
        <v>201</v>
      </c>
      <c r="AR82" s="146" t="s">
        <v>148</v>
      </c>
      <c r="AS82" s="146"/>
      <c r="AT82" s="411" t="s">
        <v>202</v>
      </c>
      <c r="AU82" s="136" t="s">
        <v>1280</v>
      </c>
      <c r="AV82" s="139"/>
      <c r="AW82" s="141">
        <v>41704</v>
      </c>
      <c r="AX82" s="141">
        <v>41946</v>
      </c>
      <c r="AY82" s="141" t="s">
        <v>148</v>
      </c>
      <c r="AZ82" s="141">
        <v>42125</v>
      </c>
      <c r="BA82" s="141">
        <v>42156</v>
      </c>
      <c r="BB82" s="141">
        <v>42217</v>
      </c>
      <c r="BC82" s="141"/>
      <c r="BD82" s="141"/>
      <c r="BE82" s="142" t="s">
        <v>1281</v>
      </c>
      <c r="BF82" s="141">
        <v>42585</v>
      </c>
      <c r="BG82" s="141" t="s">
        <v>148</v>
      </c>
      <c r="BH82" s="141">
        <v>42791</v>
      </c>
      <c r="BI82" s="141" t="s">
        <v>148</v>
      </c>
      <c r="BJ82" s="139">
        <v>43115</v>
      </c>
      <c r="BK82" s="139">
        <v>43349</v>
      </c>
      <c r="BL82" s="139">
        <v>43426</v>
      </c>
      <c r="BM82" s="143">
        <v>43434</v>
      </c>
      <c r="BN82" s="136" t="s">
        <v>16</v>
      </c>
      <c r="BO82" s="235">
        <f t="shared" si="20"/>
        <v>57</v>
      </c>
      <c r="BP82" s="136">
        <f t="shared" si="17"/>
        <v>49</v>
      </c>
      <c r="BQ82" s="147" t="s">
        <v>1282</v>
      </c>
      <c r="BR82" s="136">
        <v>1</v>
      </c>
      <c r="BS82" s="136">
        <v>4</v>
      </c>
      <c r="BT82" s="136">
        <v>3</v>
      </c>
      <c r="BU82" s="136">
        <v>2</v>
      </c>
      <c r="BV82" s="136">
        <v>0</v>
      </c>
      <c r="BW82" s="136">
        <v>0</v>
      </c>
      <c r="BX82" s="136">
        <v>0</v>
      </c>
      <c r="BY82" s="136" t="s">
        <v>161</v>
      </c>
      <c r="BZ82" s="136">
        <v>0</v>
      </c>
      <c r="CA82" s="136"/>
      <c r="CB82" s="144"/>
      <c r="CC82" s="144"/>
      <c r="CD82" s="136"/>
      <c r="CE82" s="136" t="s">
        <v>161</v>
      </c>
      <c r="CF82" s="136"/>
      <c r="CG82" s="136"/>
      <c r="CH82" s="374">
        <v>2</v>
      </c>
      <c r="CI82" s="136">
        <v>2</v>
      </c>
      <c r="CJ82" s="136"/>
      <c r="CK82" s="136" t="s">
        <v>807</v>
      </c>
    </row>
    <row r="83" spans="1:89" ht="25" customHeight="1" x14ac:dyDescent="0.35">
      <c r="A83" s="136">
        <v>86</v>
      </c>
      <c r="B83" s="136" t="s">
        <v>1283</v>
      </c>
      <c r="C83" s="136" t="s">
        <v>1284</v>
      </c>
      <c r="D83" s="136" t="s">
        <v>752</v>
      </c>
      <c r="E83" s="136" t="s">
        <v>1285</v>
      </c>
      <c r="F83" s="136" t="s">
        <v>4140</v>
      </c>
      <c r="G83" s="136">
        <v>4</v>
      </c>
      <c r="H83" s="129" t="s">
        <v>50</v>
      </c>
      <c r="I83" s="129" t="s">
        <v>37</v>
      </c>
      <c r="J83" s="129" t="s">
        <v>600</v>
      </c>
      <c r="K83" s="129" t="s">
        <v>1286</v>
      </c>
      <c r="L83" s="129" t="s">
        <v>44</v>
      </c>
      <c r="M83" s="129" t="s">
        <v>161</v>
      </c>
      <c r="N83" s="195">
        <v>1061559</v>
      </c>
      <c r="O83" s="239"/>
      <c r="P83" s="25" t="s">
        <v>149</v>
      </c>
      <c r="Q83" s="136"/>
      <c r="R83" s="136" t="s">
        <v>1287</v>
      </c>
      <c r="S83" s="136" t="s">
        <v>1288</v>
      </c>
      <c r="T83" s="345" t="s">
        <v>1289</v>
      </c>
      <c r="U83" s="139" t="s">
        <v>1290</v>
      </c>
      <c r="V83" s="139">
        <v>25297</v>
      </c>
      <c r="W83" s="147" t="s">
        <v>1291</v>
      </c>
      <c r="X83" s="147" t="s">
        <v>177</v>
      </c>
      <c r="Y83" s="147" t="s">
        <v>161</v>
      </c>
      <c r="Z83" s="147" t="s">
        <v>156</v>
      </c>
      <c r="AA83" s="136">
        <v>16</v>
      </c>
      <c r="AB83" s="139">
        <v>41693</v>
      </c>
      <c r="AC83" s="285">
        <v>41699</v>
      </c>
      <c r="AD83" s="139"/>
      <c r="AE83" s="136" t="s">
        <v>1292</v>
      </c>
      <c r="AF83" s="136"/>
      <c r="AG83" s="136"/>
      <c r="AH83" s="136">
        <f t="shared" si="16"/>
        <v>1</v>
      </c>
      <c r="AI83" s="147" t="s">
        <v>159</v>
      </c>
      <c r="AJ83" s="136"/>
      <c r="AK83" s="136"/>
      <c r="AL83" s="136" t="s">
        <v>161</v>
      </c>
      <c r="AM83" s="136"/>
      <c r="AN83" s="136"/>
      <c r="AO83" s="136" t="s">
        <v>162</v>
      </c>
      <c r="AP83" s="136" t="s">
        <v>179</v>
      </c>
      <c r="AQ83" s="136" t="s">
        <v>201</v>
      </c>
      <c r="AR83" s="136" t="s">
        <v>148</v>
      </c>
      <c r="AS83" s="136"/>
      <c r="AT83" s="26" t="s">
        <v>202</v>
      </c>
      <c r="AU83" s="136" t="s">
        <v>1293</v>
      </c>
      <c r="AV83" s="139"/>
      <c r="AW83" s="141">
        <v>41700</v>
      </c>
      <c r="AX83" s="141">
        <v>41946</v>
      </c>
      <c r="AY83" s="141" t="s">
        <v>148</v>
      </c>
      <c r="AZ83" s="141">
        <v>42555</v>
      </c>
      <c r="BA83" s="141">
        <v>42989</v>
      </c>
      <c r="BB83" s="141"/>
      <c r="BC83" s="141"/>
      <c r="BD83" s="141"/>
      <c r="BE83" s="142"/>
      <c r="BF83" s="141">
        <v>42585</v>
      </c>
      <c r="BG83" s="141" t="s">
        <v>148</v>
      </c>
      <c r="BH83" s="141">
        <v>42793</v>
      </c>
      <c r="BI83" s="141" t="s">
        <v>148</v>
      </c>
      <c r="BJ83" s="139"/>
      <c r="BK83" s="139"/>
      <c r="BL83" s="139"/>
      <c r="BM83" s="143"/>
      <c r="BN83" s="150" t="s">
        <v>17</v>
      </c>
      <c r="BO83" s="238"/>
      <c r="BP83" s="238"/>
      <c r="BQ83" s="147"/>
      <c r="BR83" s="136">
        <v>2</v>
      </c>
      <c r="BS83" s="136">
        <v>3</v>
      </c>
      <c r="BT83" s="136">
        <v>0</v>
      </c>
      <c r="BU83" s="136">
        <v>3</v>
      </c>
      <c r="BV83" s="136">
        <v>0</v>
      </c>
      <c r="BW83" s="136">
        <v>0</v>
      </c>
      <c r="BX83" s="136">
        <v>0</v>
      </c>
      <c r="BY83" s="136" t="s">
        <v>161</v>
      </c>
      <c r="BZ83" s="136">
        <v>0</v>
      </c>
      <c r="CA83" s="136"/>
      <c r="CB83" s="144"/>
      <c r="CC83" s="144"/>
      <c r="CD83" s="136"/>
      <c r="CE83" s="136" t="s">
        <v>161</v>
      </c>
      <c r="CF83" s="136"/>
      <c r="CG83" s="136"/>
      <c r="CH83" s="374" t="s">
        <v>166</v>
      </c>
      <c r="CI83" s="136" t="s">
        <v>166</v>
      </c>
      <c r="CJ83" s="136"/>
      <c r="CK83" s="136" t="s">
        <v>1294</v>
      </c>
    </row>
    <row r="84" spans="1:89" ht="25" customHeight="1" x14ac:dyDescent="0.35">
      <c r="A84" s="136">
        <v>87</v>
      </c>
      <c r="B84" s="136" t="s">
        <v>1295</v>
      </c>
      <c r="C84" s="136" t="s">
        <v>1296</v>
      </c>
      <c r="D84" s="136" t="s">
        <v>1297</v>
      </c>
      <c r="E84" s="136" t="s">
        <v>1298</v>
      </c>
      <c r="F84" s="136" t="s">
        <v>4140</v>
      </c>
      <c r="G84" s="136">
        <v>4</v>
      </c>
      <c r="H84" s="129" t="s">
        <v>53</v>
      </c>
      <c r="I84" s="129" t="s">
        <v>43</v>
      </c>
      <c r="J84" s="129" t="s">
        <v>600</v>
      </c>
      <c r="K84" s="129" t="s">
        <v>1299</v>
      </c>
      <c r="L84" s="129" t="s">
        <v>35</v>
      </c>
      <c r="M84" s="129" t="s">
        <v>161</v>
      </c>
      <c r="N84" s="195" t="s">
        <v>1300</v>
      </c>
      <c r="O84" s="136" t="s">
        <v>853</v>
      </c>
      <c r="P84" s="25" t="s">
        <v>1301</v>
      </c>
      <c r="Q84" s="25" t="s">
        <v>1301</v>
      </c>
      <c r="R84" s="145" t="s">
        <v>1302</v>
      </c>
      <c r="S84" s="136" t="s">
        <v>1303</v>
      </c>
      <c r="T84" s="346" t="s">
        <v>1304</v>
      </c>
      <c r="U84" s="139" t="s">
        <v>1305</v>
      </c>
      <c r="V84" s="139">
        <v>28294</v>
      </c>
      <c r="W84" s="147" t="s">
        <v>1306</v>
      </c>
      <c r="X84" s="147" t="s">
        <v>177</v>
      </c>
      <c r="Y84" s="147" t="s">
        <v>161</v>
      </c>
      <c r="Z84" s="147" t="s">
        <v>156</v>
      </c>
      <c r="AA84" s="136">
        <v>7.5</v>
      </c>
      <c r="AB84" s="139">
        <v>42353</v>
      </c>
      <c r="AC84" s="285">
        <v>41699</v>
      </c>
      <c r="AD84" s="139"/>
      <c r="AE84" s="28" t="s">
        <v>1307</v>
      </c>
      <c r="AF84" s="136"/>
      <c r="AG84" s="136"/>
      <c r="AH84" s="136">
        <f t="shared" si="16"/>
        <v>1</v>
      </c>
      <c r="AI84" s="147" t="s">
        <v>160</v>
      </c>
      <c r="AJ84" s="136"/>
      <c r="AK84" s="136"/>
      <c r="AL84" s="136" t="s">
        <v>148</v>
      </c>
      <c r="AM84" s="136"/>
      <c r="AN84" s="136"/>
      <c r="AO84" s="136" t="s">
        <v>162</v>
      </c>
      <c r="AP84" s="136" t="s">
        <v>201</v>
      </c>
      <c r="AQ84" s="136" t="s">
        <v>1308</v>
      </c>
      <c r="AR84" s="136" t="s">
        <v>148</v>
      </c>
      <c r="AS84" s="136"/>
      <c r="AT84" s="26" t="s">
        <v>1309</v>
      </c>
      <c r="AU84" s="136" t="s">
        <v>1310</v>
      </c>
      <c r="AV84" s="139"/>
      <c r="AW84" s="141">
        <v>41700</v>
      </c>
      <c r="AX84" s="141">
        <v>41946</v>
      </c>
      <c r="AY84" s="141" t="s">
        <v>148</v>
      </c>
      <c r="AZ84" s="141"/>
      <c r="BA84" s="141"/>
      <c r="BB84" s="141"/>
      <c r="BC84" s="141"/>
      <c r="BD84" s="141"/>
      <c r="BE84" s="142"/>
      <c r="BF84" s="141">
        <v>42585</v>
      </c>
      <c r="BG84" s="141" t="s">
        <v>148</v>
      </c>
      <c r="BH84" s="141">
        <v>42793</v>
      </c>
      <c r="BI84" s="141" t="s">
        <v>148</v>
      </c>
      <c r="BJ84" s="139"/>
      <c r="BK84" s="139">
        <v>44221</v>
      </c>
      <c r="BL84" s="139"/>
      <c r="BM84" s="143">
        <v>44333</v>
      </c>
      <c r="BN84" s="136" t="s">
        <v>16</v>
      </c>
      <c r="BO84" s="235">
        <f>DATEDIF(AW84,BM84, "M")+1</f>
        <v>87</v>
      </c>
      <c r="BP84" s="136">
        <f>DATEDIF(AX84,BM84, "M")+1</f>
        <v>79</v>
      </c>
      <c r="BQ84" s="147" t="s">
        <v>1311</v>
      </c>
      <c r="BR84" s="136">
        <v>0</v>
      </c>
      <c r="BS84" s="136">
        <v>4</v>
      </c>
      <c r="BT84" s="136">
        <v>0</v>
      </c>
      <c r="BU84" s="136">
        <v>0</v>
      </c>
      <c r="BV84" s="136">
        <v>1</v>
      </c>
      <c r="BW84" s="136">
        <v>0</v>
      </c>
      <c r="BX84" s="136">
        <v>0</v>
      </c>
      <c r="BY84" s="136" t="s">
        <v>161</v>
      </c>
      <c r="BZ84" s="136">
        <v>0</v>
      </c>
      <c r="CA84" s="136"/>
      <c r="CB84" s="144"/>
      <c r="CC84" s="144"/>
      <c r="CD84" s="136"/>
      <c r="CE84" s="136" t="s">
        <v>161</v>
      </c>
      <c r="CF84" s="136"/>
      <c r="CG84" s="136"/>
      <c r="CH84" s="374">
        <v>2</v>
      </c>
      <c r="CI84" s="136">
        <v>2</v>
      </c>
      <c r="CJ84" s="136"/>
      <c r="CK84" s="136" t="s">
        <v>1312</v>
      </c>
    </row>
    <row r="85" spans="1:89" ht="25" customHeight="1" x14ac:dyDescent="0.35">
      <c r="A85" s="91">
        <v>88</v>
      </c>
      <c r="B85" s="91" t="s">
        <v>1313</v>
      </c>
      <c r="C85" s="91" t="s">
        <v>1314</v>
      </c>
      <c r="D85" s="91" t="s">
        <v>1315</v>
      </c>
      <c r="E85" s="91" t="s">
        <v>1316</v>
      </c>
      <c r="F85" s="91" t="s">
        <v>4139</v>
      </c>
      <c r="G85" s="91">
        <v>4</v>
      </c>
      <c r="H85" s="91" t="s">
        <v>51</v>
      </c>
      <c r="I85" s="91" t="s">
        <v>4136</v>
      </c>
      <c r="J85" s="91" t="s">
        <v>600</v>
      </c>
      <c r="K85" s="91" t="s">
        <v>1317</v>
      </c>
      <c r="L85" s="91" t="s">
        <v>4136</v>
      </c>
      <c r="M85" s="91" t="s">
        <v>148</v>
      </c>
      <c r="N85" s="91" t="s">
        <v>1318</v>
      </c>
      <c r="O85" s="91" t="s">
        <v>166</v>
      </c>
      <c r="P85" s="91" t="s">
        <v>149</v>
      </c>
      <c r="Q85" s="91"/>
      <c r="R85" s="91" t="s">
        <v>1319</v>
      </c>
      <c r="S85" s="91" t="s">
        <v>1320</v>
      </c>
      <c r="T85" s="200" t="s">
        <v>1321</v>
      </c>
      <c r="U85" s="91" t="s">
        <v>1322</v>
      </c>
      <c r="V85" s="91">
        <v>30152</v>
      </c>
      <c r="W85" s="91" t="s">
        <v>1323</v>
      </c>
      <c r="X85" s="91" t="s">
        <v>154</v>
      </c>
      <c r="Y85" s="91" t="s">
        <v>155</v>
      </c>
      <c r="Z85" s="91" t="s">
        <v>156</v>
      </c>
      <c r="AA85" s="91">
        <v>25</v>
      </c>
      <c r="AB85" s="92">
        <v>41692</v>
      </c>
      <c r="AC85" s="281">
        <v>41699</v>
      </c>
      <c r="AD85" s="92">
        <v>43867</v>
      </c>
      <c r="AE85" s="91" t="s">
        <v>1324</v>
      </c>
      <c r="AF85" s="91"/>
      <c r="AG85" s="91"/>
      <c r="AH85" s="91">
        <f t="shared" si="16"/>
        <v>1</v>
      </c>
      <c r="AI85" s="91" t="s">
        <v>280</v>
      </c>
      <c r="AJ85" s="91"/>
      <c r="AK85" s="91"/>
      <c r="AL85" s="91" t="s">
        <v>148</v>
      </c>
      <c r="AM85" s="91"/>
      <c r="AN85" s="91"/>
      <c r="AO85" s="91" t="s">
        <v>162</v>
      </c>
      <c r="AP85" s="91" t="s">
        <v>201</v>
      </c>
      <c r="AQ85" s="91"/>
      <c r="AR85" s="91"/>
      <c r="AS85" s="91"/>
      <c r="AT85" s="10" t="s">
        <v>296</v>
      </c>
      <c r="AU85" s="91"/>
      <c r="AV85" s="91"/>
      <c r="AW85" s="93">
        <v>41700</v>
      </c>
      <c r="AX85" s="93">
        <v>41946</v>
      </c>
      <c r="AY85" s="91" t="s">
        <v>148</v>
      </c>
      <c r="AZ85" s="91"/>
      <c r="BA85" s="91"/>
      <c r="BB85" s="91"/>
      <c r="BC85" s="91"/>
      <c r="BD85" s="91"/>
      <c r="BE85" s="91"/>
      <c r="BF85" s="91">
        <v>42585</v>
      </c>
      <c r="BG85" s="91" t="s">
        <v>148</v>
      </c>
      <c r="BH85" s="91"/>
      <c r="BI85" s="91" t="s">
        <v>161</v>
      </c>
      <c r="BJ85" s="91"/>
      <c r="BK85" s="91"/>
      <c r="BL85" s="91"/>
      <c r="BM85" s="91"/>
      <c r="BN85" s="151" t="s">
        <v>18</v>
      </c>
      <c r="BO85" s="91" t="s">
        <v>18</v>
      </c>
      <c r="BP85" s="91"/>
      <c r="BQ85" s="91"/>
      <c r="BR85" s="91">
        <v>0</v>
      </c>
      <c r="BS85" s="91">
        <v>2</v>
      </c>
      <c r="BT85" s="91">
        <v>0</v>
      </c>
      <c r="BU85" s="91">
        <v>1</v>
      </c>
      <c r="BV85" s="91">
        <v>0</v>
      </c>
      <c r="BW85" s="91">
        <v>0</v>
      </c>
      <c r="BX85" s="91">
        <v>0</v>
      </c>
      <c r="BY85" s="91" t="s">
        <v>161</v>
      </c>
      <c r="BZ85" s="91">
        <v>0</v>
      </c>
      <c r="CA85" s="91"/>
      <c r="CB85" s="91"/>
      <c r="CC85" s="91"/>
      <c r="CD85" s="91"/>
      <c r="CE85" s="91" t="s">
        <v>161</v>
      </c>
      <c r="CF85" s="91"/>
      <c r="CG85" s="91"/>
      <c r="CH85" s="113" t="s">
        <v>166</v>
      </c>
      <c r="CI85" s="91" t="s">
        <v>166</v>
      </c>
      <c r="CJ85" s="91"/>
      <c r="CK85" s="91" t="s">
        <v>807</v>
      </c>
    </row>
    <row r="86" spans="1:89" ht="25" customHeight="1" x14ac:dyDescent="0.35">
      <c r="A86" s="136">
        <v>89</v>
      </c>
      <c r="B86" s="136" t="s">
        <v>1325</v>
      </c>
      <c r="C86" s="136" t="s">
        <v>1326</v>
      </c>
      <c r="D86" s="136" t="s">
        <v>1327</v>
      </c>
      <c r="E86" s="136" t="s">
        <v>1328</v>
      </c>
      <c r="F86" s="136" t="s">
        <v>4139</v>
      </c>
      <c r="G86" s="136">
        <v>4</v>
      </c>
      <c r="H86" s="129" t="s">
        <v>57</v>
      </c>
      <c r="I86" s="129" t="s">
        <v>41</v>
      </c>
      <c r="J86" s="129" t="s">
        <v>1329</v>
      </c>
      <c r="K86" s="129" t="s">
        <v>1330</v>
      </c>
      <c r="L86" s="129" t="s">
        <v>41</v>
      </c>
      <c r="M86" s="129" t="s">
        <v>148</v>
      </c>
      <c r="N86" s="195">
        <v>1034515</v>
      </c>
      <c r="O86" s="25" t="s">
        <v>149</v>
      </c>
      <c r="P86" s="25" t="s">
        <v>149</v>
      </c>
      <c r="Q86" s="136" t="s">
        <v>149</v>
      </c>
      <c r="R86" s="387" t="s">
        <v>1331</v>
      </c>
      <c r="S86" s="136" t="s">
        <v>1332</v>
      </c>
      <c r="T86" s="346" t="s">
        <v>1333</v>
      </c>
      <c r="U86" s="139" t="s">
        <v>1334</v>
      </c>
      <c r="V86" s="139">
        <v>29764</v>
      </c>
      <c r="W86" s="147" t="s">
        <v>1335</v>
      </c>
      <c r="X86" s="147" t="s">
        <v>177</v>
      </c>
      <c r="Y86" s="147" t="s">
        <v>161</v>
      </c>
      <c r="Z86" s="147" t="s">
        <v>156</v>
      </c>
      <c r="AA86" s="136">
        <v>28</v>
      </c>
      <c r="AB86" s="139">
        <v>41730</v>
      </c>
      <c r="AC86" s="285">
        <v>41699</v>
      </c>
      <c r="AD86" s="139"/>
      <c r="AE86" s="27" t="s">
        <v>1336</v>
      </c>
      <c r="AF86" s="146"/>
      <c r="AG86" s="146"/>
      <c r="AH86" s="136">
        <f t="shared" si="16"/>
        <v>1</v>
      </c>
      <c r="AI86" s="27" t="s">
        <v>159</v>
      </c>
      <c r="AJ86" s="146"/>
      <c r="AK86" s="146"/>
      <c r="AL86" s="146" t="s">
        <v>161</v>
      </c>
      <c r="AM86" s="146"/>
      <c r="AN86" s="146"/>
      <c r="AO86" s="146" t="s">
        <v>180</v>
      </c>
      <c r="AP86" s="146" t="s">
        <v>179</v>
      </c>
      <c r="AQ86" s="293" t="s">
        <v>248</v>
      </c>
      <c r="AR86" s="146" t="s">
        <v>148</v>
      </c>
      <c r="AS86" s="146"/>
      <c r="AT86" s="411" t="s">
        <v>535</v>
      </c>
      <c r="AU86" s="136" t="s">
        <v>1337</v>
      </c>
      <c r="AV86" s="139"/>
      <c r="AW86" s="141">
        <v>41700</v>
      </c>
      <c r="AX86" s="141">
        <v>41946</v>
      </c>
      <c r="AY86" s="141" t="s">
        <v>148</v>
      </c>
      <c r="AZ86" s="141"/>
      <c r="BA86" s="141"/>
      <c r="BB86" s="141"/>
      <c r="BC86" s="141"/>
      <c r="BD86" s="141"/>
      <c r="BE86" s="142"/>
      <c r="BF86" s="141">
        <v>42585</v>
      </c>
      <c r="BG86" s="141" t="s">
        <v>148</v>
      </c>
      <c r="BH86" s="141">
        <v>42793</v>
      </c>
      <c r="BI86" s="141" t="s">
        <v>148</v>
      </c>
      <c r="BJ86" s="139"/>
      <c r="BK86" s="139"/>
      <c r="BL86" s="139"/>
      <c r="BM86" s="143">
        <v>43201</v>
      </c>
      <c r="BN86" s="136" t="s">
        <v>16</v>
      </c>
      <c r="BO86" s="235">
        <f t="shared" ref="BO86:BO94" si="21">DATEDIF(AW86,BM86, "M")+1</f>
        <v>50</v>
      </c>
      <c r="BP86" s="136">
        <f t="shared" ref="BP86:BP100" si="22">DATEDIF(AX86,BM86, "M")+1</f>
        <v>42</v>
      </c>
      <c r="BQ86" s="147" t="s">
        <v>1338</v>
      </c>
      <c r="BR86" s="136">
        <v>0</v>
      </c>
      <c r="BS86" s="136">
        <v>0</v>
      </c>
      <c r="BT86" s="136">
        <v>6</v>
      </c>
      <c r="BU86" s="136">
        <v>1</v>
      </c>
      <c r="BV86" s="136">
        <v>0</v>
      </c>
      <c r="BW86" s="136">
        <v>0</v>
      </c>
      <c r="BX86" s="136">
        <v>0</v>
      </c>
      <c r="BY86" s="136" t="s">
        <v>161</v>
      </c>
      <c r="BZ86" s="136">
        <v>0</v>
      </c>
      <c r="CA86" s="136"/>
      <c r="CB86" s="144"/>
      <c r="CC86" s="144"/>
      <c r="CD86" s="136"/>
      <c r="CE86" s="136" t="s">
        <v>161</v>
      </c>
      <c r="CF86" s="136"/>
      <c r="CG86" s="136"/>
      <c r="CH86" s="374">
        <v>1</v>
      </c>
      <c r="CI86" s="136">
        <v>1</v>
      </c>
      <c r="CJ86" s="136"/>
      <c r="CK86" s="136" t="s">
        <v>807</v>
      </c>
    </row>
    <row r="87" spans="1:89" ht="25" customHeight="1" x14ac:dyDescent="0.35">
      <c r="A87" s="136">
        <v>90</v>
      </c>
      <c r="B87" s="136" t="s">
        <v>1339</v>
      </c>
      <c r="C87" s="136" t="s">
        <v>1340</v>
      </c>
      <c r="D87" s="136" t="s">
        <v>1341</v>
      </c>
      <c r="E87" s="136" t="s">
        <v>1342</v>
      </c>
      <c r="F87" s="136" t="s">
        <v>4139</v>
      </c>
      <c r="G87" s="136">
        <v>4</v>
      </c>
      <c r="H87" s="129" t="s">
        <v>50</v>
      </c>
      <c r="I87" s="129" t="s">
        <v>38</v>
      </c>
      <c r="J87" s="129" t="s">
        <v>600</v>
      </c>
      <c r="K87" s="129" t="s">
        <v>1343</v>
      </c>
      <c r="L87" s="129" t="s">
        <v>44</v>
      </c>
      <c r="M87" s="129" t="s">
        <v>161</v>
      </c>
      <c r="N87" s="195" t="s">
        <v>1344</v>
      </c>
      <c r="O87" s="239" t="s">
        <v>149</v>
      </c>
      <c r="P87" s="25" t="s">
        <v>149</v>
      </c>
      <c r="Q87" s="136" t="s">
        <v>149</v>
      </c>
      <c r="R87" s="136" t="s">
        <v>1345</v>
      </c>
      <c r="S87" s="306" t="s">
        <v>1346</v>
      </c>
      <c r="T87" s="345" t="s">
        <v>1347</v>
      </c>
      <c r="U87" s="139" t="s">
        <v>1348</v>
      </c>
      <c r="V87" s="139">
        <v>28270</v>
      </c>
      <c r="W87" s="147" t="s">
        <v>1349</v>
      </c>
      <c r="X87" s="147" t="s">
        <v>177</v>
      </c>
      <c r="Y87" s="147" t="s">
        <v>161</v>
      </c>
      <c r="Z87" s="147" t="s">
        <v>156</v>
      </c>
      <c r="AA87" s="136">
        <v>21</v>
      </c>
      <c r="AB87" s="139">
        <v>41756</v>
      </c>
      <c r="AC87" s="285">
        <v>41699</v>
      </c>
      <c r="AD87" s="139"/>
      <c r="AE87" s="27" t="s">
        <v>1350</v>
      </c>
      <c r="AF87" s="146" t="s">
        <v>1351</v>
      </c>
      <c r="AG87" s="146" t="s">
        <v>1352</v>
      </c>
      <c r="AH87" s="136">
        <f t="shared" si="16"/>
        <v>3</v>
      </c>
      <c r="AI87" s="27" t="s">
        <v>160</v>
      </c>
      <c r="AJ87" s="146"/>
      <c r="AK87" s="146"/>
      <c r="AL87" s="146" t="s">
        <v>148</v>
      </c>
      <c r="AM87" s="146"/>
      <c r="AN87" s="146"/>
      <c r="AO87" s="146" t="s">
        <v>180</v>
      </c>
      <c r="AP87" s="146" t="s">
        <v>1353</v>
      </c>
      <c r="AQ87" s="146" t="s">
        <v>1354</v>
      </c>
      <c r="AR87" s="146" t="s">
        <v>148</v>
      </c>
      <c r="AS87" s="146"/>
      <c r="AT87" s="411" t="s">
        <v>1355</v>
      </c>
      <c r="AU87" s="136" t="s">
        <v>1356</v>
      </c>
      <c r="AV87" s="139"/>
      <c r="AW87" s="141">
        <v>41700</v>
      </c>
      <c r="AX87" s="141">
        <v>41946</v>
      </c>
      <c r="AY87" s="141" t="s">
        <v>148</v>
      </c>
      <c r="AZ87" s="141">
        <v>42235</v>
      </c>
      <c r="BA87" s="141">
        <v>42195</v>
      </c>
      <c r="BB87" s="141"/>
      <c r="BC87" s="141"/>
      <c r="BD87" s="141"/>
      <c r="BE87" s="142" t="s">
        <v>1357</v>
      </c>
      <c r="BF87" s="141">
        <v>42585</v>
      </c>
      <c r="BG87" s="141" t="s">
        <v>148</v>
      </c>
      <c r="BH87" s="141">
        <v>42793</v>
      </c>
      <c r="BI87" s="141" t="s">
        <v>148</v>
      </c>
      <c r="BJ87" s="139"/>
      <c r="BK87" s="139"/>
      <c r="BL87" s="139"/>
      <c r="BM87" s="143">
        <v>43657</v>
      </c>
      <c r="BN87" s="136" t="s">
        <v>16</v>
      </c>
      <c r="BO87" s="235">
        <f t="shared" si="21"/>
        <v>65</v>
      </c>
      <c r="BP87" s="136">
        <f t="shared" si="22"/>
        <v>57</v>
      </c>
      <c r="BQ87" s="136"/>
      <c r="BR87" s="136">
        <v>2</v>
      </c>
      <c r="BS87" s="136">
        <v>17</v>
      </c>
      <c r="BT87" s="136">
        <v>6</v>
      </c>
      <c r="BU87" s="136">
        <v>3</v>
      </c>
      <c r="BV87" s="136">
        <v>1</v>
      </c>
      <c r="BW87" s="136">
        <v>0</v>
      </c>
      <c r="BX87" s="136">
        <v>0</v>
      </c>
      <c r="BY87" s="136" t="s">
        <v>161</v>
      </c>
      <c r="BZ87" s="136">
        <v>0</v>
      </c>
      <c r="CA87" s="136"/>
      <c r="CB87" s="144"/>
      <c r="CC87" s="144"/>
      <c r="CD87" s="136"/>
      <c r="CE87" s="136" t="s">
        <v>161</v>
      </c>
      <c r="CF87" s="136"/>
      <c r="CG87" s="136"/>
      <c r="CH87" s="374">
        <v>3</v>
      </c>
      <c r="CI87" s="136">
        <v>3</v>
      </c>
      <c r="CJ87" s="136"/>
      <c r="CK87" s="136" t="s">
        <v>807</v>
      </c>
    </row>
    <row r="88" spans="1:89" ht="25" customHeight="1" x14ac:dyDescent="0.35">
      <c r="A88" s="136">
        <v>91</v>
      </c>
      <c r="B88" s="136" t="s">
        <v>1358</v>
      </c>
      <c r="C88" s="136" t="s">
        <v>1359</v>
      </c>
      <c r="D88" s="136" t="s">
        <v>1360</v>
      </c>
      <c r="E88" s="136" t="s">
        <v>436</v>
      </c>
      <c r="F88" s="136" t="s">
        <v>4140</v>
      </c>
      <c r="G88" s="136">
        <v>4</v>
      </c>
      <c r="H88" s="129" t="s">
        <v>52</v>
      </c>
      <c r="I88" s="129" t="s">
        <v>39</v>
      </c>
      <c r="J88" s="129" t="s">
        <v>1361</v>
      </c>
      <c r="K88" s="129" t="s">
        <v>1362</v>
      </c>
      <c r="L88" s="129" t="s">
        <v>39</v>
      </c>
      <c r="M88" s="129" t="s">
        <v>148</v>
      </c>
      <c r="N88" s="195" t="s">
        <v>1363</v>
      </c>
      <c r="O88" s="239" t="s">
        <v>149</v>
      </c>
      <c r="P88" s="25" t="s">
        <v>149</v>
      </c>
      <c r="Q88" s="136" t="s">
        <v>149</v>
      </c>
      <c r="R88" s="136" t="s">
        <v>1364</v>
      </c>
      <c r="S88" s="145" t="s">
        <v>1365</v>
      </c>
      <c r="T88" s="346" t="s">
        <v>1366</v>
      </c>
      <c r="U88" s="139" t="s">
        <v>1367</v>
      </c>
      <c r="V88" s="139">
        <v>26239</v>
      </c>
      <c r="W88" s="147" t="s">
        <v>1368</v>
      </c>
      <c r="X88" s="147" t="s">
        <v>177</v>
      </c>
      <c r="Y88" s="147" t="s">
        <v>161</v>
      </c>
      <c r="Z88" s="147" t="s">
        <v>156</v>
      </c>
      <c r="AA88" s="136">
        <v>26</v>
      </c>
      <c r="AB88" s="139">
        <v>41156</v>
      </c>
      <c r="AC88" s="285">
        <v>41699</v>
      </c>
      <c r="AD88" s="139"/>
      <c r="AE88" s="27" t="s">
        <v>1369</v>
      </c>
      <c r="AF88" s="146"/>
      <c r="AG88" s="146"/>
      <c r="AH88" s="136">
        <f t="shared" si="16"/>
        <v>1</v>
      </c>
      <c r="AI88" s="27" t="s">
        <v>159</v>
      </c>
      <c r="AJ88" s="146"/>
      <c r="AK88" s="146"/>
      <c r="AL88" s="146" t="s">
        <v>148</v>
      </c>
      <c r="AM88" s="146"/>
      <c r="AN88" s="146"/>
      <c r="AO88" s="146" t="s">
        <v>162</v>
      </c>
      <c r="AP88" s="146" t="s">
        <v>1370</v>
      </c>
      <c r="AQ88" s="146"/>
      <c r="AR88" s="146"/>
      <c r="AS88" s="146"/>
      <c r="AT88" s="411" t="s">
        <v>283</v>
      </c>
      <c r="AU88" s="136" t="s">
        <v>1371</v>
      </c>
      <c r="AV88" s="139"/>
      <c r="AW88" s="141">
        <v>41700</v>
      </c>
      <c r="AX88" s="141">
        <v>41946</v>
      </c>
      <c r="AY88" s="141" t="s">
        <v>148</v>
      </c>
      <c r="AZ88" s="141"/>
      <c r="BA88" s="141"/>
      <c r="BB88" s="141"/>
      <c r="BC88" s="141"/>
      <c r="BD88" s="141"/>
      <c r="BE88" s="142"/>
      <c r="BF88" s="141">
        <v>42585</v>
      </c>
      <c r="BG88" s="141" t="s">
        <v>148</v>
      </c>
      <c r="BH88" s="141">
        <v>42793</v>
      </c>
      <c r="BI88" s="141" t="s">
        <v>148</v>
      </c>
      <c r="BJ88" s="139"/>
      <c r="BK88" s="139"/>
      <c r="BL88" s="139"/>
      <c r="BM88" s="143">
        <v>42460</v>
      </c>
      <c r="BN88" s="136" t="s">
        <v>16</v>
      </c>
      <c r="BO88" s="235">
        <f t="shared" si="21"/>
        <v>25</v>
      </c>
      <c r="BP88" s="136">
        <f t="shared" si="22"/>
        <v>17</v>
      </c>
      <c r="BQ88" s="136"/>
      <c r="BR88" s="136">
        <v>3</v>
      </c>
      <c r="BS88" s="136">
        <v>0</v>
      </c>
      <c r="BT88" s="136">
        <v>2</v>
      </c>
      <c r="BU88" s="136">
        <v>0</v>
      </c>
      <c r="BV88" s="136">
        <v>0</v>
      </c>
      <c r="BW88" s="136">
        <v>0</v>
      </c>
      <c r="BX88" s="136">
        <v>0</v>
      </c>
      <c r="BY88" s="136" t="s">
        <v>161</v>
      </c>
      <c r="BZ88" s="136">
        <v>0</v>
      </c>
      <c r="CA88" s="136"/>
      <c r="CB88" s="144"/>
      <c r="CC88" s="144"/>
      <c r="CD88" s="136"/>
      <c r="CE88" s="136" t="s">
        <v>161</v>
      </c>
      <c r="CF88" s="136"/>
      <c r="CG88" s="136"/>
      <c r="CH88" s="374">
        <v>1</v>
      </c>
      <c r="CI88" s="136">
        <v>1</v>
      </c>
      <c r="CJ88" s="136"/>
      <c r="CK88" s="136" t="s">
        <v>807</v>
      </c>
    </row>
    <row r="89" spans="1:89" ht="25" customHeight="1" x14ac:dyDescent="0.35">
      <c r="A89" s="136">
        <v>92</v>
      </c>
      <c r="B89" s="136" t="s">
        <v>1372</v>
      </c>
      <c r="C89" s="136" t="s">
        <v>1373</v>
      </c>
      <c r="D89" s="136" t="s">
        <v>20</v>
      </c>
      <c r="E89" s="136" t="s">
        <v>1374</v>
      </c>
      <c r="F89" s="136" t="s">
        <v>4139</v>
      </c>
      <c r="G89" s="136">
        <v>4</v>
      </c>
      <c r="H89" s="129" t="s">
        <v>56</v>
      </c>
      <c r="I89" s="129" t="s">
        <v>44</v>
      </c>
      <c r="J89" s="129" t="s">
        <v>1375</v>
      </c>
      <c r="K89" s="129" t="s">
        <v>1376</v>
      </c>
      <c r="L89" s="129" t="s">
        <v>44</v>
      </c>
      <c r="M89" s="129" t="s">
        <v>148</v>
      </c>
      <c r="N89" s="195" t="s">
        <v>1377</v>
      </c>
      <c r="O89" s="239" t="s">
        <v>149</v>
      </c>
      <c r="P89" s="25" t="s">
        <v>149</v>
      </c>
      <c r="Q89" s="136" t="s">
        <v>149</v>
      </c>
      <c r="R89" s="145" t="s">
        <v>1378</v>
      </c>
      <c r="S89" s="136" t="s">
        <v>1379</v>
      </c>
      <c r="T89" s="345" t="s">
        <v>1380</v>
      </c>
      <c r="U89" s="139" t="s">
        <v>1381</v>
      </c>
      <c r="V89" s="139">
        <v>28287</v>
      </c>
      <c r="W89" s="147" t="s">
        <v>1382</v>
      </c>
      <c r="X89" s="147" t="s">
        <v>177</v>
      </c>
      <c r="Y89" s="147" t="s">
        <v>161</v>
      </c>
      <c r="Z89" s="147" t="s">
        <v>156</v>
      </c>
      <c r="AA89" s="136">
        <v>20.5</v>
      </c>
      <c r="AB89" s="139">
        <v>41640</v>
      </c>
      <c r="AC89" s="285">
        <v>41699</v>
      </c>
      <c r="AD89" s="139"/>
      <c r="AE89" s="27" t="s">
        <v>1383</v>
      </c>
      <c r="AF89" s="146" t="s">
        <v>1384</v>
      </c>
      <c r="AG89" s="146"/>
      <c r="AH89" s="136">
        <f t="shared" si="16"/>
        <v>2</v>
      </c>
      <c r="AI89" s="27" t="s">
        <v>159</v>
      </c>
      <c r="AJ89" s="146"/>
      <c r="AK89" s="146"/>
      <c r="AL89" s="146" t="s">
        <v>148</v>
      </c>
      <c r="AM89" s="146"/>
      <c r="AN89" s="146"/>
      <c r="AO89" s="146" t="s">
        <v>162</v>
      </c>
      <c r="AP89" s="146" t="s">
        <v>368</v>
      </c>
      <c r="AQ89" s="146" t="s">
        <v>248</v>
      </c>
      <c r="AR89" s="146" t="s">
        <v>148</v>
      </c>
      <c r="AS89" s="146" t="s">
        <v>1385</v>
      </c>
      <c r="AT89" s="411" t="s">
        <v>370</v>
      </c>
      <c r="AU89" s="136" t="s">
        <v>1386</v>
      </c>
      <c r="AV89" s="139"/>
      <c r="AW89" s="141">
        <v>41700</v>
      </c>
      <c r="AX89" s="141">
        <v>41946</v>
      </c>
      <c r="AY89" s="141" t="s">
        <v>148</v>
      </c>
      <c r="AZ89" s="141"/>
      <c r="BA89" s="141"/>
      <c r="BB89" s="141"/>
      <c r="BC89" s="141"/>
      <c r="BD89" s="141"/>
      <c r="BE89" s="142" t="s">
        <v>1387</v>
      </c>
      <c r="BF89" s="141">
        <v>42585</v>
      </c>
      <c r="BG89" s="141" t="s">
        <v>148</v>
      </c>
      <c r="BH89" s="141">
        <v>43164</v>
      </c>
      <c r="BI89" s="141" t="s">
        <v>161</v>
      </c>
      <c r="BJ89" s="139"/>
      <c r="BK89" s="139"/>
      <c r="BL89" s="139"/>
      <c r="BM89" s="143">
        <v>43285</v>
      </c>
      <c r="BN89" s="136" t="s">
        <v>16</v>
      </c>
      <c r="BO89" s="235">
        <f t="shared" si="21"/>
        <v>53</v>
      </c>
      <c r="BP89" s="136">
        <f t="shared" si="22"/>
        <v>45</v>
      </c>
      <c r="BQ89" s="147" t="s">
        <v>1387</v>
      </c>
      <c r="BR89" s="136">
        <v>1</v>
      </c>
      <c r="BS89" s="136">
        <v>5</v>
      </c>
      <c r="BT89" s="136">
        <v>6</v>
      </c>
      <c r="BU89" s="136">
        <v>2</v>
      </c>
      <c r="BV89" s="136">
        <v>2</v>
      </c>
      <c r="BW89" s="136">
        <v>0</v>
      </c>
      <c r="BX89" s="136">
        <v>0</v>
      </c>
      <c r="BY89" s="136" t="s">
        <v>161</v>
      </c>
      <c r="BZ89" s="136">
        <v>0</v>
      </c>
      <c r="CA89" s="136"/>
      <c r="CB89" s="144"/>
      <c r="CC89" s="144"/>
      <c r="CD89" s="136"/>
      <c r="CE89" s="136" t="s">
        <v>161</v>
      </c>
      <c r="CF89" s="136"/>
      <c r="CG89" s="136"/>
      <c r="CH89" s="374">
        <v>1</v>
      </c>
      <c r="CI89" s="136">
        <v>2</v>
      </c>
      <c r="CJ89" s="136">
        <v>1</v>
      </c>
      <c r="CK89" s="136" t="s">
        <v>807</v>
      </c>
    </row>
    <row r="90" spans="1:89" ht="25" customHeight="1" x14ac:dyDescent="0.35">
      <c r="A90" s="136">
        <v>93</v>
      </c>
      <c r="B90" s="136" t="s">
        <v>1388</v>
      </c>
      <c r="C90" s="136" t="s">
        <v>1389</v>
      </c>
      <c r="D90" s="136" t="s">
        <v>1390</v>
      </c>
      <c r="E90" s="136" t="s">
        <v>1391</v>
      </c>
      <c r="F90" s="136" t="s">
        <v>4140</v>
      </c>
      <c r="G90" s="136">
        <v>4</v>
      </c>
      <c r="H90" s="129" t="s">
        <v>50</v>
      </c>
      <c r="I90" s="129" t="s">
        <v>42</v>
      </c>
      <c r="J90" s="129" t="s">
        <v>1392</v>
      </c>
      <c r="K90" s="129" t="s">
        <v>1393</v>
      </c>
      <c r="L90" s="129" t="s">
        <v>42</v>
      </c>
      <c r="M90" s="129" t="s">
        <v>148</v>
      </c>
      <c r="N90" s="136" t="s">
        <v>1394</v>
      </c>
      <c r="O90" s="236" t="s">
        <v>149</v>
      </c>
      <c r="P90" s="237" t="s">
        <v>149</v>
      </c>
      <c r="Q90" s="136" t="s">
        <v>149</v>
      </c>
      <c r="R90" s="136" t="s">
        <v>1395</v>
      </c>
      <c r="S90" s="145" t="s">
        <v>1396</v>
      </c>
      <c r="T90" s="346" t="s">
        <v>1397</v>
      </c>
      <c r="U90" s="139" t="s">
        <v>1398</v>
      </c>
      <c r="V90" s="139">
        <v>30065</v>
      </c>
      <c r="W90" s="147" t="s">
        <v>1399</v>
      </c>
      <c r="X90" s="147" t="s">
        <v>177</v>
      </c>
      <c r="Y90" s="147" t="s">
        <v>155</v>
      </c>
      <c r="Z90" s="147" t="s">
        <v>156</v>
      </c>
      <c r="AA90" s="136">
        <v>38</v>
      </c>
      <c r="AB90" s="139">
        <v>42065</v>
      </c>
      <c r="AC90" s="285">
        <v>41699</v>
      </c>
      <c r="AD90" s="139"/>
      <c r="AE90" s="28" t="s">
        <v>1400</v>
      </c>
      <c r="AF90" s="136"/>
      <c r="AG90" s="136"/>
      <c r="AH90" s="136">
        <f t="shared" si="16"/>
        <v>1</v>
      </c>
      <c r="AI90" s="27" t="s">
        <v>159</v>
      </c>
      <c r="AJ90" s="136"/>
      <c r="AK90" s="136"/>
      <c r="AL90" s="136" t="s">
        <v>148</v>
      </c>
      <c r="AM90" s="136"/>
      <c r="AN90" s="136"/>
      <c r="AO90" s="136" t="s">
        <v>162</v>
      </c>
      <c r="AP90" s="136" t="s">
        <v>1279</v>
      </c>
      <c r="AQ90" s="136" t="s">
        <v>201</v>
      </c>
      <c r="AR90" s="136"/>
      <c r="AS90" s="136"/>
      <c r="AT90" s="26" t="s">
        <v>418</v>
      </c>
      <c r="AU90" s="136" t="s">
        <v>1401</v>
      </c>
      <c r="AV90" s="139"/>
      <c r="AW90" s="141">
        <v>41700</v>
      </c>
      <c r="AX90" s="141">
        <v>41946</v>
      </c>
      <c r="AY90" s="141" t="s">
        <v>148</v>
      </c>
      <c r="AZ90" s="141">
        <v>42199</v>
      </c>
      <c r="BA90" s="141">
        <v>42137</v>
      </c>
      <c r="BB90" s="141"/>
      <c r="BC90" s="141"/>
      <c r="BD90" s="141"/>
      <c r="BE90" s="142"/>
      <c r="BF90" s="141">
        <v>42585</v>
      </c>
      <c r="BG90" s="141" t="s">
        <v>148</v>
      </c>
      <c r="BH90" s="141">
        <v>42793</v>
      </c>
      <c r="BI90" s="141" t="s">
        <v>148</v>
      </c>
      <c r="BJ90" s="139"/>
      <c r="BK90" s="139"/>
      <c r="BL90" s="139"/>
      <c r="BM90" s="143">
        <v>44827</v>
      </c>
      <c r="BN90" s="150" t="s">
        <v>16</v>
      </c>
      <c r="BO90" s="235">
        <f t="shared" si="21"/>
        <v>103</v>
      </c>
      <c r="BP90" s="136">
        <f t="shared" si="22"/>
        <v>95</v>
      </c>
      <c r="BQ90" s="136"/>
      <c r="BR90" s="136">
        <v>0</v>
      </c>
      <c r="BS90" s="136">
        <v>1</v>
      </c>
      <c r="BT90" s="136">
        <v>0</v>
      </c>
      <c r="BU90" s="136">
        <v>1</v>
      </c>
      <c r="BV90" s="136">
        <v>0</v>
      </c>
      <c r="BW90" s="136">
        <v>0</v>
      </c>
      <c r="BX90" s="136">
        <v>0</v>
      </c>
      <c r="BY90" s="136" t="s">
        <v>161</v>
      </c>
      <c r="BZ90" s="136">
        <v>0</v>
      </c>
      <c r="CA90" s="136"/>
      <c r="CB90" s="144"/>
      <c r="CC90" s="144"/>
      <c r="CD90" s="136"/>
      <c r="CE90" s="136" t="s">
        <v>161</v>
      </c>
      <c r="CF90" s="136"/>
      <c r="CG90" s="136"/>
      <c r="CH90" s="374">
        <v>2</v>
      </c>
      <c r="CI90" s="136">
        <v>3</v>
      </c>
      <c r="CJ90" s="136"/>
      <c r="CK90" s="136" t="s">
        <v>807</v>
      </c>
    </row>
    <row r="91" spans="1:89" ht="25" customHeight="1" x14ac:dyDescent="0.35">
      <c r="A91" s="136">
        <v>94</v>
      </c>
      <c r="B91" s="136" t="s">
        <v>1402</v>
      </c>
      <c r="C91" s="136" t="s">
        <v>1403</v>
      </c>
      <c r="D91" s="136" t="s">
        <v>1404</v>
      </c>
      <c r="E91" s="136" t="s">
        <v>1405</v>
      </c>
      <c r="F91" s="136" t="s">
        <v>4139</v>
      </c>
      <c r="G91" s="136">
        <v>4</v>
      </c>
      <c r="H91" s="129" t="s">
        <v>57</v>
      </c>
      <c r="I91" s="129" t="s">
        <v>41</v>
      </c>
      <c r="J91" s="129" t="s">
        <v>1406</v>
      </c>
      <c r="K91" s="129" t="s">
        <v>1406</v>
      </c>
      <c r="L91" s="129" t="s">
        <v>41</v>
      </c>
      <c r="M91" s="129" t="s">
        <v>148</v>
      </c>
      <c r="N91" s="195" t="s">
        <v>1407</v>
      </c>
      <c r="O91" s="239" t="s">
        <v>149</v>
      </c>
      <c r="P91" s="25" t="s">
        <v>149</v>
      </c>
      <c r="Q91" s="136" t="s">
        <v>149</v>
      </c>
      <c r="R91" s="136" t="s">
        <v>1408</v>
      </c>
      <c r="S91" s="136" t="s">
        <v>1409</v>
      </c>
      <c r="T91" s="345" t="s">
        <v>1410</v>
      </c>
      <c r="U91" s="139" t="s">
        <v>1411</v>
      </c>
      <c r="V91" s="139">
        <v>29335</v>
      </c>
      <c r="W91" s="147" t="s">
        <v>1412</v>
      </c>
      <c r="X91" s="147" t="s">
        <v>177</v>
      </c>
      <c r="Y91" s="147" t="s">
        <v>161</v>
      </c>
      <c r="Z91" s="147" t="s">
        <v>156</v>
      </c>
      <c r="AA91" s="136">
        <v>19.5</v>
      </c>
      <c r="AB91" s="139">
        <v>41746</v>
      </c>
      <c r="AC91" s="285">
        <v>41699</v>
      </c>
      <c r="AD91" s="139"/>
      <c r="AE91" s="27" t="s">
        <v>1413</v>
      </c>
      <c r="AF91" s="140" t="s">
        <v>1414</v>
      </c>
      <c r="AG91" s="140"/>
      <c r="AH91" s="136">
        <f t="shared" si="16"/>
        <v>2</v>
      </c>
      <c r="AI91" s="27" t="s">
        <v>159</v>
      </c>
      <c r="AJ91" s="140"/>
      <c r="AK91" s="140"/>
      <c r="AL91" s="140" t="s">
        <v>148</v>
      </c>
      <c r="AM91" s="140"/>
      <c r="AN91" s="140"/>
      <c r="AO91" s="140" t="s">
        <v>162</v>
      </c>
      <c r="AP91" s="140" t="s">
        <v>179</v>
      </c>
      <c r="AQ91" s="140" t="s">
        <v>201</v>
      </c>
      <c r="AR91" s="140" t="s">
        <v>148</v>
      </c>
      <c r="AS91" s="140"/>
      <c r="AT91" s="412" t="s">
        <v>535</v>
      </c>
      <c r="AU91" s="136" t="s">
        <v>1415</v>
      </c>
      <c r="AV91" s="139"/>
      <c r="AW91" s="141">
        <v>41700</v>
      </c>
      <c r="AX91" s="141">
        <v>41946</v>
      </c>
      <c r="AY91" s="141" t="s">
        <v>148</v>
      </c>
      <c r="AZ91" s="141">
        <v>41706</v>
      </c>
      <c r="BA91" s="141"/>
      <c r="BB91" s="141">
        <v>42080</v>
      </c>
      <c r="BC91" s="141"/>
      <c r="BD91" s="141"/>
      <c r="BE91" s="142" t="s">
        <v>1416</v>
      </c>
      <c r="BF91" s="141">
        <v>42585</v>
      </c>
      <c r="BG91" s="141" t="s">
        <v>148</v>
      </c>
      <c r="BH91" s="141">
        <v>42793</v>
      </c>
      <c r="BI91" s="141" t="s">
        <v>148</v>
      </c>
      <c r="BJ91" s="139">
        <v>43165</v>
      </c>
      <c r="BK91" s="139">
        <v>43376</v>
      </c>
      <c r="BL91" s="139">
        <v>43399</v>
      </c>
      <c r="BM91" s="143">
        <v>43417</v>
      </c>
      <c r="BN91" s="136" t="s">
        <v>16</v>
      </c>
      <c r="BO91" s="235">
        <f t="shared" si="21"/>
        <v>57</v>
      </c>
      <c r="BP91" s="136">
        <f t="shared" si="22"/>
        <v>49</v>
      </c>
      <c r="BQ91" s="147" t="s">
        <v>1416</v>
      </c>
      <c r="BR91" s="136">
        <v>0</v>
      </c>
      <c r="BS91" s="136">
        <v>0</v>
      </c>
      <c r="BT91" s="136">
        <v>3</v>
      </c>
      <c r="BU91" s="136">
        <v>2</v>
      </c>
      <c r="BV91" s="136">
        <v>0</v>
      </c>
      <c r="BW91" s="136">
        <v>0</v>
      </c>
      <c r="BX91" s="136">
        <v>0</v>
      </c>
      <c r="BY91" s="136" t="s">
        <v>161</v>
      </c>
      <c r="BZ91" s="136">
        <v>0</v>
      </c>
      <c r="CA91" s="136"/>
      <c r="CB91" s="144"/>
      <c r="CC91" s="144"/>
      <c r="CD91" s="136"/>
      <c r="CE91" s="136" t="s">
        <v>161</v>
      </c>
      <c r="CF91" s="136"/>
      <c r="CG91" s="136"/>
      <c r="CH91" s="374">
        <v>2</v>
      </c>
      <c r="CI91" s="136">
        <v>2</v>
      </c>
      <c r="CJ91" s="136"/>
      <c r="CK91" s="136" t="s">
        <v>536</v>
      </c>
    </row>
    <row r="92" spans="1:89" ht="25" customHeight="1" x14ac:dyDescent="0.35">
      <c r="A92" s="136">
        <v>95</v>
      </c>
      <c r="B92" s="136" t="s">
        <v>1417</v>
      </c>
      <c r="C92" s="136" t="s">
        <v>422</v>
      </c>
      <c r="D92" s="136" t="s">
        <v>597</v>
      </c>
      <c r="E92" s="136" t="s">
        <v>1418</v>
      </c>
      <c r="F92" s="136" t="s">
        <v>4139</v>
      </c>
      <c r="G92" s="136">
        <v>4</v>
      </c>
      <c r="H92" s="129" t="s">
        <v>52</v>
      </c>
      <c r="I92" s="129" t="s">
        <v>39</v>
      </c>
      <c r="J92" s="129" t="s">
        <v>1419</v>
      </c>
      <c r="K92" s="129" t="s">
        <v>1420</v>
      </c>
      <c r="L92" s="129" t="s">
        <v>39</v>
      </c>
      <c r="M92" s="129" t="s">
        <v>148</v>
      </c>
      <c r="N92" s="195"/>
      <c r="O92" s="239" t="s">
        <v>149</v>
      </c>
      <c r="P92" s="25" t="s">
        <v>149</v>
      </c>
      <c r="Q92" s="136" t="s">
        <v>149</v>
      </c>
      <c r="R92" s="387" t="s">
        <v>1421</v>
      </c>
      <c r="S92" s="136" t="s">
        <v>1422</v>
      </c>
      <c r="T92" s="345" t="s">
        <v>1423</v>
      </c>
      <c r="U92" s="139" t="s">
        <v>1424</v>
      </c>
      <c r="V92" s="139">
        <v>28031</v>
      </c>
      <c r="W92" s="147" t="s">
        <v>1425</v>
      </c>
      <c r="X92" s="147" t="s">
        <v>177</v>
      </c>
      <c r="Y92" s="147" t="s">
        <v>161</v>
      </c>
      <c r="Z92" s="147" t="s">
        <v>156</v>
      </c>
      <c r="AA92" s="136">
        <v>31.5</v>
      </c>
      <c r="AB92" s="139">
        <v>41866</v>
      </c>
      <c r="AC92" s="285">
        <v>41699</v>
      </c>
      <c r="AD92" s="139"/>
      <c r="AE92" s="27" t="s">
        <v>1426</v>
      </c>
      <c r="AF92" s="146"/>
      <c r="AG92" s="146"/>
      <c r="AH92" s="136">
        <f t="shared" si="16"/>
        <v>1</v>
      </c>
      <c r="AI92" s="27" t="s">
        <v>159</v>
      </c>
      <c r="AJ92" s="146"/>
      <c r="AK92" s="146"/>
      <c r="AL92" s="146" t="s">
        <v>148</v>
      </c>
      <c r="AM92" s="146"/>
      <c r="AN92" s="146"/>
      <c r="AO92" s="146" t="s">
        <v>162</v>
      </c>
      <c r="AP92" s="146" t="s">
        <v>443</v>
      </c>
      <c r="AQ92" s="146" t="s">
        <v>248</v>
      </c>
      <c r="AR92" s="146" t="s">
        <v>148</v>
      </c>
      <c r="AS92" s="146"/>
      <c r="AT92" s="411" t="s">
        <v>283</v>
      </c>
      <c r="AU92" s="136" t="s">
        <v>1427</v>
      </c>
      <c r="AV92" s="139"/>
      <c r="AW92" s="141">
        <v>41700</v>
      </c>
      <c r="AX92" s="141">
        <v>41946</v>
      </c>
      <c r="AY92" s="141" t="s">
        <v>148</v>
      </c>
      <c r="AZ92" s="141"/>
      <c r="BA92" s="141"/>
      <c r="BB92" s="141"/>
      <c r="BC92" s="141"/>
      <c r="BD92" s="141"/>
      <c r="BE92" s="142"/>
      <c r="BF92" s="141">
        <v>42951</v>
      </c>
      <c r="BG92" s="141" t="s">
        <v>161</v>
      </c>
      <c r="BH92" s="141">
        <v>43164</v>
      </c>
      <c r="BI92" s="141" t="s">
        <v>161</v>
      </c>
      <c r="BJ92" s="139"/>
      <c r="BK92" s="139"/>
      <c r="BL92" s="139"/>
      <c r="BM92" s="143">
        <v>43433</v>
      </c>
      <c r="BN92" s="136" t="s">
        <v>16</v>
      </c>
      <c r="BO92" s="235">
        <f t="shared" si="21"/>
        <v>57</v>
      </c>
      <c r="BP92" s="136">
        <f t="shared" si="22"/>
        <v>49</v>
      </c>
      <c r="BQ92" s="147" t="s">
        <v>1428</v>
      </c>
      <c r="BR92" s="136">
        <v>0</v>
      </c>
      <c r="BS92" s="136">
        <v>1</v>
      </c>
      <c r="BT92" s="136">
        <v>4</v>
      </c>
      <c r="BU92" s="136">
        <v>1</v>
      </c>
      <c r="BV92" s="136">
        <v>2</v>
      </c>
      <c r="BW92" s="136">
        <v>0</v>
      </c>
      <c r="BX92" s="136">
        <v>0</v>
      </c>
      <c r="BY92" s="136" t="s">
        <v>161</v>
      </c>
      <c r="BZ92" s="136">
        <v>0</v>
      </c>
      <c r="CA92" s="136"/>
      <c r="CB92" s="144"/>
      <c r="CC92" s="144"/>
      <c r="CD92" s="136"/>
      <c r="CE92" s="136" t="s">
        <v>161</v>
      </c>
      <c r="CF92" s="136"/>
      <c r="CG92" s="136"/>
      <c r="CH92" s="374">
        <v>2</v>
      </c>
      <c r="CI92" s="136">
        <v>3</v>
      </c>
      <c r="CJ92" s="136"/>
      <c r="CK92" s="136" t="s">
        <v>1294</v>
      </c>
    </row>
    <row r="93" spans="1:89" ht="25" customHeight="1" x14ac:dyDescent="0.35">
      <c r="A93" s="136">
        <v>96</v>
      </c>
      <c r="B93" s="136" t="s">
        <v>1429</v>
      </c>
      <c r="C93" s="136" t="s">
        <v>1430</v>
      </c>
      <c r="D93" s="136" t="s">
        <v>990</v>
      </c>
      <c r="E93" s="136" t="s">
        <v>318</v>
      </c>
      <c r="F93" s="136" t="s">
        <v>4139</v>
      </c>
      <c r="G93" s="136">
        <v>4</v>
      </c>
      <c r="H93" s="129" t="s">
        <v>52</v>
      </c>
      <c r="I93" s="129" t="s">
        <v>31</v>
      </c>
      <c r="J93" s="129" t="s">
        <v>600</v>
      </c>
      <c r="K93" s="129" t="s">
        <v>1431</v>
      </c>
      <c r="L93" s="129" t="s">
        <v>44</v>
      </c>
      <c r="M93" s="129" t="s">
        <v>148</v>
      </c>
      <c r="N93" s="136"/>
      <c r="O93" s="236" t="s">
        <v>149</v>
      </c>
      <c r="P93" s="236" t="s">
        <v>238</v>
      </c>
      <c r="Q93" s="136" t="s">
        <v>149</v>
      </c>
      <c r="R93" s="136" t="s">
        <v>1432</v>
      </c>
      <c r="S93" s="145" t="s">
        <v>1433</v>
      </c>
      <c r="T93" s="345" t="s">
        <v>1434</v>
      </c>
      <c r="U93" s="139" t="s">
        <v>1435</v>
      </c>
      <c r="V93" s="139">
        <v>28157</v>
      </c>
      <c r="W93" s="147" t="s">
        <v>1436</v>
      </c>
      <c r="X93" s="147" t="s">
        <v>177</v>
      </c>
      <c r="Y93" s="147" t="s">
        <v>161</v>
      </c>
      <c r="Z93" s="147" t="s">
        <v>156</v>
      </c>
      <c r="AA93" s="136">
        <v>17.5</v>
      </c>
      <c r="AB93" s="139">
        <v>41695</v>
      </c>
      <c r="AC93" s="285">
        <v>41699</v>
      </c>
      <c r="AD93" s="139"/>
      <c r="AE93" s="28" t="s">
        <v>1437</v>
      </c>
      <c r="AF93" s="136"/>
      <c r="AG93" s="136"/>
      <c r="AH93" s="136">
        <f t="shared" si="16"/>
        <v>1</v>
      </c>
      <c r="AI93" s="27" t="s">
        <v>280</v>
      </c>
      <c r="AJ93" s="136"/>
      <c r="AK93" s="136"/>
      <c r="AL93" s="136" t="s">
        <v>161</v>
      </c>
      <c r="AM93" s="136"/>
      <c r="AN93" s="136"/>
      <c r="AO93" s="136" t="s">
        <v>162</v>
      </c>
      <c r="AP93" s="136" t="s">
        <v>1438</v>
      </c>
      <c r="AQ93" s="136" t="s">
        <v>248</v>
      </c>
      <c r="AR93" s="136" t="s">
        <v>148</v>
      </c>
      <c r="AS93" s="136"/>
      <c r="AT93" s="26" t="s">
        <v>326</v>
      </c>
      <c r="AU93" s="136" t="s">
        <v>1439</v>
      </c>
      <c r="AV93" s="139"/>
      <c r="AW93" s="141">
        <v>41700</v>
      </c>
      <c r="AX93" s="141">
        <v>41946</v>
      </c>
      <c r="AY93" s="141" t="s">
        <v>148</v>
      </c>
      <c r="AZ93" s="141">
        <v>42580</v>
      </c>
      <c r="BA93" s="141">
        <v>42580</v>
      </c>
      <c r="BB93" s="141"/>
      <c r="BC93" s="141"/>
      <c r="BD93" s="141"/>
      <c r="BE93" s="142" t="s">
        <v>1440</v>
      </c>
      <c r="BF93" s="141">
        <v>42952</v>
      </c>
      <c r="BG93" s="141" t="s">
        <v>161</v>
      </c>
      <c r="BH93" s="141">
        <v>43164</v>
      </c>
      <c r="BI93" s="141" t="s">
        <v>161</v>
      </c>
      <c r="BJ93" s="139"/>
      <c r="BK93" s="139"/>
      <c r="BL93" s="139"/>
      <c r="BM93" s="143">
        <v>44137</v>
      </c>
      <c r="BN93" s="136" t="s">
        <v>16</v>
      </c>
      <c r="BO93" s="235">
        <f t="shared" si="21"/>
        <v>81</v>
      </c>
      <c r="BP93" s="136">
        <f t="shared" si="22"/>
        <v>72</v>
      </c>
      <c r="BQ93" s="136" t="s">
        <v>1441</v>
      </c>
      <c r="BR93" s="136">
        <v>5</v>
      </c>
      <c r="BS93" s="136">
        <v>17</v>
      </c>
      <c r="BT93" s="136">
        <v>16</v>
      </c>
      <c r="BU93" s="136">
        <v>0</v>
      </c>
      <c r="BV93" s="136">
        <v>2</v>
      </c>
      <c r="BW93" s="136">
        <v>0</v>
      </c>
      <c r="BX93" s="136">
        <v>0</v>
      </c>
      <c r="BY93" s="136" t="s">
        <v>161</v>
      </c>
      <c r="BZ93" s="136">
        <v>0</v>
      </c>
      <c r="CA93" s="136"/>
      <c r="CB93" s="144"/>
      <c r="CC93" s="144"/>
      <c r="CD93" s="136"/>
      <c r="CE93" s="136" t="s">
        <v>161</v>
      </c>
      <c r="CF93" s="136"/>
      <c r="CG93" s="136"/>
      <c r="CH93" s="374">
        <v>3</v>
      </c>
      <c r="CI93" s="136">
        <v>3</v>
      </c>
      <c r="CJ93" s="136"/>
      <c r="CK93" s="136" t="s">
        <v>1294</v>
      </c>
    </row>
    <row r="94" spans="1:89" ht="25" customHeight="1" x14ac:dyDescent="0.35">
      <c r="A94" s="136">
        <v>97</v>
      </c>
      <c r="B94" s="136" t="s">
        <v>1442</v>
      </c>
      <c r="C94" s="136" t="s">
        <v>1443</v>
      </c>
      <c r="D94" s="136" t="s">
        <v>1444</v>
      </c>
      <c r="E94" s="136" t="s">
        <v>1445</v>
      </c>
      <c r="F94" s="136" t="s">
        <v>4140</v>
      </c>
      <c r="G94" s="136">
        <v>4</v>
      </c>
      <c r="H94" s="129" t="s">
        <v>56</v>
      </c>
      <c r="I94" s="129" t="s">
        <v>44</v>
      </c>
      <c r="J94" s="129" t="s">
        <v>600</v>
      </c>
      <c r="K94" s="129" t="s">
        <v>1446</v>
      </c>
      <c r="L94" s="129" t="s">
        <v>44</v>
      </c>
      <c r="M94" s="129" t="s">
        <v>148</v>
      </c>
      <c r="N94" s="195"/>
      <c r="O94" s="239" t="s">
        <v>149</v>
      </c>
      <c r="P94" s="136" t="s">
        <v>149</v>
      </c>
      <c r="Q94" s="136" t="s">
        <v>149</v>
      </c>
      <c r="R94" s="136" t="s">
        <v>1447</v>
      </c>
      <c r="S94" s="136" t="s">
        <v>1448</v>
      </c>
      <c r="T94" s="345" t="s">
        <v>1449</v>
      </c>
      <c r="U94" s="139" t="s">
        <v>1450</v>
      </c>
      <c r="V94" s="139">
        <v>28587</v>
      </c>
      <c r="W94" s="147" t="s">
        <v>1451</v>
      </c>
      <c r="X94" s="147" t="s">
        <v>177</v>
      </c>
      <c r="Y94" s="147" t="s">
        <v>161</v>
      </c>
      <c r="Z94" s="147" t="s">
        <v>156</v>
      </c>
      <c r="AA94" s="136">
        <v>7</v>
      </c>
      <c r="AB94" s="139">
        <v>41867</v>
      </c>
      <c r="AC94" s="285">
        <v>41699</v>
      </c>
      <c r="AD94" s="139"/>
      <c r="AE94" s="27" t="s">
        <v>1452</v>
      </c>
      <c r="AF94" s="146"/>
      <c r="AG94" s="146"/>
      <c r="AH94" s="136">
        <f t="shared" si="16"/>
        <v>1</v>
      </c>
      <c r="AI94" s="27" t="s">
        <v>159</v>
      </c>
      <c r="AJ94" s="146"/>
      <c r="AK94" s="146"/>
      <c r="AL94" s="146" t="s">
        <v>148</v>
      </c>
      <c r="AM94" s="146"/>
      <c r="AN94" s="146"/>
      <c r="AO94" s="146" t="s">
        <v>162</v>
      </c>
      <c r="AP94" s="146" t="s">
        <v>201</v>
      </c>
      <c r="AQ94" s="136" t="s">
        <v>248</v>
      </c>
      <c r="AR94" s="146" t="s">
        <v>148</v>
      </c>
      <c r="AS94" s="146" t="s">
        <v>1453</v>
      </c>
      <c r="AT94" s="411" t="s">
        <v>370</v>
      </c>
      <c r="AU94" s="136" t="s">
        <v>1454</v>
      </c>
      <c r="AV94" s="139"/>
      <c r="AW94" s="141">
        <v>41700</v>
      </c>
      <c r="AX94" s="141">
        <v>41946</v>
      </c>
      <c r="AY94" s="141" t="s">
        <v>148</v>
      </c>
      <c r="AZ94" s="141"/>
      <c r="BA94" s="141"/>
      <c r="BB94" s="141"/>
      <c r="BC94" s="141"/>
      <c r="BD94" s="141"/>
      <c r="BE94" s="142"/>
      <c r="BF94" s="141">
        <v>42953</v>
      </c>
      <c r="BG94" s="141" t="s">
        <v>161</v>
      </c>
      <c r="BH94" s="141">
        <v>43164</v>
      </c>
      <c r="BI94" s="141" t="s">
        <v>161</v>
      </c>
      <c r="BJ94" s="139"/>
      <c r="BK94" s="139"/>
      <c r="BL94" s="139"/>
      <c r="BM94" s="143">
        <v>43658</v>
      </c>
      <c r="BN94" s="136" t="s">
        <v>16</v>
      </c>
      <c r="BO94" s="235">
        <f t="shared" si="21"/>
        <v>65</v>
      </c>
      <c r="BP94" s="136">
        <f t="shared" si="22"/>
        <v>57</v>
      </c>
      <c r="BQ94" s="136"/>
      <c r="BR94" s="136">
        <v>0</v>
      </c>
      <c r="BS94" s="136">
        <v>2</v>
      </c>
      <c r="BT94" s="136">
        <v>2</v>
      </c>
      <c r="BU94" s="136">
        <v>2</v>
      </c>
      <c r="BV94" s="136">
        <v>1</v>
      </c>
      <c r="BW94" s="136">
        <v>0</v>
      </c>
      <c r="BX94" s="136">
        <v>0</v>
      </c>
      <c r="BY94" s="136" t="s">
        <v>161</v>
      </c>
      <c r="BZ94" s="136">
        <v>365</v>
      </c>
      <c r="CA94" s="136"/>
      <c r="CB94" s="144"/>
      <c r="CC94" s="144"/>
      <c r="CD94" s="136"/>
      <c r="CE94" s="136" t="s">
        <v>148</v>
      </c>
      <c r="CF94" s="136"/>
      <c r="CG94" s="136"/>
      <c r="CH94" s="374">
        <v>1</v>
      </c>
      <c r="CI94" s="136">
        <v>1</v>
      </c>
      <c r="CJ94" s="136"/>
      <c r="CK94" s="136" t="s">
        <v>536</v>
      </c>
    </row>
    <row r="95" spans="1:89" ht="25" customHeight="1" x14ac:dyDescent="0.35">
      <c r="A95" s="152">
        <v>98</v>
      </c>
      <c r="B95" s="152" t="s">
        <v>1455</v>
      </c>
      <c r="C95" s="152" t="s">
        <v>1456</v>
      </c>
      <c r="D95" s="152"/>
      <c r="E95" s="152" t="s">
        <v>1457</v>
      </c>
      <c r="F95" s="152" t="s">
        <v>4139</v>
      </c>
      <c r="G95" s="152">
        <v>5</v>
      </c>
      <c r="H95" s="152" t="s">
        <v>54</v>
      </c>
      <c r="I95" s="152" t="s">
        <v>38</v>
      </c>
      <c r="J95" s="152" t="s">
        <v>600</v>
      </c>
      <c r="K95" s="152" t="s">
        <v>1458</v>
      </c>
      <c r="L95" s="152" t="s">
        <v>44</v>
      </c>
      <c r="M95" s="152" t="s">
        <v>161</v>
      </c>
      <c r="N95" s="240">
        <v>1513579</v>
      </c>
      <c r="O95" s="31" t="s">
        <v>149</v>
      </c>
      <c r="P95" s="32" t="s">
        <v>149</v>
      </c>
      <c r="Q95" s="152" t="s">
        <v>149</v>
      </c>
      <c r="R95" s="152" t="s">
        <v>1459</v>
      </c>
      <c r="S95" s="152" t="s">
        <v>1460</v>
      </c>
      <c r="T95" s="347" t="s">
        <v>1461</v>
      </c>
      <c r="U95" s="154" t="s">
        <v>1462</v>
      </c>
      <c r="V95" s="154">
        <v>27949</v>
      </c>
      <c r="W95" s="161" t="s">
        <v>1463</v>
      </c>
      <c r="X95" s="161" t="s">
        <v>177</v>
      </c>
      <c r="Y95" s="161" t="s">
        <v>161</v>
      </c>
      <c r="Z95" s="161" t="s">
        <v>156</v>
      </c>
      <c r="AA95" s="152">
        <v>5.5</v>
      </c>
      <c r="AB95" s="154">
        <v>42370</v>
      </c>
      <c r="AC95" s="286">
        <v>42064</v>
      </c>
      <c r="AD95" s="154"/>
      <c r="AE95" s="33" t="s">
        <v>1464</v>
      </c>
      <c r="AF95" s="33" t="s">
        <v>1465</v>
      </c>
      <c r="AG95" s="33" t="s">
        <v>1466</v>
      </c>
      <c r="AH95" s="152">
        <f t="shared" ref="AH95:AH126" si="23">COUNTA(AE95:AG95)</f>
        <v>3</v>
      </c>
      <c r="AI95" s="33" t="s">
        <v>159</v>
      </c>
      <c r="AJ95" s="33" t="s">
        <v>159</v>
      </c>
      <c r="AK95" s="33" t="s">
        <v>160</v>
      </c>
      <c r="AL95" s="33" t="s">
        <v>148</v>
      </c>
      <c r="AM95" s="33" t="s">
        <v>161</v>
      </c>
      <c r="AN95" s="33" t="s">
        <v>148</v>
      </c>
      <c r="AO95" s="33" t="s">
        <v>180</v>
      </c>
      <c r="AP95" s="33" t="s">
        <v>1467</v>
      </c>
      <c r="AQ95" s="33" t="s">
        <v>591</v>
      </c>
      <c r="AR95" s="33" t="s">
        <v>148</v>
      </c>
      <c r="AS95" s="33" t="s">
        <v>1468</v>
      </c>
      <c r="AT95" s="413" t="s">
        <v>1469</v>
      </c>
      <c r="AU95" s="33" t="s">
        <v>1470</v>
      </c>
      <c r="AV95" s="33" t="s">
        <v>161</v>
      </c>
      <c r="AW95" s="155">
        <v>42065</v>
      </c>
      <c r="AX95" s="155">
        <v>42310</v>
      </c>
      <c r="AY95" s="155" t="s">
        <v>148</v>
      </c>
      <c r="AZ95" s="155"/>
      <c r="BA95" s="155">
        <v>42492</v>
      </c>
      <c r="BB95" s="155"/>
      <c r="BC95" s="155"/>
      <c r="BD95" s="155"/>
      <c r="BE95" s="156" t="s">
        <v>1471</v>
      </c>
      <c r="BF95" s="155">
        <v>42947</v>
      </c>
      <c r="BG95" s="155" t="s">
        <v>148</v>
      </c>
      <c r="BH95" s="155">
        <v>43528</v>
      </c>
      <c r="BI95" s="155" t="s">
        <v>161</v>
      </c>
      <c r="BJ95" s="154"/>
      <c r="BK95" s="154"/>
      <c r="BL95" s="154"/>
      <c r="BM95" s="157">
        <v>43646</v>
      </c>
      <c r="BN95" s="152" t="s">
        <v>16</v>
      </c>
      <c r="BO95" s="241">
        <f>DATEDIF(AW95,BM95, "M")+1</f>
        <v>52</v>
      </c>
      <c r="BP95" s="152">
        <f t="shared" si="22"/>
        <v>44</v>
      </c>
      <c r="BQ95" s="152"/>
      <c r="BR95" s="152">
        <v>4</v>
      </c>
      <c r="BS95" s="152">
        <v>2</v>
      </c>
      <c r="BT95" s="152">
        <v>19</v>
      </c>
      <c r="BU95" s="152">
        <v>1</v>
      </c>
      <c r="BV95" s="152">
        <v>1</v>
      </c>
      <c r="BW95" s="152">
        <v>0</v>
      </c>
      <c r="BX95" s="152">
        <v>0</v>
      </c>
      <c r="BY95" s="152" t="s">
        <v>161</v>
      </c>
      <c r="BZ95" s="152">
        <v>0</v>
      </c>
      <c r="CA95" s="152"/>
      <c r="CB95" s="158"/>
      <c r="CC95" s="158"/>
      <c r="CD95" s="152"/>
      <c r="CE95" s="152" t="s">
        <v>161</v>
      </c>
      <c r="CF95" s="152"/>
      <c r="CG95" s="152"/>
      <c r="CH95" s="375">
        <v>3</v>
      </c>
      <c r="CI95" s="152">
        <v>3</v>
      </c>
      <c r="CJ95" s="152"/>
      <c r="CK95" s="152" t="s">
        <v>807</v>
      </c>
    </row>
    <row r="96" spans="1:89" ht="25" customHeight="1" x14ac:dyDescent="0.35">
      <c r="A96" s="152">
        <v>99</v>
      </c>
      <c r="B96" s="152" t="s">
        <v>1472</v>
      </c>
      <c r="C96" s="152" t="s">
        <v>1473</v>
      </c>
      <c r="D96" s="152"/>
      <c r="E96" s="152" t="s">
        <v>1474</v>
      </c>
      <c r="F96" s="152" t="s">
        <v>4139</v>
      </c>
      <c r="G96" s="152">
        <v>5</v>
      </c>
      <c r="H96" s="152" t="s">
        <v>53</v>
      </c>
      <c r="I96" s="152" t="s">
        <v>43</v>
      </c>
      <c r="J96" s="152" t="s">
        <v>1475</v>
      </c>
      <c r="K96" s="152" t="s">
        <v>1476</v>
      </c>
      <c r="L96" s="152" t="s">
        <v>37</v>
      </c>
      <c r="M96" s="152" t="s">
        <v>161</v>
      </c>
      <c r="N96" s="152" t="s">
        <v>1477</v>
      </c>
      <c r="O96" s="242" t="s">
        <v>149</v>
      </c>
      <c r="P96" s="243" t="s">
        <v>149</v>
      </c>
      <c r="Q96" s="152" t="s">
        <v>149</v>
      </c>
      <c r="R96" s="152" t="s">
        <v>1478</v>
      </c>
      <c r="S96" s="152" t="s">
        <v>1479</v>
      </c>
      <c r="T96" s="348" t="s">
        <v>1480</v>
      </c>
      <c r="U96" s="154" t="s">
        <v>1481</v>
      </c>
      <c r="V96" s="154">
        <v>29221</v>
      </c>
      <c r="W96" s="161" t="s">
        <v>1482</v>
      </c>
      <c r="X96" s="161" t="s">
        <v>177</v>
      </c>
      <c r="Y96" s="161" t="s">
        <v>161</v>
      </c>
      <c r="Z96" s="161" t="s">
        <v>156</v>
      </c>
      <c r="AA96" s="152">
        <v>39</v>
      </c>
      <c r="AB96" s="154">
        <v>42993</v>
      </c>
      <c r="AC96" s="286">
        <v>42064</v>
      </c>
      <c r="AD96" s="154"/>
      <c r="AE96" s="34" t="s">
        <v>1483</v>
      </c>
      <c r="AF96" s="34" t="s">
        <v>1484</v>
      </c>
      <c r="AG96" s="152"/>
      <c r="AH96" s="152">
        <f t="shared" si="23"/>
        <v>2</v>
      </c>
      <c r="AI96" s="161" t="s">
        <v>160</v>
      </c>
      <c r="AJ96" s="152" t="s">
        <v>160</v>
      </c>
      <c r="AK96" s="152"/>
      <c r="AL96" s="152" t="s">
        <v>148</v>
      </c>
      <c r="AM96" s="152" t="s">
        <v>161</v>
      </c>
      <c r="AN96" s="152"/>
      <c r="AO96" s="152" t="s">
        <v>162</v>
      </c>
      <c r="AP96" s="152" t="s">
        <v>179</v>
      </c>
      <c r="AQ96" s="152" t="s">
        <v>248</v>
      </c>
      <c r="AR96" s="152" t="s">
        <v>148</v>
      </c>
      <c r="AS96" s="33" t="s">
        <v>1485</v>
      </c>
      <c r="AT96" s="30" t="s">
        <v>217</v>
      </c>
      <c r="AU96" s="33" t="s">
        <v>1486</v>
      </c>
      <c r="AV96" s="33" t="s">
        <v>161</v>
      </c>
      <c r="AW96" s="155">
        <v>42065</v>
      </c>
      <c r="AX96" s="155">
        <v>42310</v>
      </c>
      <c r="AY96" s="155" t="s">
        <v>148</v>
      </c>
      <c r="AZ96" s="155">
        <v>42850</v>
      </c>
      <c r="BA96" s="155">
        <v>42863</v>
      </c>
      <c r="BB96" s="155"/>
      <c r="BC96" s="155"/>
      <c r="BD96" s="155"/>
      <c r="BE96" s="156" t="s">
        <v>1487</v>
      </c>
      <c r="BF96" s="155">
        <v>42947</v>
      </c>
      <c r="BG96" s="155" t="s">
        <v>148</v>
      </c>
      <c r="BH96" s="155">
        <v>43164</v>
      </c>
      <c r="BI96" s="155" t="s">
        <v>148</v>
      </c>
      <c r="BJ96" s="154"/>
      <c r="BK96" s="154"/>
      <c r="BL96" s="154"/>
      <c r="BM96" s="157">
        <v>43830</v>
      </c>
      <c r="BN96" s="152" t="s">
        <v>16</v>
      </c>
      <c r="BO96" s="241">
        <f t="shared" ref="BO96:BO100" si="24">DATEDIF(AW96,BM96, "M")+1</f>
        <v>58</v>
      </c>
      <c r="BP96" s="152">
        <f t="shared" si="22"/>
        <v>50</v>
      </c>
      <c r="BQ96" s="152"/>
      <c r="BR96" s="152">
        <v>0</v>
      </c>
      <c r="BS96" s="152">
        <v>1</v>
      </c>
      <c r="BT96" s="152">
        <v>2</v>
      </c>
      <c r="BU96" s="152">
        <v>2</v>
      </c>
      <c r="BV96" s="152">
        <v>0</v>
      </c>
      <c r="BW96" s="152">
        <v>0</v>
      </c>
      <c r="BX96" s="152">
        <v>0</v>
      </c>
      <c r="BY96" s="152" t="s">
        <v>161</v>
      </c>
      <c r="BZ96" s="152">
        <v>0</v>
      </c>
      <c r="CA96" s="152"/>
      <c r="CB96" s="158"/>
      <c r="CC96" s="158"/>
      <c r="CD96" s="152"/>
      <c r="CE96" s="152" t="s">
        <v>161</v>
      </c>
      <c r="CF96" s="152"/>
      <c r="CG96" s="152"/>
      <c r="CH96" s="375">
        <v>1</v>
      </c>
      <c r="CI96" s="152">
        <v>3</v>
      </c>
      <c r="CJ96" s="152"/>
      <c r="CK96" s="152" t="s">
        <v>807</v>
      </c>
    </row>
    <row r="97" spans="1:89" ht="25" customHeight="1" x14ac:dyDescent="0.35">
      <c r="A97" s="152">
        <v>100</v>
      </c>
      <c r="B97" s="152" t="s">
        <v>1488</v>
      </c>
      <c r="C97" s="152" t="s">
        <v>345</v>
      </c>
      <c r="D97" s="152" t="s">
        <v>1489</v>
      </c>
      <c r="E97" s="152" t="s">
        <v>448</v>
      </c>
      <c r="F97" s="152" t="s">
        <v>4140</v>
      </c>
      <c r="G97" s="152">
        <v>5</v>
      </c>
      <c r="H97" s="152" t="s">
        <v>52</v>
      </c>
      <c r="I97" s="152" t="s">
        <v>39</v>
      </c>
      <c r="J97" s="152" t="s">
        <v>1419</v>
      </c>
      <c r="K97" s="152" t="s">
        <v>1490</v>
      </c>
      <c r="L97" s="152" t="s">
        <v>39</v>
      </c>
      <c r="M97" s="152" t="s">
        <v>148</v>
      </c>
      <c r="N97" s="244" t="s">
        <v>1491</v>
      </c>
      <c r="O97" s="245" t="s">
        <v>149</v>
      </c>
      <c r="P97" s="246" t="s">
        <v>149</v>
      </c>
      <c r="Q97" s="152" t="s">
        <v>149</v>
      </c>
      <c r="R97" s="319" t="s">
        <v>1492</v>
      </c>
      <c r="S97" s="152" t="s">
        <v>1493</v>
      </c>
      <c r="T97" s="348" t="s">
        <v>1494</v>
      </c>
      <c r="U97" s="154" t="s">
        <v>1495</v>
      </c>
      <c r="V97" s="154">
        <v>29998</v>
      </c>
      <c r="W97" s="161" t="s">
        <v>1496</v>
      </c>
      <c r="X97" s="161" t="s">
        <v>154</v>
      </c>
      <c r="Y97" s="161" t="s">
        <v>155</v>
      </c>
      <c r="Z97" s="161" t="s">
        <v>156</v>
      </c>
      <c r="AA97" s="152">
        <v>22</v>
      </c>
      <c r="AB97" s="154">
        <v>41748</v>
      </c>
      <c r="AC97" s="286">
        <v>42064</v>
      </c>
      <c r="AD97" s="154"/>
      <c r="AE97" s="312" t="s">
        <v>1497</v>
      </c>
      <c r="AF97" s="33" t="s">
        <v>1498</v>
      </c>
      <c r="AG97" s="159"/>
      <c r="AH97" s="152">
        <f t="shared" si="23"/>
        <v>2</v>
      </c>
      <c r="AI97" s="33" t="s">
        <v>159</v>
      </c>
      <c r="AJ97" s="33" t="s">
        <v>159</v>
      </c>
      <c r="AK97" s="159"/>
      <c r="AL97" s="159" t="s">
        <v>161</v>
      </c>
      <c r="AM97" s="159" t="s">
        <v>148</v>
      </c>
      <c r="AN97" s="159"/>
      <c r="AO97" s="159" t="s">
        <v>162</v>
      </c>
      <c r="AP97" s="159" t="s">
        <v>443</v>
      </c>
      <c r="AQ97" s="159" t="s">
        <v>215</v>
      </c>
      <c r="AR97" s="159" t="s">
        <v>148</v>
      </c>
      <c r="AS97" s="159"/>
      <c r="AT97" s="414" t="s">
        <v>1499</v>
      </c>
      <c r="AU97" s="33" t="s">
        <v>1500</v>
      </c>
      <c r="AV97" s="33" t="s">
        <v>148</v>
      </c>
      <c r="AW97" s="155">
        <v>42065</v>
      </c>
      <c r="AX97" s="155">
        <v>42310</v>
      </c>
      <c r="AY97" s="155" t="s">
        <v>148</v>
      </c>
      <c r="AZ97" s="155"/>
      <c r="BA97" s="155"/>
      <c r="BB97" s="155"/>
      <c r="BC97" s="155"/>
      <c r="BD97" s="155"/>
      <c r="BE97" s="156"/>
      <c r="BF97" s="155">
        <v>42947</v>
      </c>
      <c r="BG97" s="155" t="s">
        <v>148</v>
      </c>
      <c r="BH97" s="155">
        <v>43164</v>
      </c>
      <c r="BI97" s="155" t="s">
        <v>148</v>
      </c>
      <c r="BJ97" s="154"/>
      <c r="BK97" s="154"/>
      <c r="BL97" s="154"/>
      <c r="BM97" s="157">
        <v>43250</v>
      </c>
      <c r="BN97" s="152" t="s">
        <v>16</v>
      </c>
      <c r="BO97" s="241">
        <f t="shared" si="24"/>
        <v>39</v>
      </c>
      <c r="BP97" s="152">
        <f t="shared" si="22"/>
        <v>31</v>
      </c>
      <c r="BQ97" s="152"/>
      <c r="BR97" s="152">
        <v>0</v>
      </c>
      <c r="BS97" s="152">
        <v>0</v>
      </c>
      <c r="BT97" s="152">
        <v>3</v>
      </c>
      <c r="BU97" s="152">
        <v>0</v>
      </c>
      <c r="BV97" s="152">
        <v>0</v>
      </c>
      <c r="BW97" s="152">
        <v>0</v>
      </c>
      <c r="BX97" s="152">
        <v>0</v>
      </c>
      <c r="BY97" s="152" t="s">
        <v>161</v>
      </c>
      <c r="BZ97" s="152">
        <v>0</v>
      </c>
      <c r="CA97" s="152"/>
      <c r="CB97" s="158"/>
      <c r="CC97" s="158"/>
      <c r="CD97" s="152"/>
      <c r="CE97" s="152" t="s">
        <v>161</v>
      </c>
      <c r="CF97" s="152"/>
      <c r="CG97" s="152"/>
      <c r="CH97" s="375">
        <v>3</v>
      </c>
      <c r="CI97" s="152">
        <v>3</v>
      </c>
      <c r="CJ97" s="152"/>
      <c r="CK97" s="152" t="s">
        <v>807</v>
      </c>
    </row>
    <row r="98" spans="1:89" ht="25" customHeight="1" x14ac:dyDescent="0.35">
      <c r="A98" s="152">
        <v>101</v>
      </c>
      <c r="B98" s="152" t="s">
        <v>1501</v>
      </c>
      <c r="C98" s="152" t="s">
        <v>1502</v>
      </c>
      <c r="D98" s="152" t="s">
        <v>1503</v>
      </c>
      <c r="E98" s="152" t="s">
        <v>1504</v>
      </c>
      <c r="F98" s="152" t="s">
        <v>4140</v>
      </c>
      <c r="G98" s="152">
        <v>5</v>
      </c>
      <c r="H98" s="152" t="s">
        <v>56</v>
      </c>
      <c r="I98" s="152" t="s">
        <v>44</v>
      </c>
      <c r="J98" s="152" t="s">
        <v>1505</v>
      </c>
      <c r="K98" s="152" t="s">
        <v>1505</v>
      </c>
      <c r="L98" s="152" t="s">
        <v>44</v>
      </c>
      <c r="M98" s="152" t="s">
        <v>148</v>
      </c>
      <c r="N98" s="152" t="s">
        <v>1506</v>
      </c>
      <c r="O98" s="242" t="s">
        <v>149</v>
      </c>
      <c r="P98" s="243" t="s">
        <v>149</v>
      </c>
      <c r="Q98" s="152"/>
      <c r="R98" s="160" t="s">
        <v>1507</v>
      </c>
      <c r="S98" s="152" t="s">
        <v>1508</v>
      </c>
      <c r="T98" s="347" t="s">
        <v>1509</v>
      </c>
      <c r="U98" s="154" t="s">
        <v>1510</v>
      </c>
      <c r="V98" s="154">
        <v>26236</v>
      </c>
      <c r="W98" s="161" t="s">
        <v>1511</v>
      </c>
      <c r="X98" s="161" t="s">
        <v>177</v>
      </c>
      <c r="Y98" s="161" t="s">
        <v>161</v>
      </c>
      <c r="Z98" s="161" t="s">
        <v>156</v>
      </c>
      <c r="AA98" s="152">
        <v>11.5</v>
      </c>
      <c r="AB98" s="154">
        <v>42430</v>
      </c>
      <c r="AC98" s="286">
        <v>42064</v>
      </c>
      <c r="AD98" s="154"/>
      <c r="AE98" s="34" t="s">
        <v>1512</v>
      </c>
      <c r="AF98" s="34" t="s">
        <v>1513</v>
      </c>
      <c r="AG98" s="33"/>
      <c r="AH98" s="152">
        <f t="shared" si="23"/>
        <v>2</v>
      </c>
      <c r="AI98" s="33" t="s">
        <v>159</v>
      </c>
      <c r="AJ98" s="33" t="s">
        <v>200</v>
      </c>
      <c r="AK98" s="33"/>
      <c r="AL98" s="33" t="s">
        <v>148</v>
      </c>
      <c r="AM98" s="33" t="s">
        <v>161</v>
      </c>
      <c r="AN98" s="33"/>
      <c r="AO98" s="33" t="s">
        <v>162</v>
      </c>
      <c r="AP98" s="33"/>
      <c r="AQ98" s="33" t="s">
        <v>201</v>
      </c>
      <c r="AR98" s="33"/>
      <c r="AS98" s="33"/>
      <c r="AT98" s="415" t="s">
        <v>370</v>
      </c>
      <c r="AU98" s="33" t="s">
        <v>1514</v>
      </c>
      <c r="AV98" s="33" t="s">
        <v>161</v>
      </c>
      <c r="AW98" s="155">
        <v>42065</v>
      </c>
      <c r="AX98" s="155">
        <v>42310</v>
      </c>
      <c r="AY98" s="155" t="s">
        <v>148</v>
      </c>
      <c r="AZ98" s="155"/>
      <c r="BA98" s="155"/>
      <c r="BB98" s="155"/>
      <c r="BC98" s="155"/>
      <c r="BD98" s="155"/>
      <c r="BE98" s="156"/>
      <c r="BF98" s="155">
        <v>42947</v>
      </c>
      <c r="BG98" s="155" t="s">
        <v>148</v>
      </c>
      <c r="BH98" s="155">
        <v>43164</v>
      </c>
      <c r="BI98" s="155" t="s">
        <v>148</v>
      </c>
      <c r="BJ98" s="154"/>
      <c r="BK98" s="154"/>
      <c r="BL98" s="154"/>
      <c r="BM98" s="157">
        <v>44334</v>
      </c>
      <c r="BN98" s="152" t="s">
        <v>16</v>
      </c>
      <c r="BO98" s="241">
        <f t="shared" si="24"/>
        <v>75</v>
      </c>
      <c r="BP98" s="152">
        <f t="shared" si="22"/>
        <v>67</v>
      </c>
      <c r="BQ98" s="161" t="s">
        <v>1515</v>
      </c>
      <c r="BR98" s="152">
        <v>2</v>
      </c>
      <c r="BS98" s="152">
        <v>5</v>
      </c>
      <c r="BT98" s="152">
        <v>1</v>
      </c>
      <c r="BU98" s="152">
        <v>1</v>
      </c>
      <c r="BV98" s="152">
        <v>0</v>
      </c>
      <c r="BW98" s="152">
        <v>0</v>
      </c>
      <c r="BX98" s="152">
        <v>0</v>
      </c>
      <c r="BY98" s="152" t="s">
        <v>161</v>
      </c>
      <c r="BZ98" s="152">
        <v>0</v>
      </c>
      <c r="CA98" s="152"/>
      <c r="CB98" s="158"/>
      <c r="CC98" s="158"/>
      <c r="CD98" s="152"/>
      <c r="CE98" s="152" t="s">
        <v>161</v>
      </c>
      <c r="CF98" s="152"/>
      <c r="CG98" s="152"/>
      <c r="CH98" s="375">
        <v>3</v>
      </c>
      <c r="CI98" s="152">
        <v>3</v>
      </c>
      <c r="CJ98" s="152"/>
      <c r="CK98" s="152" t="s">
        <v>807</v>
      </c>
    </row>
    <row r="99" spans="1:89" ht="25" customHeight="1" x14ac:dyDescent="0.35">
      <c r="A99" s="152">
        <v>102</v>
      </c>
      <c r="B99" s="152" t="s">
        <v>1516</v>
      </c>
      <c r="C99" s="152" t="s">
        <v>436</v>
      </c>
      <c r="D99" s="152" t="s">
        <v>1517</v>
      </c>
      <c r="E99" s="152" t="s">
        <v>1518</v>
      </c>
      <c r="F99" s="152" t="s">
        <v>4139</v>
      </c>
      <c r="G99" s="152">
        <v>5</v>
      </c>
      <c r="H99" s="152" t="s">
        <v>52</v>
      </c>
      <c r="I99" s="152" t="s">
        <v>31</v>
      </c>
      <c r="J99" s="152" t="s">
        <v>600</v>
      </c>
      <c r="K99" s="152" t="s">
        <v>1299</v>
      </c>
      <c r="L99" s="152" t="s">
        <v>44</v>
      </c>
      <c r="M99" s="152" t="s">
        <v>161</v>
      </c>
      <c r="N99" s="152">
        <v>951466</v>
      </c>
      <c r="O99" s="242" t="s">
        <v>149</v>
      </c>
      <c r="P99" s="243" t="s">
        <v>149</v>
      </c>
      <c r="Q99" s="152"/>
      <c r="R99" s="152" t="s">
        <v>1519</v>
      </c>
      <c r="S99" s="160" t="s">
        <v>1520</v>
      </c>
      <c r="T99" s="347" t="s">
        <v>1521</v>
      </c>
      <c r="U99" s="154" t="s">
        <v>787</v>
      </c>
      <c r="V99" s="154">
        <v>28992</v>
      </c>
      <c r="W99" s="161" t="s">
        <v>1522</v>
      </c>
      <c r="X99" s="161" t="s">
        <v>177</v>
      </c>
      <c r="Y99" s="161" t="s">
        <v>161</v>
      </c>
      <c r="Z99" s="161" t="s">
        <v>156</v>
      </c>
      <c r="AA99" s="152">
        <v>18</v>
      </c>
      <c r="AB99" s="154">
        <v>42555</v>
      </c>
      <c r="AC99" s="286">
        <v>42064</v>
      </c>
      <c r="AD99" s="154"/>
      <c r="AE99" s="34" t="s">
        <v>1523</v>
      </c>
      <c r="AF99" s="34" t="s">
        <v>1466</v>
      </c>
      <c r="AG99" s="33"/>
      <c r="AH99" s="152">
        <f t="shared" si="23"/>
        <v>2</v>
      </c>
      <c r="AI99" s="34" t="s">
        <v>159</v>
      </c>
      <c r="AJ99" s="34" t="s">
        <v>160</v>
      </c>
      <c r="AK99" s="33"/>
      <c r="AL99" s="33" t="s">
        <v>148</v>
      </c>
      <c r="AM99" s="33" t="s">
        <v>148</v>
      </c>
      <c r="AN99" s="33"/>
      <c r="AO99" s="33" t="s">
        <v>162</v>
      </c>
      <c r="AP99" s="33"/>
      <c r="AQ99" s="33"/>
      <c r="AR99" s="33"/>
      <c r="AS99" s="33"/>
      <c r="AT99" s="413" t="s">
        <v>326</v>
      </c>
      <c r="AU99" s="33" t="s">
        <v>1524</v>
      </c>
      <c r="AV99" s="33" t="s">
        <v>148</v>
      </c>
      <c r="AW99" s="155">
        <v>42065</v>
      </c>
      <c r="AX99" s="155">
        <v>42310</v>
      </c>
      <c r="AY99" s="155" t="s">
        <v>148</v>
      </c>
      <c r="AZ99" s="155">
        <v>42535</v>
      </c>
      <c r="BA99" s="155">
        <v>42620</v>
      </c>
      <c r="BB99" s="152"/>
      <c r="BC99" s="152"/>
      <c r="BD99" s="152"/>
      <c r="BE99" s="156" t="s">
        <v>1525</v>
      </c>
      <c r="BF99" s="155">
        <v>42947</v>
      </c>
      <c r="BG99" s="155" t="s">
        <v>148</v>
      </c>
      <c r="BH99" s="155">
        <v>43164</v>
      </c>
      <c r="BI99" s="155" t="s">
        <v>148</v>
      </c>
      <c r="BJ99" s="154"/>
      <c r="BK99" s="154"/>
      <c r="BL99" s="154"/>
      <c r="BM99" s="157">
        <v>44529</v>
      </c>
      <c r="BN99" s="152" t="s">
        <v>16</v>
      </c>
      <c r="BO99" s="241">
        <f t="shared" si="24"/>
        <v>81</v>
      </c>
      <c r="BP99" s="152">
        <f t="shared" si="22"/>
        <v>73</v>
      </c>
      <c r="BQ99" s="161" t="s">
        <v>1525</v>
      </c>
      <c r="BR99" s="152">
        <v>0</v>
      </c>
      <c r="BS99" s="152">
        <v>15</v>
      </c>
      <c r="BT99" s="152">
        <v>3</v>
      </c>
      <c r="BU99" s="152">
        <v>6</v>
      </c>
      <c r="BV99" s="152">
        <v>1</v>
      </c>
      <c r="BW99" s="152">
        <v>0</v>
      </c>
      <c r="BX99" s="152">
        <v>0</v>
      </c>
      <c r="BY99" s="152" t="s">
        <v>161</v>
      </c>
      <c r="BZ99" s="152">
        <v>0</v>
      </c>
      <c r="CA99" s="152"/>
      <c r="CB99" s="158"/>
      <c r="CC99" s="158"/>
      <c r="CD99" s="152"/>
      <c r="CE99" s="152" t="s">
        <v>148</v>
      </c>
      <c r="CF99" s="152"/>
      <c r="CG99" s="152"/>
      <c r="CH99" s="375">
        <v>2</v>
      </c>
      <c r="CI99" s="152" t="s">
        <v>166</v>
      </c>
      <c r="CJ99" s="152"/>
      <c r="CK99" s="152" t="s">
        <v>807</v>
      </c>
    </row>
    <row r="100" spans="1:89" ht="25" customHeight="1" x14ac:dyDescent="0.35">
      <c r="A100" s="152">
        <v>103</v>
      </c>
      <c r="B100" s="152" t="s">
        <v>1526</v>
      </c>
      <c r="C100" s="152" t="s">
        <v>823</v>
      </c>
      <c r="D100" s="152" t="s">
        <v>1527</v>
      </c>
      <c r="E100" s="152" t="s">
        <v>1528</v>
      </c>
      <c r="F100" s="152" t="s">
        <v>4139</v>
      </c>
      <c r="G100" s="152">
        <v>5</v>
      </c>
      <c r="H100" s="152" t="s">
        <v>57</v>
      </c>
      <c r="I100" s="152" t="s">
        <v>40</v>
      </c>
      <c r="J100" s="152" t="s">
        <v>1529</v>
      </c>
      <c r="K100" s="152" t="s">
        <v>1530</v>
      </c>
      <c r="L100" s="152" t="s">
        <v>44</v>
      </c>
      <c r="M100" s="152" t="s">
        <v>161</v>
      </c>
      <c r="N100" s="152">
        <v>1362999</v>
      </c>
      <c r="O100" s="242" t="s">
        <v>320</v>
      </c>
      <c r="P100" s="243" t="s">
        <v>238</v>
      </c>
      <c r="Q100" s="152" t="s">
        <v>149</v>
      </c>
      <c r="R100" s="319" t="s">
        <v>1531</v>
      </c>
      <c r="S100" s="152" t="s">
        <v>1532</v>
      </c>
      <c r="T100" s="347" t="s">
        <v>1533</v>
      </c>
      <c r="U100" s="154" t="s">
        <v>1534</v>
      </c>
      <c r="V100" s="154">
        <v>31406</v>
      </c>
      <c r="W100" s="161" t="s">
        <v>1535</v>
      </c>
      <c r="X100" s="161" t="s">
        <v>177</v>
      </c>
      <c r="Y100" s="161" t="s">
        <v>155</v>
      </c>
      <c r="Z100" s="161" t="s">
        <v>156</v>
      </c>
      <c r="AA100" s="152">
        <v>8.5</v>
      </c>
      <c r="AB100" s="154">
        <v>42231</v>
      </c>
      <c r="AC100" s="286">
        <v>42064</v>
      </c>
      <c r="AD100" s="154"/>
      <c r="AE100" s="152" t="s">
        <v>1536</v>
      </c>
      <c r="AF100" s="152"/>
      <c r="AG100" s="152"/>
      <c r="AH100" s="152">
        <f t="shared" si="23"/>
        <v>1</v>
      </c>
      <c r="AI100" s="161" t="s">
        <v>159</v>
      </c>
      <c r="AJ100" s="152"/>
      <c r="AK100" s="152"/>
      <c r="AL100" s="152" t="s">
        <v>148</v>
      </c>
      <c r="AM100" s="152"/>
      <c r="AN100" s="152"/>
      <c r="AO100" s="152" t="s">
        <v>180</v>
      </c>
      <c r="AP100" s="152" t="s">
        <v>1537</v>
      </c>
      <c r="AQ100" s="152" t="s">
        <v>1537</v>
      </c>
      <c r="AR100" s="152" t="s">
        <v>148</v>
      </c>
      <c r="AS100" s="152" t="s">
        <v>1538</v>
      </c>
      <c r="AT100" s="30" t="s">
        <v>1264</v>
      </c>
      <c r="AU100" s="33" t="s">
        <v>1539</v>
      </c>
      <c r="AV100" s="33"/>
      <c r="AW100" s="155">
        <v>42065</v>
      </c>
      <c r="AX100" s="155">
        <v>42310</v>
      </c>
      <c r="AY100" s="155" t="s">
        <v>148</v>
      </c>
      <c r="AZ100" s="152"/>
      <c r="BA100" s="152"/>
      <c r="BB100" s="152"/>
      <c r="BC100" s="152"/>
      <c r="BD100" s="152"/>
      <c r="BE100" s="156"/>
      <c r="BF100" s="155">
        <v>42947</v>
      </c>
      <c r="BG100" s="155" t="s">
        <v>148</v>
      </c>
      <c r="BH100" s="155">
        <v>43164</v>
      </c>
      <c r="BI100" s="155" t="s">
        <v>148</v>
      </c>
      <c r="BJ100" s="154"/>
      <c r="BK100" s="154"/>
      <c r="BL100" s="154"/>
      <c r="BM100" s="157">
        <v>43830</v>
      </c>
      <c r="BN100" s="152" t="s">
        <v>16</v>
      </c>
      <c r="BO100" s="241">
        <f t="shared" si="24"/>
        <v>58</v>
      </c>
      <c r="BP100" s="152">
        <f t="shared" si="22"/>
        <v>50</v>
      </c>
      <c r="BQ100" s="161" t="s">
        <v>1540</v>
      </c>
      <c r="BR100" s="152">
        <v>1</v>
      </c>
      <c r="BS100" s="152">
        <v>16</v>
      </c>
      <c r="BT100" s="152">
        <v>9</v>
      </c>
      <c r="BU100" s="152">
        <v>3</v>
      </c>
      <c r="BV100" s="152">
        <v>0</v>
      </c>
      <c r="BW100" s="152">
        <v>0</v>
      </c>
      <c r="BX100" s="152">
        <v>0</v>
      </c>
      <c r="BY100" s="152" t="s">
        <v>161</v>
      </c>
      <c r="BZ100" s="152">
        <v>0</v>
      </c>
      <c r="CA100" s="152"/>
      <c r="CB100" s="158"/>
      <c r="CC100" s="158"/>
      <c r="CD100" s="152"/>
      <c r="CE100" s="152" t="s">
        <v>161</v>
      </c>
      <c r="CF100" s="152"/>
      <c r="CG100" s="152"/>
      <c r="CH100" s="375">
        <v>0</v>
      </c>
      <c r="CI100" s="152">
        <v>1</v>
      </c>
      <c r="CJ100" s="152"/>
      <c r="CK100" s="152" t="s">
        <v>807</v>
      </c>
    </row>
    <row r="101" spans="1:89" ht="25" customHeight="1" x14ac:dyDescent="0.35">
      <c r="A101" s="152">
        <v>104</v>
      </c>
      <c r="B101" s="152" t="s">
        <v>1541</v>
      </c>
      <c r="C101" s="152" t="s">
        <v>345</v>
      </c>
      <c r="D101" s="152" t="s">
        <v>1542</v>
      </c>
      <c r="E101" s="152" t="s">
        <v>1543</v>
      </c>
      <c r="F101" s="152" t="s">
        <v>4140</v>
      </c>
      <c r="G101" s="152">
        <v>5</v>
      </c>
      <c r="H101" s="152" t="s">
        <v>50</v>
      </c>
      <c r="I101" s="152" t="s">
        <v>42</v>
      </c>
      <c r="J101" s="152" t="s">
        <v>1544</v>
      </c>
      <c r="K101" s="152" t="s">
        <v>1393</v>
      </c>
      <c r="L101" s="152" t="s">
        <v>42</v>
      </c>
      <c r="M101" s="152" t="s">
        <v>148</v>
      </c>
      <c r="N101" s="152" t="s">
        <v>1545</v>
      </c>
      <c r="O101" s="242"/>
      <c r="P101" s="243" t="s">
        <v>320</v>
      </c>
      <c r="Q101" s="152"/>
      <c r="R101" s="152" t="s">
        <v>1546</v>
      </c>
      <c r="S101" s="152" t="s">
        <v>1547</v>
      </c>
      <c r="T101" s="347" t="s">
        <v>1548</v>
      </c>
      <c r="U101" s="154" t="s">
        <v>1398</v>
      </c>
      <c r="V101" s="154">
        <v>29277</v>
      </c>
      <c r="W101" s="161" t="s">
        <v>1549</v>
      </c>
      <c r="X101" s="161" t="s">
        <v>177</v>
      </c>
      <c r="Y101" s="161" t="s">
        <v>155</v>
      </c>
      <c r="Z101" s="161" t="s">
        <v>156</v>
      </c>
      <c r="AA101" s="152">
        <v>28.5</v>
      </c>
      <c r="AB101" s="154">
        <v>42255</v>
      </c>
      <c r="AC101" s="286">
        <v>42064</v>
      </c>
      <c r="AD101" s="154"/>
      <c r="AE101" s="34" t="s">
        <v>1550</v>
      </c>
      <c r="AF101" s="314" t="s">
        <v>1551</v>
      </c>
      <c r="AG101" s="152"/>
      <c r="AH101" s="152">
        <f t="shared" si="23"/>
        <v>2</v>
      </c>
      <c r="AI101" s="161" t="s">
        <v>159</v>
      </c>
      <c r="AJ101" s="161" t="s">
        <v>159</v>
      </c>
      <c r="AK101" s="152"/>
      <c r="AL101" s="152" t="s">
        <v>148</v>
      </c>
      <c r="AM101" s="152" t="s">
        <v>161</v>
      </c>
      <c r="AN101" s="152"/>
      <c r="AO101" s="152" t="s">
        <v>162</v>
      </c>
      <c r="AP101" s="152" t="s">
        <v>201</v>
      </c>
      <c r="AQ101" s="152" t="s">
        <v>201</v>
      </c>
      <c r="AR101" s="152"/>
      <c r="AS101" s="152"/>
      <c r="AT101" s="30" t="s">
        <v>418</v>
      </c>
      <c r="AU101" s="33" t="s">
        <v>1552</v>
      </c>
      <c r="AV101" s="33" t="s">
        <v>161</v>
      </c>
      <c r="AW101" s="155">
        <v>42065</v>
      </c>
      <c r="AX101" s="155">
        <v>42310</v>
      </c>
      <c r="AY101" s="155" t="s">
        <v>148</v>
      </c>
      <c r="AZ101" s="155">
        <v>42248</v>
      </c>
      <c r="BA101" s="155">
        <v>43503</v>
      </c>
      <c r="BB101" s="155"/>
      <c r="BC101" s="155"/>
      <c r="BD101" s="155"/>
      <c r="BE101" s="156" t="s">
        <v>1553</v>
      </c>
      <c r="BF101" s="155">
        <v>42947</v>
      </c>
      <c r="BG101" s="155" t="s">
        <v>148</v>
      </c>
      <c r="BH101" s="155">
        <v>43164</v>
      </c>
      <c r="BI101" s="155" t="s">
        <v>148</v>
      </c>
      <c r="BJ101" s="154"/>
      <c r="BK101" s="154"/>
      <c r="BL101" s="154"/>
      <c r="BM101" s="157"/>
      <c r="BN101" s="162" t="s">
        <v>17</v>
      </c>
      <c r="BO101" s="241"/>
      <c r="BP101" s="241"/>
      <c r="BQ101" s="152"/>
      <c r="BR101" s="152">
        <v>0</v>
      </c>
      <c r="BS101" s="152">
        <v>0</v>
      </c>
      <c r="BT101" s="152">
        <v>0</v>
      </c>
      <c r="BU101" s="152">
        <v>0</v>
      </c>
      <c r="BV101" s="152">
        <v>0</v>
      </c>
      <c r="BW101" s="152">
        <v>0</v>
      </c>
      <c r="BX101" s="152">
        <v>0</v>
      </c>
      <c r="BY101" s="152" t="s">
        <v>161</v>
      </c>
      <c r="BZ101" s="152">
        <v>0</v>
      </c>
      <c r="CA101" s="152"/>
      <c r="CB101" s="158"/>
      <c r="CC101" s="158"/>
      <c r="CD101" s="152"/>
      <c r="CE101" s="152" t="s">
        <v>161</v>
      </c>
      <c r="CF101" s="152"/>
      <c r="CG101" s="152"/>
      <c r="CH101" s="375">
        <v>2</v>
      </c>
      <c r="CI101" s="152" t="s">
        <v>166</v>
      </c>
      <c r="CJ101" s="152"/>
      <c r="CK101" s="152" t="s">
        <v>1312</v>
      </c>
    </row>
    <row r="102" spans="1:89" ht="25" customHeight="1" x14ac:dyDescent="0.35">
      <c r="A102" s="152">
        <v>105</v>
      </c>
      <c r="B102" s="152" t="s">
        <v>1554</v>
      </c>
      <c r="C102" s="152" t="s">
        <v>1555</v>
      </c>
      <c r="D102" s="152" t="s">
        <v>1556</v>
      </c>
      <c r="E102" s="152" t="s">
        <v>1557</v>
      </c>
      <c r="F102" s="152" t="s">
        <v>4140</v>
      </c>
      <c r="G102" s="152">
        <v>5</v>
      </c>
      <c r="H102" s="152" t="s">
        <v>52</v>
      </c>
      <c r="I102" s="152" t="s">
        <v>31</v>
      </c>
      <c r="J102" s="152" t="s">
        <v>1558</v>
      </c>
      <c r="K102" s="152" t="s">
        <v>1559</v>
      </c>
      <c r="L102" s="152" t="s">
        <v>31</v>
      </c>
      <c r="M102" s="152" t="s">
        <v>148</v>
      </c>
      <c r="N102" s="152">
        <v>130949</v>
      </c>
      <c r="O102" s="242" t="s">
        <v>149</v>
      </c>
      <c r="P102" s="243" t="s">
        <v>149</v>
      </c>
      <c r="Q102" s="152" t="s">
        <v>238</v>
      </c>
      <c r="R102" s="152" t="s">
        <v>1560</v>
      </c>
      <c r="S102" s="152" t="s">
        <v>1561</v>
      </c>
      <c r="T102" s="348" t="s">
        <v>1562</v>
      </c>
      <c r="U102" s="154" t="s">
        <v>815</v>
      </c>
      <c r="V102" s="154">
        <v>27902</v>
      </c>
      <c r="W102" s="161" t="s">
        <v>1563</v>
      </c>
      <c r="X102" s="161" t="s">
        <v>177</v>
      </c>
      <c r="Y102" s="161" t="s">
        <v>161</v>
      </c>
      <c r="Z102" s="161" t="s">
        <v>156</v>
      </c>
      <c r="AA102" s="152">
        <v>18</v>
      </c>
      <c r="AB102" s="154">
        <v>41852</v>
      </c>
      <c r="AC102" s="286">
        <v>42064</v>
      </c>
      <c r="AD102" s="154"/>
      <c r="AE102" s="34" t="s">
        <v>1564</v>
      </c>
      <c r="AF102" s="152" t="s">
        <v>1565</v>
      </c>
      <c r="AG102" s="152"/>
      <c r="AH102" s="152">
        <f t="shared" si="23"/>
        <v>2</v>
      </c>
      <c r="AI102" s="161" t="s">
        <v>159</v>
      </c>
      <c r="AJ102" s="152"/>
      <c r="AK102" s="152"/>
      <c r="AL102" s="152" t="s">
        <v>148</v>
      </c>
      <c r="AM102" s="152"/>
      <c r="AN102" s="152"/>
      <c r="AO102" s="152" t="s">
        <v>162</v>
      </c>
      <c r="AP102" s="152"/>
      <c r="AQ102" s="152"/>
      <c r="AR102" s="152"/>
      <c r="AS102" s="152"/>
      <c r="AT102" s="30" t="s">
        <v>326</v>
      </c>
      <c r="AU102" s="33" t="s">
        <v>1566</v>
      </c>
      <c r="AV102" s="33"/>
      <c r="AW102" s="155">
        <v>42065</v>
      </c>
      <c r="AX102" s="155">
        <v>42310</v>
      </c>
      <c r="AY102" s="155" t="s">
        <v>148</v>
      </c>
      <c r="AZ102" s="155">
        <v>41730</v>
      </c>
      <c r="BA102" s="155">
        <v>42384</v>
      </c>
      <c r="BB102" s="155"/>
      <c r="BC102" s="155"/>
      <c r="BD102" s="155"/>
      <c r="BE102" s="156" t="s">
        <v>1567</v>
      </c>
      <c r="BF102" s="155">
        <v>42947</v>
      </c>
      <c r="BG102" s="155" t="s">
        <v>148</v>
      </c>
      <c r="BH102" s="155">
        <v>43164</v>
      </c>
      <c r="BI102" s="155" t="s">
        <v>148</v>
      </c>
      <c r="BJ102" s="154"/>
      <c r="BK102" s="154"/>
      <c r="BL102" s="154"/>
      <c r="BM102" s="157">
        <v>43832</v>
      </c>
      <c r="BN102" s="152" t="s">
        <v>16</v>
      </c>
      <c r="BO102" s="241">
        <f t="shared" ref="BO102:BO105" si="25">DATEDIF(AW102,BM102, "M")+1</f>
        <v>59</v>
      </c>
      <c r="BP102" s="152">
        <f t="shared" ref="BP102:BP105" si="26">DATEDIF(AX102,BM102, "M")+1</f>
        <v>51</v>
      </c>
      <c r="BQ102" s="152"/>
      <c r="BR102" s="152">
        <v>0</v>
      </c>
      <c r="BS102" s="152">
        <v>7</v>
      </c>
      <c r="BT102" s="152">
        <v>7</v>
      </c>
      <c r="BU102" s="152">
        <v>6</v>
      </c>
      <c r="BV102" s="152">
        <v>3</v>
      </c>
      <c r="BW102" s="152">
        <v>0</v>
      </c>
      <c r="BX102" s="152">
        <v>0</v>
      </c>
      <c r="BY102" s="152" t="s">
        <v>1568</v>
      </c>
      <c r="BZ102" s="152">
        <v>0</v>
      </c>
      <c r="CA102" s="152"/>
      <c r="CB102" s="158"/>
      <c r="CC102" s="158"/>
      <c r="CD102" s="152"/>
      <c r="CE102" s="152" t="s">
        <v>161</v>
      </c>
      <c r="CF102" s="152"/>
      <c r="CG102" s="152"/>
      <c r="CH102" s="375">
        <v>3</v>
      </c>
      <c r="CI102" s="152">
        <v>3</v>
      </c>
      <c r="CJ102" s="152"/>
      <c r="CK102" s="152" t="s">
        <v>1312</v>
      </c>
    </row>
    <row r="103" spans="1:89" ht="25" customHeight="1" x14ac:dyDescent="0.35">
      <c r="A103" s="152">
        <v>106</v>
      </c>
      <c r="B103" s="152" t="s">
        <v>1569</v>
      </c>
      <c r="C103" s="152" t="s">
        <v>1570</v>
      </c>
      <c r="D103" s="152"/>
      <c r="E103" s="152" t="s">
        <v>1571</v>
      </c>
      <c r="F103" s="152" t="s">
        <v>4139</v>
      </c>
      <c r="G103" s="152">
        <v>5</v>
      </c>
      <c r="H103" s="152" t="s">
        <v>51</v>
      </c>
      <c r="I103" s="152" t="s">
        <v>4136</v>
      </c>
      <c r="J103" s="152" t="s">
        <v>1572</v>
      </c>
      <c r="K103" s="152" t="s">
        <v>1544</v>
      </c>
      <c r="L103" s="152" t="s">
        <v>4136</v>
      </c>
      <c r="M103" s="152" t="s">
        <v>148</v>
      </c>
      <c r="N103" s="247" t="s">
        <v>1573</v>
      </c>
      <c r="O103" s="245" t="s">
        <v>149</v>
      </c>
      <c r="P103" s="35" t="s">
        <v>149</v>
      </c>
      <c r="Q103" s="152" t="s">
        <v>149</v>
      </c>
      <c r="R103" s="319" t="s">
        <v>1574</v>
      </c>
      <c r="S103" s="152" t="s">
        <v>1575</v>
      </c>
      <c r="T103" s="348" t="s">
        <v>1576</v>
      </c>
      <c r="U103" s="154" t="s">
        <v>1577</v>
      </c>
      <c r="V103" s="154">
        <v>29305</v>
      </c>
      <c r="W103" s="161" t="s">
        <v>1578</v>
      </c>
      <c r="X103" s="161" t="s">
        <v>177</v>
      </c>
      <c r="Y103" s="161" t="s">
        <v>155</v>
      </c>
      <c r="Z103" s="161" t="s">
        <v>156</v>
      </c>
      <c r="AA103" s="152">
        <v>28.5</v>
      </c>
      <c r="AB103" s="154">
        <v>42037</v>
      </c>
      <c r="AC103" s="286">
        <v>42064</v>
      </c>
      <c r="AD103" s="154"/>
      <c r="AE103" s="34" t="s">
        <v>1579</v>
      </c>
      <c r="AF103" s="34" t="s">
        <v>1580</v>
      </c>
      <c r="AG103" s="152"/>
      <c r="AH103" s="152">
        <f t="shared" si="23"/>
        <v>2</v>
      </c>
      <c r="AI103" s="161" t="s">
        <v>159</v>
      </c>
      <c r="AJ103" s="33" t="s">
        <v>200</v>
      </c>
      <c r="AK103" s="152"/>
      <c r="AL103" s="152" t="s">
        <v>148</v>
      </c>
      <c r="AM103" s="152" t="s">
        <v>161</v>
      </c>
      <c r="AN103" s="152"/>
      <c r="AO103" s="152" t="s">
        <v>162</v>
      </c>
      <c r="AP103" s="152" t="s">
        <v>163</v>
      </c>
      <c r="AQ103" s="294" t="s">
        <v>215</v>
      </c>
      <c r="AR103" s="152" t="s">
        <v>148</v>
      </c>
      <c r="AS103" s="152"/>
      <c r="AT103" s="30" t="s">
        <v>296</v>
      </c>
      <c r="AU103" s="33" t="s">
        <v>1581</v>
      </c>
      <c r="AV103" s="33" t="s">
        <v>161</v>
      </c>
      <c r="AW103" s="155">
        <v>42065</v>
      </c>
      <c r="AX103" s="155">
        <v>42310</v>
      </c>
      <c r="AY103" s="155" t="s">
        <v>148</v>
      </c>
      <c r="AZ103" s="155">
        <v>41974</v>
      </c>
      <c r="BA103" s="155"/>
      <c r="BB103" s="155">
        <v>42214</v>
      </c>
      <c r="BC103" s="155"/>
      <c r="BD103" s="155"/>
      <c r="BE103" s="156" t="s">
        <v>1582</v>
      </c>
      <c r="BF103" s="155">
        <v>42947</v>
      </c>
      <c r="BG103" s="155" t="s">
        <v>148</v>
      </c>
      <c r="BH103" s="155">
        <v>43164</v>
      </c>
      <c r="BI103" s="155" t="s">
        <v>148</v>
      </c>
      <c r="BJ103" s="154">
        <v>43119</v>
      </c>
      <c r="BK103" s="154">
        <v>43328</v>
      </c>
      <c r="BL103" s="154">
        <v>43424</v>
      </c>
      <c r="BM103" s="157">
        <v>43465</v>
      </c>
      <c r="BN103" s="152" t="s">
        <v>16</v>
      </c>
      <c r="BO103" s="241">
        <f t="shared" si="25"/>
        <v>46</v>
      </c>
      <c r="BP103" s="152">
        <f t="shared" si="26"/>
        <v>38</v>
      </c>
      <c r="BQ103" s="161" t="s">
        <v>1582</v>
      </c>
      <c r="BR103" s="152">
        <v>1</v>
      </c>
      <c r="BS103" s="152">
        <v>3</v>
      </c>
      <c r="BT103" s="152">
        <v>13</v>
      </c>
      <c r="BU103" s="152">
        <v>2</v>
      </c>
      <c r="BV103" s="152">
        <v>0</v>
      </c>
      <c r="BW103" s="152">
        <v>0</v>
      </c>
      <c r="BX103" s="152">
        <v>0</v>
      </c>
      <c r="BY103" s="152" t="s">
        <v>161</v>
      </c>
      <c r="BZ103" s="152">
        <v>0</v>
      </c>
      <c r="CA103" s="152"/>
      <c r="CB103" s="158"/>
      <c r="CC103" s="158"/>
      <c r="CD103" s="152"/>
      <c r="CE103" s="152" t="s">
        <v>161</v>
      </c>
      <c r="CF103" s="152"/>
      <c r="CG103" s="152"/>
      <c r="CH103" s="375">
        <v>1</v>
      </c>
      <c r="CI103" s="152">
        <v>3</v>
      </c>
      <c r="CJ103" s="152">
        <v>3</v>
      </c>
      <c r="CK103" s="152" t="s">
        <v>807</v>
      </c>
    </row>
    <row r="104" spans="1:89" ht="25" customHeight="1" x14ac:dyDescent="0.35">
      <c r="A104" s="152">
        <v>107</v>
      </c>
      <c r="B104" s="152" t="s">
        <v>1583</v>
      </c>
      <c r="C104" s="152" t="s">
        <v>1584</v>
      </c>
      <c r="D104" s="152"/>
      <c r="E104" s="152" t="s">
        <v>1585</v>
      </c>
      <c r="F104" s="152" t="s">
        <v>4139</v>
      </c>
      <c r="G104" s="152">
        <v>5</v>
      </c>
      <c r="H104" s="152" t="s">
        <v>58</v>
      </c>
      <c r="I104" s="152" t="s">
        <v>35</v>
      </c>
      <c r="J104" s="152" t="s">
        <v>360</v>
      </c>
      <c r="K104" s="152" t="s">
        <v>1586</v>
      </c>
      <c r="L104" s="152" t="s">
        <v>35</v>
      </c>
      <c r="M104" s="152" t="s">
        <v>148</v>
      </c>
      <c r="N104" s="244" t="s">
        <v>1587</v>
      </c>
      <c r="O104" s="245" t="s">
        <v>149</v>
      </c>
      <c r="P104" s="35" t="s">
        <v>149</v>
      </c>
      <c r="Q104" s="152" t="s">
        <v>149</v>
      </c>
      <c r="R104" s="319" t="s">
        <v>1588</v>
      </c>
      <c r="S104" s="319" t="s">
        <v>1589</v>
      </c>
      <c r="T104" s="348" t="s">
        <v>1590</v>
      </c>
      <c r="U104" s="154" t="s">
        <v>1591</v>
      </c>
      <c r="V104" s="154">
        <v>29718</v>
      </c>
      <c r="W104" s="161" t="s">
        <v>1592</v>
      </c>
      <c r="X104" s="161" t="s">
        <v>177</v>
      </c>
      <c r="Y104" s="161" t="s">
        <v>161</v>
      </c>
      <c r="Z104" s="161" t="s">
        <v>156</v>
      </c>
      <c r="AA104" s="152">
        <v>32.5</v>
      </c>
      <c r="AB104" s="154">
        <v>42125</v>
      </c>
      <c r="AC104" s="286">
        <v>42064</v>
      </c>
      <c r="AD104" s="154"/>
      <c r="AE104" s="34" t="s">
        <v>1593</v>
      </c>
      <c r="AF104" s="34" t="s">
        <v>548</v>
      </c>
      <c r="AG104" s="152"/>
      <c r="AH104" s="152">
        <f t="shared" si="23"/>
        <v>2</v>
      </c>
      <c r="AI104" s="161" t="s">
        <v>159</v>
      </c>
      <c r="AJ104" s="161" t="s">
        <v>159</v>
      </c>
      <c r="AK104" s="152"/>
      <c r="AL104" s="152" t="s">
        <v>148</v>
      </c>
      <c r="AM104" s="152" t="s">
        <v>161</v>
      </c>
      <c r="AN104" s="152"/>
      <c r="AO104" s="152" t="s">
        <v>162</v>
      </c>
      <c r="AP104" s="152" t="s">
        <v>179</v>
      </c>
      <c r="AQ104" s="152" t="s">
        <v>179</v>
      </c>
      <c r="AR104" s="152" t="s">
        <v>161</v>
      </c>
      <c r="AS104" s="152"/>
      <c r="AT104" s="30" t="s">
        <v>550</v>
      </c>
      <c r="AU104" s="33" t="s">
        <v>1594</v>
      </c>
      <c r="AV104" s="33" t="s">
        <v>161</v>
      </c>
      <c r="AW104" s="155">
        <v>42065</v>
      </c>
      <c r="AX104" s="155">
        <v>42310</v>
      </c>
      <c r="AY104" s="155" t="s">
        <v>148</v>
      </c>
      <c r="AZ104" s="155">
        <v>42494</v>
      </c>
      <c r="BA104" s="155">
        <v>42553</v>
      </c>
      <c r="BB104" s="155"/>
      <c r="BC104" s="155"/>
      <c r="BD104" s="155"/>
      <c r="BE104" s="156" t="s">
        <v>1595</v>
      </c>
      <c r="BF104" s="155">
        <v>42947</v>
      </c>
      <c r="BG104" s="155" t="s">
        <v>148</v>
      </c>
      <c r="BH104" s="155">
        <v>43164</v>
      </c>
      <c r="BI104" s="155" t="s">
        <v>148</v>
      </c>
      <c r="BJ104" s="154"/>
      <c r="BK104" s="154"/>
      <c r="BL104" s="154"/>
      <c r="BM104" s="157">
        <v>43677</v>
      </c>
      <c r="BN104" s="152" t="s">
        <v>16</v>
      </c>
      <c r="BO104" s="241">
        <f t="shared" si="25"/>
        <v>53</v>
      </c>
      <c r="BP104" s="152">
        <f t="shared" si="26"/>
        <v>45</v>
      </c>
      <c r="BQ104" s="152"/>
      <c r="BR104" s="152">
        <v>0</v>
      </c>
      <c r="BS104" s="152">
        <v>2</v>
      </c>
      <c r="BT104" s="152">
        <v>3</v>
      </c>
      <c r="BU104" s="152">
        <v>1</v>
      </c>
      <c r="BV104" s="152">
        <v>0</v>
      </c>
      <c r="BW104" s="152">
        <v>0</v>
      </c>
      <c r="BX104" s="152">
        <v>0</v>
      </c>
      <c r="BY104" s="152" t="s">
        <v>161</v>
      </c>
      <c r="BZ104" s="152">
        <v>0</v>
      </c>
      <c r="CA104" s="152"/>
      <c r="CB104" s="158"/>
      <c r="CC104" s="158"/>
      <c r="CD104" s="152"/>
      <c r="CE104" s="152" t="s">
        <v>161</v>
      </c>
      <c r="CF104" s="152"/>
      <c r="CG104" s="152"/>
      <c r="CH104" s="375">
        <v>1</v>
      </c>
      <c r="CI104" s="152">
        <v>3</v>
      </c>
      <c r="CJ104" s="152"/>
      <c r="CK104" s="152" t="s">
        <v>807</v>
      </c>
    </row>
    <row r="105" spans="1:89" ht="25" customHeight="1" x14ac:dyDescent="0.35">
      <c r="A105" s="152">
        <v>108</v>
      </c>
      <c r="B105" s="152" t="s">
        <v>1596</v>
      </c>
      <c r="C105" s="152" t="s">
        <v>1597</v>
      </c>
      <c r="D105" s="152" t="s">
        <v>1598</v>
      </c>
      <c r="E105" s="152" t="s">
        <v>1598</v>
      </c>
      <c r="F105" s="152" t="s">
        <v>4140</v>
      </c>
      <c r="G105" s="152">
        <v>5</v>
      </c>
      <c r="H105" s="152" t="s">
        <v>50</v>
      </c>
      <c r="I105" s="152" t="s">
        <v>37</v>
      </c>
      <c r="J105" s="152" t="s">
        <v>1599</v>
      </c>
      <c r="K105" s="152" t="s">
        <v>1599</v>
      </c>
      <c r="L105" s="152" t="s">
        <v>37</v>
      </c>
      <c r="M105" s="152" t="s">
        <v>148</v>
      </c>
      <c r="N105" s="152" t="s">
        <v>1600</v>
      </c>
      <c r="O105" s="242" t="s">
        <v>149</v>
      </c>
      <c r="P105" s="243" t="s">
        <v>149</v>
      </c>
      <c r="Q105" s="152" t="s">
        <v>149</v>
      </c>
      <c r="R105" s="152" t="s">
        <v>1601</v>
      </c>
      <c r="S105" s="152" t="s">
        <v>1602</v>
      </c>
      <c r="T105" s="347" t="s">
        <v>1603</v>
      </c>
      <c r="U105" s="154" t="s">
        <v>166</v>
      </c>
      <c r="V105" s="154">
        <v>28491</v>
      </c>
      <c r="W105" s="161" t="s">
        <v>1604</v>
      </c>
      <c r="X105" s="161" t="s">
        <v>177</v>
      </c>
      <c r="Y105" s="161" t="s">
        <v>161</v>
      </c>
      <c r="Z105" s="161" t="s">
        <v>156</v>
      </c>
      <c r="AA105" s="152">
        <v>8</v>
      </c>
      <c r="AB105" s="154">
        <v>42257</v>
      </c>
      <c r="AC105" s="286">
        <v>42064</v>
      </c>
      <c r="AD105" s="154"/>
      <c r="AE105" s="34" t="s">
        <v>1605</v>
      </c>
      <c r="AF105" s="152" t="s">
        <v>1606</v>
      </c>
      <c r="AG105" s="152" t="s">
        <v>1607</v>
      </c>
      <c r="AH105" s="152">
        <f t="shared" si="23"/>
        <v>3</v>
      </c>
      <c r="AI105" s="161" t="s">
        <v>159</v>
      </c>
      <c r="AJ105" s="152"/>
      <c r="AK105" s="152"/>
      <c r="AL105" s="152" t="s">
        <v>161</v>
      </c>
      <c r="AM105" s="152"/>
      <c r="AN105" s="152"/>
      <c r="AO105" s="152" t="s">
        <v>162</v>
      </c>
      <c r="AP105" s="152"/>
      <c r="AQ105" s="152" t="s">
        <v>201</v>
      </c>
      <c r="AR105" s="152"/>
      <c r="AS105" s="161" t="s">
        <v>1608</v>
      </c>
      <c r="AT105" s="30" t="s">
        <v>202</v>
      </c>
      <c r="AU105" s="152"/>
      <c r="AV105" s="152"/>
      <c r="AW105" s="155">
        <v>42065</v>
      </c>
      <c r="AX105" s="155">
        <v>42310</v>
      </c>
      <c r="AY105" s="155" t="s">
        <v>148</v>
      </c>
      <c r="AZ105" s="155">
        <v>44393</v>
      </c>
      <c r="BA105" s="155">
        <v>44393</v>
      </c>
      <c r="BB105" s="155"/>
      <c r="BC105" s="155"/>
      <c r="BD105" s="155"/>
      <c r="BE105" s="156"/>
      <c r="BF105" s="155">
        <v>42947</v>
      </c>
      <c r="BG105" s="155" t="s">
        <v>148</v>
      </c>
      <c r="BH105" s="155">
        <v>43164</v>
      </c>
      <c r="BI105" s="155" t="s">
        <v>148</v>
      </c>
      <c r="BJ105" s="154"/>
      <c r="BK105" s="154"/>
      <c r="BL105" s="154"/>
      <c r="BM105" s="157">
        <v>44155</v>
      </c>
      <c r="BN105" s="152" t="s">
        <v>16</v>
      </c>
      <c r="BO105" s="241">
        <f t="shared" si="25"/>
        <v>69</v>
      </c>
      <c r="BP105" s="152">
        <f t="shared" si="26"/>
        <v>61</v>
      </c>
      <c r="BQ105" s="161" t="s">
        <v>1609</v>
      </c>
      <c r="BR105" s="152"/>
      <c r="BS105" s="152">
        <v>2</v>
      </c>
      <c r="BT105" s="152">
        <v>0</v>
      </c>
      <c r="BU105" s="152">
        <v>2</v>
      </c>
      <c r="BV105" s="152">
        <v>0</v>
      </c>
      <c r="BW105" s="152">
        <v>0</v>
      </c>
      <c r="BX105" s="152">
        <v>0</v>
      </c>
      <c r="BY105" s="152" t="s">
        <v>1610</v>
      </c>
      <c r="BZ105" s="152">
        <v>0</v>
      </c>
      <c r="CA105" s="152"/>
      <c r="CB105" s="158">
        <v>43905</v>
      </c>
      <c r="CC105" s="158">
        <v>44049</v>
      </c>
      <c r="CD105" s="152">
        <v>5</v>
      </c>
      <c r="CE105" s="152" t="s">
        <v>161</v>
      </c>
      <c r="CF105" s="152"/>
      <c r="CG105" s="152"/>
      <c r="CH105" s="375">
        <v>4</v>
      </c>
      <c r="CI105" s="152">
        <v>4</v>
      </c>
      <c r="CJ105" s="152"/>
      <c r="CK105" s="152" t="s">
        <v>807</v>
      </c>
    </row>
    <row r="106" spans="1:89" ht="25" customHeight="1" x14ac:dyDescent="0.35">
      <c r="A106" s="152">
        <v>109</v>
      </c>
      <c r="B106" s="152" t="s">
        <v>1611</v>
      </c>
      <c r="C106" s="152" t="s">
        <v>1612</v>
      </c>
      <c r="D106" s="152" t="s">
        <v>1613</v>
      </c>
      <c r="E106" s="152" t="s">
        <v>1614</v>
      </c>
      <c r="F106" s="152" t="s">
        <v>4139</v>
      </c>
      <c r="G106" s="152">
        <v>5</v>
      </c>
      <c r="H106" s="152" t="s">
        <v>50</v>
      </c>
      <c r="I106" s="152" t="s">
        <v>37</v>
      </c>
      <c r="J106" s="152" t="s">
        <v>1615</v>
      </c>
      <c r="K106" s="152" t="s">
        <v>1616</v>
      </c>
      <c r="L106" s="152" t="s">
        <v>37</v>
      </c>
      <c r="M106" s="152" t="s">
        <v>148</v>
      </c>
      <c r="N106" s="152" t="s">
        <v>1617</v>
      </c>
      <c r="O106" s="242"/>
      <c r="P106" s="243" t="s">
        <v>149</v>
      </c>
      <c r="Q106" s="152"/>
      <c r="R106" s="152" t="s">
        <v>1618</v>
      </c>
      <c r="S106" s="152" t="s">
        <v>1619</v>
      </c>
      <c r="T106" s="348" t="s">
        <v>1620</v>
      </c>
      <c r="U106" s="154" t="s">
        <v>166</v>
      </c>
      <c r="V106" s="154">
        <v>30392</v>
      </c>
      <c r="W106" s="161" t="s">
        <v>1621</v>
      </c>
      <c r="X106" s="161" t="s">
        <v>177</v>
      </c>
      <c r="Y106" s="161" t="s">
        <v>161</v>
      </c>
      <c r="Z106" s="161" t="s">
        <v>156</v>
      </c>
      <c r="AA106" s="152">
        <v>16.5</v>
      </c>
      <c r="AB106" s="154">
        <v>41883</v>
      </c>
      <c r="AC106" s="286">
        <v>42064</v>
      </c>
      <c r="AD106" s="154"/>
      <c r="AE106" s="34" t="s">
        <v>1622</v>
      </c>
      <c r="AF106" s="152"/>
      <c r="AG106" s="152"/>
      <c r="AH106" s="152">
        <f t="shared" si="23"/>
        <v>1</v>
      </c>
      <c r="AI106" s="161" t="s">
        <v>159</v>
      </c>
      <c r="AJ106" s="152"/>
      <c r="AK106" s="152"/>
      <c r="AL106" s="152" t="s">
        <v>148</v>
      </c>
      <c r="AM106" s="152"/>
      <c r="AN106" s="152"/>
      <c r="AO106" s="152" t="s">
        <v>162</v>
      </c>
      <c r="AP106" s="152"/>
      <c r="AQ106" s="152" t="s">
        <v>201</v>
      </c>
      <c r="AR106" s="152"/>
      <c r="AS106" s="152"/>
      <c r="AT106" s="30" t="s">
        <v>202</v>
      </c>
      <c r="AU106" s="152"/>
      <c r="AV106" s="152"/>
      <c r="AW106" s="155">
        <v>42065</v>
      </c>
      <c r="AX106" s="155">
        <v>42310</v>
      </c>
      <c r="AY106" s="155" t="s">
        <v>148</v>
      </c>
      <c r="AZ106" s="155"/>
      <c r="BA106" s="155"/>
      <c r="BB106" s="155"/>
      <c r="BC106" s="155"/>
      <c r="BD106" s="155"/>
      <c r="BE106" s="156"/>
      <c r="BF106" s="155">
        <v>42947</v>
      </c>
      <c r="BG106" s="155" t="s">
        <v>148</v>
      </c>
      <c r="BH106" s="155">
        <v>43164</v>
      </c>
      <c r="BI106" s="155" t="s">
        <v>148</v>
      </c>
      <c r="BJ106" s="154"/>
      <c r="BK106" s="154"/>
      <c r="BL106" s="154"/>
      <c r="BM106" s="157"/>
      <c r="BN106" s="162" t="s">
        <v>17</v>
      </c>
      <c r="BO106" s="241"/>
      <c r="BP106" s="241"/>
      <c r="BQ106" s="152"/>
      <c r="BR106" s="152"/>
      <c r="BS106" s="152">
        <v>2</v>
      </c>
      <c r="BT106" s="152">
        <v>0</v>
      </c>
      <c r="BU106" s="152">
        <v>2</v>
      </c>
      <c r="BV106" s="152">
        <v>0</v>
      </c>
      <c r="BW106" s="152">
        <v>0</v>
      </c>
      <c r="BX106" s="152">
        <v>0</v>
      </c>
      <c r="BY106" s="152" t="s">
        <v>161</v>
      </c>
      <c r="BZ106" s="152">
        <v>0</v>
      </c>
      <c r="CA106" s="152"/>
      <c r="CB106" s="158"/>
      <c r="CC106" s="158"/>
      <c r="CD106" s="152"/>
      <c r="CE106" s="152" t="s">
        <v>148</v>
      </c>
      <c r="CF106" s="152"/>
      <c r="CG106" s="152"/>
      <c r="CH106" s="375" t="s">
        <v>166</v>
      </c>
      <c r="CI106" s="152" t="s">
        <v>166</v>
      </c>
      <c r="CJ106" s="152"/>
      <c r="CK106" s="152" t="s">
        <v>807</v>
      </c>
    </row>
    <row r="107" spans="1:89" ht="25" customHeight="1" x14ac:dyDescent="0.35">
      <c r="A107" s="152">
        <v>110</v>
      </c>
      <c r="B107" s="152" t="s">
        <v>1623</v>
      </c>
      <c r="C107" s="152" t="s">
        <v>1624</v>
      </c>
      <c r="D107" s="152" t="s">
        <v>1625</v>
      </c>
      <c r="E107" s="152" t="s">
        <v>1626</v>
      </c>
      <c r="F107" s="152" t="s">
        <v>4140</v>
      </c>
      <c r="G107" s="152">
        <v>5</v>
      </c>
      <c r="H107" s="152" t="s">
        <v>52</v>
      </c>
      <c r="I107" s="152" t="s">
        <v>31</v>
      </c>
      <c r="J107" s="152" t="s">
        <v>1627</v>
      </c>
      <c r="K107" s="152" t="s">
        <v>558</v>
      </c>
      <c r="L107" s="152" t="s">
        <v>31</v>
      </c>
      <c r="M107" s="152" t="s">
        <v>148</v>
      </c>
      <c r="N107" s="152">
        <v>148600</v>
      </c>
      <c r="O107" s="242" t="s">
        <v>149</v>
      </c>
      <c r="P107" s="243" t="s">
        <v>149</v>
      </c>
      <c r="Q107" s="152"/>
      <c r="R107" s="152" t="s">
        <v>1628</v>
      </c>
      <c r="S107" s="160" t="s">
        <v>1629</v>
      </c>
      <c r="T107" s="347" t="s">
        <v>1630</v>
      </c>
      <c r="U107" s="154" t="s">
        <v>1631</v>
      </c>
      <c r="V107" s="154">
        <v>26703</v>
      </c>
      <c r="W107" s="161" t="s">
        <v>1632</v>
      </c>
      <c r="X107" s="161" t="s">
        <v>177</v>
      </c>
      <c r="Y107" s="161" t="s">
        <v>161</v>
      </c>
      <c r="Z107" s="161" t="s">
        <v>156</v>
      </c>
      <c r="AA107" s="152">
        <v>14.5</v>
      </c>
      <c r="AB107" s="154">
        <v>41306</v>
      </c>
      <c r="AC107" s="286">
        <v>42064</v>
      </c>
      <c r="AD107" s="154"/>
      <c r="AE107" s="34" t="s">
        <v>1633</v>
      </c>
      <c r="AF107" s="152"/>
      <c r="AG107" s="152"/>
      <c r="AH107" s="152">
        <f t="shared" si="23"/>
        <v>1</v>
      </c>
      <c r="AI107" s="161" t="s">
        <v>159</v>
      </c>
      <c r="AJ107" s="152"/>
      <c r="AK107" s="152"/>
      <c r="AL107" s="152" t="s">
        <v>148</v>
      </c>
      <c r="AM107" s="152"/>
      <c r="AN107" s="152"/>
      <c r="AO107" s="152" t="s">
        <v>162</v>
      </c>
      <c r="AP107" s="152"/>
      <c r="AQ107" s="152" t="s">
        <v>201</v>
      </c>
      <c r="AR107" s="152"/>
      <c r="AS107" s="152"/>
      <c r="AT107" s="30" t="s">
        <v>326</v>
      </c>
      <c r="AU107" s="152" t="s">
        <v>1634</v>
      </c>
      <c r="AV107" s="152"/>
      <c r="AW107" s="155">
        <v>42065</v>
      </c>
      <c r="AX107" s="155">
        <v>42310</v>
      </c>
      <c r="AY107" s="155" t="s">
        <v>148</v>
      </c>
      <c r="AZ107" s="155">
        <v>43101</v>
      </c>
      <c r="BA107" s="155">
        <v>43127</v>
      </c>
      <c r="BB107" s="155"/>
      <c r="BC107" s="155"/>
      <c r="BD107" s="155"/>
      <c r="BE107" s="156" t="s">
        <v>1635</v>
      </c>
      <c r="BF107" s="155">
        <v>43675</v>
      </c>
      <c r="BG107" s="155" t="s">
        <v>161</v>
      </c>
      <c r="BH107" s="155">
        <v>43891</v>
      </c>
      <c r="BI107" s="155" t="s">
        <v>161</v>
      </c>
      <c r="BJ107" s="154"/>
      <c r="BK107" s="154">
        <v>44392</v>
      </c>
      <c r="BL107" s="154">
        <v>44411</v>
      </c>
      <c r="BM107" s="157">
        <v>44411</v>
      </c>
      <c r="BN107" s="152" t="s">
        <v>16</v>
      </c>
      <c r="BO107" s="152">
        <f t="shared" ref="BO107" si="27">DATEDIF(AW107,BM107, "M")+1</f>
        <v>78</v>
      </c>
      <c r="BP107" s="152">
        <f t="shared" ref="BP107:BP113" si="28">DATEDIF(AX107,BM107, "M")+1</f>
        <v>70</v>
      </c>
      <c r="BQ107" s="152"/>
      <c r="BR107" s="152">
        <v>5</v>
      </c>
      <c r="BS107" s="152">
        <v>10</v>
      </c>
      <c r="BT107" s="152">
        <v>4</v>
      </c>
      <c r="BU107" s="152">
        <v>1</v>
      </c>
      <c r="BV107" s="152">
        <v>3</v>
      </c>
      <c r="BW107" s="152">
        <v>1</v>
      </c>
      <c r="BX107" s="152">
        <v>0</v>
      </c>
      <c r="BY107" s="152" t="s">
        <v>161</v>
      </c>
      <c r="BZ107" s="152">
        <v>0</v>
      </c>
      <c r="CA107" s="152"/>
      <c r="CB107" s="158">
        <v>42795</v>
      </c>
      <c r="CC107" s="158">
        <v>43132</v>
      </c>
      <c r="CD107" s="152">
        <v>12</v>
      </c>
      <c r="CE107" s="152" t="s">
        <v>161</v>
      </c>
      <c r="CF107" s="152"/>
      <c r="CG107" s="152"/>
      <c r="CH107" s="375">
        <v>3</v>
      </c>
      <c r="CI107" s="152">
        <v>3</v>
      </c>
      <c r="CJ107" s="152"/>
      <c r="CK107" s="152" t="s">
        <v>807</v>
      </c>
    </row>
    <row r="108" spans="1:89" ht="25" customHeight="1" x14ac:dyDescent="0.35">
      <c r="A108" s="152">
        <v>111</v>
      </c>
      <c r="B108" s="152" t="s">
        <v>1636</v>
      </c>
      <c r="C108" s="152" t="s">
        <v>1637</v>
      </c>
      <c r="D108" s="152" t="s">
        <v>1638</v>
      </c>
      <c r="E108" s="152" t="s">
        <v>1639</v>
      </c>
      <c r="F108" s="152" t="s">
        <v>4140</v>
      </c>
      <c r="G108" s="152">
        <v>5</v>
      </c>
      <c r="H108" s="152" t="s">
        <v>58</v>
      </c>
      <c r="I108" s="152" t="s">
        <v>35</v>
      </c>
      <c r="J108" s="152" t="s">
        <v>600</v>
      </c>
      <c r="K108" s="152" t="s">
        <v>1640</v>
      </c>
      <c r="L108" s="152" t="s">
        <v>35</v>
      </c>
      <c r="M108" s="152" t="s">
        <v>148</v>
      </c>
      <c r="N108" s="152">
        <v>216023303</v>
      </c>
      <c r="O108" s="242" t="s">
        <v>149</v>
      </c>
      <c r="P108" s="243" t="s">
        <v>149</v>
      </c>
      <c r="Q108" s="152" t="s">
        <v>149</v>
      </c>
      <c r="R108" s="160" t="s">
        <v>1641</v>
      </c>
      <c r="S108" s="152" t="s">
        <v>1642</v>
      </c>
      <c r="T108" s="347" t="s">
        <v>1643</v>
      </c>
      <c r="U108" s="154" t="s">
        <v>787</v>
      </c>
      <c r="V108" s="154">
        <v>26169</v>
      </c>
      <c r="W108" s="161" t="s">
        <v>1644</v>
      </c>
      <c r="X108" s="161" t="s">
        <v>177</v>
      </c>
      <c r="Y108" s="161" t="s">
        <v>161</v>
      </c>
      <c r="Z108" s="161" t="s">
        <v>156</v>
      </c>
      <c r="AA108" s="152">
        <v>11</v>
      </c>
      <c r="AB108" s="154">
        <v>42765</v>
      </c>
      <c r="AC108" s="286">
        <v>42064</v>
      </c>
      <c r="AD108" s="154"/>
      <c r="AE108" s="34" t="s">
        <v>1645</v>
      </c>
      <c r="AF108" s="34" t="s">
        <v>1646</v>
      </c>
      <c r="AG108" s="152"/>
      <c r="AH108" s="152">
        <f t="shared" si="23"/>
        <v>2</v>
      </c>
      <c r="AI108" s="161" t="s">
        <v>159</v>
      </c>
      <c r="AJ108" s="161" t="s">
        <v>159</v>
      </c>
      <c r="AK108" s="152"/>
      <c r="AL108" s="152" t="s">
        <v>161</v>
      </c>
      <c r="AM108" s="152" t="s">
        <v>148</v>
      </c>
      <c r="AN108" s="152"/>
      <c r="AO108" s="152" t="s">
        <v>162</v>
      </c>
      <c r="AP108" s="152" t="s">
        <v>201</v>
      </c>
      <c r="AQ108" s="152" t="s">
        <v>201</v>
      </c>
      <c r="AR108" s="152" t="s">
        <v>161</v>
      </c>
      <c r="AS108" s="152"/>
      <c r="AT108" s="30" t="s">
        <v>578</v>
      </c>
      <c r="AU108" s="152" t="s">
        <v>1647</v>
      </c>
      <c r="AV108" s="152" t="s">
        <v>148</v>
      </c>
      <c r="AW108" s="155">
        <v>42065</v>
      </c>
      <c r="AX108" s="155">
        <v>42310</v>
      </c>
      <c r="AY108" s="155" t="s">
        <v>148</v>
      </c>
      <c r="AZ108" s="155"/>
      <c r="BA108" s="155"/>
      <c r="BB108" s="155"/>
      <c r="BC108" s="155"/>
      <c r="BD108" s="155"/>
      <c r="BE108" s="156"/>
      <c r="BF108" s="155">
        <v>42947</v>
      </c>
      <c r="BG108" s="155" t="s">
        <v>148</v>
      </c>
      <c r="BH108" s="155">
        <v>43164</v>
      </c>
      <c r="BI108" s="155" t="s">
        <v>148</v>
      </c>
      <c r="BJ108" s="154"/>
      <c r="BK108" s="154">
        <v>44253</v>
      </c>
      <c r="BL108" s="154"/>
      <c r="BM108" s="157">
        <v>44333</v>
      </c>
      <c r="BN108" s="152" t="s">
        <v>16</v>
      </c>
      <c r="BO108" s="241">
        <f t="shared" ref="BO108:BO115" si="29">DATEDIF(AW108,BM108, "M")+1</f>
        <v>75</v>
      </c>
      <c r="BP108" s="152">
        <f t="shared" si="28"/>
        <v>67</v>
      </c>
      <c r="BQ108" s="156" t="s">
        <v>1648</v>
      </c>
      <c r="BR108" s="152">
        <v>10</v>
      </c>
      <c r="BS108" s="152">
        <v>27</v>
      </c>
      <c r="BT108" s="152">
        <v>7</v>
      </c>
      <c r="BU108" s="152">
        <v>1</v>
      </c>
      <c r="BV108" s="152">
        <v>0</v>
      </c>
      <c r="BW108" s="152">
        <v>0</v>
      </c>
      <c r="BX108" s="152">
        <v>0</v>
      </c>
      <c r="BY108" s="152" t="s">
        <v>161</v>
      </c>
      <c r="BZ108" s="152">
        <v>0</v>
      </c>
      <c r="CA108" s="152"/>
      <c r="CB108" s="158"/>
      <c r="CC108" s="158"/>
      <c r="CD108" s="152"/>
      <c r="CE108" s="152" t="s">
        <v>161</v>
      </c>
      <c r="CF108" s="152"/>
      <c r="CG108" s="152"/>
      <c r="CH108" s="375">
        <v>4</v>
      </c>
      <c r="CI108" s="152">
        <v>4</v>
      </c>
      <c r="CJ108" s="152"/>
      <c r="CK108" s="152" t="s">
        <v>807</v>
      </c>
    </row>
    <row r="109" spans="1:89" ht="25" customHeight="1" x14ac:dyDescent="0.35">
      <c r="A109" s="152">
        <v>112</v>
      </c>
      <c r="B109" s="152" t="s">
        <v>1649</v>
      </c>
      <c r="C109" s="152" t="s">
        <v>1650</v>
      </c>
      <c r="D109" s="152"/>
      <c r="E109" s="152" t="s">
        <v>1651</v>
      </c>
      <c r="F109" s="152" t="s">
        <v>4140</v>
      </c>
      <c r="G109" s="152">
        <v>5</v>
      </c>
      <c r="H109" s="152" t="s">
        <v>50</v>
      </c>
      <c r="I109" s="152" t="s">
        <v>42</v>
      </c>
      <c r="J109" s="152" t="s">
        <v>600</v>
      </c>
      <c r="K109" s="152" t="s">
        <v>1652</v>
      </c>
      <c r="L109" s="152" t="s">
        <v>42</v>
      </c>
      <c r="M109" s="152" t="s">
        <v>148</v>
      </c>
      <c r="N109" s="152" t="s">
        <v>1653</v>
      </c>
      <c r="O109" s="242" t="s">
        <v>149</v>
      </c>
      <c r="P109" s="243" t="s">
        <v>149</v>
      </c>
      <c r="Q109" s="152" t="s">
        <v>149</v>
      </c>
      <c r="R109" s="152" t="s">
        <v>1654</v>
      </c>
      <c r="S109" s="152" t="s">
        <v>1655</v>
      </c>
      <c r="T109" s="347" t="s">
        <v>1656</v>
      </c>
      <c r="U109" s="154" t="s">
        <v>1657</v>
      </c>
      <c r="V109" s="154">
        <v>30728</v>
      </c>
      <c r="W109" s="161" t="s">
        <v>1658</v>
      </c>
      <c r="X109" s="161" t="s">
        <v>177</v>
      </c>
      <c r="Y109" s="161" t="s">
        <v>161</v>
      </c>
      <c r="Z109" s="161" t="s">
        <v>156</v>
      </c>
      <c r="AA109" s="152">
        <v>25.5</v>
      </c>
      <c r="AB109" s="154">
        <v>42290</v>
      </c>
      <c r="AC109" s="286">
        <v>42064</v>
      </c>
      <c r="AD109" s="154"/>
      <c r="AE109" s="34" t="s">
        <v>1659</v>
      </c>
      <c r="AF109" s="152"/>
      <c r="AG109" s="152"/>
      <c r="AH109" s="152">
        <f t="shared" si="23"/>
        <v>1</v>
      </c>
      <c r="AI109" s="161" t="s">
        <v>159</v>
      </c>
      <c r="AJ109" s="152"/>
      <c r="AK109" s="152"/>
      <c r="AL109" s="152" t="s">
        <v>148</v>
      </c>
      <c r="AM109" s="152"/>
      <c r="AN109" s="152"/>
      <c r="AO109" s="152" t="s">
        <v>200</v>
      </c>
      <c r="AP109" s="152" t="s">
        <v>1660</v>
      </c>
      <c r="AQ109" s="152" t="s">
        <v>1661</v>
      </c>
      <c r="AR109" s="152" t="s">
        <v>148</v>
      </c>
      <c r="AS109" s="152"/>
      <c r="AT109" s="30" t="s">
        <v>1662</v>
      </c>
      <c r="AU109" s="152" t="s">
        <v>1663</v>
      </c>
      <c r="AV109" s="152"/>
      <c r="AW109" s="155">
        <v>42065</v>
      </c>
      <c r="AX109" s="155">
        <v>42310</v>
      </c>
      <c r="AY109" s="155" t="s">
        <v>148</v>
      </c>
      <c r="AZ109" s="155">
        <v>42419</v>
      </c>
      <c r="BA109" s="155">
        <v>42748</v>
      </c>
      <c r="BB109" s="155"/>
      <c r="BC109" s="155"/>
      <c r="BD109" s="155"/>
      <c r="BE109" s="156" t="s">
        <v>1664</v>
      </c>
      <c r="BF109" s="155">
        <v>42947</v>
      </c>
      <c r="BG109" s="155" t="s">
        <v>148</v>
      </c>
      <c r="BH109" s="155">
        <v>43164</v>
      </c>
      <c r="BI109" s="155" t="s">
        <v>148</v>
      </c>
      <c r="BJ109" s="154"/>
      <c r="BK109" s="154"/>
      <c r="BL109" s="154"/>
      <c r="BM109" s="157">
        <v>44160</v>
      </c>
      <c r="BN109" s="152" t="s">
        <v>16</v>
      </c>
      <c r="BO109" s="241">
        <f t="shared" si="29"/>
        <v>69</v>
      </c>
      <c r="BP109" s="152">
        <f t="shared" si="28"/>
        <v>61</v>
      </c>
      <c r="BQ109" s="156" t="s">
        <v>1664</v>
      </c>
      <c r="BR109" s="152">
        <v>0</v>
      </c>
      <c r="BS109" s="152">
        <v>6</v>
      </c>
      <c r="BT109" s="152">
        <v>8</v>
      </c>
      <c r="BU109" s="152">
        <v>1</v>
      </c>
      <c r="BV109" s="152">
        <v>0</v>
      </c>
      <c r="BW109" s="152">
        <v>0</v>
      </c>
      <c r="BX109" s="152">
        <v>0</v>
      </c>
      <c r="BY109" s="152" t="s">
        <v>161</v>
      </c>
      <c r="BZ109" s="152">
        <v>0</v>
      </c>
      <c r="CA109" s="152"/>
      <c r="CB109" s="158"/>
      <c r="CC109" s="158"/>
      <c r="CD109" s="152"/>
      <c r="CE109" s="152" t="s">
        <v>161</v>
      </c>
      <c r="CF109" s="152"/>
      <c r="CG109" s="152"/>
      <c r="CH109" s="375">
        <v>0</v>
      </c>
      <c r="CI109" s="152">
        <v>0</v>
      </c>
      <c r="CJ109" s="152"/>
      <c r="CK109" s="152" t="s">
        <v>1665</v>
      </c>
    </row>
    <row r="110" spans="1:89" ht="25" customHeight="1" x14ac:dyDescent="0.35">
      <c r="A110" s="152">
        <v>113</v>
      </c>
      <c r="B110" s="152" t="s">
        <v>1666</v>
      </c>
      <c r="C110" s="152" t="s">
        <v>1667</v>
      </c>
      <c r="D110" s="152"/>
      <c r="E110" s="152" t="s">
        <v>1668</v>
      </c>
      <c r="F110" s="152" t="s">
        <v>4140</v>
      </c>
      <c r="G110" s="152">
        <v>5</v>
      </c>
      <c r="H110" s="152" t="s">
        <v>50</v>
      </c>
      <c r="I110" s="152" t="s">
        <v>37</v>
      </c>
      <c r="J110" s="152" t="s">
        <v>600</v>
      </c>
      <c r="K110" s="152" t="s">
        <v>920</v>
      </c>
      <c r="L110" s="152" t="s">
        <v>44</v>
      </c>
      <c r="M110" s="152" t="s">
        <v>161</v>
      </c>
      <c r="N110" s="152">
        <v>1317323</v>
      </c>
      <c r="O110" s="242" t="s">
        <v>149</v>
      </c>
      <c r="P110" s="243" t="s">
        <v>149</v>
      </c>
      <c r="Q110" s="152" t="s">
        <v>149</v>
      </c>
      <c r="R110" s="152" t="s">
        <v>1669</v>
      </c>
      <c r="S110" s="152" t="s">
        <v>1670</v>
      </c>
      <c r="T110" s="347" t="s">
        <v>1671</v>
      </c>
      <c r="U110" s="154" t="s">
        <v>1672</v>
      </c>
      <c r="V110" s="154">
        <v>29492</v>
      </c>
      <c r="W110" s="161" t="s">
        <v>1673</v>
      </c>
      <c r="X110" s="161" t="s">
        <v>1674</v>
      </c>
      <c r="Y110" s="161" t="s">
        <v>161</v>
      </c>
      <c r="Z110" s="161" t="s">
        <v>1675</v>
      </c>
      <c r="AA110" s="152">
        <v>25</v>
      </c>
      <c r="AB110" s="154">
        <v>42222</v>
      </c>
      <c r="AC110" s="286">
        <v>42064</v>
      </c>
      <c r="AD110" s="154"/>
      <c r="AE110" s="34" t="s">
        <v>1676</v>
      </c>
      <c r="AF110" s="34" t="s">
        <v>1677</v>
      </c>
      <c r="AG110" s="152"/>
      <c r="AH110" s="152">
        <f t="shared" si="23"/>
        <v>2</v>
      </c>
      <c r="AI110" s="161" t="s">
        <v>159</v>
      </c>
      <c r="AJ110" s="33" t="s">
        <v>160</v>
      </c>
      <c r="AK110" s="152"/>
      <c r="AL110" s="152" t="s">
        <v>148</v>
      </c>
      <c r="AM110" s="152" t="s">
        <v>161</v>
      </c>
      <c r="AN110" s="152"/>
      <c r="AO110" s="152" t="s">
        <v>162</v>
      </c>
      <c r="AP110" s="152"/>
      <c r="AQ110" s="152" t="s">
        <v>163</v>
      </c>
      <c r="AR110" s="152" t="s">
        <v>148</v>
      </c>
      <c r="AS110" s="152" t="s">
        <v>1678</v>
      </c>
      <c r="AT110" s="30" t="s">
        <v>1679</v>
      </c>
      <c r="AU110" s="152" t="s">
        <v>1680</v>
      </c>
      <c r="AV110" s="152" t="s">
        <v>161</v>
      </c>
      <c r="AW110" s="155">
        <v>42065</v>
      </c>
      <c r="AX110" s="155">
        <v>42310</v>
      </c>
      <c r="AY110" s="155" t="s">
        <v>148</v>
      </c>
      <c r="AZ110" s="155">
        <v>42412</v>
      </c>
      <c r="BA110" s="155">
        <v>42467</v>
      </c>
      <c r="BB110" s="155"/>
      <c r="BC110" s="155"/>
      <c r="BD110" s="155"/>
      <c r="BE110" s="156" t="s">
        <v>1681</v>
      </c>
      <c r="BF110" s="155">
        <v>42947</v>
      </c>
      <c r="BG110" s="155" t="s">
        <v>148</v>
      </c>
      <c r="BH110" s="155">
        <v>43164</v>
      </c>
      <c r="BI110" s="155" t="s">
        <v>148</v>
      </c>
      <c r="BJ110" s="154"/>
      <c r="BK110" s="154"/>
      <c r="BL110" s="154"/>
      <c r="BM110" s="157">
        <v>43769</v>
      </c>
      <c r="BN110" s="152" t="s">
        <v>16</v>
      </c>
      <c r="BO110" s="241">
        <f t="shared" si="29"/>
        <v>56</v>
      </c>
      <c r="BP110" s="152">
        <f t="shared" si="28"/>
        <v>48</v>
      </c>
      <c r="BQ110" s="152"/>
      <c r="BR110" s="152">
        <v>3</v>
      </c>
      <c r="BS110" s="152">
        <v>8</v>
      </c>
      <c r="BT110" s="152">
        <v>4</v>
      </c>
      <c r="BU110" s="152">
        <v>2</v>
      </c>
      <c r="BV110" s="152">
        <v>0</v>
      </c>
      <c r="BW110" s="152">
        <v>0</v>
      </c>
      <c r="BX110" s="152">
        <v>0</v>
      </c>
      <c r="BY110" s="152" t="s">
        <v>161</v>
      </c>
      <c r="BZ110" s="152">
        <v>0</v>
      </c>
      <c r="CA110" s="152"/>
      <c r="CB110" s="158"/>
      <c r="CC110" s="158"/>
      <c r="CD110" s="152"/>
      <c r="CE110" s="152" t="s">
        <v>161</v>
      </c>
      <c r="CF110" s="152"/>
      <c r="CG110" s="152"/>
      <c r="CH110" s="375">
        <v>1</v>
      </c>
      <c r="CI110" s="152">
        <v>2</v>
      </c>
      <c r="CJ110" s="152"/>
      <c r="CK110" s="152" t="s">
        <v>807</v>
      </c>
    </row>
    <row r="111" spans="1:89" ht="25" customHeight="1" x14ac:dyDescent="0.35">
      <c r="A111" s="152">
        <v>114</v>
      </c>
      <c r="B111" s="152" t="s">
        <v>1682</v>
      </c>
      <c r="C111" s="152" t="s">
        <v>1489</v>
      </c>
      <c r="D111" s="152" t="s">
        <v>1683</v>
      </c>
      <c r="E111" s="152" t="s">
        <v>1684</v>
      </c>
      <c r="F111" s="152" t="s">
        <v>4140</v>
      </c>
      <c r="G111" s="152">
        <v>5</v>
      </c>
      <c r="H111" s="152" t="s">
        <v>52</v>
      </c>
      <c r="I111" s="152" t="s">
        <v>39</v>
      </c>
      <c r="J111" s="152" t="s">
        <v>1685</v>
      </c>
      <c r="K111" s="152" t="s">
        <v>1685</v>
      </c>
      <c r="L111" s="152" t="s">
        <v>39</v>
      </c>
      <c r="M111" s="152" t="s">
        <v>148</v>
      </c>
      <c r="N111" s="244" t="s">
        <v>1686</v>
      </c>
      <c r="O111" s="245" t="s">
        <v>149</v>
      </c>
      <c r="P111" s="248" t="s">
        <v>149</v>
      </c>
      <c r="Q111" s="152" t="s">
        <v>149</v>
      </c>
      <c r="R111" s="152" t="s">
        <v>1687</v>
      </c>
      <c r="S111" s="152" t="s">
        <v>1688</v>
      </c>
      <c r="T111" s="347" t="s">
        <v>1689</v>
      </c>
      <c r="U111" s="154" t="s">
        <v>1690</v>
      </c>
      <c r="V111" s="154">
        <v>29943</v>
      </c>
      <c r="W111" s="161" t="s">
        <v>1691</v>
      </c>
      <c r="X111" s="161" t="s">
        <v>1692</v>
      </c>
      <c r="Y111" s="161" t="s">
        <v>161</v>
      </c>
      <c r="Z111" s="161" t="s">
        <v>156</v>
      </c>
      <c r="AA111" s="152">
        <v>17</v>
      </c>
      <c r="AB111" s="154">
        <v>41744</v>
      </c>
      <c r="AC111" s="286">
        <v>42064</v>
      </c>
      <c r="AD111" s="154"/>
      <c r="AE111" s="33" t="s">
        <v>1497</v>
      </c>
      <c r="AF111" s="34"/>
      <c r="AG111" s="163"/>
      <c r="AH111" s="152">
        <f t="shared" si="23"/>
        <v>1</v>
      </c>
      <c r="AI111" s="161" t="s">
        <v>159</v>
      </c>
      <c r="AJ111" s="163"/>
      <c r="AK111" s="163"/>
      <c r="AL111" s="163" t="s">
        <v>148</v>
      </c>
      <c r="AM111" s="163"/>
      <c r="AN111" s="163"/>
      <c r="AO111" s="163" t="s">
        <v>162</v>
      </c>
      <c r="AP111" s="163" t="s">
        <v>179</v>
      </c>
      <c r="AQ111" s="163" t="s">
        <v>1438</v>
      </c>
      <c r="AR111" s="163" t="s">
        <v>148</v>
      </c>
      <c r="AS111" s="163"/>
      <c r="AT111" s="416" t="s">
        <v>283</v>
      </c>
      <c r="AU111" s="152" t="s">
        <v>1693</v>
      </c>
      <c r="AV111" s="33"/>
      <c r="AW111" s="155">
        <v>42065</v>
      </c>
      <c r="AX111" s="155">
        <v>42310</v>
      </c>
      <c r="AY111" s="155" t="s">
        <v>148</v>
      </c>
      <c r="AZ111" s="155">
        <v>44381</v>
      </c>
      <c r="BA111" s="155">
        <v>44381</v>
      </c>
      <c r="BB111" s="155"/>
      <c r="BC111" s="155"/>
      <c r="BD111" s="155"/>
      <c r="BE111" s="156"/>
      <c r="BF111" s="155">
        <v>42947</v>
      </c>
      <c r="BG111" s="155" t="s">
        <v>148</v>
      </c>
      <c r="BH111" s="155">
        <v>43528</v>
      </c>
      <c r="BI111" s="155" t="s">
        <v>161</v>
      </c>
      <c r="BJ111" s="154"/>
      <c r="BK111" s="154"/>
      <c r="BL111" s="154"/>
      <c r="BM111" s="157">
        <v>43327</v>
      </c>
      <c r="BN111" s="152" t="s">
        <v>16</v>
      </c>
      <c r="BO111" s="241">
        <f t="shared" si="29"/>
        <v>42</v>
      </c>
      <c r="BP111" s="152">
        <f t="shared" si="28"/>
        <v>34</v>
      </c>
      <c r="BQ111" s="152"/>
      <c r="BR111" s="152">
        <v>1</v>
      </c>
      <c r="BS111" s="152">
        <v>0</v>
      </c>
      <c r="BT111" s="152">
        <v>1</v>
      </c>
      <c r="BU111" s="152">
        <v>6</v>
      </c>
      <c r="BV111" s="152">
        <v>0</v>
      </c>
      <c r="BW111" s="152">
        <v>0</v>
      </c>
      <c r="BX111" s="152">
        <v>0</v>
      </c>
      <c r="BY111" s="152" t="s">
        <v>1694</v>
      </c>
      <c r="BZ111" s="152">
        <v>0</v>
      </c>
      <c r="CA111" s="152"/>
      <c r="CB111" s="158"/>
      <c r="CC111" s="158"/>
      <c r="CD111" s="152"/>
      <c r="CE111" s="152" t="s">
        <v>161</v>
      </c>
      <c r="CF111" s="152"/>
      <c r="CG111" s="152"/>
      <c r="CH111" s="375">
        <v>2</v>
      </c>
      <c r="CI111" s="152">
        <v>4</v>
      </c>
      <c r="CJ111" s="152"/>
      <c r="CK111" s="152" t="s">
        <v>807</v>
      </c>
    </row>
    <row r="112" spans="1:89" ht="25" customHeight="1" x14ac:dyDescent="0.35">
      <c r="A112" s="152">
        <v>115</v>
      </c>
      <c r="B112" s="152" t="s">
        <v>1695</v>
      </c>
      <c r="C112" s="152" t="s">
        <v>1696</v>
      </c>
      <c r="D112" s="152"/>
      <c r="E112" s="152" t="s">
        <v>1697</v>
      </c>
      <c r="F112" s="152" t="s">
        <v>4139</v>
      </c>
      <c r="G112" s="152">
        <v>5</v>
      </c>
      <c r="H112" s="152" t="s">
        <v>51</v>
      </c>
      <c r="I112" s="152" t="s">
        <v>4136</v>
      </c>
      <c r="J112" s="152" t="s">
        <v>1698</v>
      </c>
      <c r="K112" s="152" t="s">
        <v>600</v>
      </c>
      <c r="L112" s="152" t="s">
        <v>4136</v>
      </c>
      <c r="M112" s="152" t="s">
        <v>148</v>
      </c>
      <c r="N112" s="153" t="s">
        <v>1699</v>
      </c>
      <c r="O112" s="242" t="s">
        <v>149</v>
      </c>
      <c r="P112" s="243" t="s">
        <v>149</v>
      </c>
      <c r="Q112" s="152" t="s">
        <v>149</v>
      </c>
      <c r="R112" s="152" t="s">
        <v>1700</v>
      </c>
      <c r="S112" s="152" t="s">
        <v>1701</v>
      </c>
      <c r="T112" s="347" t="s">
        <v>1702</v>
      </c>
      <c r="U112" s="154" t="s">
        <v>1211</v>
      </c>
      <c r="V112" s="154">
        <v>27299</v>
      </c>
      <c r="W112" s="161" t="s">
        <v>1703</v>
      </c>
      <c r="X112" s="161" t="s">
        <v>177</v>
      </c>
      <c r="Y112" s="161" t="s">
        <v>161</v>
      </c>
      <c r="Z112" s="161" t="s">
        <v>156</v>
      </c>
      <c r="AA112" s="152">
        <v>20</v>
      </c>
      <c r="AB112" s="154">
        <v>42079</v>
      </c>
      <c r="AC112" s="286">
        <v>42064</v>
      </c>
      <c r="AD112" s="154"/>
      <c r="AE112" s="34" t="s">
        <v>1704</v>
      </c>
      <c r="AF112" s="34" t="s">
        <v>1705</v>
      </c>
      <c r="AG112" s="34" t="s">
        <v>1706</v>
      </c>
      <c r="AH112" s="152">
        <f t="shared" si="23"/>
        <v>3</v>
      </c>
      <c r="AI112" s="161" t="s">
        <v>159</v>
      </c>
      <c r="AJ112" s="152" t="s">
        <v>200</v>
      </c>
      <c r="AK112" s="152" t="s">
        <v>200</v>
      </c>
      <c r="AL112" s="152" t="s">
        <v>148</v>
      </c>
      <c r="AM112" s="152" t="s">
        <v>155</v>
      </c>
      <c r="AN112" s="152" t="s">
        <v>161</v>
      </c>
      <c r="AO112" s="152" t="s">
        <v>162</v>
      </c>
      <c r="AP112" s="152"/>
      <c r="AQ112" s="152"/>
      <c r="AR112" s="152"/>
      <c r="AS112" s="152"/>
      <c r="AT112" s="30" t="s">
        <v>296</v>
      </c>
      <c r="AU112" s="152" t="s">
        <v>1707</v>
      </c>
      <c r="AV112" s="33" t="s">
        <v>155</v>
      </c>
      <c r="AW112" s="155">
        <v>42065</v>
      </c>
      <c r="AX112" s="155">
        <v>42310</v>
      </c>
      <c r="AY112" s="155" t="s">
        <v>148</v>
      </c>
      <c r="AZ112" s="155"/>
      <c r="BA112" s="155"/>
      <c r="BB112" s="155"/>
      <c r="BC112" s="155"/>
      <c r="BD112" s="155"/>
      <c r="BE112" s="156"/>
      <c r="BF112" s="155">
        <v>42947</v>
      </c>
      <c r="BG112" s="155" t="s">
        <v>148</v>
      </c>
      <c r="BH112" s="155">
        <v>43164</v>
      </c>
      <c r="BI112" s="155" t="s">
        <v>148</v>
      </c>
      <c r="BJ112" s="154"/>
      <c r="BK112" s="154"/>
      <c r="BL112" s="154"/>
      <c r="BM112" s="157">
        <v>43909</v>
      </c>
      <c r="BN112" s="152" t="s">
        <v>16</v>
      </c>
      <c r="BO112" s="241">
        <f t="shared" si="29"/>
        <v>61</v>
      </c>
      <c r="BP112" s="152">
        <f t="shared" si="28"/>
        <v>53</v>
      </c>
      <c r="BQ112" s="152"/>
      <c r="BR112" s="152">
        <v>0</v>
      </c>
      <c r="BS112" s="152">
        <v>3</v>
      </c>
      <c r="BT112" s="152">
        <v>1</v>
      </c>
      <c r="BU112" s="152">
        <v>0</v>
      </c>
      <c r="BV112" s="152">
        <v>0</v>
      </c>
      <c r="BW112" s="152">
        <v>0</v>
      </c>
      <c r="BX112" s="152">
        <v>0</v>
      </c>
      <c r="BY112" s="152" t="s">
        <v>161</v>
      </c>
      <c r="BZ112" s="152">
        <v>0</v>
      </c>
      <c r="CA112" s="152"/>
      <c r="CB112" s="158"/>
      <c r="CC112" s="158"/>
      <c r="CD112" s="152"/>
      <c r="CE112" s="152" t="s">
        <v>161</v>
      </c>
      <c r="CF112" s="152"/>
      <c r="CG112" s="152"/>
      <c r="CH112" s="375">
        <v>2</v>
      </c>
      <c r="CI112" s="152">
        <v>2</v>
      </c>
      <c r="CJ112" s="152"/>
      <c r="CK112" s="152" t="s">
        <v>807</v>
      </c>
    </row>
    <row r="113" spans="1:102" ht="25" customHeight="1" x14ac:dyDescent="0.35">
      <c r="A113" s="152">
        <v>116</v>
      </c>
      <c r="B113" s="152" t="s">
        <v>1708</v>
      </c>
      <c r="C113" s="152" t="s">
        <v>1709</v>
      </c>
      <c r="D113" s="152" t="s">
        <v>1710</v>
      </c>
      <c r="E113" s="152" t="s">
        <v>1711</v>
      </c>
      <c r="F113" s="152" t="s">
        <v>4140</v>
      </c>
      <c r="G113" s="152">
        <v>5</v>
      </c>
      <c r="H113" s="152" t="s">
        <v>51</v>
      </c>
      <c r="I113" s="152" t="s">
        <v>4136</v>
      </c>
      <c r="J113" s="152" t="s">
        <v>1712</v>
      </c>
      <c r="K113" s="152" t="s">
        <v>600</v>
      </c>
      <c r="L113" s="152" t="s">
        <v>4136</v>
      </c>
      <c r="M113" s="152" t="s">
        <v>148</v>
      </c>
      <c r="N113" s="153" t="s">
        <v>1713</v>
      </c>
      <c r="O113" s="242" t="s">
        <v>149</v>
      </c>
      <c r="P113" s="243" t="s">
        <v>149</v>
      </c>
      <c r="Q113" s="152" t="s">
        <v>149</v>
      </c>
      <c r="R113" s="152" t="s">
        <v>1714</v>
      </c>
      <c r="S113" s="152" t="s">
        <v>1715</v>
      </c>
      <c r="T113" s="347" t="s">
        <v>1716</v>
      </c>
      <c r="U113" s="154" t="s">
        <v>1717</v>
      </c>
      <c r="V113" s="154">
        <v>25693</v>
      </c>
      <c r="W113" s="161" t="s">
        <v>1718</v>
      </c>
      <c r="X113" s="161" t="s">
        <v>177</v>
      </c>
      <c r="Y113" s="161" t="s">
        <v>161</v>
      </c>
      <c r="Z113" s="161" t="s">
        <v>156</v>
      </c>
      <c r="AA113" s="152">
        <v>30</v>
      </c>
      <c r="AB113" s="154">
        <v>42352</v>
      </c>
      <c r="AC113" s="286">
        <v>42064</v>
      </c>
      <c r="AD113" s="154"/>
      <c r="AE113" s="34" t="s">
        <v>1704</v>
      </c>
      <c r="AF113" s="34" t="s">
        <v>1719</v>
      </c>
      <c r="AG113" s="152"/>
      <c r="AH113" s="152">
        <f t="shared" si="23"/>
        <v>2</v>
      </c>
      <c r="AI113" s="161" t="s">
        <v>159</v>
      </c>
      <c r="AJ113" s="161" t="s">
        <v>159</v>
      </c>
      <c r="AK113" s="152"/>
      <c r="AL113" s="152" t="s">
        <v>148</v>
      </c>
      <c r="AM113" s="152" t="s">
        <v>161</v>
      </c>
      <c r="AN113" s="152"/>
      <c r="AO113" s="152" t="s">
        <v>162</v>
      </c>
      <c r="AP113" s="152" t="s">
        <v>201</v>
      </c>
      <c r="AQ113" s="152"/>
      <c r="AR113" s="152"/>
      <c r="AS113" s="152"/>
      <c r="AT113" s="30" t="s">
        <v>296</v>
      </c>
      <c r="AU113" s="152" t="s">
        <v>1720</v>
      </c>
      <c r="AV113" s="33" t="s">
        <v>161</v>
      </c>
      <c r="AW113" s="155">
        <v>42065</v>
      </c>
      <c r="AX113" s="155">
        <v>42310</v>
      </c>
      <c r="AY113" s="155" t="s">
        <v>148</v>
      </c>
      <c r="AZ113" s="155">
        <v>42166</v>
      </c>
      <c r="BA113" s="155">
        <v>42382</v>
      </c>
      <c r="BB113" s="155"/>
      <c r="BC113" s="155"/>
      <c r="BD113" s="155"/>
      <c r="BE113" s="156" t="s">
        <v>1721</v>
      </c>
      <c r="BF113" s="155">
        <v>42947</v>
      </c>
      <c r="BG113" s="155" t="s">
        <v>148</v>
      </c>
      <c r="BH113" s="155">
        <v>43164</v>
      </c>
      <c r="BI113" s="155" t="s">
        <v>148</v>
      </c>
      <c r="BJ113" s="154"/>
      <c r="BK113" s="154"/>
      <c r="BL113" s="154"/>
      <c r="BM113" s="157">
        <v>43799</v>
      </c>
      <c r="BN113" s="152" t="s">
        <v>16</v>
      </c>
      <c r="BO113" s="241">
        <f t="shared" si="29"/>
        <v>57</v>
      </c>
      <c r="BP113" s="152">
        <f t="shared" si="28"/>
        <v>49</v>
      </c>
      <c r="BQ113" s="152"/>
      <c r="BR113" s="152">
        <v>0</v>
      </c>
      <c r="BS113" s="152">
        <v>4</v>
      </c>
      <c r="BT113" s="152">
        <v>2</v>
      </c>
      <c r="BU113" s="152">
        <v>2</v>
      </c>
      <c r="BV113" s="152">
        <v>0</v>
      </c>
      <c r="BW113" s="152">
        <v>0</v>
      </c>
      <c r="BX113" s="152">
        <v>0</v>
      </c>
      <c r="BY113" s="152" t="s">
        <v>161</v>
      </c>
      <c r="BZ113" s="152">
        <v>0</v>
      </c>
      <c r="CA113" s="152"/>
      <c r="CB113" s="158"/>
      <c r="CC113" s="158"/>
      <c r="CD113" s="152"/>
      <c r="CE113" s="152" t="s">
        <v>161</v>
      </c>
      <c r="CF113" s="152"/>
      <c r="CG113" s="152"/>
      <c r="CH113" s="375" t="s">
        <v>166</v>
      </c>
      <c r="CI113" s="152" t="s">
        <v>166</v>
      </c>
      <c r="CJ113" s="152"/>
      <c r="CK113" s="152" t="s">
        <v>807</v>
      </c>
    </row>
    <row r="114" spans="1:102" s="114" customFormat="1" ht="25" customHeight="1" x14ac:dyDescent="0.35">
      <c r="A114" s="91">
        <v>117</v>
      </c>
      <c r="B114" s="91" t="s">
        <v>1722</v>
      </c>
      <c r="C114" s="91" t="s">
        <v>1723</v>
      </c>
      <c r="D114" s="91" t="s">
        <v>1724</v>
      </c>
      <c r="E114" s="91" t="s">
        <v>1725</v>
      </c>
      <c r="F114" s="91" t="s">
        <v>4140</v>
      </c>
      <c r="G114" s="91">
        <v>5</v>
      </c>
      <c r="H114" s="91" t="s">
        <v>56</v>
      </c>
      <c r="I114" s="91" t="s">
        <v>44</v>
      </c>
      <c r="J114" s="91" t="s">
        <v>1726</v>
      </c>
      <c r="K114" s="91" t="s">
        <v>866</v>
      </c>
      <c r="L114" s="91" t="s">
        <v>44</v>
      </c>
      <c r="M114" s="91" t="s">
        <v>148</v>
      </c>
      <c r="N114" s="91" t="s">
        <v>1727</v>
      </c>
      <c r="O114" s="249"/>
      <c r="P114" s="250" t="s">
        <v>149</v>
      </c>
      <c r="Q114" s="91"/>
      <c r="R114" s="91" t="s">
        <v>1728</v>
      </c>
      <c r="S114" s="91" t="s">
        <v>1729</v>
      </c>
      <c r="T114" s="200">
        <v>27761643215</v>
      </c>
      <c r="U114" s="92" t="s">
        <v>1730</v>
      </c>
      <c r="V114" s="92"/>
      <c r="W114" s="164" t="s">
        <v>1731</v>
      </c>
      <c r="X114" s="164" t="s">
        <v>154</v>
      </c>
      <c r="Y114" s="164" t="s">
        <v>161</v>
      </c>
      <c r="Z114" s="164" t="s">
        <v>156</v>
      </c>
      <c r="AA114" s="91">
        <v>18</v>
      </c>
      <c r="AB114" s="92">
        <v>42767</v>
      </c>
      <c r="AC114" s="281">
        <v>42064</v>
      </c>
      <c r="AD114" s="92">
        <v>45741</v>
      </c>
      <c r="AE114" s="50" t="s">
        <v>1732</v>
      </c>
      <c r="AF114" s="50" t="s">
        <v>1733</v>
      </c>
      <c r="AG114" s="91"/>
      <c r="AH114" s="91">
        <f t="shared" si="23"/>
        <v>2</v>
      </c>
      <c r="AI114" s="164" t="s">
        <v>159</v>
      </c>
      <c r="AJ114" s="164" t="s">
        <v>159</v>
      </c>
      <c r="AK114" s="91"/>
      <c r="AL114" s="91" t="s">
        <v>161</v>
      </c>
      <c r="AM114" s="91" t="s">
        <v>148</v>
      </c>
      <c r="AN114" s="91"/>
      <c r="AO114" s="91" t="s">
        <v>180</v>
      </c>
      <c r="AP114" s="91" t="s">
        <v>1734</v>
      </c>
      <c r="AQ114" s="91" t="s">
        <v>1734</v>
      </c>
      <c r="AR114" s="91"/>
      <c r="AS114" s="91"/>
      <c r="AT114" s="10" t="s">
        <v>1735</v>
      </c>
      <c r="AU114" s="91" t="s">
        <v>1736</v>
      </c>
      <c r="AV114" s="91" t="s">
        <v>148</v>
      </c>
      <c r="AW114" s="93">
        <v>42065</v>
      </c>
      <c r="AX114" s="93">
        <v>42310</v>
      </c>
      <c r="AY114" s="93" t="s">
        <v>148</v>
      </c>
      <c r="AZ114" s="93"/>
      <c r="BA114" s="93"/>
      <c r="BB114" s="93"/>
      <c r="BC114" s="93"/>
      <c r="BD114" s="93"/>
      <c r="BE114" s="94"/>
      <c r="BF114" s="93">
        <v>42947</v>
      </c>
      <c r="BG114" s="93" t="s">
        <v>148</v>
      </c>
      <c r="BH114" s="93">
        <v>43164</v>
      </c>
      <c r="BI114" s="93" t="s">
        <v>148</v>
      </c>
      <c r="BJ114" s="92"/>
      <c r="BK114" s="92"/>
      <c r="BL114" s="92"/>
      <c r="BM114" s="109"/>
      <c r="BN114" s="193" t="s">
        <v>18</v>
      </c>
      <c r="BO114" s="265"/>
      <c r="BP114" s="91"/>
      <c r="BQ114" s="91"/>
      <c r="BR114" s="91">
        <v>0</v>
      </c>
      <c r="BS114" s="91">
        <v>0</v>
      </c>
      <c r="BT114" s="91">
        <v>14</v>
      </c>
      <c r="BU114" s="91">
        <v>0</v>
      </c>
      <c r="BV114" s="91">
        <v>0</v>
      </c>
      <c r="BW114" s="91">
        <v>0</v>
      </c>
      <c r="BX114" s="91">
        <v>0</v>
      </c>
      <c r="BY114" s="91" t="s">
        <v>1737</v>
      </c>
      <c r="BZ114" s="91">
        <v>0</v>
      </c>
      <c r="CA114" s="91"/>
      <c r="CB114" s="95"/>
      <c r="CC114" s="95"/>
      <c r="CD114" s="91"/>
      <c r="CE114" s="91" t="s">
        <v>161</v>
      </c>
      <c r="CF114" s="91"/>
      <c r="CG114" s="91"/>
      <c r="CH114" s="113" t="s">
        <v>166</v>
      </c>
      <c r="CI114" s="91" t="s">
        <v>166</v>
      </c>
      <c r="CJ114" s="91"/>
      <c r="CK114" s="91" t="s">
        <v>807</v>
      </c>
      <c r="CS114" s="364"/>
      <c r="CT114" s="364"/>
      <c r="CU114" s="364"/>
      <c r="CW114" s="364"/>
      <c r="CX114" s="364"/>
    </row>
    <row r="115" spans="1:102" ht="25" customHeight="1" x14ac:dyDescent="0.35">
      <c r="A115" s="152">
        <v>118</v>
      </c>
      <c r="B115" s="152" t="s">
        <v>1738</v>
      </c>
      <c r="C115" s="152" t="s">
        <v>1739</v>
      </c>
      <c r="D115" s="152" t="s">
        <v>1740</v>
      </c>
      <c r="E115" s="152" t="s">
        <v>1741</v>
      </c>
      <c r="F115" s="152" t="s">
        <v>4139</v>
      </c>
      <c r="G115" s="152">
        <v>5</v>
      </c>
      <c r="H115" s="152" t="s">
        <v>52</v>
      </c>
      <c r="I115" s="152" t="s">
        <v>31</v>
      </c>
      <c r="J115" s="152" t="s">
        <v>1742</v>
      </c>
      <c r="K115" s="152" t="s">
        <v>1743</v>
      </c>
      <c r="L115" s="152" t="s">
        <v>31</v>
      </c>
      <c r="M115" s="152" t="s">
        <v>148</v>
      </c>
      <c r="N115" s="152">
        <v>12963</v>
      </c>
      <c r="O115" s="242"/>
      <c r="P115" s="243" t="s">
        <v>149</v>
      </c>
      <c r="Q115" s="152"/>
      <c r="R115" s="152" t="s">
        <v>1744</v>
      </c>
      <c r="S115" s="160" t="s">
        <v>1745</v>
      </c>
      <c r="T115" s="347" t="s">
        <v>1746</v>
      </c>
      <c r="U115" s="154" t="s">
        <v>1747</v>
      </c>
      <c r="V115" s="154">
        <v>29252</v>
      </c>
      <c r="W115" s="161" t="s">
        <v>1748</v>
      </c>
      <c r="X115" s="161" t="s">
        <v>154</v>
      </c>
      <c r="Y115" s="161" t="s">
        <v>155</v>
      </c>
      <c r="Z115" s="161" t="s">
        <v>156</v>
      </c>
      <c r="AA115" s="152">
        <v>13</v>
      </c>
      <c r="AB115" s="154">
        <v>41459</v>
      </c>
      <c r="AC115" s="286">
        <v>42064</v>
      </c>
      <c r="AD115" s="154"/>
      <c r="AE115" s="34" t="s">
        <v>1749</v>
      </c>
      <c r="AF115" s="152"/>
      <c r="AG115" s="152"/>
      <c r="AH115" s="152">
        <f t="shared" si="23"/>
        <v>1</v>
      </c>
      <c r="AI115" s="161" t="s">
        <v>159</v>
      </c>
      <c r="AJ115" s="152"/>
      <c r="AK115" s="152"/>
      <c r="AL115" s="152" t="s">
        <v>148</v>
      </c>
      <c r="AM115" s="152"/>
      <c r="AN115" s="152"/>
      <c r="AO115" s="152" t="s">
        <v>162</v>
      </c>
      <c r="AP115" s="152" t="s">
        <v>201</v>
      </c>
      <c r="AQ115" s="152" t="s">
        <v>201</v>
      </c>
      <c r="AR115" s="152"/>
      <c r="AS115" s="152"/>
      <c r="AT115" s="30" t="s">
        <v>326</v>
      </c>
      <c r="AU115" s="152" t="s">
        <v>1750</v>
      </c>
      <c r="AV115" s="152"/>
      <c r="AW115" s="155">
        <v>42065</v>
      </c>
      <c r="AX115" s="155">
        <v>42310</v>
      </c>
      <c r="AY115" s="155" t="s">
        <v>148</v>
      </c>
      <c r="AZ115" s="155">
        <v>42037</v>
      </c>
      <c r="BA115" s="155">
        <v>42471</v>
      </c>
      <c r="BB115" s="155"/>
      <c r="BC115" s="155"/>
      <c r="BD115" s="155"/>
      <c r="BE115" s="156" t="s">
        <v>1751</v>
      </c>
      <c r="BF115" s="155">
        <v>42947</v>
      </c>
      <c r="BG115" s="155" t="s">
        <v>148</v>
      </c>
      <c r="BH115" s="155">
        <v>43164</v>
      </c>
      <c r="BI115" s="155" t="s">
        <v>148</v>
      </c>
      <c r="BJ115" s="154"/>
      <c r="BK115" s="154"/>
      <c r="BL115" s="154"/>
      <c r="BM115" s="157">
        <v>44957</v>
      </c>
      <c r="BN115" s="152" t="s">
        <v>16</v>
      </c>
      <c r="BO115" s="241">
        <f t="shared" si="29"/>
        <v>95</v>
      </c>
      <c r="BP115" s="152">
        <f>DATEDIF(AX115,BM115, "M")+1</f>
        <v>87</v>
      </c>
      <c r="BQ115" s="241" t="s">
        <v>1752</v>
      </c>
      <c r="BR115" s="152">
        <v>0</v>
      </c>
      <c r="BS115" s="152">
        <v>25</v>
      </c>
      <c r="BT115" s="152">
        <v>0</v>
      </c>
      <c r="BU115" s="152">
        <v>3</v>
      </c>
      <c r="BV115" s="152">
        <v>1</v>
      </c>
      <c r="BW115" s="152">
        <v>1</v>
      </c>
      <c r="BX115" s="152">
        <v>1</v>
      </c>
      <c r="BY115" s="152" t="s">
        <v>161</v>
      </c>
      <c r="BZ115" s="152">
        <v>0</v>
      </c>
      <c r="CA115" s="152"/>
      <c r="CB115" s="158"/>
      <c r="CC115" s="158"/>
      <c r="CD115" s="152"/>
      <c r="CE115" s="152" t="s">
        <v>161</v>
      </c>
      <c r="CF115" s="152"/>
      <c r="CG115" s="152"/>
      <c r="CH115" s="375">
        <v>2</v>
      </c>
      <c r="CI115" s="152">
        <v>3</v>
      </c>
      <c r="CJ115" s="152"/>
      <c r="CK115" s="152" t="s">
        <v>807</v>
      </c>
    </row>
    <row r="116" spans="1:102" ht="25" customHeight="1" x14ac:dyDescent="0.35">
      <c r="A116" s="91">
        <v>119</v>
      </c>
      <c r="B116" s="91" t="s">
        <v>1753</v>
      </c>
      <c r="C116" s="91" t="s">
        <v>1754</v>
      </c>
      <c r="D116" s="91" t="s">
        <v>1570</v>
      </c>
      <c r="E116" s="91" t="s">
        <v>1755</v>
      </c>
      <c r="F116" s="91" t="s">
        <v>4139</v>
      </c>
      <c r="G116" s="91">
        <v>5</v>
      </c>
      <c r="H116" s="91" t="s">
        <v>58</v>
      </c>
      <c r="I116" s="91" t="s">
        <v>35</v>
      </c>
      <c r="J116" s="91" t="s">
        <v>1097</v>
      </c>
      <c r="K116" s="91" t="s">
        <v>1756</v>
      </c>
      <c r="L116" s="91" t="s">
        <v>35</v>
      </c>
      <c r="M116" s="91" t="s">
        <v>148</v>
      </c>
      <c r="N116" s="91"/>
      <c r="O116" s="249" t="s">
        <v>166</v>
      </c>
      <c r="P116" s="250" t="s">
        <v>166</v>
      </c>
      <c r="Q116" s="91"/>
      <c r="R116" s="91" t="s">
        <v>1757</v>
      </c>
      <c r="S116" s="91" t="s">
        <v>1758</v>
      </c>
      <c r="T116" s="341" t="s">
        <v>1759</v>
      </c>
      <c r="U116" s="92" t="s">
        <v>166</v>
      </c>
      <c r="V116" s="92"/>
      <c r="W116" s="164" t="s">
        <v>1760</v>
      </c>
      <c r="X116" s="164" t="s">
        <v>177</v>
      </c>
      <c r="Y116" s="164" t="s">
        <v>161</v>
      </c>
      <c r="Z116" s="164" t="s">
        <v>156</v>
      </c>
      <c r="AA116" s="91">
        <v>15</v>
      </c>
      <c r="AB116" s="92">
        <v>42064</v>
      </c>
      <c r="AC116" s="281">
        <v>42064</v>
      </c>
      <c r="AD116" s="92">
        <v>43930</v>
      </c>
      <c r="AE116" s="50" t="s">
        <v>1761</v>
      </c>
      <c r="AF116" s="50" t="s">
        <v>1762</v>
      </c>
      <c r="AG116" s="50" t="s">
        <v>1763</v>
      </c>
      <c r="AH116" s="91">
        <f t="shared" si="23"/>
        <v>3</v>
      </c>
      <c r="AI116" s="164" t="s">
        <v>159</v>
      </c>
      <c r="AJ116" s="164" t="s">
        <v>159</v>
      </c>
      <c r="AK116" s="164" t="s">
        <v>159</v>
      </c>
      <c r="AL116" s="164" t="s">
        <v>148</v>
      </c>
      <c r="AM116" s="164" t="s">
        <v>161</v>
      </c>
      <c r="AN116" s="164" t="s">
        <v>161</v>
      </c>
      <c r="AO116" s="164"/>
      <c r="AP116" s="164" t="s">
        <v>201</v>
      </c>
      <c r="AQ116" s="164" t="s">
        <v>201</v>
      </c>
      <c r="AR116" s="164"/>
      <c r="AS116" s="164"/>
      <c r="AT116" s="417" t="s">
        <v>578</v>
      </c>
      <c r="AU116" s="91"/>
      <c r="AV116" s="91" t="s">
        <v>161</v>
      </c>
      <c r="AW116" s="93">
        <v>42065</v>
      </c>
      <c r="AX116" s="93">
        <v>42310</v>
      </c>
      <c r="AY116" s="93" t="s">
        <v>148</v>
      </c>
      <c r="AZ116" s="93"/>
      <c r="BA116" s="93"/>
      <c r="BB116" s="93"/>
      <c r="BC116" s="93"/>
      <c r="BD116" s="93"/>
      <c r="BE116" s="94"/>
      <c r="BF116" s="93" t="s">
        <v>720</v>
      </c>
      <c r="BG116" s="93" t="s">
        <v>161</v>
      </c>
      <c r="BH116" s="93" t="s">
        <v>720</v>
      </c>
      <c r="BI116" s="93" t="s">
        <v>161</v>
      </c>
      <c r="BJ116" s="92"/>
      <c r="BK116" s="92"/>
      <c r="BL116" s="92"/>
      <c r="BM116" s="92"/>
      <c r="BN116" s="91" t="s">
        <v>18</v>
      </c>
      <c r="BO116" s="91" t="s">
        <v>18</v>
      </c>
      <c r="BP116" s="91"/>
      <c r="BQ116" s="91"/>
      <c r="BR116" s="91"/>
      <c r="BS116" s="91">
        <v>2</v>
      </c>
      <c r="BT116" s="91">
        <v>0</v>
      </c>
      <c r="BU116" s="91">
        <v>0</v>
      </c>
      <c r="BV116" s="91">
        <v>0</v>
      </c>
      <c r="BW116" s="91">
        <v>0</v>
      </c>
      <c r="BX116" s="91">
        <v>0</v>
      </c>
      <c r="BY116" s="91" t="s">
        <v>161</v>
      </c>
      <c r="BZ116" s="91">
        <v>0</v>
      </c>
      <c r="CA116" s="91"/>
      <c r="CB116" s="95"/>
      <c r="CC116" s="95"/>
      <c r="CD116" s="91"/>
      <c r="CE116" s="91" t="s">
        <v>161</v>
      </c>
      <c r="CF116" s="91"/>
      <c r="CG116" s="91"/>
      <c r="CH116" s="113" t="s">
        <v>166</v>
      </c>
      <c r="CI116" s="91" t="s">
        <v>166</v>
      </c>
      <c r="CJ116" s="91"/>
      <c r="CK116" s="91" t="s">
        <v>807</v>
      </c>
    </row>
    <row r="117" spans="1:102" ht="25" customHeight="1" x14ac:dyDescent="0.35">
      <c r="A117" s="91">
        <v>120</v>
      </c>
      <c r="B117" s="91" t="s">
        <v>1764</v>
      </c>
      <c r="C117" s="91" t="s">
        <v>1765</v>
      </c>
      <c r="D117" s="91"/>
      <c r="E117" s="91" t="s">
        <v>1766</v>
      </c>
      <c r="F117" s="91" t="s">
        <v>4139</v>
      </c>
      <c r="G117" s="91">
        <v>5</v>
      </c>
      <c r="H117" s="91" t="s">
        <v>51</v>
      </c>
      <c r="I117" s="91" t="s">
        <v>4136</v>
      </c>
      <c r="J117" s="91"/>
      <c r="K117" s="91"/>
      <c r="L117" s="91" t="s">
        <v>4136</v>
      </c>
      <c r="M117" s="91" t="s">
        <v>148</v>
      </c>
      <c r="N117" s="91" t="s">
        <v>166</v>
      </c>
      <c r="O117" s="91" t="s">
        <v>166</v>
      </c>
      <c r="P117" s="91" t="s">
        <v>166</v>
      </c>
      <c r="Q117" s="91" t="s">
        <v>166</v>
      </c>
      <c r="R117" s="91"/>
      <c r="S117" s="91"/>
      <c r="T117" s="341"/>
      <c r="U117" s="92"/>
      <c r="V117" s="92"/>
      <c r="W117" s="164"/>
      <c r="X117" s="164"/>
      <c r="Y117" s="164"/>
      <c r="Z117" s="164"/>
      <c r="AA117" s="91"/>
      <c r="AB117" s="92"/>
      <c r="AC117" s="281">
        <v>42064</v>
      </c>
      <c r="AD117" s="92">
        <v>43100</v>
      </c>
      <c r="AE117" s="92"/>
      <c r="AF117" s="92"/>
      <c r="AG117" s="92"/>
      <c r="AH117" s="91">
        <f t="shared" si="23"/>
        <v>0</v>
      </c>
      <c r="AI117" s="92"/>
      <c r="AJ117" s="92"/>
      <c r="AK117" s="92"/>
      <c r="AL117" s="92"/>
      <c r="AM117" s="92"/>
      <c r="AN117" s="92"/>
      <c r="AO117" s="92"/>
      <c r="AP117" s="92"/>
      <c r="AQ117" s="92"/>
      <c r="AR117" s="92"/>
      <c r="AS117" s="92"/>
      <c r="AT117" s="400" t="s">
        <v>191</v>
      </c>
      <c r="AU117" s="91"/>
      <c r="AV117" s="92">
        <v>42921</v>
      </c>
      <c r="AW117" s="93">
        <v>42065</v>
      </c>
      <c r="AX117" s="93"/>
      <c r="AY117" s="93"/>
      <c r="AZ117" s="93"/>
      <c r="BA117" s="93"/>
      <c r="BB117" s="93"/>
      <c r="BC117" s="93"/>
      <c r="BD117" s="93"/>
      <c r="BE117" s="94"/>
      <c r="BF117" s="93"/>
      <c r="BG117" s="93"/>
      <c r="BH117" s="93"/>
      <c r="BI117" s="93"/>
      <c r="BJ117" s="92"/>
      <c r="BK117" s="92"/>
      <c r="BL117" s="92"/>
      <c r="BM117" s="92"/>
      <c r="BN117" s="91" t="s">
        <v>18</v>
      </c>
      <c r="BO117" s="218" t="s">
        <v>18</v>
      </c>
      <c r="BP117" s="218"/>
      <c r="BQ117" s="91"/>
      <c r="BR117" s="91"/>
      <c r="BS117" s="91"/>
      <c r="BT117" s="91"/>
      <c r="BU117" s="91"/>
      <c r="BV117" s="91"/>
      <c r="BW117" s="91"/>
      <c r="BX117" s="91"/>
      <c r="BY117" s="91" t="s">
        <v>161</v>
      </c>
      <c r="BZ117" s="91"/>
      <c r="CA117" s="91"/>
      <c r="CB117" s="95"/>
      <c r="CC117" s="95"/>
      <c r="CD117" s="91"/>
      <c r="CE117" s="91"/>
      <c r="CF117" s="91"/>
      <c r="CG117" s="91"/>
      <c r="CH117" s="113"/>
      <c r="CI117" s="91"/>
      <c r="CJ117" s="91"/>
      <c r="CK117" s="91" t="s">
        <v>807</v>
      </c>
    </row>
    <row r="118" spans="1:102" ht="25" customHeight="1" x14ac:dyDescent="0.35">
      <c r="A118" s="91">
        <v>121</v>
      </c>
      <c r="B118" s="91" t="s">
        <v>1767</v>
      </c>
      <c r="C118" s="91" t="s">
        <v>1768</v>
      </c>
      <c r="D118" s="91" t="s">
        <v>1769</v>
      </c>
      <c r="E118" s="91" t="s">
        <v>1770</v>
      </c>
      <c r="F118" s="91" t="s">
        <v>4139</v>
      </c>
      <c r="G118" s="91">
        <v>5</v>
      </c>
      <c r="H118" s="91" t="s">
        <v>57</v>
      </c>
      <c r="I118" s="91" t="s">
        <v>41</v>
      </c>
      <c r="J118" s="91"/>
      <c r="K118" s="91"/>
      <c r="L118" s="91" t="s">
        <v>41</v>
      </c>
      <c r="M118" s="91" t="s">
        <v>148</v>
      </c>
      <c r="N118" s="91" t="s">
        <v>166</v>
      </c>
      <c r="O118" s="91" t="s">
        <v>166</v>
      </c>
      <c r="P118" s="91" t="s">
        <v>166</v>
      </c>
      <c r="Q118" s="91" t="s">
        <v>166</v>
      </c>
      <c r="R118" s="91"/>
      <c r="S118" s="91"/>
      <c r="T118" s="341"/>
      <c r="U118" s="92"/>
      <c r="V118" s="92"/>
      <c r="W118" s="164"/>
      <c r="X118" s="164"/>
      <c r="Y118" s="164"/>
      <c r="Z118" s="164"/>
      <c r="AA118" s="91"/>
      <c r="AB118" s="92"/>
      <c r="AC118" s="281">
        <v>42064</v>
      </c>
      <c r="AD118" s="92">
        <v>43342</v>
      </c>
      <c r="AE118" s="92"/>
      <c r="AF118" s="92"/>
      <c r="AG118" s="92"/>
      <c r="AH118" s="91">
        <f t="shared" si="23"/>
        <v>0</v>
      </c>
      <c r="AI118" s="92"/>
      <c r="AJ118" s="92"/>
      <c r="AK118" s="92"/>
      <c r="AL118" s="92"/>
      <c r="AM118" s="92"/>
      <c r="AN118" s="92"/>
      <c r="AO118" s="92"/>
      <c r="AP118" s="92"/>
      <c r="AQ118" s="92"/>
      <c r="AR118" s="92"/>
      <c r="AS118" s="92"/>
      <c r="AT118" s="400" t="s">
        <v>191</v>
      </c>
      <c r="AU118" s="91"/>
      <c r="AV118" s="92"/>
      <c r="AW118" s="93">
        <v>42065</v>
      </c>
      <c r="AX118" s="93"/>
      <c r="AY118" s="93"/>
      <c r="AZ118" s="93"/>
      <c r="BA118" s="93"/>
      <c r="BB118" s="93"/>
      <c r="BC118" s="93"/>
      <c r="BD118" s="93"/>
      <c r="BE118" s="94"/>
      <c r="BF118" s="93"/>
      <c r="BG118" s="93"/>
      <c r="BH118" s="93"/>
      <c r="BI118" s="93"/>
      <c r="BJ118" s="92"/>
      <c r="BK118" s="92"/>
      <c r="BL118" s="92"/>
      <c r="BM118" s="92"/>
      <c r="BN118" s="91" t="s">
        <v>18</v>
      </c>
      <c r="BO118" s="218" t="s">
        <v>18</v>
      </c>
      <c r="BP118" s="218"/>
      <c r="BQ118" s="91"/>
      <c r="BR118" s="91"/>
      <c r="BS118" s="91"/>
      <c r="BT118" s="91"/>
      <c r="BU118" s="91"/>
      <c r="BV118" s="91"/>
      <c r="BW118" s="91"/>
      <c r="BX118" s="91"/>
      <c r="BY118" s="91" t="s">
        <v>161</v>
      </c>
      <c r="BZ118" s="91"/>
      <c r="CA118" s="91"/>
      <c r="CB118" s="95"/>
      <c r="CC118" s="95"/>
      <c r="CD118" s="91"/>
      <c r="CE118" s="91"/>
      <c r="CF118" s="91"/>
      <c r="CG118" s="91"/>
      <c r="CH118" s="113"/>
      <c r="CI118" s="91"/>
      <c r="CJ118" s="91"/>
      <c r="CK118" s="91" t="s">
        <v>807</v>
      </c>
    </row>
    <row r="119" spans="1:102" ht="25" customHeight="1" x14ac:dyDescent="0.35">
      <c r="A119" s="91">
        <v>122</v>
      </c>
      <c r="B119" s="91" t="s">
        <v>1771</v>
      </c>
      <c r="C119" s="91" t="s">
        <v>1772</v>
      </c>
      <c r="D119" s="91" t="s">
        <v>1773</v>
      </c>
      <c r="E119" s="91" t="s">
        <v>1774</v>
      </c>
      <c r="F119" s="91" t="s">
        <v>4140</v>
      </c>
      <c r="G119" s="91">
        <v>5</v>
      </c>
      <c r="H119" s="91" t="s">
        <v>50</v>
      </c>
      <c r="I119" s="91" t="s">
        <v>42</v>
      </c>
      <c r="J119" s="91"/>
      <c r="K119" s="91"/>
      <c r="L119" s="91" t="s">
        <v>42</v>
      </c>
      <c r="M119" s="91" t="s">
        <v>148</v>
      </c>
      <c r="N119" s="91" t="s">
        <v>166</v>
      </c>
      <c r="O119" s="91" t="s">
        <v>166</v>
      </c>
      <c r="P119" s="91" t="s">
        <v>166</v>
      </c>
      <c r="Q119" s="91" t="s">
        <v>166</v>
      </c>
      <c r="R119" s="91"/>
      <c r="S119" s="91"/>
      <c r="T119" s="341"/>
      <c r="U119" s="92"/>
      <c r="V119" s="92"/>
      <c r="W119" s="164"/>
      <c r="X119" s="164"/>
      <c r="Y119" s="164"/>
      <c r="Z119" s="164"/>
      <c r="AA119" s="91"/>
      <c r="AB119" s="92"/>
      <c r="AC119" s="281">
        <v>42064</v>
      </c>
      <c r="AD119" s="92">
        <v>43342</v>
      </c>
      <c r="AE119" s="92"/>
      <c r="AF119" s="92"/>
      <c r="AG119" s="92"/>
      <c r="AH119" s="91">
        <f t="shared" si="23"/>
        <v>0</v>
      </c>
      <c r="AI119" s="92"/>
      <c r="AJ119" s="92"/>
      <c r="AK119" s="92"/>
      <c r="AL119" s="92"/>
      <c r="AM119" s="92"/>
      <c r="AN119" s="92"/>
      <c r="AO119" s="92"/>
      <c r="AP119" s="92"/>
      <c r="AQ119" s="92"/>
      <c r="AR119" s="92"/>
      <c r="AS119" s="92"/>
      <c r="AT119" s="400" t="s">
        <v>191</v>
      </c>
      <c r="AU119" s="91"/>
      <c r="AV119" s="92">
        <v>42921</v>
      </c>
      <c r="AW119" s="93">
        <v>42065</v>
      </c>
      <c r="AX119" s="93"/>
      <c r="AY119" s="93"/>
      <c r="AZ119" s="93"/>
      <c r="BA119" s="93"/>
      <c r="BB119" s="93"/>
      <c r="BC119" s="93"/>
      <c r="BD119" s="93"/>
      <c r="BE119" s="94"/>
      <c r="BF119" s="93"/>
      <c r="BG119" s="93"/>
      <c r="BH119" s="93"/>
      <c r="BI119" s="93"/>
      <c r="BJ119" s="92"/>
      <c r="BK119" s="92"/>
      <c r="BL119" s="92"/>
      <c r="BM119" s="92"/>
      <c r="BN119" s="115" t="s">
        <v>18</v>
      </c>
      <c r="BO119" s="218" t="s">
        <v>18</v>
      </c>
      <c r="BP119" s="218"/>
      <c r="BQ119" s="91"/>
      <c r="BR119" s="91"/>
      <c r="BS119" s="91"/>
      <c r="BT119" s="91"/>
      <c r="BU119" s="91"/>
      <c r="BV119" s="91"/>
      <c r="BW119" s="91"/>
      <c r="BX119" s="91"/>
      <c r="BY119" s="91" t="s">
        <v>161</v>
      </c>
      <c r="BZ119" s="91"/>
      <c r="CA119" s="91"/>
      <c r="CB119" s="95"/>
      <c r="CC119" s="95"/>
      <c r="CD119" s="91"/>
      <c r="CE119" s="91"/>
      <c r="CF119" s="91"/>
      <c r="CG119" s="91"/>
      <c r="CH119" s="113"/>
      <c r="CI119" s="91"/>
      <c r="CJ119" s="91"/>
      <c r="CK119" s="91" t="s">
        <v>807</v>
      </c>
    </row>
    <row r="120" spans="1:102" ht="25" customHeight="1" x14ac:dyDescent="0.35">
      <c r="A120" s="165">
        <v>123</v>
      </c>
      <c r="B120" s="165" t="s">
        <v>1775</v>
      </c>
      <c r="C120" s="165" t="s">
        <v>1776</v>
      </c>
      <c r="D120" s="165" t="s">
        <v>1777</v>
      </c>
      <c r="E120" s="165" t="s">
        <v>1778</v>
      </c>
      <c r="F120" s="165" t="s">
        <v>4140</v>
      </c>
      <c r="G120" s="165">
        <v>6</v>
      </c>
      <c r="H120" s="165" t="s">
        <v>50</v>
      </c>
      <c r="I120" s="165" t="s">
        <v>38</v>
      </c>
      <c r="J120" s="165" t="s">
        <v>600</v>
      </c>
      <c r="K120" s="165" t="s">
        <v>1779</v>
      </c>
      <c r="L120" s="165" t="s">
        <v>44</v>
      </c>
      <c r="M120" s="165" t="s">
        <v>161</v>
      </c>
      <c r="N120" s="165">
        <v>1617548</v>
      </c>
      <c r="O120" s="251" t="s">
        <v>320</v>
      </c>
      <c r="P120" s="252" t="s">
        <v>320</v>
      </c>
      <c r="Q120" s="165" t="s">
        <v>320</v>
      </c>
      <c r="R120" s="165" t="s">
        <v>1780</v>
      </c>
      <c r="S120" s="165" t="s">
        <v>1781</v>
      </c>
      <c r="T120" s="349" t="s">
        <v>1782</v>
      </c>
      <c r="U120" s="166" t="s">
        <v>1783</v>
      </c>
      <c r="V120" s="166">
        <v>28260</v>
      </c>
      <c r="W120" s="172" t="s">
        <v>1784</v>
      </c>
      <c r="X120" s="172" t="s">
        <v>177</v>
      </c>
      <c r="Y120" s="172" t="s">
        <v>161</v>
      </c>
      <c r="Z120" s="172" t="s">
        <v>156</v>
      </c>
      <c r="AA120" s="165">
        <v>8</v>
      </c>
      <c r="AB120" s="166">
        <v>42816</v>
      </c>
      <c r="AC120" s="287">
        <v>42430</v>
      </c>
      <c r="AD120" s="166"/>
      <c r="AE120" s="165" t="s">
        <v>608</v>
      </c>
      <c r="AF120" s="165" t="s">
        <v>1785</v>
      </c>
      <c r="AG120" s="165"/>
      <c r="AH120" s="165">
        <f t="shared" si="23"/>
        <v>2</v>
      </c>
      <c r="AI120" s="172" t="s">
        <v>159</v>
      </c>
      <c r="AJ120" s="165" t="s">
        <v>160</v>
      </c>
      <c r="AK120" s="165"/>
      <c r="AL120" s="165" t="s">
        <v>148</v>
      </c>
      <c r="AM120" s="165" t="s">
        <v>148</v>
      </c>
      <c r="AN120" s="165"/>
      <c r="AO120" s="165" t="s">
        <v>180</v>
      </c>
      <c r="AP120" s="165" t="s">
        <v>1263</v>
      </c>
      <c r="AQ120" s="165" t="s">
        <v>1786</v>
      </c>
      <c r="AR120" s="165" t="s">
        <v>148</v>
      </c>
      <c r="AS120" s="165"/>
      <c r="AT120" s="36" t="s">
        <v>38</v>
      </c>
      <c r="AU120" s="165" t="s">
        <v>1787</v>
      </c>
      <c r="AV120" s="166"/>
      <c r="AW120" s="167">
        <v>42428</v>
      </c>
      <c r="AX120" s="167">
        <v>42681</v>
      </c>
      <c r="AY120" s="167" t="s">
        <v>148</v>
      </c>
      <c r="AZ120" s="167">
        <v>43005</v>
      </c>
      <c r="BA120" s="167">
        <v>43063</v>
      </c>
      <c r="BB120" s="167"/>
      <c r="BC120" s="167"/>
      <c r="BD120" s="167"/>
      <c r="BE120" s="168" t="s">
        <v>1784</v>
      </c>
      <c r="BF120" s="167">
        <v>43309</v>
      </c>
      <c r="BG120" s="167" t="s">
        <v>148</v>
      </c>
      <c r="BH120" s="167">
        <v>43528</v>
      </c>
      <c r="BI120" s="167" t="s">
        <v>148</v>
      </c>
      <c r="BJ120" s="166"/>
      <c r="BK120" s="166"/>
      <c r="BL120" s="166"/>
      <c r="BM120" s="169">
        <v>44461</v>
      </c>
      <c r="BN120" s="165" t="s">
        <v>16</v>
      </c>
      <c r="BO120" s="171">
        <f>DATEDIF(AW120,BM120, "M")+1</f>
        <v>67</v>
      </c>
      <c r="BP120" s="165">
        <f t="shared" ref="BP120:BP122" si="30">DATEDIF(AX120,BM120, "M")+1</f>
        <v>59</v>
      </c>
      <c r="BQ120" s="165" t="s">
        <v>1784</v>
      </c>
      <c r="BR120" s="165">
        <v>6</v>
      </c>
      <c r="BS120" s="165">
        <v>13</v>
      </c>
      <c r="BT120" s="165">
        <v>3</v>
      </c>
      <c r="BU120" s="165">
        <v>0</v>
      </c>
      <c r="BV120" s="165">
        <v>0</v>
      </c>
      <c r="BW120" s="165">
        <v>0</v>
      </c>
      <c r="BX120" s="165">
        <v>0</v>
      </c>
      <c r="BY120" s="165" t="s">
        <v>161</v>
      </c>
      <c r="BZ120" s="165">
        <v>0</v>
      </c>
      <c r="CA120" s="165"/>
      <c r="CB120" s="170"/>
      <c r="CC120" s="170"/>
      <c r="CD120" s="165"/>
      <c r="CE120" s="165" t="s">
        <v>161</v>
      </c>
      <c r="CF120" s="165"/>
      <c r="CG120" s="165"/>
      <c r="CH120" s="376">
        <v>0</v>
      </c>
      <c r="CI120" s="165">
        <v>0</v>
      </c>
      <c r="CJ120" s="165">
        <v>2</v>
      </c>
      <c r="CK120" s="165" t="s">
        <v>807</v>
      </c>
    </row>
    <row r="121" spans="1:102" ht="25" customHeight="1" x14ac:dyDescent="0.35">
      <c r="A121" s="165">
        <v>124</v>
      </c>
      <c r="B121" s="165" t="s">
        <v>1788</v>
      </c>
      <c r="C121" s="165" t="s">
        <v>1789</v>
      </c>
      <c r="D121" s="165" t="s">
        <v>1790</v>
      </c>
      <c r="E121" s="165" t="s">
        <v>1791</v>
      </c>
      <c r="F121" s="165" t="s">
        <v>4140</v>
      </c>
      <c r="G121" s="165">
        <v>6</v>
      </c>
      <c r="H121" s="165" t="s">
        <v>50</v>
      </c>
      <c r="I121" s="165" t="s">
        <v>42</v>
      </c>
      <c r="J121" s="165" t="s">
        <v>1792</v>
      </c>
      <c r="K121" s="165" t="s">
        <v>1793</v>
      </c>
      <c r="L121" s="165" t="s">
        <v>42</v>
      </c>
      <c r="M121" s="165" t="s">
        <v>148</v>
      </c>
      <c r="N121" s="165" t="s">
        <v>1794</v>
      </c>
      <c r="O121" s="251" t="s">
        <v>149</v>
      </c>
      <c r="P121" s="252" t="s">
        <v>149</v>
      </c>
      <c r="Q121" s="165" t="s">
        <v>149</v>
      </c>
      <c r="R121" s="165" t="s">
        <v>1795</v>
      </c>
      <c r="S121" s="165" t="s">
        <v>1796</v>
      </c>
      <c r="T121" s="349" t="s">
        <v>1797</v>
      </c>
      <c r="U121" s="166" t="s">
        <v>1798</v>
      </c>
      <c r="V121" s="166">
        <v>30764</v>
      </c>
      <c r="W121" s="172" t="s">
        <v>1799</v>
      </c>
      <c r="X121" s="172" t="s">
        <v>177</v>
      </c>
      <c r="Y121" s="172" t="s">
        <v>161</v>
      </c>
      <c r="Z121" s="172" t="s">
        <v>156</v>
      </c>
      <c r="AA121" s="165">
        <v>34.5</v>
      </c>
      <c r="AB121" s="166">
        <v>42704</v>
      </c>
      <c r="AC121" s="287">
        <v>42430</v>
      </c>
      <c r="AD121" s="166"/>
      <c r="AE121" s="253" t="s">
        <v>1800</v>
      </c>
      <c r="AF121" s="165" t="s">
        <v>1801</v>
      </c>
      <c r="AG121" s="165"/>
      <c r="AH121" s="165">
        <f t="shared" si="23"/>
        <v>2</v>
      </c>
      <c r="AI121" s="172" t="s">
        <v>159</v>
      </c>
      <c r="AJ121" s="165"/>
      <c r="AK121" s="165"/>
      <c r="AL121" s="165" t="s">
        <v>148</v>
      </c>
      <c r="AM121" s="165"/>
      <c r="AN121" s="165"/>
      <c r="AO121" s="165" t="s">
        <v>162</v>
      </c>
      <c r="AP121" s="165" t="s">
        <v>1181</v>
      </c>
      <c r="AQ121" s="165" t="s">
        <v>1181</v>
      </c>
      <c r="AR121" s="165"/>
      <c r="AS121" s="165"/>
      <c r="AT121" s="36" t="s">
        <v>418</v>
      </c>
      <c r="AU121" s="165" t="s">
        <v>1802</v>
      </c>
      <c r="AV121" s="166"/>
      <c r="AW121" s="167">
        <v>42428</v>
      </c>
      <c r="AX121" s="167">
        <v>42681</v>
      </c>
      <c r="AY121" s="167" t="s">
        <v>148</v>
      </c>
      <c r="AZ121" s="167"/>
      <c r="BA121" s="167"/>
      <c r="BB121" s="167"/>
      <c r="BC121" s="167"/>
      <c r="BD121" s="167"/>
      <c r="BE121" s="168" t="s">
        <v>1803</v>
      </c>
      <c r="BF121" s="167">
        <v>43309</v>
      </c>
      <c r="BG121" s="167" t="s">
        <v>148</v>
      </c>
      <c r="BH121" s="167">
        <v>43528</v>
      </c>
      <c r="BI121" s="167" t="s">
        <v>148</v>
      </c>
      <c r="BJ121" s="166"/>
      <c r="BK121" s="166"/>
      <c r="BL121" s="166"/>
      <c r="BM121" s="169">
        <v>44069</v>
      </c>
      <c r="BN121" s="165" t="s">
        <v>16</v>
      </c>
      <c r="BO121" s="171">
        <f>DATEDIF(AW121,BM121, "M")+1</f>
        <v>54</v>
      </c>
      <c r="BP121" s="165">
        <f t="shared" si="30"/>
        <v>46</v>
      </c>
      <c r="BQ121" s="172" t="s">
        <v>1804</v>
      </c>
      <c r="BR121" s="165">
        <v>0</v>
      </c>
      <c r="BS121" s="165">
        <v>1</v>
      </c>
      <c r="BT121" s="165">
        <v>1</v>
      </c>
      <c r="BU121" s="165">
        <v>0</v>
      </c>
      <c r="BV121" s="165">
        <v>0</v>
      </c>
      <c r="BW121" s="165">
        <v>0</v>
      </c>
      <c r="BX121" s="165">
        <v>0</v>
      </c>
      <c r="BY121" s="165" t="s">
        <v>161</v>
      </c>
      <c r="BZ121" s="165">
        <v>0</v>
      </c>
      <c r="CA121" s="165"/>
      <c r="CB121" s="170">
        <v>43941</v>
      </c>
      <c r="CC121" s="170">
        <v>43993</v>
      </c>
      <c r="CD121" s="165">
        <v>2</v>
      </c>
      <c r="CE121" s="165" t="s">
        <v>161</v>
      </c>
      <c r="CF121" s="165"/>
      <c r="CG121" s="165"/>
      <c r="CH121" s="376">
        <v>1</v>
      </c>
      <c r="CI121" s="165">
        <v>1</v>
      </c>
      <c r="CJ121" s="165"/>
      <c r="CK121" s="165" t="s">
        <v>807</v>
      </c>
    </row>
    <row r="122" spans="1:102" ht="25" customHeight="1" x14ac:dyDescent="0.35">
      <c r="A122" s="165">
        <v>125</v>
      </c>
      <c r="B122" s="165" t="s">
        <v>1805</v>
      </c>
      <c r="C122" s="165" t="s">
        <v>1806</v>
      </c>
      <c r="D122" s="165" t="s">
        <v>1807</v>
      </c>
      <c r="E122" s="165" t="s">
        <v>1808</v>
      </c>
      <c r="F122" s="165" t="s">
        <v>4140</v>
      </c>
      <c r="G122" s="165">
        <v>6</v>
      </c>
      <c r="H122" s="165" t="s">
        <v>51</v>
      </c>
      <c r="I122" s="165" t="s">
        <v>4136</v>
      </c>
      <c r="J122" s="165" t="s">
        <v>1419</v>
      </c>
      <c r="K122" s="165" t="s">
        <v>1809</v>
      </c>
      <c r="L122" s="165" t="s">
        <v>4136</v>
      </c>
      <c r="M122" s="165" t="s">
        <v>148</v>
      </c>
      <c r="N122" s="173" t="s">
        <v>1810</v>
      </c>
      <c r="O122" s="251" t="s">
        <v>149</v>
      </c>
      <c r="P122" s="252" t="s">
        <v>149</v>
      </c>
      <c r="Q122" s="165"/>
      <c r="R122" s="165" t="s">
        <v>1811</v>
      </c>
      <c r="S122" s="165" t="s">
        <v>1812</v>
      </c>
      <c r="T122" s="350" t="s">
        <v>1813</v>
      </c>
      <c r="U122" s="166" t="s">
        <v>910</v>
      </c>
      <c r="V122" s="166">
        <v>30609</v>
      </c>
      <c r="W122" s="172" t="s">
        <v>1814</v>
      </c>
      <c r="X122" s="172" t="s">
        <v>154</v>
      </c>
      <c r="Y122" s="172" t="s">
        <v>161</v>
      </c>
      <c r="Z122" s="172" t="s">
        <v>156</v>
      </c>
      <c r="AA122" s="165">
        <v>24</v>
      </c>
      <c r="AB122" s="166">
        <v>42826</v>
      </c>
      <c r="AC122" s="287">
        <v>42430</v>
      </c>
      <c r="AD122" s="166"/>
      <c r="AE122" s="253" t="s">
        <v>1815</v>
      </c>
      <c r="AF122" s="253" t="s">
        <v>1816</v>
      </c>
      <c r="AG122" s="165"/>
      <c r="AH122" s="165">
        <f t="shared" si="23"/>
        <v>2</v>
      </c>
      <c r="AI122" s="172" t="s">
        <v>280</v>
      </c>
      <c r="AJ122" s="172" t="s">
        <v>159</v>
      </c>
      <c r="AK122" s="165"/>
      <c r="AL122" s="165" t="s">
        <v>161</v>
      </c>
      <c r="AM122" s="165" t="s">
        <v>148</v>
      </c>
      <c r="AN122" s="165"/>
      <c r="AO122" s="165" t="s">
        <v>162</v>
      </c>
      <c r="AP122" s="165" t="s">
        <v>201</v>
      </c>
      <c r="AQ122" s="165" t="s">
        <v>201</v>
      </c>
      <c r="AR122" s="165"/>
      <c r="AS122" s="165"/>
      <c r="AT122" s="36" t="s">
        <v>1817</v>
      </c>
      <c r="AU122" s="165" t="s">
        <v>1818</v>
      </c>
      <c r="AV122" s="166"/>
      <c r="AW122" s="167">
        <v>42428</v>
      </c>
      <c r="AX122" s="167">
        <v>42681</v>
      </c>
      <c r="AY122" s="167" t="s">
        <v>148</v>
      </c>
      <c r="AZ122" s="167">
        <v>42978</v>
      </c>
      <c r="BA122" s="167">
        <v>42997</v>
      </c>
      <c r="BB122" s="167">
        <v>43012</v>
      </c>
      <c r="BC122" s="167"/>
      <c r="BD122" s="167"/>
      <c r="BE122" s="168" t="s">
        <v>1819</v>
      </c>
      <c r="BF122" s="167">
        <v>43309</v>
      </c>
      <c r="BG122" s="167" t="s">
        <v>148</v>
      </c>
      <c r="BH122" s="167">
        <v>43528</v>
      </c>
      <c r="BI122" s="167" t="s">
        <v>148</v>
      </c>
      <c r="BJ122" s="166">
        <v>44463</v>
      </c>
      <c r="BK122" s="166"/>
      <c r="BL122" s="166"/>
      <c r="BM122" s="169">
        <v>45898</v>
      </c>
      <c r="BN122" s="165" t="s">
        <v>16</v>
      </c>
      <c r="BO122" s="171">
        <f>DATEDIF(AW122,BM122, "M")+1</f>
        <v>115</v>
      </c>
      <c r="BP122" s="165">
        <f t="shared" si="30"/>
        <v>106</v>
      </c>
      <c r="BQ122" s="165"/>
      <c r="BR122" s="165"/>
      <c r="BS122" s="165">
        <v>2</v>
      </c>
      <c r="BT122" s="165">
        <v>0</v>
      </c>
      <c r="BU122" s="165">
        <v>1</v>
      </c>
      <c r="BV122" s="165">
        <v>0</v>
      </c>
      <c r="BW122" s="165">
        <v>0</v>
      </c>
      <c r="BX122" s="165">
        <v>0</v>
      </c>
      <c r="BY122" s="165" t="s">
        <v>161</v>
      </c>
      <c r="BZ122" s="165">
        <v>0</v>
      </c>
      <c r="CA122" s="165"/>
      <c r="CB122" s="170"/>
      <c r="CC122" s="170"/>
      <c r="CD122" s="165"/>
      <c r="CE122" s="165" t="s">
        <v>161</v>
      </c>
      <c r="CF122" s="165"/>
      <c r="CG122" s="165"/>
      <c r="CH122" s="376"/>
      <c r="CI122" s="165"/>
      <c r="CJ122" s="165"/>
      <c r="CK122" s="165" t="s">
        <v>1820</v>
      </c>
    </row>
    <row r="123" spans="1:102" ht="25" customHeight="1" x14ac:dyDescent="0.35">
      <c r="A123" s="165">
        <v>126</v>
      </c>
      <c r="B123" s="165" t="s">
        <v>1821</v>
      </c>
      <c r="C123" s="165" t="s">
        <v>1822</v>
      </c>
      <c r="D123" s="165" t="s">
        <v>1823</v>
      </c>
      <c r="E123" s="165" t="s">
        <v>1824</v>
      </c>
      <c r="F123" s="165" t="s">
        <v>4140</v>
      </c>
      <c r="G123" s="165">
        <v>6</v>
      </c>
      <c r="H123" s="165" t="s">
        <v>52</v>
      </c>
      <c r="I123" s="165" t="s">
        <v>44</v>
      </c>
      <c r="J123" s="165" t="s">
        <v>361</v>
      </c>
      <c r="K123" s="165" t="s">
        <v>1825</v>
      </c>
      <c r="L123" s="165" t="s">
        <v>44</v>
      </c>
      <c r="M123" s="165" t="s">
        <v>148</v>
      </c>
      <c r="N123" s="165">
        <v>6815541</v>
      </c>
      <c r="O123" s="251" t="s">
        <v>320</v>
      </c>
      <c r="P123" s="252" t="s">
        <v>320</v>
      </c>
      <c r="Q123" s="165" t="s">
        <v>1826</v>
      </c>
      <c r="R123" s="165" t="s">
        <v>1827</v>
      </c>
      <c r="S123" s="175" t="s">
        <v>1828</v>
      </c>
      <c r="T123" s="350" t="s">
        <v>1829</v>
      </c>
      <c r="U123" s="166" t="s">
        <v>1830</v>
      </c>
      <c r="V123" s="166">
        <v>32614</v>
      </c>
      <c r="W123" s="172" t="s">
        <v>1831</v>
      </c>
      <c r="X123" s="172" t="s">
        <v>177</v>
      </c>
      <c r="Y123" s="172" t="s">
        <v>161</v>
      </c>
      <c r="Z123" s="172" t="s">
        <v>156</v>
      </c>
      <c r="AA123" s="165">
        <v>5.5</v>
      </c>
      <c r="AB123" s="166">
        <v>42464</v>
      </c>
      <c r="AC123" s="287">
        <v>42430</v>
      </c>
      <c r="AD123" s="166"/>
      <c r="AE123" s="253" t="s">
        <v>1832</v>
      </c>
      <c r="AF123" s="165"/>
      <c r="AG123" s="165"/>
      <c r="AH123" s="165">
        <f t="shared" si="23"/>
        <v>1</v>
      </c>
      <c r="AI123" s="37" t="s">
        <v>159</v>
      </c>
      <c r="AJ123" s="165"/>
      <c r="AK123" s="165"/>
      <c r="AL123" s="165" t="s">
        <v>161</v>
      </c>
      <c r="AM123" s="165"/>
      <c r="AN123" s="165"/>
      <c r="AO123" s="165" t="s">
        <v>180</v>
      </c>
      <c r="AP123" s="165" t="s">
        <v>1833</v>
      </c>
      <c r="AQ123" s="165" t="s">
        <v>1833</v>
      </c>
      <c r="AR123" s="165" t="s">
        <v>161</v>
      </c>
      <c r="AS123" s="165"/>
      <c r="AT123" s="36" t="s">
        <v>1834</v>
      </c>
      <c r="AU123" s="165" t="s">
        <v>1835</v>
      </c>
      <c r="AV123" s="166"/>
      <c r="AW123" s="167">
        <v>42428</v>
      </c>
      <c r="AX123" s="167">
        <v>42681</v>
      </c>
      <c r="AY123" s="167" t="s">
        <v>148</v>
      </c>
      <c r="AZ123" s="167">
        <v>42753</v>
      </c>
      <c r="BA123" s="167">
        <v>43242</v>
      </c>
      <c r="BB123" s="165"/>
      <c r="BC123" s="165"/>
      <c r="BD123" s="165"/>
      <c r="BE123" s="168" t="s">
        <v>1836</v>
      </c>
      <c r="BF123" s="167">
        <v>43309</v>
      </c>
      <c r="BG123" s="167" t="s">
        <v>148</v>
      </c>
      <c r="BH123" s="167">
        <v>43528</v>
      </c>
      <c r="BI123" s="167" t="s">
        <v>148</v>
      </c>
      <c r="BJ123" s="166"/>
      <c r="BK123" s="166"/>
      <c r="BL123" s="166"/>
      <c r="BM123" s="169">
        <v>43768</v>
      </c>
      <c r="BN123" s="165" t="s">
        <v>16</v>
      </c>
      <c r="BO123" s="171">
        <f>DATEDIF(AW123,BM123, "M")+1</f>
        <v>45</v>
      </c>
      <c r="BP123" s="165">
        <f>DATEDIF(AX123,BM123, "M")+1</f>
        <v>36</v>
      </c>
      <c r="BQ123" s="165"/>
      <c r="BR123" s="165">
        <v>2</v>
      </c>
      <c r="BS123" s="165">
        <v>14</v>
      </c>
      <c r="BT123" s="165">
        <v>7</v>
      </c>
      <c r="BU123" s="165">
        <v>2</v>
      </c>
      <c r="BV123" s="165">
        <v>3</v>
      </c>
      <c r="BW123" s="165">
        <v>0</v>
      </c>
      <c r="BX123" s="165">
        <v>0</v>
      </c>
      <c r="BY123" s="165" t="s">
        <v>161</v>
      </c>
      <c r="BZ123" s="165">
        <v>0</v>
      </c>
      <c r="CA123" s="165"/>
      <c r="CB123" s="170">
        <v>44896</v>
      </c>
      <c r="CC123" s="170">
        <v>44985</v>
      </c>
      <c r="CD123" s="165">
        <v>3</v>
      </c>
      <c r="CE123" s="165" t="s">
        <v>161</v>
      </c>
      <c r="CF123" s="165"/>
      <c r="CG123" s="165"/>
      <c r="CH123" s="376">
        <v>0</v>
      </c>
      <c r="CI123" s="165">
        <v>0</v>
      </c>
      <c r="CJ123" s="165">
        <v>3</v>
      </c>
      <c r="CK123" s="165" t="s">
        <v>807</v>
      </c>
    </row>
    <row r="124" spans="1:102" ht="25" customHeight="1" x14ac:dyDescent="0.35">
      <c r="A124" s="165">
        <v>127</v>
      </c>
      <c r="B124" s="165" t="s">
        <v>1837</v>
      </c>
      <c r="C124" s="165" t="s">
        <v>1838</v>
      </c>
      <c r="D124" s="165"/>
      <c r="E124" s="165" t="s">
        <v>1839</v>
      </c>
      <c r="F124" s="165" t="s">
        <v>4139</v>
      </c>
      <c r="G124" s="165">
        <v>6</v>
      </c>
      <c r="H124" s="165" t="s">
        <v>53</v>
      </c>
      <c r="I124" s="165" t="s">
        <v>43</v>
      </c>
      <c r="J124" s="165" t="s">
        <v>600</v>
      </c>
      <c r="K124" s="165" t="s">
        <v>288</v>
      </c>
      <c r="L124" s="165" t="s">
        <v>44</v>
      </c>
      <c r="M124" s="165" t="s">
        <v>148</v>
      </c>
      <c r="N124" s="165">
        <v>1584607</v>
      </c>
      <c r="O124" s="251" t="s">
        <v>149</v>
      </c>
      <c r="P124" s="252" t="s">
        <v>149</v>
      </c>
      <c r="Q124" s="165"/>
      <c r="R124" s="165" t="s">
        <v>1840</v>
      </c>
      <c r="S124" s="165" t="s">
        <v>1841</v>
      </c>
      <c r="T124" s="350" t="s">
        <v>1842</v>
      </c>
      <c r="U124" s="166" t="s">
        <v>815</v>
      </c>
      <c r="V124" s="166">
        <v>28875</v>
      </c>
      <c r="W124" s="172" t="s">
        <v>1843</v>
      </c>
      <c r="X124" s="172" t="s">
        <v>177</v>
      </c>
      <c r="Y124" s="172" t="s">
        <v>161</v>
      </c>
      <c r="Z124" s="172" t="s">
        <v>156</v>
      </c>
      <c r="AA124" s="165">
        <v>31.5</v>
      </c>
      <c r="AB124" s="166">
        <v>42810</v>
      </c>
      <c r="AC124" s="287">
        <v>42430</v>
      </c>
      <c r="AD124" s="166"/>
      <c r="AE124" s="253" t="s">
        <v>1844</v>
      </c>
      <c r="AF124" s="253" t="s">
        <v>1845</v>
      </c>
      <c r="AG124" s="165"/>
      <c r="AH124" s="165">
        <f t="shared" si="23"/>
        <v>2</v>
      </c>
      <c r="AI124" s="37" t="s">
        <v>280</v>
      </c>
      <c r="AJ124" s="165" t="s">
        <v>159</v>
      </c>
      <c r="AK124" s="165"/>
      <c r="AL124" s="165" t="s">
        <v>161</v>
      </c>
      <c r="AM124" s="165" t="s">
        <v>161</v>
      </c>
      <c r="AN124" s="165"/>
      <c r="AO124" s="165" t="s">
        <v>162</v>
      </c>
      <c r="AP124" s="172" t="s">
        <v>179</v>
      </c>
      <c r="AQ124" s="172" t="s">
        <v>201</v>
      </c>
      <c r="AR124" s="172" t="s">
        <v>161</v>
      </c>
      <c r="AS124" s="172"/>
      <c r="AT124" s="36" t="s">
        <v>217</v>
      </c>
      <c r="AU124" s="165" t="s">
        <v>1846</v>
      </c>
      <c r="AV124" s="166"/>
      <c r="AW124" s="167">
        <v>42428</v>
      </c>
      <c r="AX124" s="167">
        <v>42681</v>
      </c>
      <c r="AY124" s="167" t="s">
        <v>148</v>
      </c>
      <c r="AZ124" s="167">
        <v>43433</v>
      </c>
      <c r="BA124" s="167">
        <v>43437</v>
      </c>
      <c r="BB124" s="165"/>
      <c r="BC124" s="165"/>
      <c r="BD124" s="165"/>
      <c r="BE124" s="168" t="s">
        <v>1847</v>
      </c>
      <c r="BF124" s="315">
        <v>44937</v>
      </c>
      <c r="BG124" s="315" t="s">
        <v>161</v>
      </c>
      <c r="BH124" s="315">
        <v>44431</v>
      </c>
      <c r="BI124" s="313" t="s">
        <v>161</v>
      </c>
      <c r="BJ124" s="166"/>
      <c r="BK124" s="166"/>
      <c r="BL124" s="166"/>
      <c r="BM124" s="169">
        <v>45591</v>
      </c>
      <c r="BN124" s="165" t="s">
        <v>16</v>
      </c>
      <c r="BO124" s="171">
        <f>DATEDIF(AW124,BM124, "M")+1</f>
        <v>104</v>
      </c>
      <c r="BP124" s="165">
        <f>DATEDIF(AX124,BM124, "M")+1</f>
        <v>96</v>
      </c>
      <c r="BQ124" s="172" t="s">
        <v>1843</v>
      </c>
      <c r="BR124" s="165">
        <v>1</v>
      </c>
      <c r="BS124" s="165">
        <v>1</v>
      </c>
      <c r="BT124" s="165">
        <v>0</v>
      </c>
      <c r="BU124" s="165">
        <v>0</v>
      </c>
      <c r="BV124" s="165">
        <v>0</v>
      </c>
      <c r="BW124" s="165">
        <v>0</v>
      </c>
      <c r="BX124" s="165">
        <v>0</v>
      </c>
      <c r="BY124" s="165" t="s">
        <v>161</v>
      </c>
      <c r="BZ124" s="165">
        <v>0</v>
      </c>
      <c r="CA124" s="165"/>
      <c r="CB124" s="170"/>
      <c r="CC124" s="170"/>
      <c r="CD124" s="165"/>
      <c r="CE124" s="165" t="s">
        <v>161</v>
      </c>
      <c r="CF124" s="165"/>
      <c r="CG124" s="165"/>
      <c r="CH124" s="376">
        <v>2</v>
      </c>
      <c r="CI124" s="165">
        <v>4</v>
      </c>
      <c r="CJ124" s="165"/>
      <c r="CK124" s="165" t="s">
        <v>1820</v>
      </c>
    </row>
    <row r="125" spans="1:102" ht="25" customHeight="1" x14ac:dyDescent="0.35">
      <c r="A125" s="165">
        <v>128</v>
      </c>
      <c r="B125" s="165" t="s">
        <v>1848</v>
      </c>
      <c r="C125" s="165" t="s">
        <v>1849</v>
      </c>
      <c r="D125" s="165"/>
      <c r="E125" s="165" t="s">
        <v>1850</v>
      </c>
      <c r="F125" s="165" t="s">
        <v>4139</v>
      </c>
      <c r="G125" s="165">
        <v>6</v>
      </c>
      <c r="H125" s="165" t="s">
        <v>52</v>
      </c>
      <c r="I125" s="165" t="s">
        <v>31</v>
      </c>
      <c r="J125" s="165" t="s">
        <v>1069</v>
      </c>
      <c r="K125" s="165" t="s">
        <v>558</v>
      </c>
      <c r="L125" s="165" t="s">
        <v>31</v>
      </c>
      <c r="M125" s="165" t="s">
        <v>148</v>
      </c>
      <c r="N125" s="165">
        <v>98769</v>
      </c>
      <c r="O125" s="251" t="s">
        <v>149</v>
      </c>
      <c r="P125" s="252" t="s">
        <v>149</v>
      </c>
      <c r="Q125" s="165" t="s">
        <v>149</v>
      </c>
      <c r="R125" s="165" t="s">
        <v>1851</v>
      </c>
      <c r="S125" s="165" t="s">
        <v>1852</v>
      </c>
      <c r="T125" s="349" t="s">
        <v>1853</v>
      </c>
      <c r="U125" s="166" t="s">
        <v>1854</v>
      </c>
      <c r="V125" s="166">
        <v>29721</v>
      </c>
      <c r="W125" s="172" t="s">
        <v>1855</v>
      </c>
      <c r="X125" s="172" t="s">
        <v>177</v>
      </c>
      <c r="Y125" s="172" t="s">
        <v>161</v>
      </c>
      <c r="Z125" s="172" t="s">
        <v>156</v>
      </c>
      <c r="AA125" s="165">
        <v>5.5</v>
      </c>
      <c r="AB125" s="166">
        <v>42590</v>
      </c>
      <c r="AC125" s="287">
        <v>42430</v>
      </c>
      <c r="AD125" s="166"/>
      <c r="AE125" s="253" t="s">
        <v>1856</v>
      </c>
      <c r="AF125" s="165"/>
      <c r="AG125" s="165"/>
      <c r="AH125" s="165">
        <f t="shared" si="23"/>
        <v>1</v>
      </c>
      <c r="AI125" s="172" t="s">
        <v>159</v>
      </c>
      <c r="AJ125" s="165"/>
      <c r="AK125" s="165"/>
      <c r="AL125" s="165" t="s">
        <v>148</v>
      </c>
      <c r="AM125" s="165"/>
      <c r="AN125" s="165"/>
      <c r="AO125" s="165" t="s">
        <v>162</v>
      </c>
      <c r="AP125" s="172" t="s">
        <v>1857</v>
      </c>
      <c r="AQ125" s="172" t="s">
        <v>248</v>
      </c>
      <c r="AR125" s="172" t="s">
        <v>148</v>
      </c>
      <c r="AS125" s="172"/>
      <c r="AT125" s="36" t="s">
        <v>326</v>
      </c>
      <c r="AU125" s="165" t="s">
        <v>1858</v>
      </c>
      <c r="AV125" s="166"/>
      <c r="AW125" s="167">
        <v>42428</v>
      </c>
      <c r="AX125" s="167">
        <v>42681</v>
      </c>
      <c r="AY125" s="167" t="s">
        <v>148</v>
      </c>
      <c r="AZ125" s="167">
        <v>42752</v>
      </c>
      <c r="BA125" s="167">
        <v>42752</v>
      </c>
      <c r="BB125" s="166">
        <v>43116</v>
      </c>
      <c r="BC125" s="166"/>
      <c r="BD125" s="166"/>
      <c r="BE125" s="168" t="s">
        <v>1859</v>
      </c>
      <c r="BF125" s="167">
        <v>43309</v>
      </c>
      <c r="BG125" s="167" t="s">
        <v>148</v>
      </c>
      <c r="BH125" s="167">
        <v>43528</v>
      </c>
      <c r="BI125" s="167" t="s">
        <v>148</v>
      </c>
      <c r="BJ125" s="166"/>
      <c r="BK125" s="166"/>
      <c r="BL125" s="166"/>
      <c r="BM125" s="169">
        <v>44276</v>
      </c>
      <c r="BN125" s="165" t="s">
        <v>16</v>
      </c>
      <c r="BO125" s="165">
        <f t="shared" ref="BO125" si="31">DATEDIF(AW125,BM125, "M")+1</f>
        <v>61</v>
      </c>
      <c r="BP125" s="165">
        <f t="shared" ref="BP125:BP129" si="32">DATEDIF(AX125,BM125, "M")+1</f>
        <v>53</v>
      </c>
      <c r="BQ125" s="165"/>
      <c r="BR125" s="165">
        <v>4</v>
      </c>
      <c r="BS125" s="165">
        <v>2</v>
      </c>
      <c r="BT125" s="165">
        <v>0</v>
      </c>
      <c r="BU125" s="165">
        <v>0</v>
      </c>
      <c r="BV125" s="165">
        <v>1</v>
      </c>
      <c r="BW125" s="165">
        <v>0</v>
      </c>
      <c r="BX125" s="165">
        <v>0</v>
      </c>
      <c r="BY125" s="165" t="s">
        <v>161</v>
      </c>
      <c r="BZ125" s="165">
        <v>0</v>
      </c>
      <c r="CA125" s="165"/>
      <c r="CB125" s="170">
        <v>43907</v>
      </c>
      <c r="CC125" s="170">
        <v>44242</v>
      </c>
      <c r="CD125" s="165">
        <v>11</v>
      </c>
      <c r="CE125" s="165" t="s">
        <v>161</v>
      </c>
      <c r="CF125" s="165"/>
      <c r="CG125" s="165"/>
      <c r="CH125" s="376">
        <v>2</v>
      </c>
      <c r="CI125" s="165">
        <v>2</v>
      </c>
      <c r="CJ125" s="165"/>
      <c r="CK125" s="165" t="s">
        <v>1860</v>
      </c>
    </row>
    <row r="126" spans="1:102" ht="25" customHeight="1" x14ac:dyDescent="0.35">
      <c r="A126" s="165">
        <v>129</v>
      </c>
      <c r="B126" s="165" t="s">
        <v>1861</v>
      </c>
      <c r="C126" s="165" t="s">
        <v>1862</v>
      </c>
      <c r="D126" s="165" t="s">
        <v>1863</v>
      </c>
      <c r="E126" s="165" t="s">
        <v>1864</v>
      </c>
      <c r="F126" s="165" t="s">
        <v>4140</v>
      </c>
      <c r="G126" s="165">
        <v>6</v>
      </c>
      <c r="H126" s="165" t="s">
        <v>56</v>
      </c>
      <c r="I126" s="165" t="s">
        <v>44</v>
      </c>
      <c r="J126" s="165" t="s">
        <v>1865</v>
      </c>
      <c r="K126" s="165" t="s">
        <v>1866</v>
      </c>
      <c r="L126" s="165" t="s">
        <v>44</v>
      </c>
      <c r="M126" s="165" t="s">
        <v>148</v>
      </c>
      <c r="N126" s="254" t="s">
        <v>1867</v>
      </c>
      <c r="O126" s="255"/>
      <c r="P126" s="256" t="s">
        <v>149</v>
      </c>
      <c r="Q126" s="165" t="s">
        <v>149</v>
      </c>
      <c r="R126" s="386" t="s">
        <v>1868</v>
      </c>
      <c r="S126" s="386" t="s">
        <v>1869</v>
      </c>
      <c r="T126" s="350" t="s">
        <v>1870</v>
      </c>
      <c r="U126" s="166" t="s">
        <v>1871</v>
      </c>
      <c r="V126" s="166">
        <v>29976</v>
      </c>
      <c r="W126" s="172" t="s">
        <v>1872</v>
      </c>
      <c r="X126" s="172" t="s">
        <v>177</v>
      </c>
      <c r="Y126" s="172" t="s">
        <v>161</v>
      </c>
      <c r="Z126" s="172" t="s">
        <v>156</v>
      </c>
      <c r="AA126" s="165">
        <v>13.5</v>
      </c>
      <c r="AB126" s="166">
        <v>42036</v>
      </c>
      <c r="AC126" s="287">
        <v>42430</v>
      </c>
      <c r="AD126" s="166"/>
      <c r="AE126" s="37" t="s">
        <v>1873</v>
      </c>
      <c r="AF126" s="257"/>
      <c r="AG126" s="257"/>
      <c r="AH126" s="165">
        <f t="shared" si="23"/>
        <v>1</v>
      </c>
      <c r="AI126" s="172" t="s">
        <v>159</v>
      </c>
      <c r="AJ126" s="257"/>
      <c r="AK126" s="257"/>
      <c r="AL126" s="257" t="s">
        <v>148</v>
      </c>
      <c r="AM126" s="257"/>
      <c r="AN126" s="257"/>
      <c r="AO126" s="255" t="s">
        <v>162</v>
      </c>
      <c r="AP126" s="258" t="s">
        <v>368</v>
      </c>
      <c r="AQ126" s="258" t="s">
        <v>341</v>
      </c>
      <c r="AR126" s="255" t="s">
        <v>148</v>
      </c>
      <c r="AS126" s="255"/>
      <c r="AT126" s="418" t="s">
        <v>370</v>
      </c>
      <c r="AU126" s="165" t="s">
        <v>1874</v>
      </c>
      <c r="AV126" s="166"/>
      <c r="AW126" s="167">
        <v>42428</v>
      </c>
      <c r="AX126" s="167">
        <v>42675</v>
      </c>
      <c r="AY126" s="167" t="s">
        <v>148</v>
      </c>
      <c r="AZ126" s="167">
        <v>42430</v>
      </c>
      <c r="BA126" s="167">
        <v>42430</v>
      </c>
      <c r="BB126" s="167">
        <v>42461</v>
      </c>
      <c r="BC126" s="167"/>
      <c r="BD126" s="167"/>
      <c r="BE126" s="168" t="s">
        <v>1875</v>
      </c>
      <c r="BF126" s="167">
        <v>43309</v>
      </c>
      <c r="BG126" s="167" t="s">
        <v>148</v>
      </c>
      <c r="BH126" s="167">
        <v>43528</v>
      </c>
      <c r="BI126" s="167" t="s">
        <v>148</v>
      </c>
      <c r="BJ126" s="166">
        <v>43313</v>
      </c>
      <c r="BK126" s="166">
        <v>43313</v>
      </c>
      <c r="BL126" s="166">
        <v>43393</v>
      </c>
      <c r="BM126" s="169">
        <v>43398</v>
      </c>
      <c r="BN126" s="165" t="s">
        <v>16</v>
      </c>
      <c r="BO126" s="165">
        <f>DATEDIF(AW126,BM126, "M")+1</f>
        <v>32</v>
      </c>
      <c r="BP126" s="165">
        <f t="shared" si="32"/>
        <v>24</v>
      </c>
      <c r="BQ126" s="172" t="s">
        <v>1876</v>
      </c>
      <c r="BR126" s="165">
        <v>1</v>
      </c>
      <c r="BS126" s="165">
        <v>8</v>
      </c>
      <c r="BT126" s="165">
        <v>20</v>
      </c>
      <c r="BU126" s="165">
        <v>7</v>
      </c>
      <c r="BV126" s="165">
        <v>1</v>
      </c>
      <c r="BW126" s="165">
        <v>0</v>
      </c>
      <c r="BX126" s="165">
        <v>0</v>
      </c>
      <c r="BY126" s="165" t="s">
        <v>161</v>
      </c>
      <c r="BZ126" s="165">
        <v>0</v>
      </c>
      <c r="CA126" s="165"/>
      <c r="CB126" s="170"/>
      <c r="CC126" s="170"/>
      <c r="CD126" s="165"/>
      <c r="CE126" s="165" t="s">
        <v>161</v>
      </c>
      <c r="CF126" s="165"/>
      <c r="CG126" s="165"/>
      <c r="CH126" s="376">
        <v>2</v>
      </c>
      <c r="CI126" s="165">
        <v>2</v>
      </c>
      <c r="CJ126" s="165"/>
      <c r="CK126" s="165" t="s">
        <v>1860</v>
      </c>
    </row>
    <row r="127" spans="1:102" ht="25" customHeight="1" x14ac:dyDescent="0.35">
      <c r="A127" s="165">
        <v>130</v>
      </c>
      <c r="B127" s="165" t="s">
        <v>1877</v>
      </c>
      <c r="C127" s="165" t="s">
        <v>1878</v>
      </c>
      <c r="D127" s="165"/>
      <c r="E127" s="165" t="s">
        <v>1879</v>
      </c>
      <c r="F127" s="165" t="s">
        <v>4139</v>
      </c>
      <c r="G127" s="165">
        <v>6</v>
      </c>
      <c r="H127" s="165" t="s">
        <v>58</v>
      </c>
      <c r="I127" s="165" t="s">
        <v>35</v>
      </c>
      <c r="J127" s="165" t="s">
        <v>1880</v>
      </c>
      <c r="K127" s="165" t="s">
        <v>1881</v>
      </c>
      <c r="L127" s="165" t="s">
        <v>35</v>
      </c>
      <c r="M127" s="165" t="s">
        <v>148</v>
      </c>
      <c r="N127" s="165" t="s">
        <v>1882</v>
      </c>
      <c r="O127" s="251" t="s">
        <v>149</v>
      </c>
      <c r="P127" s="252" t="s">
        <v>149</v>
      </c>
      <c r="Q127" s="165" t="s">
        <v>149</v>
      </c>
      <c r="R127" s="165" t="s">
        <v>1883</v>
      </c>
      <c r="S127" s="165" t="s">
        <v>1884</v>
      </c>
      <c r="T127" s="349" t="s">
        <v>1885</v>
      </c>
      <c r="U127" s="166" t="s">
        <v>1886</v>
      </c>
      <c r="V127" s="166">
        <v>30230</v>
      </c>
      <c r="W127" s="172" t="s">
        <v>1887</v>
      </c>
      <c r="X127" s="172" t="s">
        <v>177</v>
      </c>
      <c r="Y127" s="172" t="s">
        <v>155</v>
      </c>
      <c r="Z127" s="172" t="s">
        <v>156</v>
      </c>
      <c r="AA127" s="165">
        <v>17.5</v>
      </c>
      <c r="AB127" s="166">
        <v>42638</v>
      </c>
      <c r="AC127" s="287">
        <v>42430</v>
      </c>
      <c r="AD127" s="166"/>
      <c r="AE127" s="253" t="s">
        <v>1888</v>
      </c>
      <c r="AF127" s="253" t="s">
        <v>1889</v>
      </c>
      <c r="AG127" s="165" t="s">
        <v>1890</v>
      </c>
      <c r="AH127" s="165">
        <f t="shared" ref="AH127:AH158" si="33">COUNTA(AE127:AG127)</f>
        <v>3</v>
      </c>
      <c r="AI127" s="172" t="s">
        <v>159</v>
      </c>
      <c r="AJ127" s="172" t="s">
        <v>159</v>
      </c>
      <c r="AK127" s="165" t="s">
        <v>1891</v>
      </c>
      <c r="AL127" s="165" t="s">
        <v>148</v>
      </c>
      <c r="AM127" s="165" t="s">
        <v>161</v>
      </c>
      <c r="AN127" s="165" t="s">
        <v>161</v>
      </c>
      <c r="AO127" s="165" t="s">
        <v>162</v>
      </c>
      <c r="AP127" s="172" t="s">
        <v>577</v>
      </c>
      <c r="AQ127" s="165" t="s">
        <v>201</v>
      </c>
      <c r="AR127" s="165" t="s">
        <v>148</v>
      </c>
      <c r="AS127" s="258" t="s">
        <v>1892</v>
      </c>
      <c r="AT127" s="36" t="s">
        <v>578</v>
      </c>
      <c r="AU127" s="165" t="s">
        <v>1893</v>
      </c>
      <c r="AV127" s="166"/>
      <c r="AW127" s="167">
        <v>42428</v>
      </c>
      <c r="AX127" s="167">
        <v>42681</v>
      </c>
      <c r="AY127" s="167" t="s">
        <v>148</v>
      </c>
      <c r="AZ127" s="167">
        <v>42745</v>
      </c>
      <c r="BA127" s="167">
        <v>42858</v>
      </c>
      <c r="BB127" s="167"/>
      <c r="BC127" s="167"/>
      <c r="BD127" s="167"/>
      <c r="BE127" s="168" t="s">
        <v>1887</v>
      </c>
      <c r="BF127" s="167">
        <v>43309</v>
      </c>
      <c r="BG127" s="167" t="s">
        <v>148</v>
      </c>
      <c r="BH127" s="167">
        <v>43528</v>
      </c>
      <c r="BI127" s="167" t="s">
        <v>148</v>
      </c>
      <c r="BJ127" s="166"/>
      <c r="BK127" s="166">
        <v>44476</v>
      </c>
      <c r="BL127" s="166"/>
      <c r="BM127" s="169">
        <v>44607</v>
      </c>
      <c r="BN127" s="165" t="s">
        <v>16</v>
      </c>
      <c r="BO127" s="165">
        <f t="shared" ref="BO127" si="34">DATEDIF(AW127,BM127, "M")+1</f>
        <v>72</v>
      </c>
      <c r="BP127" s="165">
        <f t="shared" si="32"/>
        <v>64</v>
      </c>
      <c r="BQ127" s="165" t="s">
        <v>1894</v>
      </c>
      <c r="BR127" s="165">
        <v>4</v>
      </c>
      <c r="BS127" s="165">
        <v>20</v>
      </c>
      <c r="BT127" s="165">
        <v>5</v>
      </c>
      <c r="BU127" s="165">
        <v>3</v>
      </c>
      <c r="BV127" s="165">
        <v>2</v>
      </c>
      <c r="BW127" s="165">
        <v>0</v>
      </c>
      <c r="BX127" s="165">
        <v>0</v>
      </c>
      <c r="BY127" s="165" t="s">
        <v>161</v>
      </c>
      <c r="BZ127" s="165">
        <v>0</v>
      </c>
      <c r="CA127" s="165"/>
      <c r="CB127" s="170"/>
      <c r="CC127" s="170"/>
      <c r="CD127" s="165"/>
      <c r="CE127" s="165" t="s">
        <v>161</v>
      </c>
      <c r="CF127" s="165"/>
      <c r="CG127" s="165"/>
      <c r="CH127" s="376">
        <v>2</v>
      </c>
      <c r="CI127" s="165">
        <v>4</v>
      </c>
      <c r="CJ127" s="165"/>
      <c r="CK127" s="165" t="s">
        <v>1895</v>
      </c>
    </row>
    <row r="128" spans="1:102" ht="25" customHeight="1" x14ac:dyDescent="0.35">
      <c r="A128" s="165">
        <v>131</v>
      </c>
      <c r="B128" s="165" t="s">
        <v>1896</v>
      </c>
      <c r="C128" s="165" t="s">
        <v>617</v>
      </c>
      <c r="D128" s="165" t="s">
        <v>1897</v>
      </c>
      <c r="E128" s="165" t="s">
        <v>1898</v>
      </c>
      <c r="F128" s="165" t="s">
        <v>4139</v>
      </c>
      <c r="G128" s="165">
        <v>6</v>
      </c>
      <c r="H128" s="165" t="s">
        <v>52</v>
      </c>
      <c r="I128" s="165" t="s">
        <v>39</v>
      </c>
      <c r="J128" s="165" t="s">
        <v>1899</v>
      </c>
      <c r="K128" s="165" t="s">
        <v>1899</v>
      </c>
      <c r="L128" s="165" t="s">
        <v>39</v>
      </c>
      <c r="M128" s="165" t="s">
        <v>148</v>
      </c>
      <c r="N128" s="171" t="s">
        <v>1900</v>
      </c>
      <c r="O128" s="259" t="s">
        <v>149</v>
      </c>
      <c r="P128" s="260" t="s">
        <v>149</v>
      </c>
      <c r="Q128" s="165" t="s">
        <v>149</v>
      </c>
      <c r="R128" s="165" t="s">
        <v>1901</v>
      </c>
      <c r="S128" s="165" t="s">
        <v>1902</v>
      </c>
      <c r="T128" s="350" t="s">
        <v>1903</v>
      </c>
      <c r="U128" s="166" t="s">
        <v>1904</v>
      </c>
      <c r="V128" s="166">
        <v>28952</v>
      </c>
      <c r="W128" s="172" t="s">
        <v>1905</v>
      </c>
      <c r="X128" s="172" t="s">
        <v>177</v>
      </c>
      <c r="Y128" s="172" t="s">
        <v>161</v>
      </c>
      <c r="Z128" s="172" t="s">
        <v>156</v>
      </c>
      <c r="AA128" s="165">
        <v>24.5</v>
      </c>
      <c r="AB128" s="166">
        <v>42683</v>
      </c>
      <c r="AC128" s="287">
        <v>42430</v>
      </c>
      <c r="AD128" s="166"/>
      <c r="AE128" s="37" t="s">
        <v>1906</v>
      </c>
      <c r="AF128" s="257" t="s">
        <v>1907</v>
      </c>
      <c r="AG128" s="257"/>
      <c r="AH128" s="165">
        <f t="shared" si="33"/>
        <v>2</v>
      </c>
      <c r="AI128" s="172" t="s">
        <v>159</v>
      </c>
      <c r="AJ128" s="257"/>
      <c r="AK128" s="257"/>
      <c r="AL128" s="257" t="s">
        <v>148</v>
      </c>
      <c r="AM128" s="257"/>
      <c r="AN128" s="257"/>
      <c r="AO128" s="257" t="s">
        <v>162</v>
      </c>
      <c r="AP128" s="172" t="s">
        <v>179</v>
      </c>
      <c r="AQ128" s="261" t="s">
        <v>248</v>
      </c>
      <c r="AR128" s="261" t="s">
        <v>148</v>
      </c>
      <c r="AS128" s="261" t="s">
        <v>913</v>
      </c>
      <c r="AT128" s="419" t="s">
        <v>1908</v>
      </c>
      <c r="AU128" s="165" t="s">
        <v>1909</v>
      </c>
      <c r="AV128" s="166"/>
      <c r="AW128" s="167">
        <v>42428</v>
      </c>
      <c r="AX128" s="167">
        <v>42681</v>
      </c>
      <c r="AY128" s="167" t="s">
        <v>148</v>
      </c>
      <c r="AZ128" s="167">
        <v>43034</v>
      </c>
      <c r="BA128" s="167">
        <v>43046</v>
      </c>
      <c r="BB128" s="167"/>
      <c r="BC128" s="167"/>
      <c r="BD128" s="167"/>
      <c r="BE128" s="168" t="s">
        <v>1910</v>
      </c>
      <c r="BF128" s="167">
        <v>43309</v>
      </c>
      <c r="BG128" s="167" t="s">
        <v>148</v>
      </c>
      <c r="BH128" s="167">
        <v>43528</v>
      </c>
      <c r="BI128" s="167" t="s">
        <v>148</v>
      </c>
      <c r="BJ128" s="166"/>
      <c r="BK128" s="166"/>
      <c r="BL128" s="166"/>
      <c r="BM128" s="169">
        <v>43637</v>
      </c>
      <c r="BN128" s="165" t="s">
        <v>16</v>
      </c>
      <c r="BO128" s="165">
        <f>DATEDIF(AW128,BM128, "M")+1</f>
        <v>40</v>
      </c>
      <c r="BP128" s="165">
        <f t="shared" si="32"/>
        <v>32</v>
      </c>
      <c r="BQ128" s="165"/>
      <c r="BR128" s="165">
        <v>2</v>
      </c>
      <c r="BS128" s="165">
        <v>3</v>
      </c>
      <c r="BT128" s="165">
        <v>0</v>
      </c>
      <c r="BU128" s="165">
        <v>0</v>
      </c>
      <c r="BV128" s="165">
        <v>0</v>
      </c>
      <c r="BW128" s="165">
        <v>0</v>
      </c>
      <c r="BX128" s="165">
        <v>0</v>
      </c>
      <c r="BY128" s="165" t="s">
        <v>161</v>
      </c>
      <c r="BZ128" s="165">
        <v>0</v>
      </c>
      <c r="CA128" s="165"/>
      <c r="CB128" s="170"/>
      <c r="CC128" s="170"/>
      <c r="CD128" s="165"/>
      <c r="CE128" s="165" t="s">
        <v>161</v>
      </c>
      <c r="CF128" s="165"/>
      <c r="CG128" s="165"/>
      <c r="CH128" s="376">
        <v>1</v>
      </c>
      <c r="CI128" s="165">
        <v>2</v>
      </c>
      <c r="CJ128" s="165"/>
      <c r="CK128" s="165" t="s">
        <v>807</v>
      </c>
    </row>
    <row r="129" spans="1:90" ht="25" customHeight="1" x14ac:dyDescent="0.35">
      <c r="A129" s="165">
        <v>132</v>
      </c>
      <c r="B129" s="165" t="s">
        <v>1911</v>
      </c>
      <c r="C129" s="165" t="s">
        <v>1912</v>
      </c>
      <c r="D129" s="165"/>
      <c r="E129" s="165" t="s">
        <v>1913</v>
      </c>
      <c r="F129" s="165" t="s">
        <v>4139</v>
      </c>
      <c r="G129" s="165">
        <v>6</v>
      </c>
      <c r="H129" s="165" t="s">
        <v>51</v>
      </c>
      <c r="I129" s="165" t="s">
        <v>4136</v>
      </c>
      <c r="J129" s="165" t="s">
        <v>1914</v>
      </c>
      <c r="K129" s="165" t="s">
        <v>1915</v>
      </c>
      <c r="L129" s="165" t="s">
        <v>44</v>
      </c>
      <c r="M129" s="165" t="s">
        <v>161</v>
      </c>
      <c r="N129" s="165">
        <v>1598631</v>
      </c>
      <c r="O129" s="251" t="s">
        <v>320</v>
      </c>
      <c r="P129" s="252" t="s">
        <v>149</v>
      </c>
      <c r="Q129" s="165"/>
      <c r="R129" s="165" t="s">
        <v>1916</v>
      </c>
      <c r="S129" s="165" t="s">
        <v>1917</v>
      </c>
      <c r="T129" s="350" t="s">
        <v>1918</v>
      </c>
      <c r="U129" s="166" t="s">
        <v>573</v>
      </c>
      <c r="V129" s="166">
        <v>32242</v>
      </c>
      <c r="W129" s="172" t="s">
        <v>1919</v>
      </c>
      <c r="X129" s="172" t="s">
        <v>803</v>
      </c>
      <c r="Y129" s="172" t="s">
        <v>155</v>
      </c>
      <c r="Z129" s="172" t="s">
        <v>156</v>
      </c>
      <c r="AA129" s="165">
        <v>25</v>
      </c>
      <c r="AB129" s="166">
        <v>42622</v>
      </c>
      <c r="AC129" s="287">
        <v>42430</v>
      </c>
      <c r="AD129" s="166"/>
      <c r="AE129" s="253" t="s">
        <v>1920</v>
      </c>
      <c r="AF129" s="37" t="s">
        <v>1921</v>
      </c>
      <c r="AG129" s="165"/>
      <c r="AH129" s="165">
        <f t="shared" si="33"/>
        <v>2</v>
      </c>
      <c r="AI129" s="37" t="s">
        <v>160</v>
      </c>
      <c r="AJ129" s="172" t="s">
        <v>159</v>
      </c>
      <c r="AK129" s="165"/>
      <c r="AL129" s="165" t="s">
        <v>148</v>
      </c>
      <c r="AM129" s="165" t="s">
        <v>148</v>
      </c>
      <c r="AN129" s="165"/>
      <c r="AO129" s="165" t="s">
        <v>180</v>
      </c>
      <c r="AP129" s="172" t="s">
        <v>1922</v>
      </c>
      <c r="AQ129" s="165" t="s">
        <v>591</v>
      </c>
      <c r="AR129" s="165"/>
      <c r="AS129" s="165"/>
      <c r="AT129" s="36" t="s">
        <v>296</v>
      </c>
      <c r="AU129" s="165" t="s">
        <v>1923</v>
      </c>
      <c r="AV129" s="166"/>
      <c r="AW129" s="167">
        <v>42428</v>
      </c>
      <c r="AX129" s="167">
        <v>42681</v>
      </c>
      <c r="AY129" s="167" t="s">
        <v>148</v>
      </c>
      <c r="AZ129" s="167">
        <v>43257</v>
      </c>
      <c r="BA129" s="167">
        <v>43326</v>
      </c>
      <c r="BB129" s="167">
        <v>42992</v>
      </c>
      <c r="BC129" s="167"/>
      <c r="BD129" s="167"/>
      <c r="BE129" s="168" t="s">
        <v>1924</v>
      </c>
      <c r="BF129" s="167">
        <v>43309</v>
      </c>
      <c r="BG129" s="167" t="s">
        <v>148</v>
      </c>
      <c r="BH129" s="167">
        <v>43528</v>
      </c>
      <c r="BI129" s="167" t="s">
        <v>148</v>
      </c>
      <c r="BJ129" s="166">
        <v>45502</v>
      </c>
      <c r="BK129" s="166"/>
      <c r="BL129" s="166"/>
      <c r="BM129" s="169">
        <v>45610</v>
      </c>
      <c r="BN129" s="174" t="s">
        <v>16</v>
      </c>
      <c r="BO129" s="165">
        <f>DATEDIF(AW129,BM129, "M")+1</f>
        <v>105</v>
      </c>
      <c r="BP129" s="165">
        <f t="shared" si="32"/>
        <v>97</v>
      </c>
      <c r="BQ129" s="165" t="s">
        <v>1925</v>
      </c>
      <c r="BR129" s="165">
        <v>0</v>
      </c>
      <c r="BS129" s="165">
        <v>2</v>
      </c>
      <c r="BT129" s="165">
        <v>0</v>
      </c>
      <c r="BU129" s="165">
        <v>0</v>
      </c>
      <c r="BV129" s="165">
        <v>0</v>
      </c>
      <c r="BW129" s="165">
        <v>0</v>
      </c>
      <c r="BX129" s="165">
        <v>0</v>
      </c>
      <c r="BY129" s="165" t="s">
        <v>161</v>
      </c>
      <c r="BZ129" s="165">
        <v>0</v>
      </c>
      <c r="CA129" s="165"/>
      <c r="CB129" s="170"/>
      <c r="CC129" s="170"/>
      <c r="CD129" s="165"/>
      <c r="CE129" s="165" t="s">
        <v>161</v>
      </c>
      <c r="CF129" s="165"/>
      <c r="CG129" s="165"/>
      <c r="CH129" s="376">
        <v>0</v>
      </c>
      <c r="CI129" s="165" t="s">
        <v>166</v>
      </c>
      <c r="CJ129" s="165"/>
      <c r="CK129" s="165" t="s">
        <v>1820</v>
      </c>
    </row>
    <row r="130" spans="1:90" ht="25" customHeight="1" x14ac:dyDescent="0.35">
      <c r="A130" s="165">
        <v>133</v>
      </c>
      <c r="B130" s="165" t="s">
        <v>1926</v>
      </c>
      <c r="C130" s="165" t="s">
        <v>1927</v>
      </c>
      <c r="D130" s="165" t="s">
        <v>1928</v>
      </c>
      <c r="E130" s="165" t="s">
        <v>1929</v>
      </c>
      <c r="F130" s="165" t="s">
        <v>4140</v>
      </c>
      <c r="G130" s="165">
        <v>6</v>
      </c>
      <c r="H130" s="165" t="s">
        <v>58</v>
      </c>
      <c r="I130" s="165" t="s">
        <v>35</v>
      </c>
      <c r="J130" s="165" t="s">
        <v>1207</v>
      </c>
      <c r="K130" s="165" t="s">
        <v>1930</v>
      </c>
      <c r="L130" s="165" t="s">
        <v>35</v>
      </c>
      <c r="M130" s="165" t="s">
        <v>148</v>
      </c>
      <c r="N130" s="165" t="s">
        <v>1931</v>
      </c>
      <c r="O130" s="251" t="s">
        <v>149</v>
      </c>
      <c r="P130" s="252" t="s">
        <v>149</v>
      </c>
      <c r="Q130" s="165" t="s">
        <v>149</v>
      </c>
      <c r="R130" s="165" t="s">
        <v>1932</v>
      </c>
      <c r="S130" s="165" t="s">
        <v>1933</v>
      </c>
      <c r="T130" s="349" t="s">
        <v>1934</v>
      </c>
      <c r="U130" s="166" t="s">
        <v>1935</v>
      </c>
      <c r="V130" s="166">
        <v>26039</v>
      </c>
      <c r="W130" s="172" t="s">
        <v>1936</v>
      </c>
      <c r="X130" s="172" t="s">
        <v>177</v>
      </c>
      <c r="Y130" s="172" t="s">
        <v>161</v>
      </c>
      <c r="Z130" s="172" t="s">
        <v>156</v>
      </c>
      <c r="AA130" s="165">
        <v>8</v>
      </c>
      <c r="AB130" s="166">
        <v>42464</v>
      </c>
      <c r="AC130" s="287">
        <v>42430</v>
      </c>
      <c r="AD130" s="166"/>
      <c r="AE130" s="253" t="s">
        <v>1937</v>
      </c>
      <c r="AF130" s="37" t="s">
        <v>1938</v>
      </c>
      <c r="AG130" s="165"/>
      <c r="AH130" s="165">
        <f t="shared" si="33"/>
        <v>2</v>
      </c>
      <c r="AI130" s="172" t="s">
        <v>159</v>
      </c>
      <c r="AJ130" s="172" t="s">
        <v>159</v>
      </c>
      <c r="AK130" s="165"/>
      <c r="AL130" s="165" t="s">
        <v>161</v>
      </c>
      <c r="AM130" s="165" t="s">
        <v>148</v>
      </c>
      <c r="AN130" s="165"/>
      <c r="AO130" s="165" t="s">
        <v>162</v>
      </c>
      <c r="AP130" s="172" t="s">
        <v>201</v>
      </c>
      <c r="AQ130" s="38" t="s">
        <v>248</v>
      </c>
      <c r="AR130" s="165" t="s">
        <v>148</v>
      </c>
      <c r="AS130" s="165"/>
      <c r="AT130" s="36" t="s">
        <v>578</v>
      </c>
      <c r="AU130" s="165" t="s">
        <v>1939</v>
      </c>
      <c r="AV130" s="166"/>
      <c r="AW130" s="167">
        <v>42428</v>
      </c>
      <c r="AX130" s="167">
        <v>42681</v>
      </c>
      <c r="AY130" s="167" t="s">
        <v>148</v>
      </c>
      <c r="AZ130" s="167">
        <v>42564</v>
      </c>
      <c r="BA130" s="167">
        <v>42718</v>
      </c>
      <c r="BB130" s="165"/>
      <c r="BC130" s="165"/>
      <c r="BD130" s="165"/>
      <c r="BE130" s="168" t="s">
        <v>1940</v>
      </c>
      <c r="BF130" s="167">
        <v>43309</v>
      </c>
      <c r="BG130" s="167" t="s">
        <v>148</v>
      </c>
      <c r="BH130" s="167">
        <v>43528</v>
      </c>
      <c r="BI130" s="167" t="s">
        <v>148</v>
      </c>
      <c r="BJ130" s="166"/>
      <c r="BK130" s="166">
        <v>44511</v>
      </c>
      <c r="BL130" s="166"/>
      <c r="BM130" s="169">
        <v>44607</v>
      </c>
      <c r="BN130" s="165" t="s">
        <v>16</v>
      </c>
      <c r="BO130" s="165">
        <f t="shared" ref="BO130" si="35">DATEDIF(AW130,BM130, "M")+1</f>
        <v>72</v>
      </c>
      <c r="BP130" s="165">
        <f t="shared" ref="BP130:BP143" si="36">DATEDIF(AX130,BM130, "M")+1</f>
        <v>64</v>
      </c>
      <c r="BQ130" s="172" t="s">
        <v>1941</v>
      </c>
      <c r="BR130" s="165">
        <v>5</v>
      </c>
      <c r="BS130" s="165">
        <v>15</v>
      </c>
      <c r="BT130" s="165">
        <v>3</v>
      </c>
      <c r="BU130" s="165">
        <v>1</v>
      </c>
      <c r="BV130" s="165">
        <v>1</v>
      </c>
      <c r="BW130" s="165">
        <v>0</v>
      </c>
      <c r="BX130" s="165">
        <v>0</v>
      </c>
      <c r="BY130" s="165" t="s">
        <v>161</v>
      </c>
      <c r="BZ130" s="165">
        <v>0</v>
      </c>
      <c r="CA130" s="165"/>
      <c r="CB130" s="170"/>
      <c r="CC130" s="170"/>
      <c r="CD130" s="165"/>
      <c r="CE130" s="165" t="s">
        <v>161</v>
      </c>
      <c r="CF130" s="165"/>
      <c r="CG130" s="165"/>
      <c r="CH130" s="376">
        <v>4</v>
      </c>
      <c r="CI130" s="165">
        <v>4</v>
      </c>
      <c r="CJ130" s="165"/>
      <c r="CK130" s="165" t="s">
        <v>1820</v>
      </c>
    </row>
    <row r="131" spans="1:90" ht="25" customHeight="1" x14ac:dyDescent="0.35">
      <c r="A131" s="165">
        <v>134</v>
      </c>
      <c r="B131" s="165" t="s">
        <v>1942</v>
      </c>
      <c r="C131" s="165" t="s">
        <v>1943</v>
      </c>
      <c r="D131" s="165" t="s">
        <v>1944</v>
      </c>
      <c r="E131" s="165" t="s">
        <v>1945</v>
      </c>
      <c r="F131" s="165" t="s">
        <v>4139</v>
      </c>
      <c r="G131" s="165">
        <v>6</v>
      </c>
      <c r="H131" s="165" t="s">
        <v>52</v>
      </c>
      <c r="I131" s="165" t="s">
        <v>31</v>
      </c>
      <c r="J131" s="165" t="s">
        <v>934</v>
      </c>
      <c r="K131" s="165" t="s">
        <v>934</v>
      </c>
      <c r="L131" s="165" t="s">
        <v>31</v>
      </c>
      <c r="M131" s="165" t="s">
        <v>148</v>
      </c>
      <c r="N131" s="165">
        <v>121147</v>
      </c>
      <c r="O131" s="251" t="s">
        <v>320</v>
      </c>
      <c r="P131" s="252" t="s">
        <v>238</v>
      </c>
      <c r="Q131" s="165" t="s">
        <v>149</v>
      </c>
      <c r="R131" s="386" t="s">
        <v>1946</v>
      </c>
      <c r="S131" s="165" t="s">
        <v>1947</v>
      </c>
      <c r="T131" s="350" t="s">
        <v>1948</v>
      </c>
      <c r="U131" s="166" t="s">
        <v>1949</v>
      </c>
      <c r="V131" s="166">
        <v>30695</v>
      </c>
      <c r="W131" s="172" t="s">
        <v>1950</v>
      </c>
      <c r="X131" s="172" t="s">
        <v>177</v>
      </c>
      <c r="Y131" s="172" t="s">
        <v>161</v>
      </c>
      <c r="Z131" s="172" t="s">
        <v>156</v>
      </c>
      <c r="AA131" s="165">
        <v>17.5</v>
      </c>
      <c r="AB131" s="166">
        <v>41358</v>
      </c>
      <c r="AC131" s="287">
        <v>42430</v>
      </c>
      <c r="AD131" s="166"/>
      <c r="AE131" s="253" t="s">
        <v>1951</v>
      </c>
      <c r="AF131" s="165"/>
      <c r="AG131" s="165"/>
      <c r="AH131" s="165">
        <f t="shared" si="33"/>
        <v>1</v>
      </c>
      <c r="AI131" s="172" t="s">
        <v>159</v>
      </c>
      <c r="AJ131" s="172"/>
      <c r="AK131" s="165"/>
      <c r="AL131" s="165" t="s">
        <v>148</v>
      </c>
      <c r="AM131" s="165"/>
      <c r="AN131" s="165"/>
      <c r="AO131" s="165" t="s">
        <v>162</v>
      </c>
      <c r="AP131" s="172" t="s">
        <v>1952</v>
      </c>
      <c r="AQ131" s="165" t="s">
        <v>1953</v>
      </c>
      <c r="AR131" s="165" t="s">
        <v>148</v>
      </c>
      <c r="AS131" s="165"/>
      <c r="AT131" s="36" t="s">
        <v>326</v>
      </c>
      <c r="AU131" s="165" t="s">
        <v>1954</v>
      </c>
      <c r="AV131" s="166"/>
      <c r="AW131" s="167">
        <v>42428</v>
      </c>
      <c r="AX131" s="167">
        <v>42681</v>
      </c>
      <c r="AY131" s="167" t="s">
        <v>148</v>
      </c>
      <c r="AZ131" s="167">
        <v>42420</v>
      </c>
      <c r="BA131" s="167">
        <v>42500</v>
      </c>
      <c r="BB131" s="167">
        <v>42921</v>
      </c>
      <c r="BC131" s="167"/>
      <c r="BD131" s="167"/>
      <c r="BE131" s="168" t="s">
        <v>1955</v>
      </c>
      <c r="BF131" s="167">
        <v>43309</v>
      </c>
      <c r="BG131" s="167" t="s">
        <v>148</v>
      </c>
      <c r="BH131" s="167">
        <v>43528</v>
      </c>
      <c r="BI131" s="167" t="s">
        <v>148</v>
      </c>
      <c r="BJ131" s="166"/>
      <c r="BK131" s="166"/>
      <c r="BL131" s="166"/>
      <c r="BM131" s="169">
        <v>43585</v>
      </c>
      <c r="BN131" s="165" t="s">
        <v>16</v>
      </c>
      <c r="BO131" s="171">
        <f t="shared" ref="BO131:BO141" si="37">DATEDIF(AW131,BM131, "M")+1</f>
        <v>39</v>
      </c>
      <c r="BP131" s="165">
        <f t="shared" si="36"/>
        <v>30</v>
      </c>
      <c r="BQ131" s="165"/>
      <c r="BR131" s="165">
        <v>1</v>
      </c>
      <c r="BS131" s="165">
        <v>3</v>
      </c>
      <c r="BT131" s="165">
        <v>14</v>
      </c>
      <c r="BU131" s="165">
        <v>1</v>
      </c>
      <c r="BV131" s="165">
        <v>0</v>
      </c>
      <c r="BW131" s="165">
        <v>0</v>
      </c>
      <c r="BX131" s="165">
        <v>0</v>
      </c>
      <c r="BY131" s="165" t="s">
        <v>161</v>
      </c>
      <c r="BZ131" s="165">
        <v>0</v>
      </c>
      <c r="CA131" s="165"/>
      <c r="CB131" s="170"/>
      <c r="CC131" s="170"/>
      <c r="CD131" s="165"/>
      <c r="CE131" s="165" t="s">
        <v>161</v>
      </c>
      <c r="CF131" s="165"/>
      <c r="CG131" s="165"/>
      <c r="CH131" s="376">
        <v>0</v>
      </c>
      <c r="CI131" s="165">
        <v>0</v>
      </c>
      <c r="CJ131" s="165"/>
      <c r="CK131" s="165" t="s">
        <v>807</v>
      </c>
    </row>
    <row r="132" spans="1:90" ht="25" customHeight="1" x14ac:dyDescent="0.35">
      <c r="A132" s="165">
        <v>135</v>
      </c>
      <c r="B132" s="165" t="s">
        <v>1956</v>
      </c>
      <c r="C132" s="165" t="s">
        <v>268</v>
      </c>
      <c r="D132" s="165" t="s">
        <v>1957</v>
      </c>
      <c r="E132" s="165" t="s">
        <v>1958</v>
      </c>
      <c r="F132" s="165" t="s">
        <v>4139</v>
      </c>
      <c r="G132" s="165">
        <v>6</v>
      </c>
      <c r="H132" s="165" t="s">
        <v>52</v>
      </c>
      <c r="I132" s="165" t="s">
        <v>39</v>
      </c>
      <c r="J132" s="165" t="s">
        <v>1959</v>
      </c>
      <c r="K132" s="165" t="s">
        <v>1959</v>
      </c>
      <c r="L132" s="165" t="s">
        <v>39</v>
      </c>
      <c r="M132" s="165" t="s">
        <v>148</v>
      </c>
      <c r="N132" s="171" t="s">
        <v>1960</v>
      </c>
      <c r="O132" s="259" t="s">
        <v>149</v>
      </c>
      <c r="P132" s="260" t="s">
        <v>149</v>
      </c>
      <c r="Q132" s="165" t="s">
        <v>149</v>
      </c>
      <c r="R132" s="165" t="s">
        <v>1961</v>
      </c>
      <c r="S132" s="175" t="s">
        <v>1962</v>
      </c>
      <c r="T132" s="350" t="s">
        <v>1963</v>
      </c>
      <c r="U132" s="166" t="s">
        <v>1964</v>
      </c>
      <c r="V132" s="166">
        <v>29489</v>
      </c>
      <c r="W132" s="172" t="s">
        <v>1965</v>
      </c>
      <c r="X132" s="172" t="s">
        <v>177</v>
      </c>
      <c r="Y132" s="172" t="s">
        <v>161</v>
      </c>
      <c r="Z132" s="172" t="s">
        <v>156</v>
      </c>
      <c r="AA132" s="165">
        <v>22</v>
      </c>
      <c r="AB132" s="166">
        <v>42724</v>
      </c>
      <c r="AC132" s="287">
        <v>42430</v>
      </c>
      <c r="AD132" s="166"/>
      <c r="AE132" s="37" t="s">
        <v>1966</v>
      </c>
      <c r="AF132" s="165"/>
      <c r="AG132" s="165"/>
      <c r="AH132" s="165">
        <f t="shared" si="33"/>
        <v>1</v>
      </c>
      <c r="AI132" s="172" t="s">
        <v>159</v>
      </c>
      <c r="AJ132" s="172"/>
      <c r="AK132" s="165"/>
      <c r="AL132" s="165" t="s">
        <v>148</v>
      </c>
      <c r="AM132" s="165"/>
      <c r="AN132" s="165"/>
      <c r="AO132" s="171" t="s">
        <v>162</v>
      </c>
      <c r="AP132" s="262" t="s">
        <v>179</v>
      </c>
      <c r="AQ132" s="172" t="s">
        <v>1967</v>
      </c>
      <c r="AR132" s="171" t="s">
        <v>148</v>
      </c>
      <c r="AS132" s="171"/>
      <c r="AT132" s="419" t="s">
        <v>283</v>
      </c>
      <c r="AU132" s="165" t="s">
        <v>1968</v>
      </c>
      <c r="AV132" s="166"/>
      <c r="AW132" s="167">
        <v>42428</v>
      </c>
      <c r="AX132" s="167">
        <v>42681</v>
      </c>
      <c r="AY132" s="167" t="s">
        <v>148</v>
      </c>
      <c r="AZ132" s="167">
        <v>43202</v>
      </c>
      <c r="BA132" s="167">
        <v>43046</v>
      </c>
      <c r="BB132" s="167"/>
      <c r="BC132" s="167"/>
      <c r="BD132" s="167"/>
      <c r="BE132" s="168" t="s">
        <v>1969</v>
      </c>
      <c r="BF132" s="167">
        <v>43309</v>
      </c>
      <c r="BG132" s="167" t="s">
        <v>148</v>
      </c>
      <c r="BH132" s="167">
        <v>43528</v>
      </c>
      <c r="BI132" s="167" t="s">
        <v>148</v>
      </c>
      <c r="BJ132" s="166"/>
      <c r="BK132" s="166"/>
      <c r="BL132" s="166"/>
      <c r="BM132" s="169">
        <v>43678</v>
      </c>
      <c r="BN132" s="165" t="s">
        <v>16</v>
      </c>
      <c r="BO132" s="171">
        <f t="shared" si="37"/>
        <v>42</v>
      </c>
      <c r="BP132" s="165">
        <f t="shared" si="36"/>
        <v>33</v>
      </c>
      <c r="BQ132" s="165"/>
      <c r="BR132" s="165">
        <v>0</v>
      </c>
      <c r="BS132" s="165">
        <v>0</v>
      </c>
      <c r="BT132" s="165">
        <v>0</v>
      </c>
      <c r="BU132" s="165">
        <v>0</v>
      </c>
      <c r="BV132" s="165">
        <v>0</v>
      </c>
      <c r="BW132" s="165">
        <v>0</v>
      </c>
      <c r="BX132" s="165">
        <v>0</v>
      </c>
      <c r="BY132" s="165" t="s">
        <v>161</v>
      </c>
      <c r="BZ132" s="165">
        <v>0</v>
      </c>
      <c r="CA132" s="165"/>
      <c r="CB132" s="170"/>
      <c r="CC132" s="170"/>
      <c r="CD132" s="165"/>
      <c r="CE132" s="165" t="s">
        <v>161</v>
      </c>
      <c r="CF132" s="165"/>
      <c r="CG132" s="165"/>
      <c r="CH132" s="376">
        <v>2</v>
      </c>
      <c r="CI132" s="165">
        <v>2</v>
      </c>
      <c r="CJ132" s="165"/>
      <c r="CK132" s="165" t="s">
        <v>1820</v>
      </c>
    </row>
    <row r="133" spans="1:90" ht="25" customHeight="1" x14ac:dyDescent="0.35">
      <c r="A133" s="165">
        <v>136</v>
      </c>
      <c r="B133" s="165" t="s">
        <v>1970</v>
      </c>
      <c r="C133" s="165" t="s">
        <v>1971</v>
      </c>
      <c r="D133" s="165" t="s">
        <v>1341</v>
      </c>
      <c r="E133" s="165" t="s">
        <v>1972</v>
      </c>
      <c r="F133" s="165" t="s">
        <v>4139</v>
      </c>
      <c r="G133" s="165">
        <v>6</v>
      </c>
      <c r="H133" s="165" t="s">
        <v>51</v>
      </c>
      <c r="I133" s="165" t="s">
        <v>4136</v>
      </c>
      <c r="J133" s="165" t="s">
        <v>1973</v>
      </c>
      <c r="K133" s="165" t="s">
        <v>1742</v>
      </c>
      <c r="L133" s="165" t="s">
        <v>4136</v>
      </c>
      <c r="M133" s="165" t="s">
        <v>148</v>
      </c>
      <c r="N133" s="165" t="s">
        <v>1974</v>
      </c>
      <c r="O133" s="251" t="s">
        <v>149</v>
      </c>
      <c r="P133" s="252" t="s">
        <v>149</v>
      </c>
      <c r="Q133" s="165" t="s">
        <v>149</v>
      </c>
      <c r="R133" s="165" t="s">
        <v>1975</v>
      </c>
      <c r="S133" s="165" t="s">
        <v>1976</v>
      </c>
      <c r="T133" s="349" t="s">
        <v>1977</v>
      </c>
      <c r="U133" s="166" t="s">
        <v>1978</v>
      </c>
      <c r="V133" s="166">
        <v>28999</v>
      </c>
      <c r="W133" s="172" t="s">
        <v>1979</v>
      </c>
      <c r="X133" s="172" t="s">
        <v>177</v>
      </c>
      <c r="Y133" s="172" t="s">
        <v>161</v>
      </c>
      <c r="Z133" s="172" t="s">
        <v>156</v>
      </c>
      <c r="AA133" s="165">
        <v>7.5</v>
      </c>
      <c r="AB133" s="166">
        <v>41828</v>
      </c>
      <c r="AC133" s="287">
        <v>42430</v>
      </c>
      <c r="AD133" s="166"/>
      <c r="AE133" s="253" t="s">
        <v>1980</v>
      </c>
      <c r="AF133" s="253" t="s">
        <v>1981</v>
      </c>
      <c r="AG133" s="165" t="s">
        <v>1982</v>
      </c>
      <c r="AH133" s="165">
        <f t="shared" si="33"/>
        <v>3</v>
      </c>
      <c r="AI133" s="172" t="s">
        <v>159</v>
      </c>
      <c r="AJ133" s="172" t="s">
        <v>159</v>
      </c>
      <c r="AK133" s="172" t="s">
        <v>159</v>
      </c>
      <c r="AL133" s="172" t="s">
        <v>148</v>
      </c>
      <c r="AM133" s="172" t="s">
        <v>161</v>
      </c>
      <c r="AN133" s="172" t="s">
        <v>161</v>
      </c>
      <c r="AO133" s="172" t="s">
        <v>162</v>
      </c>
      <c r="AP133" s="172" t="s">
        <v>248</v>
      </c>
      <c r="AQ133" s="172" t="s">
        <v>248</v>
      </c>
      <c r="AR133" s="172" t="s">
        <v>148</v>
      </c>
      <c r="AS133" s="172"/>
      <c r="AT133" s="36" t="s">
        <v>296</v>
      </c>
      <c r="AU133" s="165" t="s">
        <v>1983</v>
      </c>
      <c r="AV133" s="166"/>
      <c r="AW133" s="167">
        <v>42428</v>
      </c>
      <c r="AX133" s="167">
        <v>42681</v>
      </c>
      <c r="AY133" s="167" t="s">
        <v>148</v>
      </c>
      <c r="AZ133" s="167">
        <v>42720</v>
      </c>
      <c r="BA133" s="167">
        <v>43048</v>
      </c>
      <c r="BB133" s="167"/>
      <c r="BC133" s="167"/>
      <c r="BD133" s="167"/>
      <c r="BE133" s="168" t="s">
        <v>1979</v>
      </c>
      <c r="BF133" s="167">
        <v>43309</v>
      </c>
      <c r="BG133" s="167" t="s">
        <v>148</v>
      </c>
      <c r="BH133" s="167">
        <v>43528</v>
      </c>
      <c r="BI133" s="167" t="s">
        <v>148</v>
      </c>
      <c r="BJ133" s="166"/>
      <c r="BK133" s="166">
        <v>43934</v>
      </c>
      <c r="BL133" s="166">
        <v>43948</v>
      </c>
      <c r="BM133" s="169">
        <v>43948</v>
      </c>
      <c r="BN133" s="165" t="s">
        <v>16</v>
      </c>
      <c r="BO133" s="171">
        <f t="shared" si="37"/>
        <v>50</v>
      </c>
      <c r="BP133" s="165">
        <f t="shared" si="36"/>
        <v>42</v>
      </c>
      <c r="BQ133" s="165"/>
      <c r="BR133" s="165">
        <v>3</v>
      </c>
      <c r="BS133" s="165">
        <v>2</v>
      </c>
      <c r="BT133" s="165">
        <v>2</v>
      </c>
      <c r="BU133" s="165">
        <v>1</v>
      </c>
      <c r="BV133" s="165">
        <v>0</v>
      </c>
      <c r="BW133" s="165">
        <v>0</v>
      </c>
      <c r="BX133" s="165">
        <v>0</v>
      </c>
      <c r="BY133" s="165" t="s">
        <v>161</v>
      </c>
      <c r="BZ133" s="165">
        <v>0</v>
      </c>
      <c r="CA133" s="165"/>
      <c r="CB133" s="170"/>
      <c r="CC133" s="170"/>
      <c r="CD133" s="165"/>
      <c r="CE133" s="165" t="s">
        <v>161</v>
      </c>
      <c r="CF133" s="165"/>
      <c r="CG133" s="165"/>
      <c r="CH133" s="376">
        <v>2</v>
      </c>
      <c r="CI133" s="165">
        <v>2</v>
      </c>
      <c r="CJ133" s="165"/>
      <c r="CK133" s="165" t="s">
        <v>1820</v>
      </c>
    </row>
    <row r="134" spans="1:90" ht="25" customHeight="1" x14ac:dyDescent="0.35">
      <c r="A134" s="165">
        <v>137</v>
      </c>
      <c r="B134" s="165" t="s">
        <v>1984</v>
      </c>
      <c r="C134" s="165" t="s">
        <v>1985</v>
      </c>
      <c r="D134" s="165"/>
      <c r="E134" s="165" t="s">
        <v>1986</v>
      </c>
      <c r="F134" s="165" t="s">
        <v>4139</v>
      </c>
      <c r="G134" s="165">
        <v>6</v>
      </c>
      <c r="H134" s="165" t="s">
        <v>52</v>
      </c>
      <c r="I134" s="165" t="s">
        <v>31</v>
      </c>
      <c r="J134" s="165" t="s">
        <v>1742</v>
      </c>
      <c r="K134" s="165" t="s">
        <v>1743</v>
      </c>
      <c r="L134" s="165" t="s">
        <v>31</v>
      </c>
      <c r="M134" s="165" t="s">
        <v>148</v>
      </c>
      <c r="N134" s="165">
        <v>136414</v>
      </c>
      <c r="O134" s="251" t="s">
        <v>149</v>
      </c>
      <c r="P134" s="252" t="s">
        <v>149</v>
      </c>
      <c r="Q134" s="165" t="s">
        <v>149</v>
      </c>
      <c r="R134" s="165" t="s">
        <v>1987</v>
      </c>
      <c r="S134" s="165" t="s">
        <v>1988</v>
      </c>
      <c r="T134" s="349" t="s">
        <v>1989</v>
      </c>
      <c r="U134" s="166" t="s">
        <v>1747</v>
      </c>
      <c r="V134" s="166">
        <v>28027</v>
      </c>
      <c r="W134" s="172" t="s">
        <v>1990</v>
      </c>
      <c r="X134" s="172" t="s">
        <v>177</v>
      </c>
      <c r="Y134" s="172" t="s">
        <v>161</v>
      </c>
      <c r="Z134" s="172" t="s">
        <v>156</v>
      </c>
      <c r="AA134" s="165">
        <v>18.5</v>
      </c>
      <c r="AB134" s="166">
        <v>41403</v>
      </c>
      <c r="AC134" s="287">
        <v>42430</v>
      </c>
      <c r="AD134" s="166"/>
      <c r="AE134" s="253" t="s">
        <v>1991</v>
      </c>
      <c r="AF134" s="253" t="s">
        <v>1992</v>
      </c>
      <c r="AG134" s="165"/>
      <c r="AH134" s="165">
        <f t="shared" si="33"/>
        <v>2</v>
      </c>
      <c r="AI134" s="172" t="s">
        <v>159</v>
      </c>
      <c r="AJ134" s="172" t="s">
        <v>159</v>
      </c>
      <c r="AK134" s="165"/>
      <c r="AL134" s="165" t="s">
        <v>148</v>
      </c>
      <c r="AM134" s="165"/>
      <c r="AN134" s="165"/>
      <c r="AO134" s="165" t="s">
        <v>162</v>
      </c>
      <c r="AP134" s="172" t="s">
        <v>443</v>
      </c>
      <c r="AQ134" s="165" t="s">
        <v>1438</v>
      </c>
      <c r="AR134" s="165" t="s">
        <v>148</v>
      </c>
      <c r="AS134" s="165"/>
      <c r="AT134" s="36" t="s">
        <v>326</v>
      </c>
      <c r="AU134" s="165" t="s">
        <v>1993</v>
      </c>
      <c r="AV134" s="166"/>
      <c r="AW134" s="167">
        <v>42428</v>
      </c>
      <c r="AX134" s="167">
        <v>42681</v>
      </c>
      <c r="AY134" s="167" t="s">
        <v>148</v>
      </c>
      <c r="AZ134" s="167">
        <v>42857</v>
      </c>
      <c r="BA134" s="167">
        <v>43049</v>
      </c>
      <c r="BB134" s="167">
        <v>43046</v>
      </c>
      <c r="BC134" s="167"/>
      <c r="BD134" s="167"/>
      <c r="BE134" s="168" t="s">
        <v>1994</v>
      </c>
      <c r="BF134" s="167">
        <v>43309</v>
      </c>
      <c r="BG134" s="167" t="s">
        <v>148</v>
      </c>
      <c r="BH134" s="167">
        <v>43528</v>
      </c>
      <c r="BI134" s="167" t="s">
        <v>148</v>
      </c>
      <c r="BJ134" s="166"/>
      <c r="BK134" s="166">
        <v>44442</v>
      </c>
      <c r="BL134" s="166">
        <v>44453</v>
      </c>
      <c r="BM134" s="169">
        <v>44453</v>
      </c>
      <c r="BN134" s="165" t="s">
        <v>16</v>
      </c>
      <c r="BO134" s="171">
        <f t="shared" si="37"/>
        <v>67</v>
      </c>
      <c r="BP134" s="165">
        <f t="shared" si="36"/>
        <v>59</v>
      </c>
      <c r="BQ134" s="165"/>
      <c r="BR134" s="165">
        <v>2</v>
      </c>
      <c r="BS134" s="165">
        <v>4</v>
      </c>
      <c r="BT134" s="165">
        <v>0</v>
      </c>
      <c r="BU134" s="165">
        <v>1</v>
      </c>
      <c r="BV134" s="165">
        <v>1</v>
      </c>
      <c r="BW134" s="165">
        <v>0</v>
      </c>
      <c r="BX134" s="165">
        <v>0</v>
      </c>
      <c r="BY134" s="165" t="s">
        <v>161</v>
      </c>
      <c r="BZ134" s="165">
        <v>0</v>
      </c>
      <c r="CA134" s="165"/>
      <c r="CB134" s="170"/>
      <c r="CC134" s="170"/>
      <c r="CD134" s="165"/>
      <c r="CE134" s="165" t="s">
        <v>161</v>
      </c>
      <c r="CF134" s="165"/>
      <c r="CG134" s="165"/>
      <c r="CH134" s="376">
        <v>1</v>
      </c>
      <c r="CI134" s="165">
        <v>2</v>
      </c>
      <c r="CJ134" s="165"/>
      <c r="CK134" s="165" t="s">
        <v>1820</v>
      </c>
    </row>
    <row r="135" spans="1:90" s="53" customFormat="1" ht="25" customHeight="1" x14ac:dyDescent="0.35">
      <c r="A135" s="165">
        <v>138</v>
      </c>
      <c r="B135" s="165" t="s">
        <v>1995</v>
      </c>
      <c r="C135" s="165" t="s">
        <v>1996</v>
      </c>
      <c r="D135" s="165" t="s">
        <v>1997</v>
      </c>
      <c r="E135" s="165" t="s">
        <v>1998</v>
      </c>
      <c r="F135" s="165" t="s">
        <v>4140</v>
      </c>
      <c r="G135" s="165">
        <v>6</v>
      </c>
      <c r="H135" s="165" t="s">
        <v>52</v>
      </c>
      <c r="I135" s="165" t="s">
        <v>39</v>
      </c>
      <c r="J135" s="165" t="s">
        <v>600</v>
      </c>
      <c r="K135" s="165" t="s">
        <v>288</v>
      </c>
      <c r="L135" s="165" t="s">
        <v>39</v>
      </c>
      <c r="M135" s="165" t="s">
        <v>148</v>
      </c>
      <c r="N135" s="165" t="s">
        <v>1999</v>
      </c>
      <c r="O135" s="251" t="s">
        <v>149</v>
      </c>
      <c r="P135" s="252" t="s">
        <v>149</v>
      </c>
      <c r="Q135" s="165" t="s">
        <v>149</v>
      </c>
      <c r="R135" s="165" t="s">
        <v>2000</v>
      </c>
      <c r="S135" s="165" t="s">
        <v>2001</v>
      </c>
      <c r="T135" s="349" t="s">
        <v>2002</v>
      </c>
      <c r="U135" s="166" t="s">
        <v>787</v>
      </c>
      <c r="V135" s="166">
        <v>26659</v>
      </c>
      <c r="W135" s="172" t="s">
        <v>2003</v>
      </c>
      <c r="X135" s="172" t="s">
        <v>177</v>
      </c>
      <c r="Y135" s="172" t="s">
        <v>161</v>
      </c>
      <c r="Z135" s="172" t="s">
        <v>156</v>
      </c>
      <c r="AA135" s="165">
        <v>15.5</v>
      </c>
      <c r="AB135" s="166">
        <v>41862</v>
      </c>
      <c r="AC135" s="287">
        <v>42430</v>
      </c>
      <c r="AD135" s="166"/>
      <c r="AE135" s="253" t="s">
        <v>2004</v>
      </c>
      <c r="AF135" s="253" t="s">
        <v>2005</v>
      </c>
      <c r="AG135" s="165"/>
      <c r="AH135" s="165">
        <f t="shared" si="33"/>
        <v>2</v>
      </c>
      <c r="AI135" s="172" t="s">
        <v>159</v>
      </c>
      <c r="AJ135" s="172" t="s">
        <v>159</v>
      </c>
      <c r="AK135" s="165"/>
      <c r="AL135" s="165" t="s">
        <v>161</v>
      </c>
      <c r="AM135" s="165" t="s">
        <v>148</v>
      </c>
      <c r="AN135" s="165"/>
      <c r="AO135" s="165" t="s">
        <v>162</v>
      </c>
      <c r="AP135" s="172" t="s">
        <v>248</v>
      </c>
      <c r="AQ135" s="258" t="s">
        <v>311</v>
      </c>
      <c r="AR135" s="172" t="s">
        <v>148</v>
      </c>
      <c r="AS135" s="172"/>
      <c r="AT135" s="36" t="s">
        <v>283</v>
      </c>
      <c r="AU135" s="165" t="s">
        <v>2006</v>
      </c>
      <c r="AV135" s="166"/>
      <c r="AW135" s="167">
        <v>42428</v>
      </c>
      <c r="AX135" s="167">
        <v>42681</v>
      </c>
      <c r="AY135" s="167" t="s">
        <v>148</v>
      </c>
      <c r="AZ135" s="167">
        <v>43069</v>
      </c>
      <c r="BA135" s="167">
        <v>43130</v>
      </c>
      <c r="BB135" s="166">
        <v>43130</v>
      </c>
      <c r="BC135" s="166"/>
      <c r="BD135" s="166"/>
      <c r="BE135" s="168" t="s">
        <v>2007</v>
      </c>
      <c r="BF135" s="167">
        <v>43309</v>
      </c>
      <c r="BG135" s="167" t="s">
        <v>148</v>
      </c>
      <c r="BH135" s="167">
        <v>43528</v>
      </c>
      <c r="BI135" s="167" t="s">
        <v>148</v>
      </c>
      <c r="BJ135" s="166"/>
      <c r="BK135" s="166"/>
      <c r="BL135" s="166"/>
      <c r="BM135" s="169">
        <v>43813</v>
      </c>
      <c r="BN135" s="165" t="s">
        <v>16</v>
      </c>
      <c r="BO135" s="171">
        <f t="shared" si="37"/>
        <v>46</v>
      </c>
      <c r="BP135" s="165">
        <f t="shared" si="36"/>
        <v>38</v>
      </c>
      <c r="BQ135" s="165"/>
      <c r="BR135" s="165">
        <v>11</v>
      </c>
      <c r="BS135" s="165">
        <v>7</v>
      </c>
      <c r="BT135" s="165">
        <v>5</v>
      </c>
      <c r="BU135" s="165">
        <v>0</v>
      </c>
      <c r="BV135" s="165">
        <v>1</v>
      </c>
      <c r="BW135" s="165">
        <v>0</v>
      </c>
      <c r="BX135" s="165">
        <v>0</v>
      </c>
      <c r="BY135" s="165" t="s">
        <v>161</v>
      </c>
      <c r="BZ135" s="165">
        <v>0</v>
      </c>
      <c r="CA135" s="165"/>
      <c r="CB135" s="170"/>
      <c r="CC135" s="170"/>
      <c r="CD135" s="165"/>
      <c r="CE135" s="165" t="s">
        <v>161</v>
      </c>
      <c r="CF135" s="165"/>
      <c r="CG135" s="165"/>
      <c r="CH135" s="376">
        <v>3</v>
      </c>
      <c r="CI135" s="165">
        <v>3</v>
      </c>
      <c r="CJ135" s="165"/>
      <c r="CK135" s="165" t="s">
        <v>1820</v>
      </c>
      <c r="CL135"/>
    </row>
    <row r="136" spans="1:90" s="53" customFormat="1" ht="25" customHeight="1" x14ac:dyDescent="0.35">
      <c r="A136" s="165">
        <v>139</v>
      </c>
      <c r="B136" s="165" t="s">
        <v>2008</v>
      </c>
      <c r="C136" s="165" t="s">
        <v>2009</v>
      </c>
      <c r="D136" s="165"/>
      <c r="E136" s="165" t="s">
        <v>2010</v>
      </c>
      <c r="F136" s="165" t="s">
        <v>4140</v>
      </c>
      <c r="G136" s="165">
        <v>6</v>
      </c>
      <c r="H136" s="165" t="s">
        <v>53</v>
      </c>
      <c r="I136" s="165" t="s">
        <v>43</v>
      </c>
      <c r="J136" s="165" t="s">
        <v>2011</v>
      </c>
      <c r="K136" s="165" t="s">
        <v>2012</v>
      </c>
      <c r="L136" s="165" t="s">
        <v>44</v>
      </c>
      <c r="M136" s="165" t="s">
        <v>161</v>
      </c>
      <c r="N136" s="165">
        <v>1586122</v>
      </c>
      <c r="O136" s="251" t="s">
        <v>149</v>
      </c>
      <c r="P136" s="252" t="s">
        <v>149</v>
      </c>
      <c r="Q136" s="165" t="s">
        <v>149</v>
      </c>
      <c r="R136" s="165" t="s">
        <v>2013</v>
      </c>
      <c r="S136" s="165" t="s">
        <v>2014</v>
      </c>
      <c r="T136" s="349" t="s">
        <v>2015</v>
      </c>
      <c r="U136" s="166" t="s">
        <v>2016</v>
      </c>
      <c r="V136" s="166">
        <v>27124</v>
      </c>
      <c r="W136" s="172" t="s">
        <v>2017</v>
      </c>
      <c r="X136" s="172" t="s">
        <v>154</v>
      </c>
      <c r="Y136" s="172" t="s">
        <v>161</v>
      </c>
      <c r="Z136" s="172" t="s">
        <v>156</v>
      </c>
      <c r="AA136" s="165">
        <v>36</v>
      </c>
      <c r="AB136" s="166">
        <v>42782</v>
      </c>
      <c r="AC136" s="287">
        <v>42430</v>
      </c>
      <c r="AD136" s="166"/>
      <c r="AE136" s="253" t="s">
        <v>2018</v>
      </c>
      <c r="AF136" s="253" t="s">
        <v>2019</v>
      </c>
      <c r="AG136" s="165"/>
      <c r="AH136" s="165">
        <f t="shared" si="33"/>
        <v>2</v>
      </c>
      <c r="AI136" s="172" t="s">
        <v>280</v>
      </c>
      <c r="AJ136" s="172" t="s">
        <v>200</v>
      </c>
      <c r="AK136" s="165"/>
      <c r="AL136" s="165" t="s">
        <v>161</v>
      </c>
      <c r="AM136" s="165" t="s">
        <v>148</v>
      </c>
      <c r="AN136" s="165"/>
      <c r="AO136" s="165" t="s">
        <v>162</v>
      </c>
      <c r="AP136" s="172" t="s">
        <v>2020</v>
      </c>
      <c r="AQ136" s="165" t="s">
        <v>248</v>
      </c>
      <c r="AR136" s="165" t="s">
        <v>148</v>
      </c>
      <c r="AS136" s="165"/>
      <c r="AT136" s="36" t="s">
        <v>217</v>
      </c>
      <c r="AU136" s="165" t="s">
        <v>2021</v>
      </c>
      <c r="AV136" s="166"/>
      <c r="AW136" s="167">
        <v>42428</v>
      </c>
      <c r="AX136" s="167">
        <v>42681</v>
      </c>
      <c r="AY136" s="167" t="s">
        <v>148</v>
      </c>
      <c r="AZ136" s="167">
        <v>42993</v>
      </c>
      <c r="BA136" s="167">
        <v>43174</v>
      </c>
      <c r="BB136" s="167"/>
      <c r="BC136" s="167"/>
      <c r="BD136" s="167"/>
      <c r="BE136" s="168"/>
      <c r="BF136" s="167">
        <v>43675</v>
      </c>
      <c r="BG136" s="167" t="s">
        <v>161</v>
      </c>
      <c r="BH136" s="167">
        <v>43891</v>
      </c>
      <c r="BI136" s="167" t="s">
        <v>161</v>
      </c>
      <c r="BJ136" s="166"/>
      <c r="BK136" s="166"/>
      <c r="BL136" s="166"/>
      <c r="BM136" s="169">
        <v>44067</v>
      </c>
      <c r="BN136" s="165" t="s">
        <v>16</v>
      </c>
      <c r="BO136" s="171">
        <f t="shared" si="37"/>
        <v>54</v>
      </c>
      <c r="BP136" s="165">
        <f t="shared" si="36"/>
        <v>46</v>
      </c>
      <c r="BQ136" s="172" t="s">
        <v>2022</v>
      </c>
      <c r="BR136" s="165">
        <v>0</v>
      </c>
      <c r="BS136" s="165">
        <v>1</v>
      </c>
      <c r="BT136" s="165">
        <v>1</v>
      </c>
      <c r="BU136" s="165">
        <v>1</v>
      </c>
      <c r="BV136" s="165">
        <v>0</v>
      </c>
      <c r="BW136" s="165">
        <v>0</v>
      </c>
      <c r="BX136" s="165">
        <v>0</v>
      </c>
      <c r="BY136" s="165" t="s">
        <v>161</v>
      </c>
      <c r="BZ136" s="165">
        <v>0</v>
      </c>
      <c r="CA136" s="165"/>
      <c r="CB136" s="170"/>
      <c r="CC136" s="170"/>
      <c r="CD136" s="165"/>
      <c r="CE136" s="165" t="s">
        <v>161</v>
      </c>
      <c r="CF136" s="165"/>
      <c r="CG136" s="165"/>
      <c r="CH136" s="376">
        <v>2</v>
      </c>
      <c r="CI136" s="165">
        <v>2</v>
      </c>
      <c r="CJ136" s="165"/>
      <c r="CK136" s="165" t="s">
        <v>807</v>
      </c>
      <c r="CL136"/>
    </row>
    <row r="137" spans="1:90" s="53" customFormat="1" ht="25" customHeight="1" x14ac:dyDescent="0.35">
      <c r="A137" s="165">
        <v>140</v>
      </c>
      <c r="B137" s="165" t="s">
        <v>2023</v>
      </c>
      <c r="C137" s="165" t="s">
        <v>627</v>
      </c>
      <c r="D137" s="165" t="s">
        <v>2024</v>
      </c>
      <c r="E137" s="165" t="s">
        <v>2025</v>
      </c>
      <c r="F137" s="165" t="s">
        <v>4140</v>
      </c>
      <c r="G137" s="165">
        <v>6</v>
      </c>
      <c r="H137" s="165" t="s">
        <v>50</v>
      </c>
      <c r="I137" s="165" t="s">
        <v>42</v>
      </c>
      <c r="J137" s="165" t="s">
        <v>2026</v>
      </c>
      <c r="K137" s="165" t="s">
        <v>2027</v>
      </c>
      <c r="L137" s="165" t="s">
        <v>42</v>
      </c>
      <c r="M137" s="165" t="s">
        <v>148</v>
      </c>
      <c r="N137" s="165" t="s">
        <v>2028</v>
      </c>
      <c r="O137" s="251" t="s">
        <v>149</v>
      </c>
      <c r="P137" s="252" t="s">
        <v>149</v>
      </c>
      <c r="Q137" s="165" t="s">
        <v>149</v>
      </c>
      <c r="R137" s="165" t="s">
        <v>2029</v>
      </c>
      <c r="S137" s="165" t="s">
        <v>2030</v>
      </c>
      <c r="T137" s="349" t="s">
        <v>2031</v>
      </c>
      <c r="U137" s="166" t="s">
        <v>2032</v>
      </c>
      <c r="V137" s="166">
        <v>27626</v>
      </c>
      <c r="W137" s="172" t="s">
        <v>2033</v>
      </c>
      <c r="X137" s="172" t="s">
        <v>177</v>
      </c>
      <c r="Y137" s="172" t="s">
        <v>161</v>
      </c>
      <c r="Z137" s="172" t="s">
        <v>156</v>
      </c>
      <c r="AA137" s="165">
        <v>23.5</v>
      </c>
      <c r="AB137" s="166">
        <v>42272</v>
      </c>
      <c r="AC137" s="287">
        <v>42430</v>
      </c>
      <c r="AD137" s="166"/>
      <c r="AE137" s="253" t="s">
        <v>2034</v>
      </c>
      <c r="AF137" s="253" t="s">
        <v>2035</v>
      </c>
      <c r="AG137" s="165"/>
      <c r="AH137" s="165">
        <f t="shared" si="33"/>
        <v>2</v>
      </c>
      <c r="AI137" s="172" t="s">
        <v>159</v>
      </c>
      <c r="AJ137" s="172" t="s">
        <v>159</v>
      </c>
      <c r="AK137" s="165"/>
      <c r="AL137" s="165" t="s">
        <v>148</v>
      </c>
      <c r="AM137" s="165"/>
      <c r="AN137" s="165"/>
      <c r="AO137" s="165" t="s">
        <v>162</v>
      </c>
      <c r="AP137" s="172" t="s">
        <v>201</v>
      </c>
      <c r="AQ137" s="172" t="s">
        <v>248</v>
      </c>
      <c r="AR137" s="172" t="s">
        <v>148</v>
      </c>
      <c r="AS137" s="172"/>
      <c r="AT137" s="36" t="s">
        <v>418</v>
      </c>
      <c r="AU137" s="165" t="s">
        <v>2036</v>
      </c>
      <c r="AV137" s="166"/>
      <c r="AW137" s="167">
        <v>42428</v>
      </c>
      <c r="AX137" s="167">
        <v>42681</v>
      </c>
      <c r="AY137" s="167" t="s">
        <v>148</v>
      </c>
      <c r="AZ137" s="167">
        <v>42228</v>
      </c>
      <c r="BA137" s="167">
        <v>42249</v>
      </c>
      <c r="BB137" s="167"/>
      <c r="BC137" s="167"/>
      <c r="BD137" s="167"/>
      <c r="BE137" s="168" t="s">
        <v>2037</v>
      </c>
      <c r="BF137" s="167">
        <v>43309</v>
      </c>
      <c r="BG137" s="167" t="s">
        <v>148</v>
      </c>
      <c r="BH137" s="167">
        <v>43528</v>
      </c>
      <c r="BI137" s="167" t="s">
        <v>148</v>
      </c>
      <c r="BJ137" s="166"/>
      <c r="BK137" s="166"/>
      <c r="BL137" s="166"/>
      <c r="BM137" s="169">
        <v>43819</v>
      </c>
      <c r="BN137" s="165" t="s">
        <v>16</v>
      </c>
      <c r="BO137" s="171">
        <f t="shared" si="37"/>
        <v>46</v>
      </c>
      <c r="BP137" s="165">
        <f t="shared" si="36"/>
        <v>38</v>
      </c>
      <c r="BQ137" s="165"/>
      <c r="BR137" s="165">
        <v>11</v>
      </c>
      <c r="BS137" s="165">
        <v>3</v>
      </c>
      <c r="BT137" s="165">
        <v>5</v>
      </c>
      <c r="BU137" s="165">
        <v>2</v>
      </c>
      <c r="BV137" s="165">
        <v>0</v>
      </c>
      <c r="BW137" s="165">
        <v>0</v>
      </c>
      <c r="BX137" s="165">
        <v>0</v>
      </c>
      <c r="BY137" s="165" t="s">
        <v>161</v>
      </c>
      <c r="BZ137" s="165">
        <v>0</v>
      </c>
      <c r="CA137" s="165"/>
      <c r="CB137" s="170"/>
      <c r="CC137" s="170"/>
      <c r="CD137" s="165"/>
      <c r="CE137" s="165" t="s">
        <v>161</v>
      </c>
      <c r="CF137" s="165"/>
      <c r="CG137" s="165"/>
      <c r="CH137" s="376">
        <v>3</v>
      </c>
      <c r="CI137" s="165">
        <v>3</v>
      </c>
      <c r="CJ137" s="165"/>
      <c r="CK137" s="165" t="s">
        <v>807</v>
      </c>
      <c r="CL137"/>
    </row>
    <row r="138" spans="1:90" s="53" customFormat="1" ht="25" customHeight="1" x14ac:dyDescent="0.35">
      <c r="A138" s="165">
        <v>141</v>
      </c>
      <c r="B138" s="165" t="s">
        <v>2038</v>
      </c>
      <c r="C138" s="165" t="s">
        <v>2039</v>
      </c>
      <c r="D138" s="165" t="s">
        <v>2040</v>
      </c>
      <c r="E138" s="165" t="s">
        <v>2041</v>
      </c>
      <c r="F138" s="165" t="s">
        <v>4140</v>
      </c>
      <c r="G138" s="165">
        <v>6</v>
      </c>
      <c r="H138" s="165" t="s">
        <v>56</v>
      </c>
      <c r="I138" s="165" t="s">
        <v>44</v>
      </c>
      <c r="J138" s="165" t="s">
        <v>2042</v>
      </c>
      <c r="K138" s="165" t="s">
        <v>2043</v>
      </c>
      <c r="L138" s="165" t="s">
        <v>44</v>
      </c>
      <c r="M138" s="165" t="s">
        <v>148</v>
      </c>
      <c r="N138" s="165">
        <v>781183</v>
      </c>
      <c r="O138" s="251" t="s">
        <v>149</v>
      </c>
      <c r="P138" s="252" t="s">
        <v>149</v>
      </c>
      <c r="Q138" s="165" t="s">
        <v>149</v>
      </c>
      <c r="R138" s="165" t="s">
        <v>2044</v>
      </c>
      <c r="S138" s="165" t="s">
        <v>2045</v>
      </c>
      <c r="T138" s="350" t="s">
        <v>2046</v>
      </c>
      <c r="U138" s="166" t="s">
        <v>2047</v>
      </c>
      <c r="V138" s="166">
        <v>30471</v>
      </c>
      <c r="W138" s="172" t="s">
        <v>2048</v>
      </c>
      <c r="X138" s="172" t="s">
        <v>177</v>
      </c>
      <c r="Y138" s="172" t="s">
        <v>161</v>
      </c>
      <c r="Z138" s="172" t="s">
        <v>156</v>
      </c>
      <c r="AA138" s="165">
        <v>28</v>
      </c>
      <c r="AB138" s="166">
        <v>42036</v>
      </c>
      <c r="AC138" s="287">
        <v>42430</v>
      </c>
      <c r="AD138" s="166"/>
      <c r="AE138" s="253" t="s">
        <v>2049</v>
      </c>
      <c r="AF138" s="253" t="s">
        <v>2050</v>
      </c>
      <c r="AG138" s="165"/>
      <c r="AH138" s="165">
        <f t="shared" si="33"/>
        <v>2</v>
      </c>
      <c r="AI138" s="172" t="s">
        <v>280</v>
      </c>
      <c r="AJ138" s="165" t="s">
        <v>200</v>
      </c>
      <c r="AK138" s="165"/>
      <c r="AL138" s="165" t="s">
        <v>161</v>
      </c>
      <c r="AM138" s="165" t="s">
        <v>161</v>
      </c>
      <c r="AN138" s="165"/>
      <c r="AO138" s="165" t="s">
        <v>180</v>
      </c>
      <c r="AP138" s="172" t="s">
        <v>2051</v>
      </c>
      <c r="AQ138" s="38" t="s">
        <v>180</v>
      </c>
      <c r="AR138" s="165"/>
      <c r="AS138" s="165"/>
      <c r="AT138" s="36" t="s">
        <v>370</v>
      </c>
      <c r="AU138" s="165" t="s">
        <v>2052</v>
      </c>
      <c r="AV138" s="166"/>
      <c r="AW138" s="167">
        <v>42428</v>
      </c>
      <c r="AX138" s="167">
        <v>42681</v>
      </c>
      <c r="AY138" s="167" t="s">
        <v>148</v>
      </c>
      <c r="AZ138" s="167"/>
      <c r="BA138" s="167"/>
      <c r="BB138" s="167"/>
      <c r="BC138" s="167"/>
      <c r="BD138" s="167"/>
      <c r="BE138" s="168" t="s">
        <v>2053</v>
      </c>
      <c r="BF138" s="167">
        <v>43309</v>
      </c>
      <c r="BG138" s="167" t="s">
        <v>148</v>
      </c>
      <c r="BH138" s="167">
        <v>43528</v>
      </c>
      <c r="BI138" s="167" t="s">
        <v>148</v>
      </c>
      <c r="BJ138" s="166">
        <v>44680</v>
      </c>
      <c r="BK138" s="166"/>
      <c r="BL138" s="166"/>
      <c r="BM138" s="169">
        <v>44718</v>
      </c>
      <c r="BN138" s="174" t="s">
        <v>16</v>
      </c>
      <c r="BO138" s="171">
        <f t="shared" si="37"/>
        <v>76</v>
      </c>
      <c r="BP138" s="165">
        <f t="shared" si="36"/>
        <v>67</v>
      </c>
      <c r="BQ138" s="172" t="s">
        <v>2054</v>
      </c>
      <c r="BR138" s="165">
        <v>0</v>
      </c>
      <c r="BS138" s="165">
        <v>18</v>
      </c>
      <c r="BT138" s="165">
        <v>0</v>
      </c>
      <c r="BU138" s="165">
        <v>1</v>
      </c>
      <c r="BV138" s="165">
        <v>0</v>
      </c>
      <c r="BW138" s="165">
        <v>0</v>
      </c>
      <c r="BX138" s="165">
        <v>0</v>
      </c>
      <c r="BY138" s="165" t="s">
        <v>161</v>
      </c>
      <c r="BZ138" s="165">
        <v>0</v>
      </c>
      <c r="CA138" s="165"/>
      <c r="CB138" s="170"/>
      <c r="CC138" s="170"/>
      <c r="CD138" s="165"/>
      <c r="CE138" s="165" t="s">
        <v>161</v>
      </c>
      <c r="CF138" s="165"/>
      <c r="CG138" s="165"/>
      <c r="CH138" s="376">
        <v>3</v>
      </c>
      <c r="CI138" s="165">
        <v>3</v>
      </c>
      <c r="CJ138" s="165"/>
      <c r="CK138" s="165" t="s">
        <v>807</v>
      </c>
      <c r="CL138"/>
    </row>
    <row r="139" spans="1:90" s="53" customFormat="1" ht="25" customHeight="1" x14ac:dyDescent="0.35">
      <c r="A139" s="165">
        <v>142</v>
      </c>
      <c r="B139" s="165" t="s">
        <v>2055</v>
      </c>
      <c r="C139" s="165" t="s">
        <v>2056</v>
      </c>
      <c r="D139" s="165" t="s">
        <v>2057</v>
      </c>
      <c r="E139" s="165" t="s">
        <v>2058</v>
      </c>
      <c r="F139" s="165" t="s">
        <v>4140</v>
      </c>
      <c r="G139" s="165">
        <v>6</v>
      </c>
      <c r="H139" s="165" t="s">
        <v>52</v>
      </c>
      <c r="I139" s="165" t="s">
        <v>39</v>
      </c>
      <c r="J139" s="165" t="s">
        <v>1419</v>
      </c>
      <c r="K139" s="165" t="s">
        <v>1490</v>
      </c>
      <c r="L139" s="165" t="s">
        <v>39</v>
      </c>
      <c r="M139" s="165" t="s">
        <v>148</v>
      </c>
      <c r="N139" s="165" t="s">
        <v>2059</v>
      </c>
      <c r="O139" s="251" t="s">
        <v>149</v>
      </c>
      <c r="P139" s="252" t="s">
        <v>149</v>
      </c>
      <c r="Q139" s="165"/>
      <c r="R139" s="165" t="s">
        <v>2060</v>
      </c>
      <c r="S139" s="165" t="s">
        <v>2061</v>
      </c>
      <c r="T139" s="349" t="s">
        <v>2062</v>
      </c>
      <c r="U139" s="166" t="s">
        <v>2063</v>
      </c>
      <c r="V139" s="166">
        <v>29550</v>
      </c>
      <c r="W139" s="172" t="s">
        <v>2064</v>
      </c>
      <c r="X139" s="172" t="s">
        <v>177</v>
      </c>
      <c r="Y139" s="172" t="s">
        <v>161</v>
      </c>
      <c r="Z139" s="172" t="s">
        <v>156</v>
      </c>
      <c r="AA139" s="165">
        <v>19</v>
      </c>
      <c r="AB139" s="166">
        <v>41908</v>
      </c>
      <c r="AC139" s="287">
        <v>42430</v>
      </c>
      <c r="AD139" s="166"/>
      <c r="AE139" s="253" t="s">
        <v>2065</v>
      </c>
      <c r="AF139" s="310" t="s">
        <v>2066</v>
      </c>
      <c r="AG139" s="165"/>
      <c r="AH139" s="165">
        <f t="shared" si="33"/>
        <v>2</v>
      </c>
      <c r="AI139" s="37" t="s">
        <v>159</v>
      </c>
      <c r="AJ139" s="165"/>
      <c r="AK139" s="165"/>
      <c r="AL139" s="165" t="s">
        <v>148</v>
      </c>
      <c r="AM139" s="165"/>
      <c r="AN139" s="165"/>
      <c r="AO139" s="165" t="s">
        <v>162</v>
      </c>
      <c r="AP139" s="172" t="s">
        <v>201</v>
      </c>
      <c r="AQ139" s="172" t="s">
        <v>941</v>
      </c>
      <c r="AR139" s="165" t="s">
        <v>148</v>
      </c>
      <c r="AS139" s="165"/>
      <c r="AT139" s="36" t="s">
        <v>283</v>
      </c>
      <c r="AU139" s="165" t="s">
        <v>2067</v>
      </c>
      <c r="AV139" s="166"/>
      <c r="AW139" s="167">
        <v>42428</v>
      </c>
      <c r="AX139" s="167">
        <v>42681</v>
      </c>
      <c r="AY139" s="167" t="s">
        <v>148</v>
      </c>
      <c r="AZ139" s="167"/>
      <c r="BA139" s="167"/>
      <c r="BB139" s="167"/>
      <c r="BC139" s="167"/>
      <c r="BD139" s="167"/>
      <c r="BE139" s="168" t="s">
        <v>2068</v>
      </c>
      <c r="BF139" s="167">
        <v>43309</v>
      </c>
      <c r="BG139" s="167" t="s">
        <v>148</v>
      </c>
      <c r="BH139" s="167">
        <v>44410</v>
      </c>
      <c r="BI139" s="166" t="s">
        <v>161</v>
      </c>
      <c r="BJ139" s="166"/>
      <c r="BK139" s="166"/>
      <c r="BL139" s="166"/>
      <c r="BM139" s="169">
        <v>43281</v>
      </c>
      <c r="BN139" s="165" t="s">
        <v>16</v>
      </c>
      <c r="BO139" s="171">
        <f t="shared" si="37"/>
        <v>29</v>
      </c>
      <c r="BP139" s="165">
        <f t="shared" si="36"/>
        <v>20</v>
      </c>
      <c r="BQ139" s="165"/>
      <c r="BR139" s="165">
        <v>2</v>
      </c>
      <c r="BS139" s="165">
        <v>1</v>
      </c>
      <c r="BT139" s="165">
        <v>8</v>
      </c>
      <c r="BU139" s="165">
        <v>3</v>
      </c>
      <c r="BV139" s="165">
        <v>0</v>
      </c>
      <c r="BW139" s="165">
        <v>0</v>
      </c>
      <c r="BX139" s="165">
        <v>0</v>
      </c>
      <c r="BY139" s="165" t="s">
        <v>161</v>
      </c>
      <c r="BZ139" s="165">
        <v>0</v>
      </c>
      <c r="CA139" s="165"/>
      <c r="CB139" s="170"/>
      <c r="CC139" s="170"/>
      <c r="CD139" s="165"/>
      <c r="CE139" s="165" t="s">
        <v>161</v>
      </c>
      <c r="CF139" s="165"/>
      <c r="CG139" s="165"/>
      <c r="CH139" s="376">
        <v>1</v>
      </c>
      <c r="CI139" s="165">
        <v>1</v>
      </c>
      <c r="CJ139" s="165"/>
      <c r="CK139" s="165" t="s">
        <v>807</v>
      </c>
      <c r="CL139"/>
    </row>
    <row r="140" spans="1:90" s="53" customFormat="1" ht="25" customHeight="1" x14ac:dyDescent="0.35">
      <c r="A140" s="165">
        <v>143</v>
      </c>
      <c r="B140" s="165" t="s">
        <v>2069</v>
      </c>
      <c r="C140" s="165" t="s">
        <v>2070</v>
      </c>
      <c r="D140" s="165" t="s">
        <v>2071</v>
      </c>
      <c r="E140" s="165" t="s">
        <v>2072</v>
      </c>
      <c r="F140" s="165" t="s">
        <v>4140</v>
      </c>
      <c r="G140" s="165">
        <v>6</v>
      </c>
      <c r="H140" s="165" t="s">
        <v>50</v>
      </c>
      <c r="I140" s="165" t="s">
        <v>42</v>
      </c>
      <c r="J140" s="165" t="s">
        <v>2073</v>
      </c>
      <c r="K140" s="165" t="s">
        <v>2074</v>
      </c>
      <c r="L140" s="165" t="s">
        <v>42</v>
      </c>
      <c r="M140" s="165" t="s">
        <v>148</v>
      </c>
      <c r="N140" s="165" t="s">
        <v>2075</v>
      </c>
      <c r="O140" s="251" t="s">
        <v>149</v>
      </c>
      <c r="P140" s="252" t="s">
        <v>149</v>
      </c>
      <c r="Q140" s="165" t="s">
        <v>149</v>
      </c>
      <c r="R140" s="165" t="s">
        <v>2076</v>
      </c>
      <c r="S140" s="165" t="s">
        <v>2077</v>
      </c>
      <c r="T140" s="349" t="s">
        <v>2078</v>
      </c>
      <c r="U140" s="166" t="s">
        <v>2079</v>
      </c>
      <c r="V140" s="166">
        <v>29969</v>
      </c>
      <c r="W140" s="172" t="s">
        <v>2080</v>
      </c>
      <c r="X140" s="172" t="s">
        <v>2081</v>
      </c>
      <c r="Y140" s="172" t="s">
        <v>155</v>
      </c>
      <c r="Z140" s="172" t="s">
        <v>156</v>
      </c>
      <c r="AA140" s="165">
        <v>17.5</v>
      </c>
      <c r="AB140" s="166">
        <v>42649</v>
      </c>
      <c r="AC140" s="287">
        <v>42430</v>
      </c>
      <c r="AD140" s="166"/>
      <c r="AE140" s="253" t="s">
        <v>2082</v>
      </c>
      <c r="AF140" s="253" t="s">
        <v>2083</v>
      </c>
      <c r="AG140" s="165" t="s">
        <v>2084</v>
      </c>
      <c r="AH140" s="165">
        <f t="shared" si="33"/>
        <v>3</v>
      </c>
      <c r="AI140" s="37" t="s">
        <v>159</v>
      </c>
      <c r="AJ140" s="37" t="s">
        <v>159</v>
      </c>
      <c r="AK140" s="37" t="s">
        <v>159</v>
      </c>
      <c r="AL140" s="37" t="s">
        <v>148</v>
      </c>
      <c r="AM140" s="37" t="s">
        <v>161</v>
      </c>
      <c r="AN140" s="37" t="s">
        <v>161</v>
      </c>
      <c r="AO140" s="37" t="s">
        <v>162</v>
      </c>
      <c r="AP140" s="172" t="s">
        <v>201</v>
      </c>
      <c r="AQ140" s="172" t="s">
        <v>248</v>
      </c>
      <c r="AR140" s="172" t="s">
        <v>148</v>
      </c>
      <c r="AS140" s="172" t="s">
        <v>2085</v>
      </c>
      <c r="AT140" s="36" t="s">
        <v>418</v>
      </c>
      <c r="AU140" s="165" t="s">
        <v>2086</v>
      </c>
      <c r="AV140" s="166"/>
      <c r="AW140" s="167">
        <v>42428</v>
      </c>
      <c r="AX140" s="167">
        <v>42681</v>
      </c>
      <c r="AY140" s="167" t="s">
        <v>148</v>
      </c>
      <c r="AZ140" s="167">
        <v>42653</v>
      </c>
      <c r="BA140" s="167">
        <v>42548</v>
      </c>
      <c r="BB140" s="167"/>
      <c r="BC140" s="167"/>
      <c r="BD140" s="167"/>
      <c r="BE140" s="168" t="s">
        <v>2087</v>
      </c>
      <c r="BF140" s="167">
        <v>43309</v>
      </c>
      <c r="BG140" s="167" t="s">
        <v>148</v>
      </c>
      <c r="BH140" s="167">
        <v>43528</v>
      </c>
      <c r="BI140" s="167" t="s">
        <v>148</v>
      </c>
      <c r="BJ140" s="166"/>
      <c r="BK140" s="166"/>
      <c r="BL140" s="166"/>
      <c r="BM140" s="169">
        <v>43789</v>
      </c>
      <c r="BN140" s="165" t="s">
        <v>16</v>
      </c>
      <c r="BO140" s="171">
        <f t="shared" si="37"/>
        <v>45</v>
      </c>
      <c r="BP140" s="165">
        <f t="shared" si="36"/>
        <v>37</v>
      </c>
      <c r="BQ140" s="165"/>
      <c r="BR140" s="165">
        <v>2</v>
      </c>
      <c r="BS140" s="165">
        <v>2</v>
      </c>
      <c r="BT140" s="165">
        <v>2</v>
      </c>
      <c r="BU140" s="165">
        <v>4</v>
      </c>
      <c r="BV140" s="165">
        <v>0</v>
      </c>
      <c r="BW140" s="165">
        <v>0</v>
      </c>
      <c r="BX140" s="165">
        <v>0</v>
      </c>
      <c r="BY140" s="165" t="s">
        <v>2088</v>
      </c>
      <c r="BZ140" s="165">
        <v>0</v>
      </c>
      <c r="CA140" s="165"/>
      <c r="CB140" s="170"/>
      <c r="CC140" s="170"/>
      <c r="CD140" s="165"/>
      <c r="CE140" s="165" t="s">
        <v>161</v>
      </c>
      <c r="CF140" s="165"/>
      <c r="CG140" s="165"/>
      <c r="CH140" s="376">
        <v>2</v>
      </c>
      <c r="CI140" s="165">
        <v>2</v>
      </c>
      <c r="CJ140" s="165"/>
      <c r="CK140" s="165" t="s">
        <v>1312</v>
      </c>
      <c r="CL140"/>
    </row>
    <row r="141" spans="1:90" s="53" customFormat="1" ht="25" customHeight="1" x14ac:dyDescent="0.35">
      <c r="A141" s="165">
        <v>144</v>
      </c>
      <c r="B141" s="165" t="s">
        <v>2089</v>
      </c>
      <c r="C141" s="165" t="s">
        <v>2090</v>
      </c>
      <c r="D141" s="165" t="s">
        <v>2091</v>
      </c>
      <c r="E141" s="165" t="s">
        <v>2092</v>
      </c>
      <c r="F141" s="165" t="s">
        <v>4140</v>
      </c>
      <c r="G141" s="165">
        <v>6</v>
      </c>
      <c r="H141" s="165" t="s">
        <v>52</v>
      </c>
      <c r="I141" s="165" t="s">
        <v>31</v>
      </c>
      <c r="J141" s="165" t="s">
        <v>600</v>
      </c>
      <c r="K141" s="165"/>
      <c r="L141" s="165" t="s">
        <v>44</v>
      </c>
      <c r="M141" s="165" t="s">
        <v>161</v>
      </c>
      <c r="N141" s="165" t="s">
        <v>2093</v>
      </c>
      <c r="O141" s="251" t="s">
        <v>149</v>
      </c>
      <c r="P141" s="252" t="s">
        <v>149</v>
      </c>
      <c r="Q141" s="165"/>
      <c r="R141" s="165" t="s">
        <v>2094</v>
      </c>
      <c r="S141" s="175" t="s">
        <v>2095</v>
      </c>
      <c r="T141" s="350" t="s">
        <v>2096</v>
      </c>
      <c r="U141" s="166" t="s">
        <v>787</v>
      </c>
      <c r="V141" s="166">
        <v>26560</v>
      </c>
      <c r="W141" s="172" t="s">
        <v>2097</v>
      </c>
      <c r="X141" s="172" t="s">
        <v>177</v>
      </c>
      <c r="Y141" s="172" t="s">
        <v>161</v>
      </c>
      <c r="Z141" s="172" t="s">
        <v>156</v>
      </c>
      <c r="AA141" s="165">
        <v>4</v>
      </c>
      <c r="AB141" s="166">
        <v>42891</v>
      </c>
      <c r="AC141" s="287">
        <v>42430</v>
      </c>
      <c r="AD141" s="166"/>
      <c r="AE141" s="165" t="s">
        <v>2098</v>
      </c>
      <c r="AF141" s="165" t="s">
        <v>2099</v>
      </c>
      <c r="AG141" s="165"/>
      <c r="AH141" s="165">
        <f t="shared" si="33"/>
        <v>2</v>
      </c>
      <c r="AI141" s="165"/>
      <c r="AJ141" s="165"/>
      <c r="AK141" s="165"/>
      <c r="AL141" s="165"/>
      <c r="AM141" s="165"/>
      <c r="AN141" s="165"/>
      <c r="AO141" s="165" t="s">
        <v>162</v>
      </c>
      <c r="AP141" s="172" t="s">
        <v>1857</v>
      </c>
      <c r="AQ141" s="165" t="s">
        <v>201</v>
      </c>
      <c r="AR141" s="165" t="s">
        <v>148</v>
      </c>
      <c r="AS141" s="165"/>
      <c r="AT141" s="36" t="s">
        <v>326</v>
      </c>
      <c r="AU141" s="165" t="s">
        <v>2100</v>
      </c>
      <c r="AV141" s="166"/>
      <c r="AW141" s="167">
        <v>42428</v>
      </c>
      <c r="AX141" s="167">
        <v>42681</v>
      </c>
      <c r="AY141" s="167" t="s">
        <v>148</v>
      </c>
      <c r="AZ141" s="167">
        <v>43069</v>
      </c>
      <c r="BA141" s="167">
        <v>43138</v>
      </c>
      <c r="BB141" s="167"/>
      <c r="BC141" s="167"/>
      <c r="BD141" s="167"/>
      <c r="BE141" s="168"/>
      <c r="BF141" s="315">
        <v>43675</v>
      </c>
      <c r="BG141" s="315" t="s">
        <v>161</v>
      </c>
      <c r="BH141" s="315"/>
      <c r="BI141" s="315" t="s">
        <v>161</v>
      </c>
      <c r="BJ141" s="166"/>
      <c r="BK141" s="166"/>
      <c r="BL141" s="166"/>
      <c r="BM141" s="176">
        <v>45105</v>
      </c>
      <c r="BN141" s="174" t="s">
        <v>16</v>
      </c>
      <c r="BO141" s="171">
        <f t="shared" si="37"/>
        <v>89</v>
      </c>
      <c r="BP141" s="165">
        <f t="shared" si="36"/>
        <v>80</v>
      </c>
      <c r="BQ141" s="165"/>
      <c r="BR141" s="165">
        <v>3</v>
      </c>
      <c r="BS141" s="165">
        <v>9</v>
      </c>
      <c r="BT141" s="165">
        <v>0</v>
      </c>
      <c r="BU141" s="165">
        <v>2</v>
      </c>
      <c r="BV141" s="165">
        <v>0</v>
      </c>
      <c r="BW141" s="165">
        <v>0</v>
      </c>
      <c r="BX141" s="165">
        <v>0</v>
      </c>
      <c r="BY141" s="165" t="s">
        <v>161</v>
      </c>
      <c r="BZ141" s="165">
        <v>0</v>
      </c>
      <c r="CA141" s="165"/>
      <c r="CB141" s="170"/>
      <c r="CC141" s="170"/>
      <c r="CD141" s="165"/>
      <c r="CE141" s="165" t="s">
        <v>161</v>
      </c>
      <c r="CF141" s="165"/>
      <c r="CG141" s="165"/>
      <c r="CH141" s="376">
        <v>2</v>
      </c>
      <c r="CI141" s="165"/>
      <c r="CJ141" s="165"/>
      <c r="CK141" s="165" t="s">
        <v>807</v>
      </c>
      <c r="CL141"/>
    </row>
    <row r="142" spans="1:90" s="53" customFormat="1" ht="25" customHeight="1" x14ac:dyDescent="0.35">
      <c r="A142" s="165">
        <v>145</v>
      </c>
      <c r="B142" s="165" t="s">
        <v>2101</v>
      </c>
      <c r="C142" s="165" t="s">
        <v>2102</v>
      </c>
      <c r="D142" s="165" t="s">
        <v>2103</v>
      </c>
      <c r="E142" s="165" t="s">
        <v>2104</v>
      </c>
      <c r="F142" s="165" t="s">
        <v>4140</v>
      </c>
      <c r="G142" s="165">
        <v>6</v>
      </c>
      <c r="H142" s="165" t="s">
        <v>56</v>
      </c>
      <c r="I142" s="165" t="s">
        <v>44</v>
      </c>
      <c r="J142" s="165" t="s">
        <v>2105</v>
      </c>
      <c r="K142" s="165" t="s">
        <v>600</v>
      </c>
      <c r="L142" s="165" t="s">
        <v>44</v>
      </c>
      <c r="M142" s="165" t="s">
        <v>148</v>
      </c>
      <c r="N142" s="165" t="s">
        <v>2106</v>
      </c>
      <c r="O142" s="251" t="s">
        <v>149</v>
      </c>
      <c r="P142" s="252" t="s">
        <v>149</v>
      </c>
      <c r="Q142" s="165" t="s">
        <v>149</v>
      </c>
      <c r="R142" s="175" t="s">
        <v>2107</v>
      </c>
      <c r="S142" s="165" t="s">
        <v>2108</v>
      </c>
      <c r="T142" s="349" t="s">
        <v>2109</v>
      </c>
      <c r="U142" s="166" t="s">
        <v>2110</v>
      </c>
      <c r="V142" s="166">
        <v>26993</v>
      </c>
      <c r="W142" s="172" t="s">
        <v>2111</v>
      </c>
      <c r="X142" s="172" t="s">
        <v>177</v>
      </c>
      <c r="Y142" s="172" t="s">
        <v>161</v>
      </c>
      <c r="Z142" s="172" t="s">
        <v>156</v>
      </c>
      <c r="AA142" s="165">
        <v>12</v>
      </c>
      <c r="AB142" s="166">
        <v>42373</v>
      </c>
      <c r="AC142" s="287">
        <v>42430</v>
      </c>
      <c r="AD142" s="166"/>
      <c r="AE142" s="253" t="s">
        <v>1512</v>
      </c>
      <c r="AF142" s="253" t="s">
        <v>2112</v>
      </c>
      <c r="AG142" s="165"/>
      <c r="AH142" s="165">
        <f t="shared" si="33"/>
        <v>2</v>
      </c>
      <c r="AI142" s="37" t="s">
        <v>159</v>
      </c>
      <c r="AJ142" s="37" t="s">
        <v>159</v>
      </c>
      <c r="AK142" s="165"/>
      <c r="AL142" s="165" t="s">
        <v>148</v>
      </c>
      <c r="AM142" s="165" t="s">
        <v>148</v>
      </c>
      <c r="AN142" s="165"/>
      <c r="AO142" s="165" t="s">
        <v>162</v>
      </c>
      <c r="AP142" s="172" t="s">
        <v>2113</v>
      </c>
      <c r="AQ142" s="165" t="s">
        <v>248</v>
      </c>
      <c r="AR142" s="165"/>
      <c r="AS142" s="165"/>
      <c r="AT142" s="36" t="s">
        <v>370</v>
      </c>
      <c r="AU142" s="165" t="s">
        <v>2114</v>
      </c>
      <c r="AV142" s="166"/>
      <c r="AW142" s="167">
        <v>42428</v>
      </c>
      <c r="AX142" s="167">
        <v>42681</v>
      </c>
      <c r="AY142" s="167" t="s">
        <v>148</v>
      </c>
      <c r="AZ142" s="167">
        <v>42753</v>
      </c>
      <c r="BA142" s="167">
        <v>42762</v>
      </c>
      <c r="BB142" s="167"/>
      <c r="BC142" s="167"/>
      <c r="BD142" s="167"/>
      <c r="BE142" s="168" t="s">
        <v>2115</v>
      </c>
      <c r="BF142" s="167">
        <v>43309</v>
      </c>
      <c r="BG142" s="167" t="s">
        <v>148</v>
      </c>
      <c r="BH142" s="167">
        <v>43528</v>
      </c>
      <c r="BI142" s="167" t="s">
        <v>148</v>
      </c>
      <c r="BJ142" s="166"/>
      <c r="BK142" s="166"/>
      <c r="BL142" s="166"/>
      <c r="BM142" s="169">
        <v>44316</v>
      </c>
      <c r="BN142" s="165" t="s">
        <v>16</v>
      </c>
      <c r="BO142" s="171">
        <f>DATEDIF(AW142,BM142, "M")+1</f>
        <v>63</v>
      </c>
      <c r="BP142" s="165">
        <f t="shared" si="36"/>
        <v>54</v>
      </c>
      <c r="BQ142" s="172" t="s">
        <v>2116</v>
      </c>
      <c r="BR142" s="165">
        <v>2</v>
      </c>
      <c r="BS142" s="165">
        <v>6</v>
      </c>
      <c r="BT142" s="165">
        <v>1</v>
      </c>
      <c r="BU142" s="165">
        <v>3</v>
      </c>
      <c r="BV142" s="165">
        <v>1</v>
      </c>
      <c r="BW142" s="165">
        <v>0</v>
      </c>
      <c r="BX142" s="165">
        <v>0</v>
      </c>
      <c r="BY142" s="165" t="s">
        <v>161</v>
      </c>
      <c r="BZ142" s="165">
        <v>0</v>
      </c>
      <c r="CA142" s="165"/>
      <c r="CB142" s="170"/>
      <c r="CC142" s="170"/>
      <c r="CD142" s="165"/>
      <c r="CE142" s="165" t="s">
        <v>161</v>
      </c>
      <c r="CF142" s="165"/>
      <c r="CG142" s="165"/>
      <c r="CH142" s="376">
        <v>2</v>
      </c>
      <c r="CI142" s="165">
        <v>2</v>
      </c>
      <c r="CJ142" s="165"/>
      <c r="CK142" s="165" t="s">
        <v>807</v>
      </c>
      <c r="CL142"/>
    </row>
    <row r="143" spans="1:90" s="53" customFormat="1" ht="25" customHeight="1" x14ac:dyDescent="0.35">
      <c r="A143" s="165">
        <v>146</v>
      </c>
      <c r="B143" s="165" t="s">
        <v>2117</v>
      </c>
      <c r="C143" s="165" t="s">
        <v>2118</v>
      </c>
      <c r="D143" s="165" t="s">
        <v>2119</v>
      </c>
      <c r="E143" s="165" t="s">
        <v>2120</v>
      </c>
      <c r="F143" s="165" t="s">
        <v>4140</v>
      </c>
      <c r="G143" s="165">
        <v>6</v>
      </c>
      <c r="H143" s="165" t="s">
        <v>57</v>
      </c>
      <c r="I143" s="165" t="s">
        <v>40</v>
      </c>
      <c r="J143" s="165" t="s">
        <v>2121</v>
      </c>
      <c r="K143" s="165" t="s">
        <v>2122</v>
      </c>
      <c r="L143" s="165" t="s">
        <v>41</v>
      </c>
      <c r="M143" s="165" t="s">
        <v>161</v>
      </c>
      <c r="N143" s="165" t="s">
        <v>2123</v>
      </c>
      <c r="O143" s="251" t="s">
        <v>149</v>
      </c>
      <c r="P143" s="252" t="s">
        <v>149</v>
      </c>
      <c r="Q143" s="165"/>
      <c r="R143" s="165" t="s">
        <v>2124</v>
      </c>
      <c r="S143" s="165" t="s">
        <v>2125</v>
      </c>
      <c r="T143" s="350" t="s">
        <v>2126</v>
      </c>
      <c r="U143" s="166" t="s">
        <v>2127</v>
      </c>
      <c r="V143" s="166">
        <v>28749</v>
      </c>
      <c r="W143" s="172" t="s">
        <v>2128</v>
      </c>
      <c r="X143" s="172" t="s">
        <v>2081</v>
      </c>
      <c r="Y143" s="172" t="s">
        <v>155</v>
      </c>
      <c r="Z143" s="172" t="s">
        <v>156</v>
      </c>
      <c r="AA143" s="165">
        <v>36</v>
      </c>
      <c r="AB143" s="166">
        <v>42663</v>
      </c>
      <c r="AC143" s="287">
        <v>42430</v>
      </c>
      <c r="AD143" s="166"/>
      <c r="AE143" s="253" t="s">
        <v>2129</v>
      </c>
      <c r="AF143" s="165"/>
      <c r="AG143" s="165"/>
      <c r="AH143" s="165">
        <f t="shared" si="33"/>
        <v>1</v>
      </c>
      <c r="AI143" s="172" t="s">
        <v>160</v>
      </c>
      <c r="AJ143" s="165"/>
      <c r="AK143" s="165"/>
      <c r="AL143" s="165" t="s">
        <v>161</v>
      </c>
      <c r="AM143" s="165"/>
      <c r="AN143" s="165"/>
      <c r="AO143" s="165" t="s">
        <v>180</v>
      </c>
      <c r="AP143" s="172" t="s">
        <v>2130</v>
      </c>
      <c r="AQ143" s="165" t="s">
        <v>591</v>
      </c>
      <c r="AR143" s="165"/>
      <c r="AS143" s="165"/>
      <c r="AT143" s="36" t="s">
        <v>1264</v>
      </c>
      <c r="AU143" s="165" t="s">
        <v>2131</v>
      </c>
      <c r="AV143" s="166"/>
      <c r="AW143" s="167">
        <v>42428</v>
      </c>
      <c r="AX143" s="167">
        <v>42681</v>
      </c>
      <c r="AY143" s="167" t="s">
        <v>148</v>
      </c>
      <c r="AZ143" s="167">
        <v>42838</v>
      </c>
      <c r="BA143" s="167">
        <v>42936</v>
      </c>
      <c r="BB143" s="167"/>
      <c r="BC143" s="167"/>
      <c r="BD143" s="167"/>
      <c r="BE143" s="168" t="s">
        <v>2132</v>
      </c>
      <c r="BF143" s="167">
        <v>43309</v>
      </c>
      <c r="BG143" s="167" t="s">
        <v>148</v>
      </c>
      <c r="BH143" s="167">
        <v>43528</v>
      </c>
      <c r="BI143" s="167" t="s">
        <v>148</v>
      </c>
      <c r="BJ143" s="166"/>
      <c r="BK143" s="166"/>
      <c r="BL143" s="166"/>
      <c r="BM143" s="169">
        <v>45443</v>
      </c>
      <c r="BN143" s="177" t="s">
        <v>16</v>
      </c>
      <c r="BO143" s="171">
        <f>DATEDIF(AW143,BM143, "M")+1</f>
        <v>100</v>
      </c>
      <c r="BP143" s="165">
        <f t="shared" si="36"/>
        <v>91</v>
      </c>
      <c r="BQ143" s="165"/>
      <c r="BR143" s="165">
        <v>2</v>
      </c>
      <c r="BS143" s="165">
        <v>1</v>
      </c>
      <c r="BT143" s="165">
        <v>0</v>
      </c>
      <c r="BU143" s="165">
        <v>0</v>
      </c>
      <c r="BV143" s="165">
        <v>0</v>
      </c>
      <c r="BW143" s="165">
        <v>0</v>
      </c>
      <c r="BX143" s="165">
        <v>0</v>
      </c>
      <c r="BY143" s="165" t="s">
        <v>2088</v>
      </c>
      <c r="BZ143" s="165">
        <v>0</v>
      </c>
      <c r="CA143" s="165"/>
      <c r="CB143" s="170"/>
      <c r="CC143" s="170"/>
      <c r="CD143" s="165"/>
      <c r="CE143" s="165" t="s">
        <v>161</v>
      </c>
      <c r="CF143" s="165"/>
      <c r="CG143" s="165"/>
      <c r="CH143" s="376"/>
      <c r="CI143" s="165"/>
      <c r="CJ143" s="165"/>
      <c r="CK143" s="165" t="s">
        <v>1820</v>
      </c>
      <c r="CL143"/>
    </row>
    <row r="144" spans="1:90" ht="25" customHeight="1" x14ac:dyDescent="0.35">
      <c r="A144" s="91">
        <v>147</v>
      </c>
      <c r="B144" s="91" t="s">
        <v>2133</v>
      </c>
      <c r="C144" s="91" t="s">
        <v>2134</v>
      </c>
      <c r="D144" s="91" t="s">
        <v>2135</v>
      </c>
      <c r="E144" s="91" t="s">
        <v>2136</v>
      </c>
      <c r="F144" s="91" t="s">
        <v>4139</v>
      </c>
      <c r="G144" s="91">
        <v>6</v>
      </c>
      <c r="H144" s="91" t="s">
        <v>50</v>
      </c>
      <c r="I144" s="91" t="s">
        <v>37</v>
      </c>
      <c r="J144" s="91" t="s">
        <v>2137</v>
      </c>
      <c r="K144" s="91" t="s">
        <v>2138</v>
      </c>
      <c r="L144" s="91" t="s">
        <v>44</v>
      </c>
      <c r="M144" s="91" t="s">
        <v>161</v>
      </c>
      <c r="N144" s="91" t="s">
        <v>166</v>
      </c>
      <c r="O144" s="91" t="s">
        <v>166</v>
      </c>
      <c r="P144" s="91" t="s">
        <v>166</v>
      </c>
      <c r="Q144" s="91" t="s">
        <v>166</v>
      </c>
      <c r="R144" s="91" t="s">
        <v>2139</v>
      </c>
      <c r="S144" s="91" t="s">
        <v>2140</v>
      </c>
      <c r="T144" s="341" t="s">
        <v>2141</v>
      </c>
      <c r="U144" s="92"/>
      <c r="V144" s="92"/>
      <c r="W144" s="164"/>
      <c r="X144" s="164"/>
      <c r="Y144" s="164"/>
      <c r="Z144" s="164"/>
      <c r="AA144" s="91"/>
      <c r="AB144" s="92"/>
      <c r="AC144" s="281">
        <v>42795</v>
      </c>
      <c r="AD144" s="92">
        <v>43342</v>
      </c>
      <c r="AE144" s="92"/>
      <c r="AF144" s="92"/>
      <c r="AG144" s="92"/>
      <c r="AH144" s="91">
        <f t="shared" si="33"/>
        <v>0</v>
      </c>
      <c r="AI144" s="92"/>
      <c r="AJ144" s="92"/>
      <c r="AK144" s="92"/>
      <c r="AL144" s="92"/>
      <c r="AM144" s="92"/>
      <c r="AN144" s="92"/>
      <c r="AO144" s="92"/>
      <c r="AP144" s="92"/>
      <c r="AQ144" s="92"/>
      <c r="AR144" s="92"/>
      <c r="AS144" s="92"/>
      <c r="AT144" s="10" t="s">
        <v>202</v>
      </c>
      <c r="AU144" s="91"/>
      <c r="AV144" s="92"/>
      <c r="AW144" s="93">
        <v>42428</v>
      </c>
      <c r="AX144" s="93"/>
      <c r="AY144" s="93"/>
      <c r="AZ144" s="93"/>
      <c r="BA144" s="93"/>
      <c r="BB144" s="93"/>
      <c r="BC144" s="93"/>
      <c r="BD144" s="93"/>
      <c r="BE144" s="94"/>
      <c r="BF144" s="93"/>
      <c r="BG144" s="93"/>
      <c r="BH144" s="93"/>
      <c r="BI144" s="93"/>
      <c r="BJ144" s="92"/>
      <c r="BK144" s="92"/>
      <c r="BL144" s="92"/>
      <c r="BM144" s="92"/>
      <c r="BN144" s="91" t="s">
        <v>18</v>
      </c>
      <c r="BO144" s="218" t="s">
        <v>18</v>
      </c>
      <c r="BP144" s="218"/>
      <c r="BQ144" s="91"/>
      <c r="BR144" s="91"/>
      <c r="BS144" s="91"/>
      <c r="BT144" s="91"/>
      <c r="BU144" s="91"/>
      <c r="BV144" s="91"/>
      <c r="BW144" s="91"/>
      <c r="BX144" s="91"/>
      <c r="BY144" s="91" t="s">
        <v>161</v>
      </c>
      <c r="BZ144" s="91"/>
      <c r="CA144" s="91"/>
      <c r="CB144" s="95"/>
      <c r="CC144" s="95"/>
      <c r="CD144" s="91"/>
      <c r="CE144" s="91"/>
      <c r="CF144" s="91"/>
      <c r="CG144" s="91"/>
      <c r="CH144" s="113"/>
      <c r="CI144" s="91"/>
      <c r="CJ144" s="91"/>
      <c r="CK144" s="91" t="s">
        <v>1820</v>
      </c>
    </row>
    <row r="145" spans="1:90" s="53" customFormat="1" ht="25" customHeight="1" x14ac:dyDescent="0.35">
      <c r="A145" s="178">
        <v>148</v>
      </c>
      <c r="B145" s="178" t="s">
        <v>2142</v>
      </c>
      <c r="C145" s="178" t="s">
        <v>2143</v>
      </c>
      <c r="D145" s="178" t="s">
        <v>2144</v>
      </c>
      <c r="E145" s="178" t="s">
        <v>2145</v>
      </c>
      <c r="F145" s="178" t="s">
        <v>4140</v>
      </c>
      <c r="G145" s="178">
        <v>7</v>
      </c>
      <c r="H145" s="178" t="s">
        <v>56</v>
      </c>
      <c r="I145" s="178" t="s">
        <v>44</v>
      </c>
      <c r="J145" s="178" t="s">
        <v>2146</v>
      </c>
      <c r="K145" s="178" t="s">
        <v>1779</v>
      </c>
      <c r="L145" s="178" t="s">
        <v>44</v>
      </c>
      <c r="M145" s="178" t="s">
        <v>148</v>
      </c>
      <c r="N145" s="178">
        <v>530939</v>
      </c>
      <c r="O145" s="178" t="s">
        <v>320</v>
      </c>
      <c r="P145" s="178" t="s">
        <v>320</v>
      </c>
      <c r="Q145" s="178" t="s">
        <v>320</v>
      </c>
      <c r="R145" s="384" t="s">
        <v>2147</v>
      </c>
      <c r="S145" s="178" t="s">
        <v>2148</v>
      </c>
      <c r="T145" s="351" t="s">
        <v>2149</v>
      </c>
      <c r="U145" s="179" t="s">
        <v>2150</v>
      </c>
      <c r="V145" s="179">
        <v>27288</v>
      </c>
      <c r="W145" s="187" t="s">
        <v>2151</v>
      </c>
      <c r="X145" s="187" t="s">
        <v>177</v>
      </c>
      <c r="Y145" s="187" t="s">
        <v>161</v>
      </c>
      <c r="Z145" s="187"/>
      <c r="AA145" s="178">
        <v>3.5</v>
      </c>
      <c r="AB145" s="179">
        <v>42614</v>
      </c>
      <c r="AC145" s="288">
        <v>42795</v>
      </c>
      <c r="AD145" s="179"/>
      <c r="AE145" s="179" t="s">
        <v>2152</v>
      </c>
      <c r="AF145" s="179"/>
      <c r="AG145" s="179"/>
      <c r="AH145" s="178">
        <f t="shared" si="33"/>
        <v>1</v>
      </c>
      <c r="AI145" s="179" t="s">
        <v>159</v>
      </c>
      <c r="AJ145" s="179"/>
      <c r="AK145" s="179"/>
      <c r="AL145" s="179" t="s">
        <v>148</v>
      </c>
      <c r="AM145" s="179"/>
      <c r="AN145" s="179"/>
      <c r="AO145" s="179" t="s">
        <v>162</v>
      </c>
      <c r="AP145" s="178" t="s">
        <v>201</v>
      </c>
      <c r="AQ145" s="179" t="s">
        <v>201</v>
      </c>
      <c r="AR145" s="179" t="s">
        <v>148</v>
      </c>
      <c r="AS145" s="179" t="s">
        <v>2153</v>
      </c>
      <c r="AT145" s="420" t="s">
        <v>2154</v>
      </c>
      <c r="AU145" s="178" t="s">
        <v>2155</v>
      </c>
      <c r="AV145" s="179"/>
      <c r="AW145" s="180">
        <v>42793</v>
      </c>
      <c r="AX145" s="180">
        <v>43045</v>
      </c>
      <c r="AY145" s="180" t="s">
        <v>148</v>
      </c>
      <c r="AZ145" s="180"/>
      <c r="BA145" s="180"/>
      <c r="BB145" s="180">
        <v>42944</v>
      </c>
      <c r="BC145" s="180"/>
      <c r="BD145" s="180"/>
      <c r="BE145" s="181" t="s">
        <v>2156</v>
      </c>
      <c r="BF145" s="180">
        <v>43675</v>
      </c>
      <c r="BG145" s="180" t="s">
        <v>148</v>
      </c>
      <c r="BH145" s="180">
        <v>44410</v>
      </c>
      <c r="BI145" s="179" t="s">
        <v>161</v>
      </c>
      <c r="BJ145" s="179"/>
      <c r="BK145" s="179"/>
      <c r="BL145" s="179"/>
      <c r="BM145" s="182">
        <v>45852</v>
      </c>
      <c r="BN145" s="183" t="s">
        <v>16</v>
      </c>
      <c r="BO145" s="263">
        <f>DATEDIF(AW145,BM145, "M")+1</f>
        <v>101</v>
      </c>
      <c r="BP145" s="263">
        <f t="shared" ref="BP145:BP153" si="38">DATEDIF(AX145,BM145, "M")+1</f>
        <v>93</v>
      </c>
      <c r="BQ145" s="178" t="s">
        <v>2157</v>
      </c>
      <c r="BR145" s="178">
        <v>2</v>
      </c>
      <c r="BS145" s="178">
        <v>3</v>
      </c>
      <c r="BT145" s="178"/>
      <c r="BU145" s="178"/>
      <c r="BV145" s="178"/>
      <c r="BW145" s="178"/>
      <c r="BX145" s="178"/>
      <c r="BY145" s="178" t="s">
        <v>161</v>
      </c>
      <c r="BZ145" s="178" t="s">
        <v>161</v>
      </c>
      <c r="CA145" s="178"/>
      <c r="CB145" s="184"/>
      <c r="CC145" s="184"/>
      <c r="CD145" s="178"/>
      <c r="CE145" s="178" t="s">
        <v>161</v>
      </c>
      <c r="CF145" s="178"/>
      <c r="CG145" s="178"/>
      <c r="CH145" s="377">
        <v>1</v>
      </c>
      <c r="CI145" s="178"/>
      <c r="CJ145" s="178"/>
      <c r="CK145" s="178" t="s">
        <v>1820</v>
      </c>
      <c r="CL145"/>
    </row>
    <row r="146" spans="1:90" s="53" customFormat="1" ht="25" customHeight="1" x14ac:dyDescent="0.35">
      <c r="A146" s="178">
        <v>149</v>
      </c>
      <c r="B146" s="178" t="s">
        <v>2158</v>
      </c>
      <c r="C146" s="178" t="s">
        <v>2159</v>
      </c>
      <c r="D146" s="178" t="s">
        <v>20</v>
      </c>
      <c r="E146" s="178" t="s">
        <v>2160</v>
      </c>
      <c r="F146" s="178" t="s">
        <v>4139</v>
      </c>
      <c r="G146" s="178">
        <v>7</v>
      </c>
      <c r="H146" s="178" t="s">
        <v>58</v>
      </c>
      <c r="I146" s="178" t="s">
        <v>35</v>
      </c>
      <c r="J146" s="178" t="s">
        <v>934</v>
      </c>
      <c r="K146" s="178" t="s">
        <v>2161</v>
      </c>
      <c r="L146" s="178" t="s">
        <v>44</v>
      </c>
      <c r="M146" s="178" t="s">
        <v>161</v>
      </c>
      <c r="N146" s="178">
        <v>1834444</v>
      </c>
      <c r="O146" s="178" t="s">
        <v>320</v>
      </c>
      <c r="P146" s="178" t="s">
        <v>320</v>
      </c>
      <c r="Q146" s="178" t="s">
        <v>320</v>
      </c>
      <c r="R146" s="178" t="s">
        <v>2162</v>
      </c>
      <c r="S146" s="185" t="s">
        <v>2163</v>
      </c>
      <c r="T146" s="352" t="s">
        <v>2164</v>
      </c>
      <c r="U146" s="179" t="s">
        <v>2165</v>
      </c>
      <c r="V146" s="179">
        <v>28693</v>
      </c>
      <c r="W146" s="187" t="s">
        <v>2166</v>
      </c>
      <c r="X146" s="187" t="s">
        <v>177</v>
      </c>
      <c r="Y146" s="187" t="s">
        <v>161</v>
      </c>
      <c r="Z146" s="187"/>
      <c r="AA146" s="178"/>
      <c r="AB146" s="179">
        <v>42889</v>
      </c>
      <c r="AC146" s="288">
        <v>42795</v>
      </c>
      <c r="AD146" s="179"/>
      <c r="AE146" s="179" t="s">
        <v>2167</v>
      </c>
      <c r="AF146" s="179"/>
      <c r="AG146" s="179"/>
      <c r="AH146" s="178">
        <f t="shared" si="33"/>
        <v>1</v>
      </c>
      <c r="AI146" s="179" t="s">
        <v>160</v>
      </c>
      <c r="AJ146" s="179"/>
      <c r="AK146" s="179"/>
      <c r="AL146" s="179" t="s">
        <v>161</v>
      </c>
      <c r="AM146" s="179"/>
      <c r="AN146" s="179"/>
      <c r="AO146" s="179" t="s">
        <v>162</v>
      </c>
      <c r="AP146" s="178" t="s">
        <v>2168</v>
      </c>
      <c r="AQ146" s="179" t="s">
        <v>179</v>
      </c>
      <c r="AR146" s="179"/>
      <c r="AS146" s="179"/>
      <c r="AT146" s="420" t="s">
        <v>578</v>
      </c>
      <c r="AU146" s="185" t="s">
        <v>2169</v>
      </c>
      <c r="AV146" s="179"/>
      <c r="AW146" s="180">
        <v>42793</v>
      </c>
      <c r="AX146" s="180">
        <v>43045</v>
      </c>
      <c r="AY146" s="180" t="s">
        <v>148</v>
      </c>
      <c r="AZ146" s="180">
        <v>43224</v>
      </c>
      <c r="BA146" s="180">
        <v>43222</v>
      </c>
      <c r="BB146" s="180"/>
      <c r="BC146" s="180"/>
      <c r="BD146" s="180"/>
      <c r="BE146" s="181" t="s">
        <v>2170</v>
      </c>
      <c r="BF146" s="180">
        <v>43675</v>
      </c>
      <c r="BG146" s="180" t="s">
        <v>148</v>
      </c>
      <c r="BH146" s="180">
        <v>43891</v>
      </c>
      <c r="BI146" s="180" t="s">
        <v>148</v>
      </c>
      <c r="BJ146" s="179"/>
      <c r="BK146" s="179"/>
      <c r="BL146" s="179"/>
      <c r="BM146" s="182">
        <v>44337</v>
      </c>
      <c r="BN146" s="178" t="s">
        <v>16</v>
      </c>
      <c r="BO146" s="263">
        <f>DATEDIF(AW146,BM146, "M")+1</f>
        <v>51</v>
      </c>
      <c r="BP146" s="263">
        <f t="shared" si="38"/>
        <v>43</v>
      </c>
      <c r="BQ146" s="187" t="s">
        <v>2171</v>
      </c>
      <c r="BR146" s="178">
        <v>1</v>
      </c>
      <c r="BS146" s="178">
        <v>2</v>
      </c>
      <c r="BT146" s="178">
        <v>2</v>
      </c>
      <c r="BU146" s="178"/>
      <c r="BV146" s="178"/>
      <c r="BW146" s="178"/>
      <c r="BX146" s="178"/>
      <c r="BY146" s="178" t="s">
        <v>161</v>
      </c>
      <c r="BZ146" s="178" t="s">
        <v>148</v>
      </c>
      <c r="CA146" s="178" t="s">
        <v>2172</v>
      </c>
      <c r="CB146" s="184">
        <v>42830</v>
      </c>
      <c r="CC146" s="184">
        <v>43982</v>
      </c>
      <c r="CD146" s="178">
        <v>37</v>
      </c>
      <c r="CE146" s="178" t="s">
        <v>161</v>
      </c>
      <c r="CF146" s="178"/>
      <c r="CG146" s="178"/>
      <c r="CH146" s="377">
        <v>0</v>
      </c>
      <c r="CI146" s="178">
        <v>0</v>
      </c>
      <c r="CJ146" s="178"/>
      <c r="CK146" s="178" t="s">
        <v>1820</v>
      </c>
      <c r="CL146"/>
    </row>
    <row r="147" spans="1:90" s="53" customFormat="1" ht="25" customHeight="1" x14ac:dyDescent="0.35">
      <c r="A147" s="178">
        <v>150</v>
      </c>
      <c r="B147" s="178" t="s">
        <v>2173</v>
      </c>
      <c r="C147" s="178" t="s">
        <v>2174</v>
      </c>
      <c r="D147" s="178" t="s">
        <v>2175</v>
      </c>
      <c r="E147" s="178" t="s">
        <v>2176</v>
      </c>
      <c r="F147" s="178" t="s">
        <v>4140</v>
      </c>
      <c r="G147" s="178">
        <v>7</v>
      </c>
      <c r="H147" s="178" t="s">
        <v>52</v>
      </c>
      <c r="I147" s="178" t="s">
        <v>39</v>
      </c>
      <c r="J147" s="178" t="s">
        <v>1419</v>
      </c>
      <c r="K147" s="178" t="s">
        <v>2177</v>
      </c>
      <c r="L147" s="178" t="s">
        <v>39</v>
      </c>
      <c r="M147" s="178" t="s">
        <v>148</v>
      </c>
      <c r="N147" s="178" t="s">
        <v>2178</v>
      </c>
      <c r="O147" s="178" t="s">
        <v>149</v>
      </c>
      <c r="P147" s="178" t="s">
        <v>149</v>
      </c>
      <c r="Q147" s="178" t="s">
        <v>149</v>
      </c>
      <c r="R147" s="178" t="s">
        <v>2179</v>
      </c>
      <c r="S147" s="384" t="s">
        <v>2180</v>
      </c>
      <c r="T147" s="351" t="s">
        <v>2181</v>
      </c>
      <c r="U147" s="179" t="s">
        <v>2182</v>
      </c>
      <c r="V147" s="179">
        <v>26823</v>
      </c>
      <c r="W147" s="187" t="s">
        <v>2183</v>
      </c>
      <c r="X147" s="187" t="s">
        <v>177</v>
      </c>
      <c r="Y147" s="187" t="s">
        <v>161</v>
      </c>
      <c r="Z147" s="187"/>
      <c r="AA147" s="178"/>
      <c r="AB147" s="179">
        <v>42458</v>
      </c>
      <c r="AC147" s="288">
        <v>42795</v>
      </c>
      <c r="AD147" s="179"/>
      <c r="AE147" s="311" t="s">
        <v>2184</v>
      </c>
      <c r="AF147" s="179"/>
      <c r="AG147" s="179"/>
      <c r="AH147" s="178">
        <f t="shared" si="33"/>
        <v>1</v>
      </c>
      <c r="AI147" s="179" t="s">
        <v>159</v>
      </c>
      <c r="AJ147" s="179"/>
      <c r="AK147" s="179"/>
      <c r="AL147" s="179" t="s">
        <v>148</v>
      </c>
      <c r="AM147" s="179"/>
      <c r="AN147" s="179"/>
      <c r="AO147" s="179" t="s">
        <v>180</v>
      </c>
      <c r="AP147" s="178" t="s">
        <v>2185</v>
      </c>
      <c r="AQ147" s="179" t="s">
        <v>201</v>
      </c>
      <c r="AR147" s="179"/>
      <c r="AS147" s="179"/>
      <c r="AT147" s="420" t="s">
        <v>283</v>
      </c>
      <c r="AU147" s="178" t="s">
        <v>2186</v>
      </c>
      <c r="AV147" s="179"/>
      <c r="AW147" s="180">
        <v>42793</v>
      </c>
      <c r="AX147" s="180">
        <v>43045</v>
      </c>
      <c r="AY147" s="180" t="s">
        <v>148</v>
      </c>
      <c r="AZ147" s="180">
        <v>43348</v>
      </c>
      <c r="BA147" s="180">
        <v>43353</v>
      </c>
      <c r="BB147" s="180"/>
      <c r="BC147" s="180"/>
      <c r="BD147" s="180"/>
      <c r="BE147" s="181" t="s">
        <v>2187</v>
      </c>
      <c r="BF147" s="180">
        <v>43675</v>
      </c>
      <c r="BG147" s="180" t="s">
        <v>148</v>
      </c>
      <c r="BH147" s="180">
        <v>43891</v>
      </c>
      <c r="BI147" s="180" t="s">
        <v>148</v>
      </c>
      <c r="BJ147" s="179"/>
      <c r="BK147" s="179"/>
      <c r="BL147" s="179"/>
      <c r="BM147" s="188">
        <v>43813</v>
      </c>
      <c r="BN147" s="178" t="s">
        <v>16</v>
      </c>
      <c r="BO147" s="263">
        <f t="shared" ref="BO147:BO148" si="39">DATEDIF(AW147,BM147, "M")+1</f>
        <v>34</v>
      </c>
      <c r="BP147" s="263">
        <f t="shared" si="38"/>
        <v>26</v>
      </c>
      <c r="BQ147" s="178"/>
      <c r="BR147" s="178">
        <v>0</v>
      </c>
      <c r="BS147" s="178">
        <v>1</v>
      </c>
      <c r="BT147" s="178">
        <v>2</v>
      </c>
      <c r="BU147" s="178"/>
      <c r="BV147" s="178"/>
      <c r="BW147" s="178"/>
      <c r="BX147" s="178"/>
      <c r="BY147" s="178" t="s">
        <v>161</v>
      </c>
      <c r="BZ147" s="178" t="s">
        <v>161</v>
      </c>
      <c r="CA147" s="178"/>
      <c r="CB147" s="184"/>
      <c r="CC147" s="184"/>
      <c r="CD147" s="178"/>
      <c r="CE147" s="178" t="s">
        <v>161</v>
      </c>
      <c r="CF147" s="178"/>
      <c r="CG147" s="178"/>
      <c r="CH147" s="377">
        <v>3</v>
      </c>
      <c r="CI147" s="178">
        <v>3</v>
      </c>
      <c r="CJ147" s="178"/>
      <c r="CK147" s="178" t="s">
        <v>1820</v>
      </c>
      <c r="CL147"/>
    </row>
    <row r="148" spans="1:90" s="53" customFormat="1" ht="25" customHeight="1" x14ac:dyDescent="0.35">
      <c r="A148" s="178">
        <v>151</v>
      </c>
      <c r="B148" s="178" t="s">
        <v>2188</v>
      </c>
      <c r="C148" s="178" t="s">
        <v>2189</v>
      </c>
      <c r="D148" s="178" t="s">
        <v>2190</v>
      </c>
      <c r="E148" s="178" t="s">
        <v>2191</v>
      </c>
      <c r="F148" s="178" t="s">
        <v>4140</v>
      </c>
      <c r="G148" s="178">
        <v>7</v>
      </c>
      <c r="H148" s="178" t="s">
        <v>51</v>
      </c>
      <c r="I148" s="178" t="s">
        <v>4136</v>
      </c>
      <c r="J148" s="178" t="s">
        <v>2192</v>
      </c>
      <c r="K148" s="178" t="s">
        <v>2138</v>
      </c>
      <c r="L148" s="178" t="s">
        <v>44</v>
      </c>
      <c r="M148" s="178" t="s">
        <v>161</v>
      </c>
      <c r="N148" s="178">
        <v>1487823</v>
      </c>
      <c r="O148" s="178" t="s">
        <v>149</v>
      </c>
      <c r="P148" s="178" t="s">
        <v>149</v>
      </c>
      <c r="Q148" s="178" t="s">
        <v>149</v>
      </c>
      <c r="R148" s="384" t="s">
        <v>2193</v>
      </c>
      <c r="S148" s="384" t="s">
        <v>2194</v>
      </c>
      <c r="T148" s="351" t="s">
        <v>2195</v>
      </c>
      <c r="U148" s="179" t="s">
        <v>2196</v>
      </c>
      <c r="V148" s="179">
        <v>30105</v>
      </c>
      <c r="W148" s="187" t="s">
        <v>2197</v>
      </c>
      <c r="X148" s="187" t="s">
        <v>177</v>
      </c>
      <c r="Y148" s="187" t="s">
        <v>161</v>
      </c>
      <c r="Z148" s="187"/>
      <c r="AA148" s="178">
        <v>18</v>
      </c>
      <c r="AB148" s="179">
        <v>42855</v>
      </c>
      <c r="AC148" s="288">
        <v>42795</v>
      </c>
      <c r="AD148" s="179"/>
      <c r="AE148" s="179" t="s">
        <v>2167</v>
      </c>
      <c r="AF148" s="313" t="s">
        <v>2198</v>
      </c>
      <c r="AG148" s="313" t="s">
        <v>2199</v>
      </c>
      <c r="AH148" s="178">
        <f t="shared" si="33"/>
        <v>3</v>
      </c>
      <c r="AI148" s="179" t="s">
        <v>160</v>
      </c>
      <c r="AJ148" s="179"/>
      <c r="AK148" s="179"/>
      <c r="AL148" s="179" t="s">
        <v>161</v>
      </c>
      <c r="AM148" s="179"/>
      <c r="AN148" s="179"/>
      <c r="AO148" s="179" t="s">
        <v>180</v>
      </c>
      <c r="AP148" s="178" t="s">
        <v>591</v>
      </c>
      <c r="AQ148" s="179" t="s">
        <v>2200</v>
      </c>
      <c r="AR148" s="179"/>
      <c r="AS148" s="179"/>
      <c r="AT148" s="420" t="s">
        <v>296</v>
      </c>
      <c r="AU148" s="178" t="s">
        <v>2201</v>
      </c>
      <c r="AV148" s="179"/>
      <c r="AW148" s="180">
        <v>42793</v>
      </c>
      <c r="AX148" s="180">
        <v>43045</v>
      </c>
      <c r="AY148" s="180" t="s">
        <v>148</v>
      </c>
      <c r="AZ148" s="180">
        <v>43235</v>
      </c>
      <c r="BA148" s="180">
        <v>43329</v>
      </c>
      <c r="BB148" s="180">
        <v>43329</v>
      </c>
      <c r="BC148" s="180"/>
      <c r="BD148" s="180"/>
      <c r="BE148" s="181" t="s">
        <v>2202</v>
      </c>
      <c r="BF148" s="180">
        <v>43675</v>
      </c>
      <c r="BG148" s="180" t="s">
        <v>148</v>
      </c>
      <c r="BH148" s="180">
        <v>43891</v>
      </c>
      <c r="BI148" s="180" t="s">
        <v>148</v>
      </c>
      <c r="BJ148" s="179"/>
      <c r="BK148" s="179"/>
      <c r="BL148" s="179"/>
      <c r="BM148" s="182">
        <v>44337</v>
      </c>
      <c r="BN148" s="178" t="s">
        <v>16</v>
      </c>
      <c r="BO148" s="263">
        <f t="shared" si="39"/>
        <v>51</v>
      </c>
      <c r="BP148" s="263">
        <f t="shared" si="38"/>
        <v>43</v>
      </c>
      <c r="BQ148" s="187" t="s">
        <v>2202</v>
      </c>
      <c r="BR148" s="178">
        <v>1</v>
      </c>
      <c r="BS148" s="178">
        <v>9</v>
      </c>
      <c r="BT148" s="178">
        <v>2</v>
      </c>
      <c r="BU148" s="178"/>
      <c r="BV148" s="178"/>
      <c r="BW148" s="178"/>
      <c r="BX148" s="178"/>
      <c r="BY148" s="178" t="s">
        <v>161</v>
      </c>
      <c r="BZ148" s="178" t="s">
        <v>148</v>
      </c>
      <c r="CA148" s="178" t="s">
        <v>2203</v>
      </c>
      <c r="CB148" s="184">
        <v>43647</v>
      </c>
      <c r="CC148" s="184">
        <v>44196</v>
      </c>
      <c r="CD148" s="178">
        <v>17</v>
      </c>
      <c r="CE148" s="178" t="s">
        <v>161</v>
      </c>
      <c r="CF148" s="178"/>
      <c r="CG148" s="178"/>
      <c r="CH148" s="377">
        <v>2</v>
      </c>
      <c r="CI148" s="178">
        <v>2</v>
      </c>
      <c r="CJ148" s="178"/>
      <c r="CK148" s="178" t="s">
        <v>1820</v>
      </c>
      <c r="CL148"/>
    </row>
    <row r="149" spans="1:90" s="53" customFormat="1" ht="25" customHeight="1" x14ac:dyDescent="0.35">
      <c r="A149" s="178">
        <v>152</v>
      </c>
      <c r="B149" s="178" t="s">
        <v>2204</v>
      </c>
      <c r="C149" s="178" t="s">
        <v>1473</v>
      </c>
      <c r="D149" s="178"/>
      <c r="E149" s="178" t="s">
        <v>2205</v>
      </c>
      <c r="F149" s="178" t="s">
        <v>4139</v>
      </c>
      <c r="G149" s="178">
        <v>7</v>
      </c>
      <c r="H149" s="178" t="s">
        <v>53</v>
      </c>
      <c r="I149" s="178" t="s">
        <v>43</v>
      </c>
      <c r="J149" s="178" t="s">
        <v>222</v>
      </c>
      <c r="K149" s="178" t="s">
        <v>2206</v>
      </c>
      <c r="L149" s="178" t="s">
        <v>35</v>
      </c>
      <c r="M149" s="178" t="s">
        <v>161</v>
      </c>
      <c r="N149" s="178"/>
      <c r="O149" s="178" t="s">
        <v>149</v>
      </c>
      <c r="P149" s="178" t="s">
        <v>149</v>
      </c>
      <c r="Q149" s="178"/>
      <c r="R149" s="384" t="s">
        <v>2207</v>
      </c>
      <c r="S149" s="384" t="s">
        <v>2208</v>
      </c>
      <c r="T149" s="352" t="s">
        <v>2209</v>
      </c>
      <c r="U149" s="189" t="s">
        <v>2210</v>
      </c>
      <c r="V149" s="179">
        <v>30296</v>
      </c>
      <c r="W149" s="187" t="s">
        <v>2211</v>
      </c>
      <c r="X149" s="187" t="s">
        <v>177</v>
      </c>
      <c r="Y149" s="187"/>
      <c r="Z149" s="187"/>
      <c r="AA149" s="178"/>
      <c r="AB149" s="179">
        <v>42916</v>
      </c>
      <c r="AC149" s="288">
        <v>42795</v>
      </c>
      <c r="AD149" s="179"/>
      <c r="AE149" s="179" t="s">
        <v>2212</v>
      </c>
      <c r="AF149" s="313" t="s">
        <v>2213</v>
      </c>
      <c r="AG149" s="313" t="s">
        <v>2214</v>
      </c>
      <c r="AH149" s="178">
        <f t="shared" si="33"/>
        <v>3</v>
      </c>
      <c r="AI149" s="179" t="s">
        <v>160</v>
      </c>
      <c r="AJ149" s="179"/>
      <c r="AK149" s="179"/>
      <c r="AL149" s="179" t="s">
        <v>148</v>
      </c>
      <c r="AM149" s="179"/>
      <c r="AN149" s="179"/>
      <c r="AO149" s="179" t="s">
        <v>162</v>
      </c>
      <c r="AP149" s="178" t="s">
        <v>179</v>
      </c>
      <c r="AQ149" s="179" t="s">
        <v>248</v>
      </c>
      <c r="AR149" s="179" t="s">
        <v>148</v>
      </c>
      <c r="AS149" s="179"/>
      <c r="AT149" s="420" t="s">
        <v>217</v>
      </c>
      <c r="AU149" s="178" t="s">
        <v>2215</v>
      </c>
      <c r="AV149" s="179"/>
      <c r="AW149" s="180">
        <v>42793</v>
      </c>
      <c r="AX149" s="180">
        <v>43045</v>
      </c>
      <c r="AY149" s="180" t="s">
        <v>148</v>
      </c>
      <c r="AZ149" s="180">
        <v>43290</v>
      </c>
      <c r="BA149" s="180">
        <v>43447</v>
      </c>
      <c r="BB149" s="180"/>
      <c r="BC149" s="180"/>
      <c r="BD149" s="180"/>
      <c r="BE149" s="181" t="s">
        <v>2216</v>
      </c>
      <c r="BF149" s="179">
        <v>44207</v>
      </c>
      <c r="BG149" s="179" t="s">
        <v>161</v>
      </c>
      <c r="BH149" s="179">
        <v>44410</v>
      </c>
      <c r="BI149" s="179" t="s">
        <v>161</v>
      </c>
      <c r="BJ149" s="179"/>
      <c r="BK149" s="179"/>
      <c r="BL149" s="179"/>
      <c r="BM149" s="182">
        <v>45273</v>
      </c>
      <c r="BN149" s="190" t="s">
        <v>16</v>
      </c>
      <c r="BO149" s="263"/>
      <c r="BP149" s="263">
        <f t="shared" si="38"/>
        <v>74</v>
      </c>
      <c r="BQ149" s="178"/>
      <c r="BR149" s="178"/>
      <c r="BS149" s="178"/>
      <c r="BT149" s="178"/>
      <c r="BU149" s="178"/>
      <c r="BV149" s="178"/>
      <c r="BW149" s="178"/>
      <c r="BX149" s="178"/>
      <c r="BY149" s="178" t="s">
        <v>161</v>
      </c>
      <c r="BZ149" s="178"/>
      <c r="CA149" s="178"/>
      <c r="CB149" s="184"/>
      <c r="CC149" s="184"/>
      <c r="CD149" s="178"/>
      <c r="CE149" s="178"/>
      <c r="CF149" s="178"/>
      <c r="CG149" s="178"/>
      <c r="CH149" s="377">
        <v>3</v>
      </c>
      <c r="CI149" s="178"/>
      <c r="CJ149" s="178"/>
      <c r="CK149" s="178" t="s">
        <v>2217</v>
      </c>
      <c r="CL149"/>
    </row>
    <row r="150" spans="1:90" s="53" customFormat="1" ht="25" customHeight="1" x14ac:dyDescent="0.35">
      <c r="A150" s="178">
        <v>153</v>
      </c>
      <c r="B150" s="178" t="s">
        <v>2218</v>
      </c>
      <c r="C150" s="178" t="s">
        <v>2219</v>
      </c>
      <c r="D150" s="178" t="s">
        <v>2220</v>
      </c>
      <c r="E150" s="178" t="s">
        <v>2221</v>
      </c>
      <c r="F150" s="178" t="s">
        <v>4140</v>
      </c>
      <c r="G150" s="178">
        <v>7</v>
      </c>
      <c r="H150" s="178" t="s">
        <v>50</v>
      </c>
      <c r="I150" s="178" t="s">
        <v>42</v>
      </c>
      <c r="J150" s="178" t="s">
        <v>2222</v>
      </c>
      <c r="K150" s="178" t="s">
        <v>2223</v>
      </c>
      <c r="L150" s="178" t="s">
        <v>42</v>
      </c>
      <c r="M150" s="178" t="s">
        <v>148</v>
      </c>
      <c r="N150" s="178">
        <v>10127492016</v>
      </c>
      <c r="O150" s="178" t="s">
        <v>149</v>
      </c>
      <c r="P150" s="178" t="s">
        <v>149</v>
      </c>
      <c r="Q150" s="178" t="s">
        <v>149</v>
      </c>
      <c r="R150" s="384" t="s">
        <v>2224</v>
      </c>
      <c r="S150" s="384" t="s">
        <v>2225</v>
      </c>
      <c r="T150" s="351" t="s">
        <v>2226</v>
      </c>
      <c r="U150" s="179" t="s">
        <v>2227</v>
      </c>
      <c r="V150" s="179">
        <v>26570</v>
      </c>
      <c r="W150" s="187" t="s">
        <v>2228</v>
      </c>
      <c r="X150" s="187" t="s">
        <v>177</v>
      </c>
      <c r="Y150" s="187" t="s">
        <v>161</v>
      </c>
      <c r="Z150" s="187"/>
      <c r="AA150" s="178">
        <v>21</v>
      </c>
      <c r="AB150" s="179">
        <v>42982</v>
      </c>
      <c r="AC150" s="288">
        <v>42795</v>
      </c>
      <c r="AD150" s="179"/>
      <c r="AE150" s="179" t="s">
        <v>2229</v>
      </c>
      <c r="AF150" s="179" t="s">
        <v>2230</v>
      </c>
      <c r="AG150" s="179" t="s">
        <v>2231</v>
      </c>
      <c r="AH150" s="178">
        <f t="shared" si="33"/>
        <v>3</v>
      </c>
      <c r="AI150" s="179" t="s">
        <v>159</v>
      </c>
      <c r="AJ150" s="179"/>
      <c r="AK150" s="179"/>
      <c r="AL150" s="179" t="s">
        <v>148</v>
      </c>
      <c r="AM150" s="179"/>
      <c r="AN150" s="179"/>
      <c r="AO150" s="179" t="s">
        <v>200</v>
      </c>
      <c r="AP150" s="178" t="s">
        <v>2232</v>
      </c>
      <c r="AQ150" s="179" t="s">
        <v>2233</v>
      </c>
      <c r="AR150" s="179"/>
      <c r="AS150" s="179"/>
      <c r="AT150" s="420" t="s">
        <v>418</v>
      </c>
      <c r="AU150" s="178" t="s">
        <v>2234</v>
      </c>
      <c r="AV150" s="179"/>
      <c r="AW150" s="180">
        <v>42793</v>
      </c>
      <c r="AX150" s="180">
        <v>43045</v>
      </c>
      <c r="AY150" s="180" t="s">
        <v>148</v>
      </c>
      <c r="AZ150" s="180">
        <v>43140</v>
      </c>
      <c r="BA150" s="180">
        <v>43251</v>
      </c>
      <c r="BB150" s="180"/>
      <c r="BC150" s="180"/>
      <c r="BD150" s="180"/>
      <c r="BE150" s="181" t="s">
        <v>2235</v>
      </c>
      <c r="BF150" s="180">
        <v>43675</v>
      </c>
      <c r="BG150" s="180" t="s">
        <v>148</v>
      </c>
      <c r="BH150" s="180">
        <v>43891</v>
      </c>
      <c r="BI150" s="180" t="s">
        <v>148</v>
      </c>
      <c r="BJ150" s="179">
        <v>44260</v>
      </c>
      <c r="BK150" s="179">
        <v>44468</v>
      </c>
      <c r="BL150" s="179"/>
      <c r="BM150" s="182">
        <v>44468</v>
      </c>
      <c r="BN150" s="178" t="s">
        <v>16</v>
      </c>
      <c r="BO150" s="263">
        <f>DATEDIF(AW150,BM150, "M")+1</f>
        <v>56</v>
      </c>
      <c r="BP150" s="263">
        <f t="shared" si="38"/>
        <v>47</v>
      </c>
      <c r="BQ150" s="178"/>
      <c r="BR150" s="178">
        <v>0</v>
      </c>
      <c r="BS150" s="178">
        <v>2</v>
      </c>
      <c r="BT150" s="178">
        <v>0</v>
      </c>
      <c r="BU150" s="178"/>
      <c r="BV150" s="178"/>
      <c r="BW150" s="178"/>
      <c r="BX150" s="178"/>
      <c r="BY150" s="178" t="s">
        <v>161</v>
      </c>
      <c r="BZ150" s="178" t="s">
        <v>161</v>
      </c>
      <c r="CA150" s="178"/>
      <c r="CB150" s="184"/>
      <c r="CC150" s="184"/>
      <c r="CD150" s="178"/>
      <c r="CE150" s="178" t="s">
        <v>161</v>
      </c>
      <c r="CF150" s="178"/>
      <c r="CG150" s="178"/>
      <c r="CH150" s="377">
        <v>5</v>
      </c>
      <c r="CI150" s="178">
        <v>5</v>
      </c>
      <c r="CJ150" s="178"/>
      <c r="CK150" s="178" t="s">
        <v>2217</v>
      </c>
      <c r="CL150"/>
    </row>
    <row r="151" spans="1:90" s="53" customFormat="1" ht="25" customHeight="1" x14ac:dyDescent="0.35">
      <c r="A151" s="178">
        <v>154</v>
      </c>
      <c r="B151" s="178" t="s">
        <v>2236</v>
      </c>
      <c r="C151" s="178" t="s">
        <v>1849</v>
      </c>
      <c r="D151" s="178" t="s">
        <v>2237</v>
      </c>
      <c r="E151" s="178" t="s">
        <v>2238</v>
      </c>
      <c r="F151" s="178" t="s">
        <v>4140</v>
      </c>
      <c r="G151" s="178">
        <v>7</v>
      </c>
      <c r="H151" s="178" t="s">
        <v>52</v>
      </c>
      <c r="I151" s="178" t="s">
        <v>31</v>
      </c>
      <c r="J151" s="178" t="s">
        <v>600</v>
      </c>
      <c r="K151" s="178" t="s">
        <v>2239</v>
      </c>
      <c r="L151" s="178" t="s">
        <v>31</v>
      </c>
      <c r="M151" s="178" t="s">
        <v>148</v>
      </c>
      <c r="N151" s="178">
        <v>1706</v>
      </c>
      <c r="O151" s="178" t="s">
        <v>149</v>
      </c>
      <c r="P151" s="178" t="s">
        <v>149</v>
      </c>
      <c r="Q151" s="178" t="s">
        <v>149</v>
      </c>
      <c r="R151" s="384" t="s">
        <v>2240</v>
      </c>
      <c r="S151" s="384" t="s">
        <v>2241</v>
      </c>
      <c r="T151" s="352" t="s">
        <v>2242</v>
      </c>
      <c r="U151" s="179"/>
      <c r="V151" s="179">
        <v>27928</v>
      </c>
      <c r="W151" s="187" t="s">
        <v>2243</v>
      </c>
      <c r="X151" s="187" t="s">
        <v>177</v>
      </c>
      <c r="Y151" s="187"/>
      <c r="Z151" s="187"/>
      <c r="AA151" s="178">
        <v>30.5</v>
      </c>
      <c r="AB151" s="179">
        <v>42999</v>
      </c>
      <c r="AC151" s="288">
        <v>42795</v>
      </c>
      <c r="AD151" s="179"/>
      <c r="AE151" s="179" t="s">
        <v>2244</v>
      </c>
      <c r="AF151" s="179" t="s">
        <v>2245</v>
      </c>
      <c r="AG151" s="179"/>
      <c r="AH151" s="178">
        <f t="shared" si="33"/>
        <v>2</v>
      </c>
      <c r="AI151" s="179" t="s">
        <v>159</v>
      </c>
      <c r="AJ151" s="179"/>
      <c r="AK151" s="179"/>
      <c r="AL151" s="179" t="s">
        <v>148</v>
      </c>
      <c r="AM151" s="179"/>
      <c r="AN151" s="179"/>
      <c r="AO151" s="179" t="s">
        <v>162</v>
      </c>
      <c r="AP151" s="178"/>
      <c r="AQ151" s="179" t="s">
        <v>248</v>
      </c>
      <c r="AR151" s="179" t="s">
        <v>148</v>
      </c>
      <c r="AS151" s="179"/>
      <c r="AT151" s="420" t="s">
        <v>326</v>
      </c>
      <c r="AU151" s="178" t="s">
        <v>2246</v>
      </c>
      <c r="AV151" s="179"/>
      <c r="AW151" s="180">
        <v>42793</v>
      </c>
      <c r="AX151" s="180">
        <v>43045</v>
      </c>
      <c r="AY151" s="180" t="s">
        <v>148</v>
      </c>
      <c r="AZ151" s="180"/>
      <c r="BA151" s="180"/>
      <c r="BB151" s="180"/>
      <c r="BC151" s="180"/>
      <c r="BD151" s="180"/>
      <c r="BE151" s="181" t="s">
        <v>2247</v>
      </c>
      <c r="BF151" s="180">
        <v>43675</v>
      </c>
      <c r="BG151" s="180" t="s">
        <v>148</v>
      </c>
      <c r="BH151" s="180">
        <v>43891</v>
      </c>
      <c r="BI151" s="180" t="s">
        <v>148</v>
      </c>
      <c r="BJ151" s="179"/>
      <c r="BK151" s="179">
        <v>44435</v>
      </c>
      <c r="BL151" s="179">
        <v>44452</v>
      </c>
      <c r="BM151" s="182">
        <v>44452</v>
      </c>
      <c r="BN151" s="178" t="s">
        <v>16</v>
      </c>
      <c r="BO151" s="178">
        <f t="shared" ref="BO151:BO152" si="40">DATEDIF(AW151,BM151, "M")+1</f>
        <v>55</v>
      </c>
      <c r="BP151" s="263">
        <f t="shared" si="38"/>
        <v>47</v>
      </c>
      <c r="BQ151" s="187" t="s">
        <v>2248</v>
      </c>
      <c r="BR151" s="178">
        <v>7</v>
      </c>
      <c r="BS151" s="178">
        <v>9</v>
      </c>
      <c r="BT151" s="178">
        <v>4</v>
      </c>
      <c r="BU151" s="178"/>
      <c r="BV151" s="178"/>
      <c r="BW151" s="178"/>
      <c r="BX151" s="178"/>
      <c r="BY151" s="178" t="s">
        <v>161</v>
      </c>
      <c r="BZ151" s="178"/>
      <c r="CA151" s="178"/>
      <c r="CB151" s="184">
        <v>44078</v>
      </c>
      <c r="CC151" s="184">
        <v>44256</v>
      </c>
      <c r="CD151" s="178">
        <v>6</v>
      </c>
      <c r="CE151" s="178"/>
      <c r="CF151" s="178"/>
      <c r="CG151" s="178"/>
      <c r="CH151" s="377">
        <v>4</v>
      </c>
      <c r="CI151" s="178">
        <v>4</v>
      </c>
      <c r="CJ151" s="178"/>
      <c r="CK151" s="178" t="s">
        <v>1820</v>
      </c>
      <c r="CL151"/>
    </row>
    <row r="152" spans="1:90" s="53" customFormat="1" ht="25" customHeight="1" x14ac:dyDescent="0.35">
      <c r="A152" s="178">
        <v>155</v>
      </c>
      <c r="B152" s="178" t="s">
        <v>2249</v>
      </c>
      <c r="C152" s="178" t="s">
        <v>2250</v>
      </c>
      <c r="D152" s="178" t="s">
        <v>2251</v>
      </c>
      <c r="E152" s="178" t="s">
        <v>2252</v>
      </c>
      <c r="F152" s="178" t="s">
        <v>4140</v>
      </c>
      <c r="G152" s="178">
        <v>7</v>
      </c>
      <c r="H152" s="178" t="s">
        <v>51</v>
      </c>
      <c r="I152" s="178" t="s">
        <v>4136</v>
      </c>
      <c r="J152" s="178" t="s">
        <v>600</v>
      </c>
      <c r="K152" s="178" t="s">
        <v>600</v>
      </c>
      <c r="L152" s="178" t="s">
        <v>44</v>
      </c>
      <c r="M152" s="178" t="s">
        <v>161</v>
      </c>
      <c r="N152" s="178">
        <v>1746377</v>
      </c>
      <c r="O152" s="178" t="s">
        <v>149</v>
      </c>
      <c r="P152" s="178" t="s">
        <v>149</v>
      </c>
      <c r="Q152" s="178"/>
      <c r="R152" s="185" t="s">
        <v>2253</v>
      </c>
      <c r="S152" s="178" t="s">
        <v>2254</v>
      </c>
      <c r="T152" s="352" t="s">
        <v>2255</v>
      </c>
      <c r="U152" s="179" t="s">
        <v>815</v>
      </c>
      <c r="V152" s="179">
        <v>29816</v>
      </c>
      <c r="W152" s="187" t="s">
        <v>2256</v>
      </c>
      <c r="X152" s="187" t="s">
        <v>177</v>
      </c>
      <c r="Y152" s="187" t="s">
        <v>161</v>
      </c>
      <c r="Z152" s="187"/>
      <c r="AA152" s="178">
        <v>20</v>
      </c>
      <c r="AB152" s="179">
        <v>42978</v>
      </c>
      <c r="AC152" s="288">
        <v>42795</v>
      </c>
      <c r="AD152" s="179"/>
      <c r="AE152" s="178" t="s">
        <v>2257</v>
      </c>
      <c r="AF152" s="178" t="s">
        <v>2258</v>
      </c>
      <c r="AG152" s="179"/>
      <c r="AH152" s="178">
        <f t="shared" si="33"/>
        <v>2</v>
      </c>
      <c r="AI152" s="179" t="s">
        <v>159</v>
      </c>
      <c r="AJ152" s="179"/>
      <c r="AK152" s="179"/>
      <c r="AL152" s="179" t="s">
        <v>148</v>
      </c>
      <c r="AM152" s="179"/>
      <c r="AN152" s="179"/>
      <c r="AO152" s="179" t="s">
        <v>180</v>
      </c>
      <c r="AP152" s="178" t="s">
        <v>2259</v>
      </c>
      <c r="AQ152" s="179" t="s">
        <v>2260</v>
      </c>
      <c r="AR152" s="179"/>
      <c r="AS152" s="179"/>
      <c r="AT152" s="420" t="s">
        <v>296</v>
      </c>
      <c r="AU152" s="178" t="s">
        <v>2261</v>
      </c>
      <c r="AV152" s="179"/>
      <c r="AW152" s="180">
        <v>42793</v>
      </c>
      <c r="AX152" s="180">
        <v>43045</v>
      </c>
      <c r="AY152" s="180" t="s">
        <v>148</v>
      </c>
      <c r="AZ152" s="180">
        <v>43341</v>
      </c>
      <c r="BA152" s="180">
        <v>43410</v>
      </c>
      <c r="BB152" s="180"/>
      <c r="BC152" s="180"/>
      <c r="BD152" s="180"/>
      <c r="BE152" s="181" t="s">
        <v>2262</v>
      </c>
      <c r="BF152" s="180">
        <v>43675</v>
      </c>
      <c r="BG152" s="180" t="s">
        <v>148</v>
      </c>
      <c r="BH152" s="180">
        <v>43891</v>
      </c>
      <c r="BI152" s="180" t="s">
        <v>148</v>
      </c>
      <c r="BJ152" s="179"/>
      <c r="BK152" s="179"/>
      <c r="BL152" s="179"/>
      <c r="BM152" s="182">
        <v>45248</v>
      </c>
      <c r="BN152" s="190" t="s">
        <v>16</v>
      </c>
      <c r="BO152" s="178">
        <f t="shared" si="40"/>
        <v>81</v>
      </c>
      <c r="BP152" s="263">
        <f t="shared" si="38"/>
        <v>73</v>
      </c>
      <c r="BQ152" s="187" t="s">
        <v>2263</v>
      </c>
      <c r="BR152" s="178">
        <v>1</v>
      </c>
      <c r="BS152" s="178">
        <v>0</v>
      </c>
      <c r="BT152" s="178">
        <v>0</v>
      </c>
      <c r="BU152" s="178"/>
      <c r="BV152" s="178"/>
      <c r="BW152" s="178"/>
      <c r="BX152" s="178"/>
      <c r="BY152" s="178" t="s">
        <v>2264</v>
      </c>
      <c r="BZ152" s="178" t="s">
        <v>161</v>
      </c>
      <c r="CA152" s="178"/>
      <c r="CB152" s="184"/>
      <c r="CC152" s="184"/>
      <c r="CD152" s="178"/>
      <c r="CE152" s="178" t="s">
        <v>161</v>
      </c>
      <c r="CF152" s="178"/>
      <c r="CG152" s="178"/>
      <c r="CH152" s="377">
        <v>2</v>
      </c>
      <c r="CI152" s="178"/>
      <c r="CJ152" s="178"/>
      <c r="CK152" s="178" t="s">
        <v>807</v>
      </c>
      <c r="CL152"/>
    </row>
    <row r="153" spans="1:90" s="53" customFormat="1" ht="25" customHeight="1" x14ac:dyDescent="0.35">
      <c r="A153" s="178">
        <v>156</v>
      </c>
      <c r="B153" s="178" t="s">
        <v>2265</v>
      </c>
      <c r="C153" s="178" t="s">
        <v>2266</v>
      </c>
      <c r="D153" s="178" t="s">
        <v>2267</v>
      </c>
      <c r="E153" s="178" t="s">
        <v>2268</v>
      </c>
      <c r="F153" s="178" t="s">
        <v>4139</v>
      </c>
      <c r="G153" s="178">
        <v>7</v>
      </c>
      <c r="H153" s="178" t="s">
        <v>51</v>
      </c>
      <c r="I153" s="178" t="s">
        <v>4136</v>
      </c>
      <c r="J153" s="178" t="s">
        <v>2269</v>
      </c>
      <c r="K153" s="178" t="s">
        <v>2270</v>
      </c>
      <c r="L153" s="178" t="s">
        <v>4136</v>
      </c>
      <c r="M153" s="178" t="s">
        <v>148</v>
      </c>
      <c r="N153" s="186" t="s">
        <v>2271</v>
      </c>
      <c r="O153" s="178" t="s">
        <v>149</v>
      </c>
      <c r="P153" s="178" t="s">
        <v>149</v>
      </c>
      <c r="Q153" s="178" t="s">
        <v>149</v>
      </c>
      <c r="R153" s="178" t="s">
        <v>2272</v>
      </c>
      <c r="S153" s="384" t="s">
        <v>2273</v>
      </c>
      <c r="T153" s="352" t="s">
        <v>2274</v>
      </c>
      <c r="U153" s="179" t="s">
        <v>2275</v>
      </c>
      <c r="V153" s="179">
        <v>27916</v>
      </c>
      <c r="W153" s="187" t="s">
        <v>2276</v>
      </c>
      <c r="X153" s="187" t="s">
        <v>154</v>
      </c>
      <c r="Y153" s="187"/>
      <c r="Z153" s="187"/>
      <c r="AA153" s="178">
        <v>18.5</v>
      </c>
      <c r="AB153" s="179">
        <v>42704</v>
      </c>
      <c r="AC153" s="288">
        <v>42795</v>
      </c>
      <c r="AD153" s="179"/>
      <c r="AE153" s="179" t="s">
        <v>2277</v>
      </c>
      <c r="AF153" s="179" t="s">
        <v>2278</v>
      </c>
      <c r="AG153" s="179"/>
      <c r="AH153" s="178">
        <f t="shared" si="33"/>
        <v>2</v>
      </c>
      <c r="AI153" s="179" t="s">
        <v>159</v>
      </c>
      <c r="AJ153" s="179"/>
      <c r="AK153" s="179"/>
      <c r="AL153" s="179" t="s">
        <v>161</v>
      </c>
      <c r="AM153" s="179"/>
      <c r="AN153" s="179"/>
      <c r="AO153" s="179" t="s">
        <v>162</v>
      </c>
      <c r="AP153" s="178" t="s">
        <v>201</v>
      </c>
      <c r="AQ153" s="179" t="s">
        <v>215</v>
      </c>
      <c r="AR153" s="179" t="s">
        <v>148</v>
      </c>
      <c r="AS153" s="191" t="s">
        <v>2279</v>
      </c>
      <c r="AT153" s="420" t="s">
        <v>296</v>
      </c>
      <c r="AU153" s="178" t="s">
        <v>2280</v>
      </c>
      <c r="AV153" s="179"/>
      <c r="AW153" s="180">
        <v>42793</v>
      </c>
      <c r="AX153" s="180">
        <v>43045</v>
      </c>
      <c r="AY153" s="180" t="s">
        <v>148</v>
      </c>
      <c r="AZ153" s="180">
        <v>42892</v>
      </c>
      <c r="BA153" s="180">
        <v>42975</v>
      </c>
      <c r="BB153" s="180"/>
      <c r="BC153" s="180"/>
      <c r="BD153" s="180"/>
      <c r="BE153" s="181" t="s">
        <v>2281</v>
      </c>
      <c r="BF153" s="180">
        <v>43675</v>
      </c>
      <c r="BG153" s="180" t="s">
        <v>148</v>
      </c>
      <c r="BH153" s="180">
        <v>43891</v>
      </c>
      <c r="BI153" s="180" t="s">
        <v>148</v>
      </c>
      <c r="BJ153" s="179"/>
      <c r="BK153" s="179">
        <v>44147</v>
      </c>
      <c r="BL153" s="179"/>
      <c r="BM153" s="182">
        <v>44181</v>
      </c>
      <c r="BN153" s="178" t="s">
        <v>16</v>
      </c>
      <c r="BO153" s="178">
        <f>DATEDIF(AW153,BM153, "M")+1</f>
        <v>46</v>
      </c>
      <c r="BP153" s="263">
        <f t="shared" si="38"/>
        <v>38</v>
      </c>
      <c r="BQ153" s="187" t="s">
        <v>2282</v>
      </c>
      <c r="BR153" s="178">
        <v>2</v>
      </c>
      <c r="BS153" s="178">
        <v>8</v>
      </c>
      <c r="BT153" s="178">
        <v>2</v>
      </c>
      <c r="BU153" s="178"/>
      <c r="BV153" s="178"/>
      <c r="BW153" s="178"/>
      <c r="BX153" s="178"/>
      <c r="BY153" s="178" t="s">
        <v>161</v>
      </c>
      <c r="BZ153" s="178" t="s">
        <v>161</v>
      </c>
      <c r="CA153" s="178"/>
      <c r="CB153" s="184"/>
      <c r="CC153" s="184"/>
      <c r="CD153" s="178"/>
      <c r="CE153" s="178" t="s">
        <v>161</v>
      </c>
      <c r="CF153" s="178"/>
      <c r="CG153" s="178"/>
      <c r="CH153" s="377">
        <v>3</v>
      </c>
      <c r="CI153" s="178">
        <v>3</v>
      </c>
      <c r="CJ153" s="178"/>
      <c r="CK153" s="178" t="s">
        <v>1820</v>
      </c>
      <c r="CL153"/>
    </row>
    <row r="154" spans="1:90" s="53" customFormat="1" ht="25" customHeight="1" x14ac:dyDescent="0.35">
      <c r="A154" s="91">
        <v>157</v>
      </c>
      <c r="B154" s="91" t="s">
        <v>2283</v>
      </c>
      <c r="C154" s="91" t="s">
        <v>2284</v>
      </c>
      <c r="D154" s="91" t="s">
        <v>2285</v>
      </c>
      <c r="E154" s="91" t="s">
        <v>2286</v>
      </c>
      <c r="F154" s="91" t="s">
        <v>4140</v>
      </c>
      <c r="G154" s="91">
        <v>7</v>
      </c>
      <c r="H154" s="91" t="s">
        <v>50</v>
      </c>
      <c r="I154" s="91" t="s">
        <v>42</v>
      </c>
      <c r="J154" s="91" t="s">
        <v>2287</v>
      </c>
      <c r="K154" s="91" t="s">
        <v>2288</v>
      </c>
      <c r="L154" s="91" t="s">
        <v>42</v>
      </c>
      <c r="M154" s="91" t="s">
        <v>148</v>
      </c>
      <c r="N154" s="91"/>
      <c r="O154" s="91" t="s">
        <v>149</v>
      </c>
      <c r="P154" s="91" t="s">
        <v>149</v>
      </c>
      <c r="Q154" s="91"/>
      <c r="R154" s="91" t="s">
        <v>2289</v>
      </c>
      <c r="S154" s="91" t="s">
        <v>2290</v>
      </c>
      <c r="T154" s="341" t="s">
        <v>2291</v>
      </c>
      <c r="U154" s="92"/>
      <c r="V154" s="92">
        <v>29274</v>
      </c>
      <c r="W154" s="164" t="s">
        <v>2292</v>
      </c>
      <c r="X154" s="164"/>
      <c r="Y154" s="164"/>
      <c r="Z154" s="164"/>
      <c r="AA154" s="91">
        <v>22.5</v>
      </c>
      <c r="AB154" s="92">
        <v>42978</v>
      </c>
      <c r="AC154" s="281">
        <v>42795</v>
      </c>
      <c r="AD154" s="92">
        <v>44214</v>
      </c>
      <c r="AE154" s="92" t="s">
        <v>2293</v>
      </c>
      <c r="AF154" s="92"/>
      <c r="AG154" s="92"/>
      <c r="AH154" s="91">
        <f t="shared" si="33"/>
        <v>1</v>
      </c>
      <c r="AI154" s="92" t="s">
        <v>159</v>
      </c>
      <c r="AJ154" s="92"/>
      <c r="AK154" s="92"/>
      <c r="AL154" s="92" t="s">
        <v>148</v>
      </c>
      <c r="AM154" s="92"/>
      <c r="AN154" s="92"/>
      <c r="AO154" s="92" t="s">
        <v>162</v>
      </c>
      <c r="AP154" s="91"/>
      <c r="AQ154" s="92"/>
      <c r="AR154" s="92"/>
      <c r="AS154" s="92"/>
      <c r="AT154" s="400" t="s">
        <v>418</v>
      </c>
      <c r="AU154" s="91"/>
      <c r="AV154" s="92"/>
      <c r="AW154" s="93">
        <v>42793</v>
      </c>
      <c r="AX154" s="93">
        <v>43045</v>
      </c>
      <c r="AY154" s="93" t="s">
        <v>148</v>
      </c>
      <c r="AZ154" s="93">
        <v>42970</v>
      </c>
      <c r="BA154" s="93">
        <v>43026</v>
      </c>
      <c r="BB154" s="93">
        <v>43047</v>
      </c>
      <c r="BC154" s="93"/>
      <c r="BD154" s="93"/>
      <c r="BE154" s="94" t="s">
        <v>2294</v>
      </c>
      <c r="BF154" s="93" t="s">
        <v>720</v>
      </c>
      <c r="BG154" s="93" t="s">
        <v>161</v>
      </c>
      <c r="BH154" s="93" t="s">
        <v>720</v>
      </c>
      <c r="BI154" s="93" t="s">
        <v>161</v>
      </c>
      <c r="BJ154" s="92"/>
      <c r="BK154" s="92"/>
      <c r="BL154" s="92"/>
      <c r="BM154" s="192"/>
      <c r="BN154" s="193" t="s">
        <v>18</v>
      </c>
      <c r="BO154" s="265" t="s">
        <v>18</v>
      </c>
      <c r="BP154" s="265"/>
      <c r="BQ154" s="91"/>
      <c r="BR154" s="91"/>
      <c r="BS154" s="91"/>
      <c r="BT154" s="91"/>
      <c r="BU154" s="91"/>
      <c r="BV154" s="91"/>
      <c r="BW154" s="91"/>
      <c r="BX154" s="91"/>
      <c r="BY154" s="91" t="s">
        <v>161</v>
      </c>
      <c r="BZ154" s="91"/>
      <c r="CA154" s="91"/>
      <c r="CB154" s="95"/>
      <c r="CC154" s="95"/>
      <c r="CD154" s="91"/>
      <c r="CE154" s="91"/>
      <c r="CF154" s="91"/>
      <c r="CG154" s="91"/>
      <c r="CH154" s="113"/>
      <c r="CI154" s="91"/>
      <c r="CJ154" s="91"/>
      <c r="CK154" s="91" t="s">
        <v>1820</v>
      </c>
      <c r="CL154"/>
    </row>
    <row r="155" spans="1:90" s="53" customFormat="1" ht="25" customHeight="1" x14ac:dyDescent="0.35">
      <c r="A155" s="178">
        <v>158</v>
      </c>
      <c r="B155" s="178" t="s">
        <v>2295</v>
      </c>
      <c r="C155" s="178" t="s">
        <v>2296</v>
      </c>
      <c r="D155" s="178" t="s">
        <v>2297</v>
      </c>
      <c r="E155" s="178" t="s">
        <v>2298</v>
      </c>
      <c r="F155" s="178" t="s">
        <v>4140</v>
      </c>
      <c r="G155" s="178">
        <v>7</v>
      </c>
      <c r="H155" s="178" t="s">
        <v>50</v>
      </c>
      <c r="I155" s="178" t="s">
        <v>37</v>
      </c>
      <c r="J155" s="178" t="s">
        <v>2299</v>
      </c>
      <c r="K155" s="178" t="s">
        <v>2300</v>
      </c>
      <c r="L155" s="178" t="s">
        <v>37</v>
      </c>
      <c r="M155" s="178" t="s">
        <v>161</v>
      </c>
      <c r="N155" s="178" t="s">
        <v>2301</v>
      </c>
      <c r="O155" s="178" t="s">
        <v>320</v>
      </c>
      <c r="P155" s="178" t="s">
        <v>320</v>
      </c>
      <c r="Q155" s="178" t="s">
        <v>320</v>
      </c>
      <c r="R155" s="178" t="s">
        <v>2302</v>
      </c>
      <c r="S155" s="178" t="s">
        <v>2303</v>
      </c>
      <c r="T155" s="352" t="s">
        <v>2304</v>
      </c>
      <c r="U155" s="179" t="s">
        <v>2305</v>
      </c>
      <c r="V155" s="179">
        <v>29754</v>
      </c>
      <c r="W155" s="187" t="s">
        <v>2306</v>
      </c>
      <c r="X155" s="187" t="s">
        <v>177</v>
      </c>
      <c r="Y155" s="187" t="s">
        <v>161</v>
      </c>
      <c r="Z155" s="187"/>
      <c r="AA155" s="178"/>
      <c r="AB155" s="179">
        <v>42856</v>
      </c>
      <c r="AC155" s="288">
        <v>42795</v>
      </c>
      <c r="AD155" s="179"/>
      <c r="AE155" s="179" t="s">
        <v>2307</v>
      </c>
      <c r="AF155" s="313" t="s">
        <v>2308</v>
      </c>
      <c r="AG155" s="179"/>
      <c r="AH155" s="178">
        <f t="shared" si="33"/>
        <v>2</v>
      </c>
      <c r="AI155" s="179" t="s">
        <v>159</v>
      </c>
      <c r="AJ155" s="179"/>
      <c r="AK155" s="179"/>
      <c r="AL155" s="179" t="s">
        <v>161</v>
      </c>
      <c r="AM155" s="179"/>
      <c r="AN155" s="179"/>
      <c r="AO155" s="179" t="s">
        <v>162</v>
      </c>
      <c r="AP155" s="178" t="s">
        <v>1279</v>
      </c>
      <c r="AQ155" s="191" t="s">
        <v>201</v>
      </c>
      <c r="AR155" s="179" t="s">
        <v>148</v>
      </c>
      <c r="AS155" s="179"/>
      <c r="AT155" s="420" t="s">
        <v>202</v>
      </c>
      <c r="AU155" s="178" t="s">
        <v>2309</v>
      </c>
      <c r="AV155" s="179"/>
      <c r="AW155" s="180">
        <v>42793</v>
      </c>
      <c r="AX155" s="180">
        <v>43045</v>
      </c>
      <c r="AY155" s="180" t="s">
        <v>148</v>
      </c>
      <c r="AZ155" s="180"/>
      <c r="BA155" s="180"/>
      <c r="BB155" s="180"/>
      <c r="BC155" s="180"/>
      <c r="BD155" s="180"/>
      <c r="BE155" s="181" t="s">
        <v>2310</v>
      </c>
      <c r="BF155" s="180">
        <v>44207</v>
      </c>
      <c r="BG155" s="179" t="s">
        <v>161</v>
      </c>
      <c r="BH155" s="179">
        <v>44410</v>
      </c>
      <c r="BI155" s="179" t="s">
        <v>161</v>
      </c>
      <c r="BJ155" s="179"/>
      <c r="BK155" s="179"/>
      <c r="BL155" s="179"/>
      <c r="BM155" s="182">
        <v>44917</v>
      </c>
      <c r="BN155" s="183" t="s">
        <v>16</v>
      </c>
      <c r="BO155" s="178">
        <f t="shared" ref="BO155:BO157" si="41">DATEDIF(AW155,BM155, "M")+1</f>
        <v>70</v>
      </c>
      <c r="BP155" s="263">
        <f t="shared" ref="BP155:BP157" si="42">DATEDIF(AX155,BM155, "M")+1</f>
        <v>62</v>
      </c>
      <c r="BQ155" s="187" t="s">
        <v>2311</v>
      </c>
      <c r="BR155" s="178">
        <v>3</v>
      </c>
      <c r="BS155" s="178"/>
      <c r="BT155" s="178"/>
      <c r="BU155" s="178"/>
      <c r="BV155" s="178"/>
      <c r="BW155" s="178"/>
      <c r="BX155" s="178"/>
      <c r="BY155" s="178" t="s">
        <v>2312</v>
      </c>
      <c r="BZ155" s="178" t="s">
        <v>161</v>
      </c>
      <c r="CA155" s="178"/>
      <c r="CB155" s="184"/>
      <c r="CC155" s="184"/>
      <c r="CD155" s="178"/>
      <c r="CE155" s="178" t="s">
        <v>161</v>
      </c>
      <c r="CF155" s="178"/>
      <c r="CG155" s="178"/>
      <c r="CH155" s="377">
        <v>0</v>
      </c>
      <c r="CI155" s="178"/>
      <c r="CJ155" s="178"/>
      <c r="CK155" s="178" t="s">
        <v>2217</v>
      </c>
      <c r="CL155"/>
    </row>
    <row r="156" spans="1:90" s="53" customFormat="1" ht="25" customHeight="1" x14ac:dyDescent="0.35">
      <c r="A156" s="178">
        <v>159</v>
      </c>
      <c r="B156" s="178" t="s">
        <v>2313</v>
      </c>
      <c r="C156" s="178" t="s">
        <v>2314</v>
      </c>
      <c r="D156" s="178" t="s">
        <v>2315</v>
      </c>
      <c r="E156" s="178" t="s">
        <v>2316</v>
      </c>
      <c r="F156" s="178" t="s">
        <v>4140</v>
      </c>
      <c r="G156" s="178">
        <v>7</v>
      </c>
      <c r="H156" s="178" t="s">
        <v>52</v>
      </c>
      <c r="I156" s="178" t="s">
        <v>31</v>
      </c>
      <c r="J156" s="178" t="s">
        <v>2317</v>
      </c>
      <c r="K156" s="178" t="s">
        <v>2318</v>
      </c>
      <c r="L156" s="178" t="s">
        <v>31</v>
      </c>
      <c r="M156" s="178" t="s">
        <v>148</v>
      </c>
      <c r="N156" s="178"/>
      <c r="O156" s="178" t="s">
        <v>149</v>
      </c>
      <c r="P156" s="178" t="s">
        <v>149</v>
      </c>
      <c r="Q156" s="178" t="s">
        <v>149</v>
      </c>
      <c r="R156" s="178" t="s">
        <v>2319</v>
      </c>
      <c r="S156" s="178" t="s">
        <v>2320</v>
      </c>
      <c r="T156" s="352" t="s">
        <v>2321</v>
      </c>
      <c r="U156" s="179" t="s">
        <v>2322</v>
      </c>
      <c r="V156" s="179">
        <v>29035</v>
      </c>
      <c r="W156" s="187" t="s">
        <v>2323</v>
      </c>
      <c r="X156" s="187" t="s">
        <v>177</v>
      </c>
      <c r="Y156" s="187" t="s">
        <v>161</v>
      </c>
      <c r="Z156" s="187"/>
      <c r="AA156" s="178">
        <v>32.5</v>
      </c>
      <c r="AB156" s="179">
        <v>42828</v>
      </c>
      <c r="AC156" s="288">
        <v>42795</v>
      </c>
      <c r="AD156" s="179"/>
      <c r="AE156" s="179" t="s">
        <v>2324</v>
      </c>
      <c r="AF156" s="179"/>
      <c r="AG156" s="179"/>
      <c r="AH156" s="178">
        <f t="shared" si="33"/>
        <v>1</v>
      </c>
      <c r="AI156" s="179" t="s">
        <v>159</v>
      </c>
      <c r="AJ156" s="179"/>
      <c r="AK156" s="179"/>
      <c r="AL156" s="179" t="s">
        <v>148</v>
      </c>
      <c r="AM156" s="179"/>
      <c r="AN156" s="179"/>
      <c r="AO156" s="179" t="s">
        <v>162</v>
      </c>
      <c r="AP156" s="178" t="s">
        <v>2325</v>
      </c>
      <c r="AQ156" s="179" t="s">
        <v>941</v>
      </c>
      <c r="AR156" s="179" t="s">
        <v>148</v>
      </c>
      <c r="AS156" s="179"/>
      <c r="AT156" s="420" t="s">
        <v>326</v>
      </c>
      <c r="AU156" s="178" t="s">
        <v>2326</v>
      </c>
      <c r="AV156" s="179"/>
      <c r="AW156" s="180">
        <v>42793</v>
      </c>
      <c r="AX156" s="180">
        <v>43045</v>
      </c>
      <c r="AY156" s="180" t="s">
        <v>148</v>
      </c>
      <c r="AZ156" s="180"/>
      <c r="BA156" s="180">
        <v>43175</v>
      </c>
      <c r="BB156" s="180"/>
      <c r="BC156" s="180"/>
      <c r="BD156" s="180"/>
      <c r="BE156" s="181" t="s">
        <v>2327</v>
      </c>
      <c r="BF156" s="180">
        <v>43675</v>
      </c>
      <c r="BG156" s="180" t="s">
        <v>148</v>
      </c>
      <c r="BH156" s="180">
        <v>43891</v>
      </c>
      <c r="BI156" s="180" t="s">
        <v>148</v>
      </c>
      <c r="BJ156" s="179"/>
      <c r="BK156" s="179"/>
      <c r="BL156" s="179"/>
      <c r="BM156" s="182">
        <v>44460</v>
      </c>
      <c r="BN156" s="178" t="s">
        <v>16</v>
      </c>
      <c r="BO156" s="178">
        <f t="shared" si="41"/>
        <v>55</v>
      </c>
      <c r="BP156" s="263">
        <f t="shared" si="42"/>
        <v>47</v>
      </c>
      <c r="BQ156" s="178"/>
      <c r="BR156" s="178">
        <v>12</v>
      </c>
      <c r="BS156" s="178">
        <v>14</v>
      </c>
      <c r="BT156" s="178">
        <v>8</v>
      </c>
      <c r="BU156" s="178"/>
      <c r="BV156" s="178"/>
      <c r="BW156" s="178"/>
      <c r="BX156" s="178"/>
      <c r="BY156" s="178" t="s">
        <v>161</v>
      </c>
      <c r="BZ156" s="178" t="s">
        <v>161</v>
      </c>
      <c r="CA156" s="178"/>
      <c r="CB156" s="184">
        <v>44077</v>
      </c>
      <c r="CC156" s="184">
        <v>44287</v>
      </c>
      <c r="CD156" s="178">
        <v>7</v>
      </c>
      <c r="CE156" s="178" t="s">
        <v>161</v>
      </c>
      <c r="CF156" s="178"/>
      <c r="CG156" s="178"/>
      <c r="CH156" s="377">
        <v>4</v>
      </c>
      <c r="CI156" s="178">
        <v>4</v>
      </c>
      <c r="CJ156" s="178"/>
      <c r="CK156" s="178" t="s">
        <v>1820</v>
      </c>
      <c r="CL156"/>
    </row>
    <row r="157" spans="1:90" s="53" customFormat="1" ht="25" customHeight="1" x14ac:dyDescent="0.35">
      <c r="A157" s="178">
        <v>160</v>
      </c>
      <c r="B157" s="178" t="s">
        <v>2328</v>
      </c>
      <c r="C157" s="178" t="s">
        <v>2329</v>
      </c>
      <c r="D157" s="178" t="s">
        <v>2330</v>
      </c>
      <c r="E157" s="178" t="s">
        <v>2331</v>
      </c>
      <c r="F157" s="178" t="s">
        <v>4140</v>
      </c>
      <c r="G157" s="178">
        <v>7</v>
      </c>
      <c r="H157" s="178" t="s">
        <v>52</v>
      </c>
      <c r="I157" s="178" t="s">
        <v>39</v>
      </c>
      <c r="J157" s="178" t="s">
        <v>437</v>
      </c>
      <c r="K157" s="178" t="s">
        <v>437</v>
      </c>
      <c r="L157" s="178" t="s">
        <v>39</v>
      </c>
      <c r="M157" s="178" t="s">
        <v>148</v>
      </c>
      <c r="N157" s="178" t="s">
        <v>2332</v>
      </c>
      <c r="O157" s="178" t="s">
        <v>149</v>
      </c>
      <c r="P157" s="178" t="s">
        <v>149</v>
      </c>
      <c r="Q157" s="178" t="s">
        <v>149</v>
      </c>
      <c r="R157" s="178" t="s">
        <v>2333</v>
      </c>
      <c r="S157" s="178" t="s">
        <v>2334</v>
      </c>
      <c r="T157" s="352" t="s">
        <v>2335</v>
      </c>
      <c r="U157" s="179" t="s">
        <v>2336</v>
      </c>
      <c r="V157" s="179">
        <v>29757</v>
      </c>
      <c r="W157" s="187" t="s">
        <v>2337</v>
      </c>
      <c r="X157" s="187" t="s">
        <v>177</v>
      </c>
      <c r="Y157" s="187" t="s">
        <v>161</v>
      </c>
      <c r="Z157" s="187"/>
      <c r="AA157" s="178"/>
      <c r="AB157" s="179">
        <v>42683</v>
      </c>
      <c r="AC157" s="288">
        <v>42795</v>
      </c>
      <c r="AD157" s="179"/>
      <c r="AE157" s="179" t="s">
        <v>2338</v>
      </c>
      <c r="AF157" s="179" t="s">
        <v>2339</v>
      </c>
      <c r="AG157" s="179"/>
      <c r="AH157" s="178">
        <f t="shared" si="33"/>
        <v>2</v>
      </c>
      <c r="AI157" s="179" t="s">
        <v>159</v>
      </c>
      <c r="AJ157" s="179"/>
      <c r="AK157" s="179"/>
      <c r="AL157" s="179" t="s">
        <v>148</v>
      </c>
      <c r="AM157" s="179"/>
      <c r="AN157" s="179"/>
      <c r="AO157" s="179" t="s">
        <v>162</v>
      </c>
      <c r="AP157" s="178" t="s">
        <v>247</v>
      </c>
      <c r="AQ157" s="179" t="s">
        <v>248</v>
      </c>
      <c r="AR157" s="179" t="s">
        <v>148</v>
      </c>
      <c r="AS157" s="179"/>
      <c r="AT157" s="420" t="s">
        <v>283</v>
      </c>
      <c r="AU157" s="178" t="s">
        <v>2340</v>
      </c>
      <c r="AV157" s="179"/>
      <c r="AW157" s="180">
        <v>42793</v>
      </c>
      <c r="AX157" s="180">
        <v>43045</v>
      </c>
      <c r="AY157" s="180" t="s">
        <v>148</v>
      </c>
      <c r="AZ157" s="180">
        <v>43230</v>
      </c>
      <c r="BA157" s="180">
        <v>43234</v>
      </c>
      <c r="BB157" s="180"/>
      <c r="BC157" s="180"/>
      <c r="BD157" s="180"/>
      <c r="BE157" s="181" t="s">
        <v>2341</v>
      </c>
      <c r="BF157" s="180">
        <v>43675</v>
      </c>
      <c r="BG157" s="180" t="s">
        <v>148</v>
      </c>
      <c r="BH157" s="180">
        <v>43891</v>
      </c>
      <c r="BI157" s="180" t="s">
        <v>148</v>
      </c>
      <c r="BJ157" s="179"/>
      <c r="BK157" s="179"/>
      <c r="BL157" s="179"/>
      <c r="BM157" s="188">
        <v>43783</v>
      </c>
      <c r="BN157" s="178" t="s">
        <v>16</v>
      </c>
      <c r="BO157" s="178">
        <f t="shared" si="41"/>
        <v>33</v>
      </c>
      <c r="BP157" s="263">
        <f t="shared" si="42"/>
        <v>25</v>
      </c>
      <c r="BQ157" s="178"/>
      <c r="BR157" s="178">
        <v>0</v>
      </c>
      <c r="BS157" s="178">
        <v>0</v>
      </c>
      <c r="BT157" s="178">
        <v>2</v>
      </c>
      <c r="BU157" s="178"/>
      <c r="BV157" s="178"/>
      <c r="BW157" s="178"/>
      <c r="BX157" s="178"/>
      <c r="BY157" s="178" t="s">
        <v>2342</v>
      </c>
      <c r="BZ157" s="178" t="s">
        <v>161</v>
      </c>
      <c r="CA157" s="178"/>
      <c r="CB157" s="184"/>
      <c r="CC157" s="184"/>
      <c r="CD157" s="178"/>
      <c r="CE157" s="178" t="s">
        <v>161</v>
      </c>
      <c r="CF157" s="178"/>
      <c r="CG157" s="178"/>
      <c r="CH157" s="377">
        <v>2</v>
      </c>
      <c r="CI157" s="178">
        <v>2</v>
      </c>
      <c r="CJ157" s="178"/>
      <c r="CK157" s="178" t="s">
        <v>1820</v>
      </c>
      <c r="CL157"/>
    </row>
    <row r="158" spans="1:90" ht="25" customHeight="1" x14ac:dyDescent="0.35">
      <c r="A158" s="91">
        <v>161</v>
      </c>
      <c r="B158" s="91" t="s">
        <v>2343</v>
      </c>
      <c r="C158" s="91" t="s">
        <v>2344</v>
      </c>
      <c r="D158" s="91" t="s">
        <v>2345</v>
      </c>
      <c r="E158" s="91" t="s">
        <v>2346</v>
      </c>
      <c r="F158" s="91" t="s">
        <v>4139</v>
      </c>
      <c r="G158" s="91">
        <v>7</v>
      </c>
      <c r="H158" s="91" t="s">
        <v>50</v>
      </c>
      <c r="I158" s="91" t="s">
        <v>38</v>
      </c>
      <c r="J158" s="91" t="s">
        <v>2347</v>
      </c>
      <c r="K158" s="91" t="s">
        <v>2348</v>
      </c>
      <c r="L158" s="91" t="s">
        <v>44</v>
      </c>
      <c r="M158" s="91" t="s">
        <v>161</v>
      </c>
      <c r="N158" s="91"/>
      <c r="O158" s="91" t="s">
        <v>149</v>
      </c>
      <c r="P158" s="91" t="s">
        <v>149</v>
      </c>
      <c r="Q158" s="91"/>
      <c r="R158" s="194" t="s">
        <v>2349</v>
      </c>
      <c r="S158" s="194" t="s">
        <v>2350</v>
      </c>
      <c r="T158" s="341" t="s">
        <v>2351</v>
      </c>
      <c r="U158" s="92"/>
      <c r="V158" s="92">
        <v>29668</v>
      </c>
      <c r="W158" s="164" t="s">
        <v>2352</v>
      </c>
      <c r="X158" s="164"/>
      <c r="Y158" s="164"/>
      <c r="Z158" s="164"/>
      <c r="AA158" s="91"/>
      <c r="AB158" s="92">
        <v>42855</v>
      </c>
      <c r="AC158" s="281">
        <v>42795</v>
      </c>
      <c r="AD158" s="92">
        <v>43930</v>
      </c>
      <c r="AE158" s="92" t="s">
        <v>2353</v>
      </c>
      <c r="AF158" s="92" t="s">
        <v>2354</v>
      </c>
      <c r="AG158" s="92"/>
      <c r="AH158" s="91">
        <f t="shared" si="33"/>
        <v>2</v>
      </c>
      <c r="AI158" s="92" t="s">
        <v>160</v>
      </c>
      <c r="AJ158" s="92"/>
      <c r="AK158" s="92"/>
      <c r="AL158" s="92" t="s">
        <v>148</v>
      </c>
      <c r="AM158" s="92"/>
      <c r="AN158" s="92"/>
      <c r="AO158" s="92" t="s">
        <v>957</v>
      </c>
      <c r="AP158" s="91"/>
      <c r="AQ158" s="92"/>
      <c r="AR158" s="92"/>
      <c r="AS158" s="92"/>
      <c r="AT158" s="400" t="s">
        <v>191</v>
      </c>
      <c r="AU158" s="91" t="s">
        <v>2355</v>
      </c>
      <c r="AV158" s="92"/>
      <c r="AW158" s="93">
        <v>42793</v>
      </c>
      <c r="AX158" s="93">
        <v>43045</v>
      </c>
      <c r="AY158" s="93" t="s">
        <v>148</v>
      </c>
      <c r="AZ158" s="93"/>
      <c r="BA158" s="93"/>
      <c r="BB158" s="93"/>
      <c r="BC158" s="93"/>
      <c r="BD158" s="93"/>
      <c r="BE158" s="94"/>
      <c r="BF158" s="114" t="s">
        <v>720</v>
      </c>
      <c r="BG158" s="93" t="s">
        <v>161</v>
      </c>
      <c r="BH158" s="93" t="s">
        <v>720</v>
      </c>
      <c r="BI158" s="93" t="s">
        <v>161</v>
      </c>
      <c r="BJ158" s="92"/>
      <c r="BK158" s="92"/>
      <c r="BL158" s="92"/>
      <c r="BM158" s="95"/>
      <c r="BN158" s="193" t="s">
        <v>18</v>
      </c>
      <c r="BO158" s="218" t="s">
        <v>18</v>
      </c>
      <c r="BP158" s="218"/>
      <c r="BQ158" s="91"/>
      <c r="BR158" s="91"/>
      <c r="BS158" s="91"/>
      <c r="BT158" s="91"/>
      <c r="BU158" s="91"/>
      <c r="BV158" s="91"/>
      <c r="BW158" s="91"/>
      <c r="BX158" s="91"/>
      <c r="BY158" s="91" t="s">
        <v>161</v>
      </c>
      <c r="BZ158" s="91"/>
      <c r="CA158" s="91"/>
      <c r="CB158" s="95"/>
      <c r="CC158" s="95"/>
      <c r="CD158" s="91"/>
      <c r="CE158" s="91"/>
      <c r="CF158" s="91"/>
      <c r="CG158" s="91"/>
      <c r="CH158" s="113"/>
      <c r="CI158" s="91"/>
      <c r="CJ158" s="91"/>
      <c r="CK158" s="91" t="s">
        <v>807</v>
      </c>
    </row>
    <row r="159" spans="1:90" s="53" customFormat="1" ht="25" customHeight="1" x14ac:dyDescent="0.35">
      <c r="A159" s="178">
        <v>162</v>
      </c>
      <c r="B159" s="178" t="s">
        <v>2356</v>
      </c>
      <c r="C159" s="178" t="s">
        <v>917</v>
      </c>
      <c r="D159" s="178" t="s">
        <v>2357</v>
      </c>
      <c r="E159" s="178" t="s">
        <v>2358</v>
      </c>
      <c r="F159" s="178" t="s">
        <v>4140</v>
      </c>
      <c r="G159" s="178">
        <v>7</v>
      </c>
      <c r="H159" s="178" t="s">
        <v>56</v>
      </c>
      <c r="I159" s="178" t="s">
        <v>44</v>
      </c>
      <c r="J159" s="178" t="s">
        <v>920</v>
      </c>
      <c r="K159" s="178" t="s">
        <v>600</v>
      </c>
      <c r="L159" s="178" t="s">
        <v>44</v>
      </c>
      <c r="M159" s="178" t="s">
        <v>161</v>
      </c>
      <c r="N159" s="178">
        <v>1512734</v>
      </c>
      <c r="O159" s="178" t="s">
        <v>149</v>
      </c>
      <c r="P159" s="178" t="s">
        <v>149</v>
      </c>
      <c r="Q159" s="178"/>
      <c r="R159" s="178" t="s">
        <v>2359</v>
      </c>
      <c r="S159" s="178" t="s">
        <v>2360</v>
      </c>
      <c r="T159" s="352" t="s">
        <v>2361</v>
      </c>
      <c r="U159" s="179"/>
      <c r="V159" s="179">
        <v>28059</v>
      </c>
      <c r="W159" s="187" t="s">
        <v>2362</v>
      </c>
      <c r="X159" s="187" t="s">
        <v>177</v>
      </c>
      <c r="Y159" s="187"/>
      <c r="Z159" s="187"/>
      <c r="AA159" s="178">
        <v>5</v>
      </c>
      <c r="AB159" s="179">
        <v>42443</v>
      </c>
      <c r="AC159" s="288">
        <v>42795</v>
      </c>
      <c r="AD159" s="179"/>
      <c r="AE159" s="179" t="s">
        <v>2363</v>
      </c>
      <c r="AF159" s="179"/>
      <c r="AG159" s="179"/>
      <c r="AH159" s="178">
        <f t="shared" ref="AH159:AH190" si="43">COUNTA(AE159:AG159)</f>
        <v>1</v>
      </c>
      <c r="AI159" s="179" t="s">
        <v>159</v>
      </c>
      <c r="AJ159" s="179"/>
      <c r="AK159" s="179"/>
      <c r="AL159" s="179" t="s">
        <v>161</v>
      </c>
      <c r="AM159" s="179"/>
      <c r="AN159" s="179"/>
      <c r="AO159" s="179" t="s">
        <v>180</v>
      </c>
      <c r="AP159" s="178" t="s">
        <v>873</v>
      </c>
      <c r="AQ159" s="179" t="s">
        <v>2364</v>
      </c>
      <c r="AR159" s="179" t="s">
        <v>148</v>
      </c>
      <c r="AS159" s="179"/>
      <c r="AT159" s="420" t="s">
        <v>370</v>
      </c>
      <c r="AU159" s="178" t="s">
        <v>2365</v>
      </c>
      <c r="AV159" s="179"/>
      <c r="AW159" s="180">
        <v>42793</v>
      </c>
      <c r="AX159" s="180">
        <v>43045</v>
      </c>
      <c r="AY159" s="180" t="s">
        <v>148</v>
      </c>
      <c r="AZ159" s="180">
        <v>42599</v>
      </c>
      <c r="BA159" s="180">
        <v>43320</v>
      </c>
      <c r="BB159" s="180">
        <v>42916</v>
      </c>
      <c r="BC159" s="180"/>
      <c r="BD159" s="180"/>
      <c r="BE159" s="181" t="s">
        <v>2366</v>
      </c>
      <c r="BF159" s="180">
        <v>43675</v>
      </c>
      <c r="BG159" s="180" t="s">
        <v>148</v>
      </c>
      <c r="BH159" s="180">
        <v>44410</v>
      </c>
      <c r="BI159" s="179" t="s">
        <v>161</v>
      </c>
      <c r="BJ159" s="179"/>
      <c r="BK159" s="179"/>
      <c r="BL159" s="179"/>
      <c r="BM159" s="182">
        <v>44995</v>
      </c>
      <c r="BN159" s="178" t="s">
        <v>16</v>
      </c>
      <c r="BO159" s="179"/>
      <c r="BP159" s="178">
        <f t="shared" ref="BP159:BP162" si="44">DATEDIF(AX159,BM159, "M")+1</f>
        <v>65</v>
      </c>
      <c r="BQ159" s="187" t="s">
        <v>2366</v>
      </c>
      <c r="BR159" s="178">
        <v>10</v>
      </c>
      <c r="BS159" s="178">
        <v>8</v>
      </c>
      <c r="BT159" s="178">
        <v>0</v>
      </c>
      <c r="BU159" s="178"/>
      <c r="BV159" s="178"/>
      <c r="BW159" s="178"/>
      <c r="BX159" s="178"/>
      <c r="BY159" s="178" t="s">
        <v>2367</v>
      </c>
      <c r="BZ159" s="178"/>
      <c r="CA159" s="178"/>
      <c r="CB159" s="184"/>
      <c r="CC159" s="184"/>
      <c r="CD159" s="178"/>
      <c r="CE159" s="178"/>
      <c r="CF159" s="178"/>
      <c r="CG159" s="178"/>
      <c r="CH159" s="377">
        <v>3</v>
      </c>
      <c r="CI159" s="178"/>
      <c r="CJ159" s="178"/>
      <c r="CK159" s="178" t="s">
        <v>807</v>
      </c>
      <c r="CL159"/>
    </row>
    <row r="160" spans="1:90" s="53" customFormat="1" ht="25" customHeight="1" x14ac:dyDescent="0.35">
      <c r="A160" s="178">
        <v>163</v>
      </c>
      <c r="B160" s="178" t="s">
        <v>2368</v>
      </c>
      <c r="C160" s="178" t="s">
        <v>2369</v>
      </c>
      <c r="D160" s="178" t="s">
        <v>2370</v>
      </c>
      <c r="E160" s="178" t="s">
        <v>1790</v>
      </c>
      <c r="F160" s="178" t="s">
        <v>4140</v>
      </c>
      <c r="G160" s="178">
        <v>7</v>
      </c>
      <c r="H160" s="178" t="s">
        <v>50</v>
      </c>
      <c r="I160" s="178" t="s">
        <v>42</v>
      </c>
      <c r="J160" s="178" t="s">
        <v>2371</v>
      </c>
      <c r="K160" s="178" t="s">
        <v>2372</v>
      </c>
      <c r="L160" s="178" t="s">
        <v>44</v>
      </c>
      <c r="M160" s="178" t="s">
        <v>161</v>
      </c>
      <c r="N160" s="178">
        <v>2012904</v>
      </c>
      <c r="O160" s="178" t="s">
        <v>149</v>
      </c>
      <c r="P160" s="178" t="s">
        <v>149</v>
      </c>
      <c r="Q160" s="178"/>
      <c r="R160" s="178" t="s">
        <v>2373</v>
      </c>
      <c r="S160" s="178" t="s">
        <v>2374</v>
      </c>
      <c r="T160" s="351" t="s">
        <v>2375</v>
      </c>
      <c r="U160" s="179"/>
      <c r="V160" s="179">
        <v>29169</v>
      </c>
      <c r="W160" s="187" t="s">
        <v>2376</v>
      </c>
      <c r="X160" s="187" t="s">
        <v>2377</v>
      </c>
      <c r="Y160" s="187"/>
      <c r="Z160" s="187"/>
      <c r="AA160" s="178">
        <v>23</v>
      </c>
      <c r="AB160" s="179">
        <v>42916</v>
      </c>
      <c r="AC160" s="288">
        <v>42795</v>
      </c>
      <c r="AD160" s="179"/>
      <c r="AE160" s="179" t="s">
        <v>2378</v>
      </c>
      <c r="AF160" s="179"/>
      <c r="AG160" s="179"/>
      <c r="AH160" s="178">
        <f t="shared" si="43"/>
        <v>1</v>
      </c>
      <c r="AI160" s="179" t="s">
        <v>159</v>
      </c>
      <c r="AJ160" s="179"/>
      <c r="AK160" s="179"/>
      <c r="AL160" s="179" t="s">
        <v>148</v>
      </c>
      <c r="AM160" s="179"/>
      <c r="AN160" s="179"/>
      <c r="AO160" s="179" t="s">
        <v>180</v>
      </c>
      <c r="AP160" s="178" t="s">
        <v>1833</v>
      </c>
      <c r="AQ160" s="179" t="s">
        <v>201</v>
      </c>
      <c r="AR160" s="179" t="s">
        <v>148</v>
      </c>
      <c r="AS160" s="179"/>
      <c r="AT160" s="420" t="s">
        <v>418</v>
      </c>
      <c r="AU160" s="178" t="s">
        <v>1802</v>
      </c>
      <c r="AV160" s="179"/>
      <c r="AW160" s="180">
        <v>42793</v>
      </c>
      <c r="AX160" s="180">
        <v>43045</v>
      </c>
      <c r="AY160" s="180" t="s">
        <v>148</v>
      </c>
      <c r="AZ160" s="180">
        <v>43341</v>
      </c>
      <c r="BA160" s="180">
        <v>43579</v>
      </c>
      <c r="BB160" s="180"/>
      <c r="BC160" s="180"/>
      <c r="BD160" s="180"/>
      <c r="BE160" s="181" t="s">
        <v>2379</v>
      </c>
      <c r="BF160" s="180">
        <v>44207</v>
      </c>
      <c r="BG160" s="179" t="s">
        <v>161</v>
      </c>
      <c r="BH160" s="180">
        <v>44410</v>
      </c>
      <c r="BI160" s="179" t="s">
        <v>161</v>
      </c>
      <c r="BJ160" s="179"/>
      <c r="BK160" s="179"/>
      <c r="BL160" s="179"/>
      <c r="BM160" s="182">
        <v>45195</v>
      </c>
      <c r="BN160" s="183" t="s">
        <v>16</v>
      </c>
      <c r="BO160" s="178">
        <f t="shared" ref="BO160:BO162" si="45">DATEDIF(AW160,BM160, "M")+1</f>
        <v>79</v>
      </c>
      <c r="BP160" s="178">
        <f t="shared" si="44"/>
        <v>71</v>
      </c>
      <c r="BQ160" s="187" t="s">
        <v>2380</v>
      </c>
      <c r="BR160" s="178"/>
      <c r="BS160" s="178"/>
      <c r="BT160" s="178"/>
      <c r="BU160" s="178"/>
      <c r="BV160" s="178"/>
      <c r="BW160" s="178"/>
      <c r="BX160" s="178"/>
      <c r="BY160" s="178" t="s">
        <v>2312</v>
      </c>
      <c r="BZ160" s="178"/>
      <c r="CA160" s="178"/>
      <c r="CB160" s="184"/>
      <c r="CC160" s="184"/>
      <c r="CD160" s="178"/>
      <c r="CE160" s="178"/>
      <c r="CF160" s="178"/>
      <c r="CG160" s="178"/>
      <c r="CH160" s="377">
        <v>1</v>
      </c>
      <c r="CI160" s="178"/>
      <c r="CJ160" s="178"/>
      <c r="CK160" s="178" t="s">
        <v>1312</v>
      </c>
      <c r="CL160"/>
    </row>
    <row r="161" spans="1:90" s="53" customFormat="1" ht="25" customHeight="1" x14ac:dyDescent="0.35">
      <c r="A161" s="178">
        <v>164</v>
      </c>
      <c r="B161" s="178" t="s">
        <v>2381</v>
      </c>
      <c r="C161" s="178" t="s">
        <v>2382</v>
      </c>
      <c r="D161" s="178" t="s">
        <v>555</v>
      </c>
      <c r="E161" s="178" t="s">
        <v>2383</v>
      </c>
      <c r="F161" s="178" t="s">
        <v>4140</v>
      </c>
      <c r="G161" s="178">
        <v>7</v>
      </c>
      <c r="H161" s="178" t="s">
        <v>57</v>
      </c>
      <c r="I161" s="178" t="s">
        <v>40</v>
      </c>
      <c r="J161" s="178" t="s">
        <v>600</v>
      </c>
      <c r="K161" s="178" t="s">
        <v>600</v>
      </c>
      <c r="L161" s="178" t="s">
        <v>44</v>
      </c>
      <c r="M161" s="178" t="s">
        <v>161</v>
      </c>
      <c r="N161" s="178" t="s">
        <v>2384</v>
      </c>
      <c r="O161" s="178" t="s">
        <v>320</v>
      </c>
      <c r="P161" s="178" t="s">
        <v>320</v>
      </c>
      <c r="Q161" s="178" t="s">
        <v>320</v>
      </c>
      <c r="R161" s="178" t="s">
        <v>2385</v>
      </c>
      <c r="S161" s="384" t="s">
        <v>2386</v>
      </c>
      <c r="T161" s="352" t="s">
        <v>2387</v>
      </c>
      <c r="U161" s="179"/>
      <c r="V161" s="179">
        <v>29181</v>
      </c>
      <c r="W161" s="187" t="s">
        <v>2388</v>
      </c>
      <c r="X161" s="187" t="s">
        <v>154</v>
      </c>
      <c r="Y161" s="187"/>
      <c r="Z161" s="187"/>
      <c r="AA161" s="178"/>
      <c r="AB161" s="179">
        <v>42825</v>
      </c>
      <c r="AC161" s="288">
        <v>42795</v>
      </c>
      <c r="AD161" s="179"/>
      <c r="AE161" s="179" t="s">
        <v>2389</v>
      </c>
      <c r="AF161" s="179"/>
      <c r="AG161" s="179"/>
      <c r="AH161" s="178">
        <f t="shared" si="43"/>
        <v>1</v>
      </c>
      <c r="AI161" s="179" t="s">
        <v>160</v>
      </c>
      <c r="AJ161" s="179"/>
      <c r="AK161" s="179"/>
      <c r="AL161" s="179" t="s">
        <v>161</v>
      </c>
      <c r="AM161" s="179"/>
      <c r="AN161" s="179"/>
      <c r="AO161" s="179" t="s">
        <v>180</v>
      </c>
      <c r="AP161" s="178"/>
      <c r="AQ161" s="179" t="s">
        <v>2390</v>
      </c>
      <c r="AR161" s="179" t="s">
        <v>148</v>
      </c>
      <c r="AS161" s="179"/>
      <c r="AT161" s="420" t="s">
        <v>1264</v>
      </c>
      <c r="AU161" s="178" t="s">
        <v>2391</v>
      </c>
      <c r="AV161" s="179"/>
      <c r="AW161" s="180">
        <v>42793</v>
      </c>
      <c r="AX161" s="180">
        <v>43045</v>
      </c>
      <c r="AY161" s="180" t="s">
        <v>148</v>
      </c>
      <c r="AZ161" s="180">
        <v>43263</v>
      </c>
      <c r="BA161" s="180">
        <v>43280</v>
      </c>
      <c r="BB161" s="180"/>
      <c r="BC161" s="180"/>
      <c r="BD161" s="180"/>
      <c r="BE161" s="181" t="s">
        <v>2392</v>
      </c>
      <c r="BF161" s="180">
        <v>43675</v>
      </c>
      <c r="BG161" s="179" t="s">
        <v>148</v>
      </c>
      <c r="BH161" s="180">
        <v>43891</v>
      </c>
      <c r="BI161" s="179" t="s">
        <v>148</v>
      </c>
      <c r="BJ161" s="179">
        <v>44392</v>
      </c>
      <c r="BK161" s="179"/>
      <c r="BL161" s="179"/>
      <c r="BM161" s="182">
        <v>44469</v>
      </c>
      <c r="BN161" s="178" t="s">
        <v>16</v>
      </c>
      <c r="BO161" s="178">
        <f t="shared" si="45"/>
        <v>56</v>
      </c>
      <c r="BP161" s="178">
        <f t="shared" si="44"/>
        <v>47</v>
      </c>
      <c r="BQ161" s="181" t="s">
        <v>2392</v>
      </c>
      <c r="BR161" s="178">
        <v>1</v>
      </c>
      <c r="BS161" s="178">
        <v>23</v>
      </c>
      <c r="BT161" s="178">
        <v>8</v>
      </c>
      <c r="BU161" s="178"/>
      <c r="BV161" s="178"/>
      <c r="BW161" s="178"/>
      <c r="BX161" s="178"/>
      <c r="BY161" s="178" t="s">
        <v>161</v>
      </c>
      <c r="BZ161" s="178"/>
      <c r="CA161" s="178"/>
      <c r="CB161" s="184"/>
      <c r="CC161" s="184"/>
      <c r="CD161" s="178"/>
      <c r="CE161" s="178"/>
      <c r="CF161" s="178"/>
      <c r="CG161" s="178"/>
      <c r="CH161" s="377">
        <v>4</v>
      </c>
      <c r="CI161" s="178">
        <v>4</v>
      </c>
      <c r="CJ161" s="178"/>
      <c r="CK161" s="178" t="s">
        <v>807</v>
      </c>
      <c r="CL161"/>
    </row>
    <row r="162" spans="1:90" s="53" customFormat="1" ht="25" customHeight="1" x14ac:dyDescent="0.35">
      <c r="A162" s="178">
        <v>165</v>
      </c>
      <c r="B162" s="178" t="s">
        <v>2393</v>
      </c>
      <c r="C162" s="178" t="s">
        <v>2394</v>
      </c>
      <c r="D162" s="178" t="s">
        <v>2395</v>
      </c>
      <c r="E162" s="178" t="s">
        <v>2396</v>
      </c>
      <c r="F162" s="178" t="s">
        <v>4140</v>
      </c>
      <c r="G162" s="178">
        <v>7</v>
      </c>
      <c r="H162" s="178" t="s">
        <v>51</v>
      </c>
      <c r="I162" s="178" t="s">
        <v>4136</v>
      </c>
      <c r="J162" s="178" t="s">
        <v>1113</v>
      </c>
      <c r="K162" s="178" t="s">
        <v>2397</v>
      </c>
      <c r="L162" s="178" t="s">
        <v>44</v>
      </c>
      <c r="M162" s="178" t="s">
        <v>161</v>
      </c>
      <c r="N162" s="178">
        <v>2083454</v>
      </c>
      <c r="O162" s="178" t="s">
        <v>149</v>
      </c>
      <c r="P162" s="178" t="s">
        <v>149</v>
      </c>
      <c r="Q162" s="178" t="s">
        <v>149</v>
      </c>
      <c r="R162" s="178" t="s">
        <v>2398</v>
      </c>
      <c r="S162" s="178" t="s">
        <v>2399</v>
      </c>
      <c r="T162" s="351" t="s">
        <v>2400</v>
      </c>
      <c r="U162" s="179" t="s">
        <v>2401</v>
      </c>
      <c r="V162" s="179">
        <v>27456</v>
      </c>
      <c r="W162" s="187" t="s">
        <v>2402</v>
      </c>
      <c r="X162" s="187" t="s">
        <v>2377</v>
      </c>
      <c r="Y162" s="187" t="s">
        <v>155</v>
      </c>
      <c r="Z162" s="187"/>
      <c r="AA162" s="178">
        <v>19.5</v>
      </c>
      <c r="AB162" s="179">
        <v>42816</v>
      </c>
      <c r="AC162" s="288">
        <v>42795</v>
      </c>
      <c r="AD162" s="179"/>
      <c r="AE162" s="179" t="s">
        <v>1704</v>
      </c>
      <c r="AF162" s="179" t="s">
        <v>2403</v>
      </c>
      <c r="AG162" s="179"/>
      <c r="AH162" s="178">
        <f t="shared" si="43"/>
        <v>2</v>
      </c>
      <c r="AI162" s="179" t="s">
        <v>160</v>
      </c>
      <c r="AJ162" s="179"/>
      <c r="AK162" s="179"/>
      <c r="AL162" s="179" t="s">
        <v>148</v>
      </c>
      <c r="AM162" s="179"/>
      <c r="AN162" s="179"/>
      <c r="AO162" s="179" t="s">
        <v>162</v>
      </c>
      <c r="AP162" s="178" t="s">
        <v>2404</v>
      </c>
      <c r="AQ162" s="179" t="s">
        <v>2405</v>
      </c>
      <c r="AR162" s="179" t="s">
        <v>148</v>
      </c>
      <c r="AS162" s="179" t="s">
        <v>2406</v>
      </c>
      <c r="AT162" s="420" t="s">
        <v>296</v>
      </c>
      <c r="AU162" s="178" t="s">
        <v>2407</v>
      </c>
      <c r="AV162" s="179"/>
      <c r="AW162" s="180">
        <v>42793</v>
      </c>
      <c r="AX162" s="180">
        <v>43045</v>
      </c>
      <c r="AY162" s="180" t="s">
        <v>148</v>
      </c>
      <c r="AZ162" s="180">
        <v>43593</v>
      </c>
      <c r="BA162" s="180">
        <v>43648</v>
      </c>
      <c r="BB162" s="180"/>
      <c r="BC162" s="180"/>
      <c r="BD162" s="180"/>
      <c r="BE162" s="181" t="s">
        <v>2408</v>
      </c>
      <c r="BF162" s="180">
        <v>44207</v>
      </c>
      <c r="BG162" s="179" t="s">
        <v>161</v>
      </c>
      <c r="BH162" s="180">
        <v>44410</v>
      </c>
      <c r="BI162" s="179" t="s">
        <v>161</v>
      </c>
      <c r="BJ162" s="179"/>
      <c r="BK162" s="179"/>
      <c r="BL162" s="179"/>
      <c r="BM162" s="182">
        <v>45595</v>
      </c>
      <c r="BN162" s="178" t="s">
        <v>16</v>
      </c>
      <c r="BO162" s="178">
        <f t="shared" si="45"/>
        <v>93</v>
      </c>
      <c r="BP162" s="178">
        <f t="shared" si="44"/>
        <v>84</v>
      </c>
      <c r="BQ162" s="181" t="s">
        <v>2409</v>
      </c>
      <c r="BR162" s="178">
        <v>0</v>
      </c>
      <c r="BS162" s="178">
        <v>13</v>
      </c>
      <c r="BT162" s="178">
        <v>0</v>
      </c>
      <c r="BU162" s="178"/>
      <c r="BV162" s="178"/>
      <c r="BW162" s="178"/>
      <c r="BX162" s="178"/>
      <c r="BY162" s="178" t="s">
        <v>161</v>
      </c>
      <c r="BZ162" s="178" t="s">
        <v>161</v>
      </c>
      <c r="CA162" s="178"/>
      <c r="CB162" s="184"/>
      <c r="CC162" s="184"/>
      <c r="CD162" s="178"/>
      <c r="CE162" s="178" t="s">
        <v>161</v>
      </c>
      <c r="CF162" s="178"/>
      <c r="CG162" s="178"/>
      <c r="CH162" s="377">
        <v>2</v>
      </c>
      <c r="CI162" s="178"/>
      <c r="CJ162" s="178"/>
      <c r="CK162" s="178" t="s">
        <v>807</v>
      </c>
      <c r="CL162"/>
    </row>
    <row r="163" spans="1:90" s="53" customFormat="1" ht="25" customHeight="1" x14ac:dyDescent="0.35">
      <c r="A163" s="178">
        <v>166</v>
      </c>
      <c r="B163" s="178" t="s">
        <v>2410</v>
      </c>
      <c r="C163" s="178" t="s">
        <v>2411</v>
      </c>
      <c r="D163" s="178" t="s">
        <v>20</v>
      </c>
      <c r="E163" s="178" t="s">
        <v>2412</v>
      </c>
      <c r="F163" s="178" t="s">
        <v>4140</v>
      </c>
      <c r="G163" s="178">
        <v>7</v>
      </c>
      <c r="H163" s="178" t="s">
        <v>53</v>
      </c>
      <c r="I163" s="178" t="s">
        <v>43</v>
      </c>
      <c r="J163" s="178" t="s">
        <v>1419</v>
      </c>
      <c r="K163" s="178" t="s">
        <v>1419</v>
      </c>
      <c r="L163" s="178" t="s">
        <v>44</v>
      </c>
      <c r="M163" s="178" t="s">
        <v>161</v>
      </c>
      <c r="N163" s="178">
        <v>1760159</v>
      </c>
      <c r="O163" s="178" t="s">
        <v>149</v>
      </c>
      <c r="P163" s="178" t="s">
        <v>149</v>
      </c>
      <c r="Q163" s="178" t="s">
        <v>149</v>
      </c>
      <c r="R163" s="178" t="s">
        <v>2413</v>
      </c>
      <c r="S163" s="178" t="s">
        <v>2414</v>
      </c>
      <c r="T163" s="352" t="s">
        <v>2415</v>
      </c>
      <c r="U163" s="179"/>
      <c r="V163" s="179">
        <v>29082</v>
      </c>
      <c r="W163" s="187" t="s">
        <v>2416</v>
      </c>
      <c r="X163" s="187" t="s">
        <v>154</v>
      </c>
      <c r="Y163" s="187"/>
      <c r="Z163" s="187"/>
      <c r="AA163" s="178">
        <v>15</v>
      </c>
      <c r="AB163" s="179">
        <v>42917</v>
      </c>
      <c r="AC163" s="288">
        <v>42795</v>
      </c>
      <c r="AD163" s="179"/>
      <c r="AE163" s="179" t="s">
        <v>2417</v>
      </c>
      <c r="AF163" s="179" t="s">
        <v>2418</v>
      </c>
      <c r="AG163" s="179"/>
      <c r="AH163" s="178">
        <f t="shared" si="43"/>
        <v>2</v>
      </c>
      <c r="AI163" s="179" t="s">
        <v>160</v>
      </c>
      <c r="AJ163" s="179"/>
      <c r="AK163" s="179"/>
      <c r="AL163" s="179" t="s">
        <v>148</v>
      </c>
      <c r="AM163" s="179"/>
      <c r="AN163" s="179"/>
      <c r="AO163" s="179" t="s">
        <v>162</v>
      </c>
      <c r="AP163" s="178"/>
      <c r="AQ163" s="179" t="s">
        <v>2419</v>
      </c>
      <c r="AR163" s="179" t="s">
        <v>148</v>
      </c>
      <c r="AS163" s="179"/>
      <c r="AT163" s="420" t="s">
        <v>2420</v>
      </c>
      <c r="AU163" s="178" t="s">
        <v>2421</v>
      </c>
      <c r="AV163" s="179"/>
      <c r="AW163" s="180">
        <v>42793</v>
      </c>
      <c r="AX163" s="180">
        <v>43045</v>
      </c>
      <c r="AY163" s="180" t="s">
        <v>148</v>
      </c>
      <c r="AZ163" s="180">
        <v>43146</v>
      </c>
      <c r="BA163" s="180">
        <v>43196</v>
      </c>
      <c r="BB163" s="180"/>
      <c r="BC163" s="180"/>
      <c r="BD163" s="180"/>
      <c r="BE163" s="181" t="s">
        <v>2422</v>
      </c>
      <c r="BF163" s="180">
        <v>43675</v>
      </c>
      <c r="BG163" s="180" t="s">
        <v>148</v>
      </c>
      <c r="BH163" s="180">
        <v>43891</v>
      </c>
      <c r="BI163" s="180" t="s">
        <v>148</v>
      </c>
      <c r="BJ163" s="179"/>
      <c r="BK163" s="179"/>
      <c r="BL163" s="179"/>
      <c r="BM163" s="182">
        <v>44344</v>
      </c>
      <c r="BN163" s="178" t="s">
        <v>16</v>
      </c>
      <c r="BO163" s="178">
        <f t="shared" ref="BO163" si="46">DATEDIF(AW163,BM163, "M")+1</f>
        <v>52</v>
      </c>
      <c r="BP163" s="178">
        <f t="shared" ref="BP163:BP170" si="47">DATEDIF(AX163,BM163, "M")+1</f>
        <v>43</v>
      </c>
      <c r="BQ163" s="178"/>
      <c r="BR163" s="178"/>
      <c r="BS163" s="178"/>
      <c r="BT163" s="178"/>
      <c r="BU163" s="178"/>
      <c r="BV163" s="178"/>
      <c r="BW163" s="178"/>
      <c r="BX163" s="178"/>
      <c r="BY163" s="178" t="s">
        <v>161</v>
      </c>
      <c r="BZ163" s="178"/>
      <c r="CA163" s="178"/>
      <c r="CB163" s="184">
        <v>43930</v>
      </c>
      <c r="CC163" s="184">
        <v>44035</v>
      </c>
      <c r="CD163" s="178">
        <v>4</v>
      </c>
      <c r="CE163" s="178"/>
      <c r="CF163" s="178"/>
      <c r="CG163" s="178"/>
      <c r="CH163" s="377">
        <v>3</v>
      </c>
      <c r="CI163" s="178">
        <v>3</v>
      </c>
      <c r="CJ163" s="178"/>
      <c r="CK163" s="178" t="s">
        <v>807</v>
      </c>
      <c r="CL163"/>
    </row>
    <row r="164" spans="1:90" s="53" customFormat="1" ht="25" customHeight="1" x14ac:dyDescent="0.35">
      <c r="A164" s="178">
        <v>167</v>
      </c>
      <c r="B164" s="178" t="s">
        <v>2423</v>
      </c>
      <c r="C164" s="178" t="s">
        <v>2424</v>
      </c>
      <c r="D164" s="178" t="s">
        <v>2425</v>
      </c>
      <c r="E164" s="178" t="s">
        <v>2425</v>
      </c>
      <c r="F164" s="178" t="s">
        <v>4140</v>
      </c>
      <c r="G164" s="178">
        <v>7</v>
      </c>
      <c r="H164" s="178" t="s">
        <v>53</v>
      </c>
      <c r="I164" s="178" t="s">
        <v>43</v>
      </c>
      <c r="J164" s="178" t="s">
        <v>600</v>
      </c>
      <c r="K164" s="178" t="s">
        <v>600</v>
      </c>
      <c r="L164" s="178" t="s">
        <v>44</v>
      </c>
      <c r="M164" s="178" t="s">
        <v>161</v>
      </c>
      <c r="N164" s="178">
        <v>1941393</v>
      </c>
      <c r="O164" s="178" t="s">
        <v>149</v>
      </c>
      <c r="P164" s="178" t="s">
        <v>149</v>
      </c>
      <c r="Q164" s="178" t="s">
        <v>149</v>
      </c>
      <c r="R164" s="178" t="s">
        <v>2426</v>
      </c>
      <c r="S164" s="178" t="s">
        <v>2427</v>
      </c>
      <c r="T164" s="352" t="s">
        <v>2428</v>
      </c>
      <c r="U164" s="179" t="s">
        <v>2429</v>
      </c>
      <c r="V164" s="179">
        <v>31760</v>
      </c>
      <c r="W164" s="187" t="s">
        <v>2430</v>
      </c>
      <c r="X164" s="187" t="s">
        <v>177</v>
      </c>
      <c r="Y164" s="187" t="s">
        <v>161</v>
      </c>
      <c r="Z164" s="187"/>
      <c r="AA164" s="178">
        <v>10.5</v>
      </c>
      <c r="AB164" s="179">
        <v>42826</v>
      </c>
      <c r="AC164" s="288">
        <v>42795</v>
      </c>
      <c r="AD164" s="179"/>
      <c r="AE164" s="179" t="s">
        <v>2431</v>
      </c>
      <c r="AF164" s="179"/>
      <c r="AG164" s="179"/>
      <c r="AH164" s="178">
        <f t="shared" si="43"/>
        <v>1</v>
      </c>
      <c r="AI164" s="179" t="s">
        <v>160</v>
      </c>
      <c r="AJ164" s="179"/>
      <c r="AK164" s="179"/>
      <c r="AL164" s="179" t="s">
        <v>161</v>
      </c>
      <c r="AM164" s="179"/>
      <c r="AN164" s="179"/>
      <c r="AO164" s="179" t="s">
        <v>162</v>
      </c>
      <c r="AP164" s="178" t="s">
        <v>179</v>
      </c>
      <c r="AQ164" s="179" t="s">
        <v>2432</v>
      </c>
      <c r="AR164" s="179" t="s">
        <v>148</v>
      </c>
      <c r="AS164" s="179" t="s">
        <v>2433</v>
      </c>
      <c r="AT164" s="420" t="s">
        <v>217</v>
      </c>
      <c r="AU164" s="178" t="s">
        <v>2434</v>
      </c>
      <c r="AV164" s="179"/>
      <c r="AW164" s="180">
        <v>42793</v>
      </c>
      <c r="AX164" s="180">
        <v>43045</v>
      </c>
      <c r="AY164" s="180" t="s">
        <v>148</v>
      </c>
      <c r="AZ164" s="180">
        <v>43322</v>
      </c>
      <c r="BA164" s="180">
        <v>43416</v>
      </c>
      <c r="BB164" s="180">
        <v>43445</v>
      </c>
      <c r="BC164" s="180"/>
      <c r="BD164" s="180"/>
      <c r="BE164" s="181" t="s">
        <v>2435</v>
      </c>
      <c r="BF164" s="180">
        <v>43675</v>
      </c>
      <c r="BG164" s="180" t="s">
        <v>148</v>
      </c>
      <c r="BH164" s="180">
        <v>43891</v>
      </c>
      <c r="BI164" s="180" t="s">
        <v>148</v>
      </c>
      <c r="BJ164" s="179"/>
      <c r="BK164" s="179"/>
      <c r="BL164" s="179"/>
      <c r="BM164" s="182">
        <v>44851</v>
      </c>
      <c r="BN164" s="190" t="s">
        <v>16</v>
      </c>
      <c r="BO164" s="178">
        <f t="shared" ref="BO164:BO166" si="48">DATEDIF(AW164,BM164, "M")+1</f>
        <v>68</v>
      </c>
      <c r="BP164" s="178">
        <f t="shared" si="47"/>
        <v>60</v>
      </c>
      <c r="BQ164" s="187" t="s">
        <v>2435</v>
      </c>
      <c r="BR164" s="178">
        <v>0</v>
      </c>
      <c r="BS164" s="178">
        <v>9</v>
      </c>
      <c r="BT164" s="178">
        <v>0</v>
      </c>
      <c r="BU164" s="178"/>
      <c r="BV164" s="178"/>
      <c r="BW164" s="178"/>
      <c r="BX164" s="178"/>
      <c r="BY164" s="178" t="s">
        <v>161</v>
      </c>
      <c r="BZ164" s="178" t="s">
        <v>148</v>
      </c>
      <c r="CA164" s="178" t="s">
        <v>2436</v>
      </c>
      <c r="CB164" s="184">
        <v>43160</v>
      </c>
      <c r="CC164" s="184">
        <v>44621</v>
      </c>
      <c r="CD164" s="178">
        <v>48</v>
      </c>
      <c r="CE164" s="178" t="s">
        <v>161</v>
      </c>
      <c r="CF164" s="178"/>
      <c r="CG164" s="178"/>
      <c r="CH164" s="377">
        <v>2</v>
      </c>
      <c r="CI164" s="178"/>
      <c r="CJ164" s="178"/>
      <c r="CK164" s="178" t="s">
        <v>807</v>
      </c>
      <c r="CL164"/>
    </row>
    <row r="165" spans="1:90" s="53" customFormat="1" ht="25" customHeight="1" x14ac:dyDescent="0.35">
      <c r="A165" s="178">
        <v>168</v>
      </c>
      <c r="B165" s="178" t="s">
        <v>2437</v>
      </c>
      <c r="C165" s="178" t="s">
        <v>2438</v>
      </c>
      <c r="D165" s="178" t="s">
        <v>1740</v>
      </c>
      <c r="E165" s="178" t="s">
        <v>2439</v>
      </c>
      <c r="F165" s="178" t="s">
        <v>4139</v>
      </c>
      <c r="G165" s="178">
        <v>7</v>
      </c>
      <c r="H165" s="178" t="s">
        <v>52</v>
      </c>
      <c r="I165" s="178" t="s">
        <v>39</v>
      </c>
      <c r="J165" s="178" t="s">
        <v>1899</v>
      </c>
      <c r="K165" s="178" t="s">
        <v>2440</v>
      </c>
      <c r="L165" s="178" t="s">
        <v>39</v>
      </c>
      <c r="M165" s="178" t="s">
        <v>148</v>
      </c>
      <c r="N165" s="178" t="s">
        <v>2441</v>
      </c>
      <c r="O165" s="178" t="s">
        <v>149</v>
      </c>
      <c r="P165" s="178" t="s">
        <v>149</v>
      </c>
      <c r="Q165" s="178" t="s">
        <v>149</v>
      </c>
      <c r="R165" s="178" t="s">
        <v>2442</v>
      </c>
      <c r="S165" s="178" t="s">
        <v>2443</v>
      </c>
      <c r="T165" s="352" t="s">
        <v>2444</v>
      </c>
      <c r="U165" s="179" t="s">
        <v>1899</v>
      </c>
      <c r="V165" s="179">
        <v>29059</v>
      </c>
      <c r="W165" s="187" t="s">
        <v>2445</v>
      </c>
      <c r="X165" s="187" t="s">
        <v>177</v>
      </c>
      <c r="Y165" s="187" t="s">
        <v>161</v>
      </c>
      <c r="Z165" s="187"/>
      <c r="AA165" s="178"/>
      <c r="AB165" s="179">
        <v>42683</v>
      </c>
      <c r="AC165" s="288">
        <v>42795</v>
      </c>
      <c r="AD165" s="179"/>
      <c r="AE165" s="179" t="s">
        <v>2446</v>
      </c>
      <c r="AF165" s="179"/>
      <c r="AG165" s="179"/>
      <c r="AH165" s="178">
        <f t="shared" si="43"/>
        <v>1</v>
      </c>
      <c r="AI165" s="179" t="s">
        <v>159</v>
      </c>
      <c r="AJ165" s="179"/>
      <c r="AK165" s="179"/>
      <c r="AL165" s="179" t="s">
        <v>148</v>
      </c>
      <c r="AM165" s="179"/>
      <c r="AN165" s="179"/>
      <c r="AO165" s="179" t="s">
        <v>162</v>
      </c>
      <c r="AP165" s="178"/>
      <c r="AQ165" s="179" t="s">
        <v>1438</v>
      </c>
      <c r="AR165" s="179"/>
      <c r="AS165" s="179"/>
      <c r="AT165" s="420" t="s">
        <v>283</v>
      </c>
      <c r="AU165" s="178" t="s">
        <v>2447</v>
      </c>
      <c r="AV165" s="179"/>
      <c r="AW165" s="180">
        <v>42793</v>
      </c>
      <c r="AX165" s="180">
        <v>43045</v>
      </c>
      <c r="AY165" s="180" t="s">
        <v>148</v>
      </c>
      <c r="AZ165" s="180">
        <v>42419</v>
      </c>
      <c r="BA165" s="180">
        <v>42419</v>
      </c>
      <c r="BB165" s="180"/>
      <c r="BC165" s="180"/>
      <c r="BD165" s="180"/>
      <c r="BE165" s="181" t="s">
        <v>2448</v>
      </c>
      <c r="BF165" s="180">
        <v>43675</v>
      </c>
      <c r="BG165" s="180" t="s">
        <v>148</v>
      </c>
      <c r="BH165" s="180">
        <v>43891</v>
      </c>
      <c r="BI165" s="180" t="s">
        <v>148</v>
      </c>
      <c r="BJ165" s="179"/>
      <c r="BK165" s="179"/>
      <c r="BL165" s="179"/>
      <c r="BM165" s="188">
        <v>43813</v>
      </c>
      <c r="BN165" s="178" t="s">
        <v>16</v>
      </c>
      <c r="BO165" s="178">
        <f t="shared" si="48"/>
        <v>34</v>
      </c>
      <c r="BP165" s="178">
        <f t="shared" si="47"/>
        <v>26</v>
      </c>
      <c r="BQ165" s="178"/>
      <c r="BR165" s="178">
        <v>0</v>
      </c>
      <c r="BS165" s="178">
        <v>0</v>
      </c>
      <c r="BT165" s="178">
        <v>3</v>
      </c>
      <c r="BU165" s="178"/>
      <c r="BV165" s="178"/>
      <c r="BW165" s="178"/>
      <c r="BX165" s="178"/>
      <c r="BY165" s="178" t="s">
        <v>161</v>
      </c>
      <c r="BZ165" s="178" t="s">
        <v>161</v>
      </c>
      <c r="CA165" s="178"/>
      <c r="CB165" s="184"/>
      <c r="CC165" s="184"/>
      <c r="CD165" s="178"/>
      <c r="CE165" s="178" t="s">
        <v>161</v>
      </c>
      <c r="CF165" s="178"/>
      <c r="CG165" s="178"/>
      <c r="CH165" s="377">
        <v>1</v>
      </c>
      <c r="CI165" s="178">
        <v>3</v>
      </c>
      <c r="CJ165" s="178"/>
      <c r="CK165" s="178" t="s">
        <v>807</v>
      </c>
      <c r="CL165"/>
    </row>
    <row r="166" spans="1:90" s="53" customFormat="1" ht="25" customHeight="1" x14ac:dyDescent="0.35">
      <c r="A166" s="178">
        <v>169</v>
      </c>
      <c r="B166" s="178" t="s">
        <v>2449</v>
      </c>
      <c r="C166" s="178" t="s">
        <v>973</v>
      </c>
      <c r="D166" s="178" t="s">
        <v>2450</v>
      </c>
      <c r="E166" s="178" t="s">
        <v>2451</v>
      </c>
      <c r="F166" s="178" t="s">
        <v>4140</v>
      </c>
      <c r="G166" s="178">
        <v>7</v>
      </c>
      <c r="H166" s="178" t="s">
        <v>52</v>
      </c>
      <c r="I166" s="178" t="s">
        <v>31</v>
      </c>
      <c r="J166" s="178" t="s">
        <v>2239</v>
      </c>
      <c r="K166" s="178" t="s">
        <v>1113</v>
      </c>
      <c r="L166" s="178" t="s">
        <v>31</v>
      </c>
      <c r="M166" s="178" t="s">
        <v>148</v>
      </c>
      <c r="N166" s="178" t="s">
        <v>2452</v>
      </c>
      <c r="O166" s="178" t="s">
        <v>149</v>
      </c>
      <c r="P166" s="178" t="s">
        <v>149</v>
      </c>
      <c r="Q166" s="178"/>
      <c r="R166" s="178" t="s">
        <v>2453</v>
      </c>
      <c r="S166" s="178" t="s">
        <v>2454</v>
      </c>
      <c r="T166" s="352" t="s">
        <v>2455</v>
      </c>
      <c r="U166" s="179"/>
      <c r="V166" s="179">
        <v>26417</v>
      </c>
      <c r="W166" s="187" t="s">
        <v>2456</v>
      </c>
      <c r="X166" s="187" t="s">
        <v>154</v>
      </c>
      <c r="Y166" s="187"/>
      <c r="Z166" s="187"/>
      <c r="AA166" s="178"/>
      <c r="AB166" s="179">
        <v>43038</v>
      </c>
      <c r="AC166" s="288">
        <v>42795</v>
      </c>
      <c r="AD166" s="179"/>
      <c r="AE166" s="179" t="s">
        <v>2457</v>
      </c>
      <c r="AF166" s="179"/>
      <c r="AG166" s="179"/>
      <c r="AH166" s="178">
        <f t="shared" si="43"/>
        <v>1</v>
      </c>
      <c r="AI166" s="179" t="s">
        <v>159</v>
      </c>
      <c r="AJ166" s="179"/>
      <c r="AK166" s="179"/>
      <c r="AL166" s="179" t="s">
        <v>161</v>
      </c>
      <c r="AM166" s="179"/>
      <c r="AN166" s="179"/>
      <c r="AO166" s="179" t="s">
        <v>162</v>
      </c>
      <c r="AP166" s="178"/>
      <c r="AQ166" s="179" t="s">
        <v>941</v>
      </c>
      <c r="AR166" s="179"/>
      <c r="AS166" s="179"/>
      <c r="AT166" s="420" t="s">
        <v>326</v>
      </c>
      <c r="AU166" s="178" t="s">
        <v>985</v>
      </c>
      <c r="AV166" s="179"/>
      <c r="AW166" s="180">
        <v>42793</v>
      </c>
      <c r="AX166" s="180">
        <v>43045</v>
      </c>
      <c r="AY166" s="180" t="s">
        <v>148</v>
      </c>
      <c r="AZ166" s="180">
        <v>43312</v>
      </c>
      <c r="BA166" s="180">
        <v>43332</v>
      </c>
      <c r="BB166" s="180"/>
      <c r="BC166" s="180"/>
      <c r="BD166" s="180"/>
      <c r="BE166" s="181" t="s">
        <v>2458</v>
      </c>
      <c r="BF166" s="180">
        <v>43675</v>
      </c>
      <c r="BG166" s="180" t="s">
        <v>148</v>
      </c>
      <c r="BH166" s="180">
        <v>43891</v>
      </c>
      <c r="BI166" s="180" t="s">
        <v>148</v>
      </c>
      <c r="BJ166" s="179"/>
      <c r="BK166" s="179"/>
      <c r="BL166" s="179"/>
      <c r="BM166" s="182">
        <v>44543</v>
      </c>
      <c r="BN166" s="178" t="s">
        <v>16</v>
      </c>
      <c r="BO166" s="178">
        <f t="shared" si="48"/>
        <v>58</v>
      </c>
      <c r="BP166" s="178">
        <f t="shared" si="47"/>
        <v>50</v>
      </c>
      <c r="BQ166" s="178"/>
      <c r="BR166" s="178">
        <v>17</v>
      </c>
      <c r="BS166" s="178">
        <v>2</v>
      </c>
      <c r="BT166" s="178">
        <v>0</v>
      </c>
      <c r="BU166" s="178"/>
      <c r="BV166" s="178"/>
      <c r="BW166" s="178"/>
      <c r="BX166" s="178"/>
      <c r="BY166" s="178" t="s">
        <v>161</v>
      </c>
      <c r="BZ166" s="178"/>
      <c r="CA166" s="178"/>
      <c r="CB166" s="184">
        <v>44075</v>
      </c>
      <c r="CC166" s="184">
        <v>44317</v>
      </c>
      <c r="CD166" s="178">
        <v>9</v>
      </c>
      <c r="CE166" s="178"/>
      <c r="CF166" s="178"/>
      <c r="CG166" s="178"/>
      <c r="CH166" s="377">
        <v>3</v>
      </c>
      <c r="CI166" s="178">
        <v>3</v>
      </c>
      <c r="CJ166" s="178"/>
      <c r="CK166" s="178" t="s">
        <v>807</v>
      </c>
      <c r="CL166"/>
    </row>
    <row r="167" spans="1:90" s="53" customFormat="1" ht="25" customHeight="1" x14ac:dyDescent="0.35">
      <c r="A167" s="178">
        <v>170</v>
      </c>
      <c r="B167" s="178" t="s">
        <v>2459</v>
      </c>
      <c r="C167" s="178" t="s">
        <v>2460</v>
      </c>
      <c r="D167" s="178" t="s">
        <v>2461</v>
      </c>
      <c r="E167" s="178" t="s">
        <v>2462</v>
      </c>
      <c r="F167" s="178" t="s">
        <v>4139</v>
      </c>
      <c r="G167" s="178">
        <v>7</v>
      </c>
      <c r="H167" s="178" t="s">
        <v>52</v>
      </c>
      <c r="I167" s="178" t="s">
        <v>39</v>
      </c>
      <c r="J167" s="178" t="s">
        <v>2463</v>
      </c>
      <c r="K167" s="178" t="s">
        <v>2464</v>
      </c>
      <c r="L167" s="178" t="s">
        <v>39</v>
      </c>
      <c r="M167" s="178" t="s">
        <v>148</v>
      </c>
      <c r="N167" s="178"/>
      <c r="O167" s="178" t="s">
        <v>149</v>
      </c>
      <c r="P167" s="178" t="s">
        <v>149</v>
      </c>
      <c r="Q167" s="178"/>
      <c r="R167" s="178" t="s">
        <v>2465</v>
      </c>
      <c r="S167" s="178" t="s">
        <v>2466</v>
      </c>
      <c r="T167" s="352" t="s">
        <v>2467</v>
      </c>
      <c r="U167" s="179"/>
      <c r="V167" s="179">
        <v>28387</v>
      </c>
      <c r="W167" s="187" t="s">
        <v>2468</v>
      </c>
      <c r="X167" s="187" t="s">
        <v>177</v>
      </c>
      <c r="Y167" s="187"/>
      <c r="Z167" s="187"/>
      <c r="AA167" s="178"/>
      <c r="AB167" s="179">
        <v>42837</v>
      </c>
      <c r="AC167" s="288">
        <v>42795</v>
      </c>
      <c r="AD167" s="179"/>
      <c r="AE167" s="179" t="s">
        <v>2469</v>
      </c>
      <c r="AF167" s="179"/>
      <c r="AG167" s="179"/>
      <c r="AH167" s="178">
        <f t="shared" si="43"/>
        <v>1</v>
      </c>
      <c r="AI167" s="179" t="s">
        <v>159</v>
      </c>
      <c r="AJ167" s="179"/>
      <c r="AK167" s="179"/>
      <c r="AL167" s="179" t="s">
        <v>148</v>
      </c>
      <c r="AM167" s="179"/>
      <c r="AN167" s="179"/>
      <c r="AO167" s="179" t="s">
        <v>180</v>
      </c>
      <c r="AP167" s="178"/>
      <c r="AQ167" s="179" t="s">
        <v>2200</v>
      </c>
      <c r="AR167" s="179"/>
      <c r="AS167" s="179"/>
      <c r="AT167" s="420" t="s">
        <v>283</v>
      </c>
      <c r="AU167" s="178" t="s">
        <v>2470</v>
      </c>
      <c r="AV167" s="179"/>
      <c r="AW167" s="180">
        <v>42793</v>
      </c>
      <c r="AX167" s="180">
        <v>43045</v>
      </c>
      <c r="AY167" s="180" t="s">
        <v>148</v>
      </c>
      <c r="AZ167" s="180">
        <v>43200</v>
      </c>
      <c r="BA167" s="180">
        <v>43451</v>
      </c>
      <c r="BB167" s="180"/>
      <c r="BC167" s="180"/>
      <c r="BD167" s="180"/>
      <c r="BE167" s="181" t="s">
        <v>2471</v>
      </c>
      <c r="BF167" s="180">
        <v>43675</v>
      </c>
      <c r="BG167" s="180" t="s">
        <v>148</v>
      </c>
      <c r="BH167" s="180">
        <v>43891</v>
      </c>
      <c r="BI167" s="180" t="s">
        <v>148</v>
      </c>
      <c r="BJ167" s="179"/>
      <c r="BK167" s="179">
        <v>44272</v>
      </c>
      <c r="BL167" s="179">
        <v>44403</v>
      </c>
      <c r="BM167" s="182">
        <v>44410</v>
      </c>
      <c r="BN167" s="178" t="s">
        <v>16</v>
      </c>
      <c r="BO167" s="263">
        <f t="shared" ref="BO167:BO170" si="49">DATEDIF(AW167,BM167, "M")+1</f>
        <v>54</v>
      </c>
      <c r="BP167" s="178">
        <f t="shared" si="47"/>
        <v>45</v>
      </c>
      <c r="BQ167" s="187" t="s">
        <v>2472</v>
      </c>
      <c r="BR167" s="178">
        <v>0</v>
      </c>
      <c r="BS167" s="178">
        <v>1</v>
      </c>
      <c r="BT167" s="178">
        <v>0</v>
      </c>
      <c r="BU167" s="178"/>
      <c r="BV167" s="178"/>
      <c r="BW167" s="178"/>
      <c r="BX167" s="178"/>
      <c r="BY167" s="178" t="s">
        <v>161</v>
      </c>
      <c r="BZ167" s="178"/>
      <c r="CA167" s="178"/>
      <c r="CB167" s="184"/>
      <c r="CC167" s="184"/>
      <c r="CD167" s="178"/>
      <c r="CE167" s="178"/>
      <c r="CF167" s="178"/>
      <c r="CG167" s="178"/>
      <c r="CH167" s="377"/>
      <c r="CI167" s="178"/>
      <c r="CJ167" s="178"/>
      <c r="CK167" s="178" t="s">
        <v>807</v>
      </c>
      <c r="CL167"/>
    </row>
    <row r="168" spans="1:90" s="53" customFormat="1" ht="25" customHeight="1" x14ac:dyDescent="0.35">
      <c r="A168" s="178">
        <v>171</v>
      </c>
      <c r="B168" s="178" t="s">
        <v>2473</v>
      </c>
      <c r="C168" s="178" t="s">
        <v>2474</v>
      </c>
      <c r="D168" s="178" t="s">
        <v>2475</v>
      </c>
      <c r="E168" s="178" t="s">
        <v>2476</v>
      </c>
      <c r="F168" s="178" t="s">
        <v>4140</v>
      </c>
      <c r="G168" s="178">
        <v>7</v>
      </c>
      <c r="H168" s="178" t="s">
        <v>52</v>
      </c>
      <c r="I168" s="178" t="s">
        <v>31</v>
      </c>
      <c r="J168" s="178" t="s">
        <v>2477</v>
      </c>
      <c r="K168" s="178" t="s">
        <v>2478</v>
      </c>
      <c r="L168" s="178" t="s">
        <v>31</v>
      </c>
      <c r="M168" s="178" t="s">
        <v>148</v>
      </c>
      <c r="N168" s="178">
        <v>155101</v>
      </c>
      <c r="O168" s="178" t="s">
        <v>149</v>
      </c>
      <c r="P168" s="178" t="s">
        <v>149</v>
      </c>
      <c r="Q168" s="178" t="s">
        <v>149</v>
      </c>
      <c r="R168" s="178" t="s">
        <v>2479</v>
      </c>
      <c r="S168" s="185" t="s">
        <v>2480</v>
      </c>
      <c r="T168" s="352" t="s">
        <v>2481</v>
      </c>
      <c r="U168" s="179"/>
      <c r="V168" s="179">
        <v>27214</v>
      </c>
      <c r="W168" s="187" t="s">
        <v>2482</v>
      </c>
      <c r="X168" s="187" t="s">
        <v>154</v>
      </c>
      <c r="Y168" s="187"/>
      <c r="Z168" s="187"/>
      <c r="AA168" s="178"/>
      <c r="AB168" s="179">
        <v>42307</v>
      </c>
      <c r="AC168" s="288">
        <v>42795</v>
      </c>
      <c r="AD168" s="179"/>
      <c r="AE168" s="179" t="s">
        <v>2483</v>
      </c>
      <c r="AF168" s="313" t="s">
        <v>2484</v>
      </c>
      <c r="AG168" s="179"/>
      <c r="AH168" s="178">
        <f t="shared" si="43"/>
        <v>2</v>
      </c>
      <c r="AI168" s="179" t="s">
        <v>159</v>
      </c>
      <c r="AJ168" s="179"/>
      <c r="AK168" s="179"/>
      <c r="AL168" s="179" t="s">
        <v>148</v>
      </c>
      <c r="AM168" s="179"/>
      <c r="AN168" s="179"/>
      <c r="AO168" s="179" t="s">
        <v>162</v>
      </c>
      <c r="AP168" s="178" t="s">
        <v>201</v>
      </c>
      <c r="AQ168" s="179" t="s">
        <v>941</v>
      </c>
      <c r="AR168" s="179"/>
      <c r="AS168" s="179"/>
      <c r="AT168" s="420" t="s">
        <v>326</v>
      </c>
      <c r="AU168" s="178" t="s">
        <v>2485</v>
      </c>
      <c r="AV168" s="179"/>
      <c r="AW168" s="180">
        <v>42793</v>
      </c>
      <c r="AX168" s="180">
        <v>43045</v>
      </c>
      <c r="AY168" s="180" t="s">
        <v>148</v>
      </c>
      <c r="AZ168" s="180">
        <v>43005</v>
      </c>
      <c r="BA168" s="180">
        <v>43119</v>
      </c>
      <c r="BB168" s="180"/>
      <c r="BC168" s="180"/>
      <c r="BD168" s="180"/>
      <c r="BE168" s="181" t="s">
        <v>2486</v>
      </c>
      <c r="BF168" s="180">
        <v>43675</v>
      </c>
      <c r="BG168" s="180" t="s">
        <v>148</v>
      </c>
      <c r="BH168" s="180">
        <v>43891</v>
      </c>
      <c r="BI168" s="180" t="s">
        <v>148</v>
      </c>
      <c r="BJ168" s="179"/>
      <c r="BK168" s="179"/>
      <c r="BL168" s="179"/>
      <c r="BM168" s="182">
        <v>44402</v>
      </c>
      <c r="BN168" s="178" t="s">
        <v>16</v>
      </c>
      <c r="BO168" s="263">
        <f t="shared" si="49"/>
        <v>53</v>
      </c>
      <c r="BP168" s="178">
        <f t="shared" si="47"/>
        <v>45</v>
      </c>
      <c r="BQ168" s="178"/>
      <c r="BR168" s="178">
        <v>14</v>
      </c>
      <c r="BS168" s="178">
        <v>13</v>
      </c>
      <c r="BT168" s="178">
        <v>5</v>
      </c>
      <c r="BU168" s="178"/>
      <c r="BV168" s="178"/>
      <c r="BW168" s="178"/>
      <c r="BX168" s="178"/>
      <c r="BY168" s="178" t="s">
        <v>161</v>
      </c>
      <c r="BZ168" s="178"/>
      <c r="CA168" s="178"/>
      <c r="CB168" s="184">
        <v>44077</v>
      </c>
      <c r="CC168" s="184">
        <v>44348</v>
      </c>
      <c r="CD168" s="178">
        <v>9</v>
      </c>
      <c r="CE168" s="178"/>
      <c r="CF168" s="178"/>
      <c r="CG168" s="178"/>
      <c r="CH168" s="377">
        <v>4</v>
      </c>
      <c r="CI168" s="178">
        <v>4</v>
      </c>
      <c r="CJ168" s="178"/>
      <c r="CK168" s="178" t="s">
        <v>807</v>
      </c>
      <c r="CL168"/>
    </row>
    <row r="169" spans="1:90" s="53" customFormat="1" ht="25" customHeight="1" x14ac:dyDescent="0.35">
      <c r="A169" s="178">
        <v>172</v>
      </c>
      <c r="B169" s="178" t="s">
        <v>2487</v>
      </c>
      <c r="C169" s="178" t="s">
        <v>2488</v>
      </c>
      <c r="D169" s="178" t="s">
        <v>2489</v>
      </c>
      <c r="E169" s="178" t="s">
        <v>2490</v>
      </c>
      <c r="F169" s="178" t="s">
        <v>4139</v>
      </c>
      <c r="G169" s="178">
        <v>7</v>
      </c>
      <c r="H169" s="178" t="s">
        <v>58</v>
      </c>
      <c r="I169" s="178" t="s">
        <v>35</v>
      </c>
      <c r="J169" s="178" t="s">
        <v>475</v>
      </c>
      <c r="K169" s="178" t="s">
        <v>920</v>
      </c>
      <c r="L169" s="178" t="s">
        <v>42</v>
      </c>
      <c r="M169" s="178" t="s">
        <v>161</v>
      </c>
      <c r="N169" s="178" t="s">
        <v>2491</v>
      </c>
      <c r="O169" s="178" t="s">
        <v>149</v>
      </c>
      <c r="P169" s="178" t="s">
        <v>149</v>
      </c>
      <c r="Q169" s="178" t="s">
        <v>149</v>
      </c>
      <c r="R169" s="178" t="s">
        <v>2492</v>
      </c>
      <c r="S169" s="178" t="s">
        <v>2493</v>
      </c>
      <c r="T169" s="351" t="s">
        <v>2494</v>
      </c>
      <c r="U169" s="179" t="s">
        <v>815</v>
      </c>
      <c r="V169" s="179">
        <v>29504</v>
      </c>
      <c r="W169" s="187" t="s">
        <v>2495</v>
      </c>
      <c r="X169" s="187" t="s">
        <v>2496</v>
      </c>
      <c r="Y169" s="187"/>
      <c r="Z169" s="187"/>
      <c r="AA169" s="178"/>
      <c r="AB169" s="179">
        <v>42887</v>
      </c>
      <c r="AC169" s="288">
        <v>42795</v>
      </c>
      <c r="AD169" s="179"/>
      <c r="AE169" s="179" t="s">
        <v>2497</v>
      </c>
      <c r="AF169" s="179"/>
      <c r="AG169" s="179"/>
      <c r="AH169" s="178">
        <f t="shared" si="43"/>
        <v>1</v>
      </c>
      <c r="AI169" s="179" t="s">
        <v>159</v>
      </c>
      <c r="AJ169" s="179"/>
      <c r="AK169" s="179"/>
      <c r="AL169" s="179" t="s">
        <v>148</v>
      </c>
      <c r="AM169" s="179"/>
      <c r="AN169" s="179"/>
      <c r="AO169" s="179" t="s">
        <v>162</v>
      </c>
      <c r="AP169" s="178" t="s">
        <v>179</v>
      </c>
      <c r="AQ169" s="179" t="s">
        <v>201</v>
      </c>
      <c r="AR169" s="179" t="s">
        <v>148</v>
      </c>
      <c r="AS169" s="179"/>
      <c r="AT169" s="420" t="s">
        <v>2498</v>
      </c>
      <c r="AU169" s="178" t="s">
        <v>2499</v>
      </c>
      <c r="AV169" s="179"/>
      <c r="AW169" s="180">
        <v>42793</v>
      </c>
      <c r="AX169" s="180">
        <v>43045</v>
      </c>
      <c r="AY169" s="180" t="s">
        <v>148</v>
      </c>
      <c r="AZ169" s="180"/>
      <c r="BA169" s="180">
        <v>43495</v>
      </c>
      <c r="BB169" s="180"/>
      <c r="BC169" s="180"/>
      <c r="BD169" s="180"/>
      <c r="BE169" s="180" t="s">
        <v>2500</v>
      </c>
      <c r="BF169" s="180">
        <v>43675</v>
      </c>
      <c r="BG169" s="180" t="s">
        <v>148</v>
      </c>
      <c r="BH169" s="180">
        <v>43891</v>
      </c>
      <c r="BI169" s="180" t="s">
        <v>148</v>
      </c>
      <c r="BJ169" s="179"/>
      <c r="BK169" s="179"/>
      <c r="BL169" s="179"/>
      <c r="BM169" s="182">
        <v>44901</v>
      </c>
      <c r="BN169" s="190" t="s">
        <v>16</v>
      </c>
      <c r="BO169" s="263">
        <f t="shared" si="49"/>
        <v>70</v>
      </c>
      <c r="BP169" s="178">
        <f t="shared" si="47"/>
        <v>62</v>
      </c>
      <c r="BQ169" s="181" t="s">
        <v>2501</v>
      </c>
      <c r="BR169" s="178">
        <v>5</v>
      </c>
      <c r="BS169" s="178">
        <v>5</v>
      </c>
      <c r="BT169" s="178"/>
      <c r="BU169" s="178"/>
      <c r="BV169" s="178"/>
      <c r="BW169" s="178"/>
      <c r="BX169" s="178"/>
      <c r="BY169" s="178" t="s">
        <v>161</v>
      </c>
      <c r="BZ169" s="178" t="s">
        <v>148</v>
      </c>
      <c r="CA169" s="178" t="s">
        <v>2502</v>
      </c>
      <c r="CB169" s="184">
        <v>43313</v>
      </c>
      <c r="CC169" s="184">
        <v>44044</v>
      </c>
      <c r="CD169" s="178">
        <v>24</v>
      </c>
      <c r="CE169" s="178" t="s">
        <v>161</v>
      </c>
      <c r="CF169" s="178"/>
      <c r="CG169" s="178"/>
      <c r="CH169" s="377">
        <v>1</v>
      </c>
      <c r="CI169" s="178">
        <v>2</v>
      </c>
      <c r="CJ169" s="178"/>
      <c r="CK169" s="178" t="s">
        <v>1312</v>
      </c>
      <c r="CL169"/>
    </row>
    <row r="170" spans="1:90" s="53" customFormat="1" ht="25" customHeight="1" x14ac:dyDescent="0.35">
      <c r="A170" s="178">
        <v>173</v>
      </c>
      <c r="B170" s="178" t="s">
        <v>2503</v>
      </c>
      <c r="C170" s="178" t="s">
        <v>2504</v>
      </c>
      <c r="D170" s="178" t="s">
        <v>2505</v>
      </c>
      <c r="E170" s="178" t="s">
        <v>2506</v>
      </c>
      <c r="F170" s="178" t="s">
        <v>4140</v>
      </c>
      <c r="G170" s="178">
        <v>7</v>
      </c>
      <c r="H170" s="178" t="s">
        <v>56</v>
      </c>
      <c r="I170" s="178" t="s">
        <v>44</v>
      </c>
      <c r="J170" s="178" t="s">
        <v>2507</v>
      </c>
      <c r="K170" s="178" t="s">
        <v>2507</v>
      </c>
      <c r="L170" s="178" t="s">
        <v>44</v>
      </c>
      <c r="M170" s="178" t="s">
        <v>148</v>
      </c>
      <c r="N170" s="178" t="s">
        <v>2508</v>
      </c>
      <c r="O170" s="178" t="s">
        <v>149</v>
      </c>
      <c r="P170" s="178" t="s">
        <v>149</v>
      </c>
      <c r="Q170" s="178" t="s">
        <v>149</v>
      </c>
      <c r="R170" s="178" t="s">
        <v>2509</v>
      </c>
      <c r="S170" s="178" t="s">
        <v>2510</v>
      </c>
      <c r="T170" s="351" t="s">
        <v>2511</v>
      </c>
      <c r="U170" s="179"/>
      <c r="V170" s="179">
        <v>27576</v>
      </c>
      <c r="W170" s="187" t="s">
        <v>2512</v>
      </c>
      <c r="X170" s="187" t="s">
        <v>177</v>
      </c>
      <c r="Y170" s="187"/>
      <c r="Z170" s="187"/>
      <c r="AA170" s="178"/>
      <c r="AB170" s="179">
        <v>42769</v>
      </c>
      <c r="AC170" s="288">
        <v>42795</v>
      </c>
      <c r="AD170" s="179"/>
      <c r="AE170" s="179" t="s">
        <v>2513</v>
      </c>
      <c r="AF170" s="313" t="s">
        <v>2514</v>
      </c>
      <c r="AG170" s="179" t="s">
        <v>2514</v>
      </c>
      <c r="AH170" s="178">
        <f t="shared" si="43"/>
        <v>3</v>
      </c>
      <c r="AI170" s="179" t="s">
        <v>159</v>
      </c>
      <c r="AJ170" s="179"/>
      <c r="AK170" s="179"/>
      <c r="AL170" s="179" t="s">
        <v>161</v>
      </c>
      <c r="AM170" s="179"/>
      <c r="AN170" s="179"/>
      <c r="AO170" s="179" t="s">
        <v>162</v>
      </c>
      <c r="AP170" s="178" t="s">
        <v>201</v>
      </c>
      <c r="AQ170" s="179" t="s">
        <v>215</v>
      </c>
      <c r="AR170" s="179" t="s">
        <v>148</v>
      </c>
      <c r="AS170" s="179"/>
      <c r="AT170" s="420" t="s">
        <v>370</v>
      </c>
      <c r="AU170" s="178" t="s">
        <v>2515</v>
      </c>
      <c r="AV170" s="179"/>
      <c r="AW170" s="180">
        <v>42793</v>
      </c>
      <c r="AX170" s="180">
        <v>43045</v>
      </c>
      <c r="AY170" s="180" t="s">
        <v>148</v>
      </c>
      <c r="AZ170" s="180">
        <v>43005</v>
      </c>
      <c r="BA170" s="180">
        <v>43080</v>
      </c>
      <c r="BB170" s="180">
        <v>43116</v>
      </c>
      <c r="BC170" s="180"/>
      <c r="BD170" s="180"/>
      <c r="BE170" s="181" t="s">
        <v>2516</v>
      </c>
      <c r="BF170" s="180">
        <v>43675</v>
      </c>
      <c r="BG170" s="180" t="s">
        <v>148</v>
      </c>
      <c r="BH170" s="180">
        <v>43891</v>
      </c>
      <c r="BI170" s="180" t="s">
        <v>148</v>
      </c>
      <c r="BJ170" s="179"/>
      <c r="BK170" s="179"/>
      <c r="BL170" s="179"/>
      <c r="BM170" s="182">
        <v>44509</v>
      </c>
      <c r="BN170" s="178" t="s">
        <v>16</v>
      </c>
      <c r="BO170" s="263">
        <f t="shared" si="49"/>
        <v>57</v>
      </c>
      <c r="BP170" s="178">
        <f t="shared" si="47"/>
        <v>49</v>
      </c>
      <c r="BQ170" s="187" t="s">
        <v>2517</v>
      </c>
      <c r="BR170" s="178">
        <v>0</v>
      </c>
      <c r="BS170" s="178">
        <v>7</v>
      </c>
      <c r="BT170" s="178">
        <v>3</v>
      </c>
      <c r="BU170" s="178"/>
      <c r="BV170" s="178"/>
      <c r="BW170" s="178"/>
      <c r="BX170" s="178"/>
      <c r="BY170" s="178" t="s">
        <v>161</v>
      </c>
      <c r="BZ170" s="178"/>
      <c r="CA170" s="178"/>
      <c r="CB170" s="184"/>
      <c r="CC170" s="184"/>
      <c r="CD170" s="178"/>
      <c r="CE170" s="178"/>
      <c r="CF170" s="178"/>
      <c r="CG170" s="178"/>
      <c r="CH170" s="377">
        <v>3</v>
      </c>
      <c r="CI170" s="178">
        <v>3</v>
      </c>
      <c r="CJ170" s="178"/>
      <c r="CK170" s="178" t="s">
        <v>807</v>
      </c>
      <c r="CL170"/>
    </row>
    <row r="171" spans="1:90" ht="25" customHeight="1" x14ac:dyDescent="0.35">
      <c r="A171" s="91">
        <v>174</v>
      </c>
      <c r="B171" s="91" t="s">
        <v>2518</v>
      </c>
      <c r="C171" s="91" t="s">
        <v>2519</v>
      </c>
      <c r="D171" s="91"/>
      <c r="E171" s="91" t="s">
        <v>2520</v>
      </c>
      <c r="F171" s="91" t="s">
        <v>4139</v>
      </c>
      <c r="G171" s="91">
        <v>7</v>
      </c>
      <c r="H171" s="91" t="s">
        <v>53</v>
      </c>
      <c r="I171" s="91" t="s">
        <v>43</v>
      </c>
      <c r="J171" s="91" t="s">
        <v>2521</v>
      </c>
      <c r="K171" s="91" t="s">
        <v>2522</v>
      </c>
      <c r="L171" s="91" t="s">
        <v>35</v>
      </c>
      <c r="M171" s="91" t="s">
        <v>161</v>
      </c>
      <c r="N171" s="91" t="s">
        <v>166</v>
      </c>
      <c r="O171" s="91" t="s">
        <v>166</v>
      </c>
      <c r="P171" s="91" t="s">
        <v>166</v>
      </c>
      <c r="Q171" s="91" t="s">
        <v>166</v>
      </c>
      <c r="R171" s="91" t="s">
        <v>2523</v>
      </c>
      <c r="S171" s="91" t="s">
        <v>2524</v>
      </c>
      <c r="T171" s="341" t="s">
        <v>2525</v>
      </c>
      <c r="U171" s="92"/>
      <c r="V171" s="92">
        <v>28615</v>
      </c>
      <c r="W171" s="164" t="s">
        <v>2526</v>
      </c>
      <c r="X171" s="164"/>
      <c r="Y171" s="164"/>
      <c r="Z171" s="164"/>
      <c r="AA171" s="91"/>
      <c r="AB171" s="92">
        <v>42845</v>
      </c>
      <c r="AC171" s="281">
        <v>42795</v>
      </c>
      <c r="AD171" s="92">
        <v>43100</v>
      </c>
      <c r="AE171" s="92"/>
      <c r="AF171" s="92"/>
      <c r="AG171" s="92"/>
      <c r="AH171" s="91">
        <f t="shared" si="43"/>
        <v>0</v>
      </c>
      <c r="AI171" s="92"/>
      <c r="AJ171" s="92"/>
      <c r="AK171" s="92"/>
      <c r="AL171" s="92"/>
      <c r="AM171" s="92"/>
      <c r="AN171" s="92"/>
      <c r="AO171" s="92"/>
      <c r="AP171" s="92"/>
      <c r="AQ171" s="92"/>
      <c r="AR171" s="92"/>
      <c r="AS171" s="92"/>
      <c r="AT171" s="400" t="s">
        <v>217</v>
      </c>
      <c r="AU171" s="91"/>
      <c r="AV171" s="92"/>
      <c r="AW171" s="93">
        <v>42793</v>
      </c>
      <c r="AX171" s="93">
        <v>43045</v>
      </c>
      <c r="AY171" s="93" t="s">
        <v>148</v>
      </c>
      <c r="AZ171" s="93"/>
      <c r="BA171" s="93"/>
      <c r="BB171" s="93"/>
      <c r="BC171" s="93"/>
      <c r="BD171" s="93"/>
      <c r="BE171" s="94"/>
      <c r="BF171" s="93"/>
      <c r="BG171" s="93"/>
      <c r="BH171" s="93"/>
      <c r="BI171" s="93"/>
      <c r="BJ171" s="92"/>
      <c r="BK171" s="92"/>
      <c r="BL171" s="92"/>
      <c r="BM171" s="95"/>
      <c r="BN171" s="193" t="s">
        <v>18</v>
      </c>
      <c r="BO171" s="218" t="s">
        <v>18</v>
      </c>
      <c r="BP171" s="218"/>
      <c r="BQ171" s="91"/>
      <c r="BR171" s="91"/>
      <c r="BS171" s="91"/>
      <c r="BT171" s="91"/>
      <c r="BU171" s="91"/>
      <c r="BV171" s="91"/>
      <c r="BW171" s="91"/>
      <c r="BX171" s="91"/>
      <c r="BY171" s="91" t="s">
        <v>161</v>
      </c>
      <c r="BZ171" s="91"/>
      <c r="CA171" s="91"/>
      <c r="CB171" s="95"/>
      <c r="CC171" s="95"/>
      <c r="CD171" s="91"/>
      <c r="CE171" s="91"/>
      <c r="CF171" s="91"/>
      <c r="CG171" s="91"/>
      <c r="CH171" s="113"/>
      <c r="CI171" s="91"/>
      <c r="CJ171" s="91"/>
      <c r="CK171" s="91" t="s">
        <v>1820</v>
      </c>
    </row>
    <row r="172" spans="1:90" s="53" customFormat="1" ht="25" customHeight="1" x14ac:dyDescent="0.35">
      <c r="A172" s="136">
        <v>175</v>
      </c>
      <c r="B172" s="136" t="s">
        <v>2527</v>
      </c>
      <c r="C172" s="136" t="s">
        <v>2528</v>
      </c>
      <c r="D172" s="136"/>
      <c r="E172" s="136" t="s">
        <v>2529</v>
      </c>
      <c r="F172" s="136" t="s">
        <v>4140</v>
      </c>
      <c r="G172" s="136">
        <v>8</v>
      </c>
      <c r="H172" s="136" t="s">
        <v>56</v>
      </c>
      <c r="I172" s="136" t="s">
        <v>44</v>
      </c>
      <c r="J172" s="136" t="s">
        <v>600</v>
      </c>
      <c r="K172" s="136" t="s">
        <v>2530</v>
      </c>
      <c r="L172" s="136" t="s">
        <v>44</v>
      </c>
      <c r="M172" s="136" t="s">
        <v>148</v>
      </c>
      <c r="N172" s="136"/>
      <c r="O172" s="136" t="s">
        <v>320</v>
      </c>
      <c r="P172" s="136" t="s">
        <v>320</v>
      </c>
      <c r="Q172" s="136"/>
      <c r="R172" s="387" t="s">
        <v>2531</v>
      </c>
      <c r="S172" s="145" t="s">
        <v>2532</v>
      </c>
      <c r="T172" s="345" t="s">
        <v>2533</v>
      </c>
      <c r="U172" s="139" t="s">
        <v>2534</v>
      </c>
      <c r="V172" s="139">
        <v>29485</v>
      </c>
      <c r="W172" s="147" t="s">
        <v>2535</v>
      </c>
      <c r="X172" s="147" t="s">
        <v>177</v>
      </c>
      <c r="Y172" s="147"/>
      <c r="Z172" s="147"/>
      <c r="AA172" s="136">
        <v>23</v>
      </c>
      <c r="AB172" s="139">
        <v>43467</v>
      </c>
      <c r="AC172" s="285">
        <v>43160</v>
      </c>
      <c r="AD172" s="139"/>
      <c r="AE172" s="139" t="s">
        <v>2536</v>
      </c>
      <c r="AF172" s="139" t="s">
        <v>2537</v>
      </c>
      <c r="AG172" s="139" t="s">
        <v>2538</v>
      </c>
      <c r="AH172" s="136">
        <f t="shared" si="43"/>
        <v>3</v>
      </c>
      <c r="AI172" s="139" t="s">
        <v>159</v>
      </c>
      <c r="AJ172" s="139" t="s">
        <v>159</v>
      </c>
      <c r="AK172" s="139"/>
      <c r="AL172" s="139" t="s">
        <v>148</v>
      </c>
      <c r="AM172" s="139" t="s">
        <v>161</v>
      </c>
      <c r="AN172" s="139" t="s">
        <v>161</v>
      </c>
      <c r="AO172" s="139" t="s">
        <v>200</v>
      </c>
      <c r="AP172" s="139" t="s">
        <v>2539</v>
      </c>
      <c r="AQ172" s="139" t="s">
        <v>2540</v>
      </c>
      <c r="AR172" s="139"/>
      <c r="AS172" s="139"/>
      <c r="AT172" s="421" t="s">
        <v>370</v>
      </c>
      <c r="AU172" s="136" t="s">
        <v>2541</v>
      </c>
      <c r="AV172" s="139"/>
      <c r="AW172" s="141">
        <v>43164</v>
      </c>
      <c r="AX172" s="141">
        <v>43409</v>
      </c>
      <c r="AY172" s="141" t="s">
        <v>148</v>
      </c>
      <c r="AZ172" s="141">
        <v>43799</v>
      </c>
      <c r="BA172" s="141">
        <v>43951</v>
      </c>
      <c r="BB172" s="141"/>
      <c r="BC172" s="141"/>
      <c r="BD172" s="141"/>
      <c r="BE172" s="142" t="s">
        <v>2542</v>
      </c>
      <c r="BF172" s="141">
        <v>44207</v>
      </c>
      <c r="BG172" s="141" t="s">
        <v>148</v>
      </c>
      <c r="BH172" s="141">
        <v>44410</v>
      </c>
      <c r="BI172" s="141" t="s">
        <v>148</v>
      </c>
      <c r="BJ172" s="139"/>
      <c r="BK172" s="139"/>
      <c r="BL172" s="139"/>
      <c r="BM172" s="143">
        <v>45776</v>
      </c>
      <c r="BN172" s="148" t="s">
        <v>16</v>
      </c>
      <c r="BO172" s="136">
        <f t="shared" ref="BO172:BO173" si="50">DATEDIF(AW172,BM172, "M")+1</f>
        <v>86</v>
      </c>
      <c r="BP172" s="136">
        <f>DATEDIF(AX172,BM172, "M")+1</f>
        <v>78</v>
      </c>
      <c r="BQ172" s="136" t="s">
        <v>2543</v>
      </c>
      <c r="BR172" s="136">
        <v>2</v>
      </c>
      <c r="BS172" s="136">
        <v>0</v>
      </c>
      <c r="BT172" s="136">
        <v>0</v>
      </c>
      <c r="BU172" s="136"/>
      <c r="BV172" s="136"/>
      <c r="BW172" s="136"/>
      <c r="BX172" s="136"/>
      <c r="BY172" s="136" t="s">
        <v>161</v>
      </c>
      <c r="BZ172" s="136"/>
      <c r="CA172" s="136"/>
      <c r="CB172" s="144"/>
      <c r="CC172" s="144"/>
      <c r="CD172" s="136"/>
      <c r="CE172" s="136"/>
      <c r="CF172" s="136"/>
      <c r="CG172" s="136"/>
      <c r="CH172" s="374">
        <v>2</v>
      </c>
      <c r="CI172" s="136"/>
      <c r="CJ172" s="136"/>
      <c r="CK172" s="136" t="s">
        <v>807</v>
      </c>
      <c r="CL172"/>
    </row>
    <row r="173" spans="1:90" s="53" customFormat="1" ht="25" customHeight="1" x14ac:dyDescent="0.35">
      <c r="A173" s="136">
        <v>176</v>
      </c>
      <c r="B173" s="136" t="s">
        <v>2544</v>
      </c>
      <c r="C173" s="136" t="s">
        <v>2545</v>
      </c>
      <c r="D173" s="136" t="s">
        <v>639</v>
      </c>
      <c r="E173" s="136" t="s">
        <v>2546</v>
      </c>
      <c r="F173" s="136" t="s">
        <v>4139</v>
      </c>
      <c r="G173" s="136">
        <v>8</v>
      </c>
      <c r="H173" s="136" t="s">
        <v>52</v>
      </c>
      <c r="I173" s="136" t="s">
        <v>39</v>
      </c>
      <c r="J173" s="136" t="s">
        <v>600</v>
      </c>
      <c r="K173" s="136" t="s">
        <v>288</v>
      </c>
      <c r="L173" s="136" t="s">
        <v>44</v>
      </c>
      <c r="M173" s="136" t="s">
        <v>161</v>
      </c>
      <c r="N173" s="136"/>
      <c r="O173" s="136"/>
      <c r="P173" s="136" t="s">
        <v>149</v>
      </c>
      <c r="Q173" s="136" t="s">
        <v>149</v>
      </c>
      <c r="R173" s="136" t="s">
        <v>2547</v>
      </c>
      <c r="S173" s="136" t="s">
        <v>2548</v>
      </c>
      <c r="T173" s="346" t="s">
        <v>2549</v>
      </c>
      <c r="U173" s="139"/>
      <c r="V173" s="139">
        <v>29215</v>
      </c>
      <c r="W173" s="147" t="s">
        <v>2550</v>
      </c>
      <c r="X173" s="147" t="s">
        <v>177</v>
      </c>
      <c r="Y173" s="147"/>
      <c r="Z173" s="147"/>
      <c r="AA173" s="136">
        <v>6</v>
      </c>
      <c r="AB173" s="139">
        <v>43318</v>
      </c>
      <c r="AC173" s="285">
        <v>43160</v>
      </c>
      <c r="AD173" s="139"/>
      <c r="AE173" s="139" t="s">
        <v>2551</v>
      </c>
      <c r="AF173" s="139"/>
      <c r="AG173" s="139"/>
      <c r="AH173" s="136">
        <f t="shared" si="43"/>
        <v>1</v>
      </c>
      <c r="AI173" s="139" t="s">
        <v>160</v>
      </c>
      <c r="AJ173" s="139"/>
      <c r="AK173" s="139"/>
      <c r="AL173" s="139" t="s">
        <v>148</v>
      </c>
      <c r="AM173" s="139"/>
      <c r="AN173" s="139"/>
      <c r="AO173" s="139" t="s">
        <v>162</v>
      </c>
      <c r="AP173" s="139"/>
      <c r="AQ173" s="139" t="s">
        <v>248</v>
      </c>
      <c r="AR173" s="139"/>
      <c r="AS173" s="139"/>
      <c r="AT173" s="421" t="s">
        <v>283</v>
      </c>
      <c r="AU173" s="136" t="s">
        <v>2552</v>
      </c>
      <c r="AV173" s="139"/>
      <c r="AW173" s="141">
        <v>43164</v>
      </c>
      <c r="AX173" s="141">
        <v>43409</v>
      </c>
      <c r="AY173" s="141" t="s">
        <v>148</v>
      </c>
      <c r="AZ173" s="141">
        <v>43720</v>
      </c>
      <c r="BA173" s="141">
        <v>43570</v>
      </c>
      <c r="BB173" s="141"/>
      <c r="BC173" s="141"/>
      <c r="BD173" s="141"/>
      <c r="BE173" s="142" t="s">
        <v>2553</v>
      </c>
      <c r="BF173" s="141">
        <v>44207</v>
      </c>
      <c r="BG173" s="141" t="s">
        <v>148</v>
      </c>
      <c r="BH173" s="141">
        <v>44410</v>
      </c>
      <c r="BI173" s="141" t="s">
        <v>148</v>
      </c>
      <c r="BJ173" s="139"/>
      <c r="BK173" s="139"/>
      <c r="BL173" s="139"/>
      <c r="BM173" s="143">
        <v>44692</v>
      </c>
      <c r="BN173" s="136" t="s">
        <v>16</v>
      </c>
      <c r="BO173" s="136">
        <f t="shared" si="50"/>
        <v>51</v>
      </c>
      <c r="BP173" s="136">
        <f>DATEDIF(AX173,BM173, "M")+1</f>
        <v>43</v>
      </c>
      <c r="BQ173" s="136"/>
      <c r="BR173" s="136">
        <v>9</v>
      </c>
      <c r="BS173" s="136">
        <v>7</v>
      </c>
      <c r="BT173" s="136">
        <v>2</v>
      </c>
      <c r="BU173" s="136"/>
      <c r="BV173" s="136"/>
      <c r="BW173" s="136"/>
      <c r="BX173" s="136"/>
      <c r="BY173" s="136" t="s">
        <v>161</v>
      </c>
      <c r="BZ173" s="136"/>
      <c r="CA173" s="136"/>
      <c r="CB173" s="144"/>
      <c r="CC173" s="144"/>
      <c r="CD173" s="136"/>
      <c r="CE173" s="136"/>
      <c r="CF173" s="136"/>
      <c r="CG173" s="136"/>
      <c r="CH173" s="374">
        <v>2</v>
      </c>
      <c r="CI173" s="136">
        <v>3</v>
      </c>
      <c r="CJ173" s="136"/>
      <c r="CK173" s="136" t="s">
        <v>1820</v>
      </c>
      <c r="CL173"/>
    </row>
    <row r="174" spans="1:90" s="53" customFormat="1" ht="25" customHeight="1" x14ac:dyDescent="0.35">
      <c r="A174" s="136">
        <v>177</v>
      </c>
      <c r="B174" s="136" t="s">
        <v>2554</v>
      </c>
      <c r="C174" s="136" t="s">
        <v>2555</v>
      </c>
      <c r="D174" s="136"/>
      <c r="E174" s="136" t="s">
        <v>2556</v>
      </c>
      <c r="F174" s="136" t="s">
        <v>4139</v>
      </c>
      <c r="G174" s="136">
        <v>8</v>
      </c>
      <c r="H174" s="136" t="s">
        <v>53</v>
      </c>
      <c r="I174" s="136" t="s">
        <v>43</v>
      </c>
      <c r="J174" s="136" t="s">
        <v>1141</v>
      </c>
      <c r="K174" s="136" t="s">
        <v>405</v>
      </c>
      <c r="L174" s="136" t="s">
        <v>43</v>
      </c>
      <c r="M174" s="136" t="s">
        <v>148</v>
      </c>
      <c r="N174" s="136"/>
      <c r="O174" s="136" t="s">
        <v>149</v>
      </c>
      <c r="P174" s="136" t="s">
        <v>149</v>
      </c>
      <c r="Q174" s="136"/>
      <c r="R174" s="136" t="s">
        <v>2557</v>
      </c>
      <c r="S174" s="136" t="s">
        <v>2558</v>
      </c>
      <c r="T174" s="345" t="s">
        <v>2559</v>
      </c>
      <c r="U174" s="139" t="s">
        <v>2560</v>
      </c>
      <c r="V174" s="139">
        <v>29288</v>
      </c>
      <c r="W174" s="147" t="s">
        <v>2561</v>
      </c>
      <c r="X174" s="147" t="s">
        <v>177</v>
      </c>
      <c r="Y174" s="147" t="s">
        <v>161</v>
      </c>
      <c r="Z174" s="147"/>
      <c r="AA174" s="136">
        <v>25</v>
      </c>
      <c r="AB174" s="139">
        <v>43160</v>
      </c>
      <c r="AC174" s="285">
        <v>43160</v>
      </c>
      <c r="AD174" s="139"/>
      <c r="AE174" s="139" t="s">
        <v>2562</v>
      </c>
      <c r="AF174" s="139"/>
      <c r="AG174" s="139"/>
      <c r="AH174" s="136">
        <f t="shared" si="43"/>
        <v>1</v>
      </c>
      <c r="AI174" s="139" t="s">
        <v>160</v>
      </c>
      <c r="AJ174" s="139"/>
      <c r="AK174" s="139"/>
      <c r="AL174" s="139" t="s">
        <v>161</v>
      </c>
      <c r="AM174" s="139"/>
      <c r="AN174" s="139"/>
      <c r="AO174" s="139" t="s">
        <v>162</v>
      </c>
      <c r="AP174" s="139" t="s">
        <v>2563</v>
      </c>
      <c r="AQ174" s="139" t="s">
        <v>179</v>
      </c>
      <c r="AR174" s="139" t="s">
        <v>161</v>
      </c>
      <c r="AS174" s="236" t="s">
        <v>2564</v>
      </c>
      <c r="AT174" s="421" t="s">
        <v>217</v>
      </c>
      <c r="AU174" s="136" t="s">
        <v>2565</v>
      </c>
      <c r="AV174" s="139"/>
      <c r="AW174" s="141">
        <v>43164</v>
      </c>
      <c r="AX174" s="141">
        <v>43409</v>
      </c>
      <c r="AY174" s="141" t="s">
        <v>148</v>
      </c>
      <c r="AZ174" s="141">
        <v>44082</v>
      </c>
      <c r="BA174" s="141">
        <v>44316</v>
      </c>
      <c r="BB174" s="141"/>
      <c r="BC174" s="141"/>
      <c r="BD174" s="141"/>
      <c r="BE174" s="142" t="s">
        <v>2566</v>
      </c>
      <c r="BF174" s="141">
        <v>44470</v>
      </c>
      <c r="BG174" s="141" t="s">
        <v>161</v>
      </c>
      <c r="BH174" s="141">
        <v>44732</v>
      </c>
      <c r="BI174" s="141" t="s">
        <v>161</v>
      </c>
      <c r="BJ174" s="139"/>
      <c r="BK174" s="139"/>
      <c r="BL174" s="139"/>
      <c r="BM174" s="143"/>
      <c r="BN174" s="129" t="s">
        <v>17</v>
      </c>
      <c r="BO174" s="139"/>
      <c r="BP174" s="136"/>
      <c r="BQ174" s="136"/>
      <c r="BR174" s="136"/>
      <c r="BS174" s="136"/>
      <c r="BT174" s="136"/>
      <c r="BU174" s="136"/>
      <c r="BV174" s="136"/>
      <c r="BW174" s="136"/>
      <c r="BX174" s="136"/>
      <c r="BY174" s="136" t="s">
        <v>161</v>
      </c>
      <c r="BZ174" s="136" t="s">
        <v>161</v>
      </c>
      <c r="CA174" s="136"/>
      <c r="CB174" s="144"/>
      <c r="CC174" s="144"/>
      <c r="CD174" s="136"/>
      <c r="CE174" s="136" t="s">
        <v>161</v>
      </c>
      <c r="CF174" s="136"/>
      <c r="CG174" s="136"/>
      <c r="CH174" s="374">
        <v>1</v>
      </c>
      <c r="CI174" s="136"/>
      <c r="CJ174" s="136"/>
      <c r="CK174" s="136" t="s">
        <v>807</v>
      </c>
      <c r="CL174"/>
    </row>
    <row r="175" spans="1:90" s="53" customFormat="1" ht="25" customHeight="1" x14ac:dyDescent="0.35">
      <c r="A175" s="136">
        <v>178</v>
      </c>
      <c r="B175" s="136" t="s">
        <v>2567</v>
      </c>
      <c r="C175" s="136" t="s">
        <v>2568</v>
      </c>
      <c r="D175" s="136"/>
      <c r="E175" s="136" t="s">
        <v>2569</v>
      </c>
      <c r="F175" s="136" t="s">
        <v>4140</v>
      </c>
      <c r="G175" s="136">
        <v>8</v>
      </c>
      <c r="H175" s="136" t="s">
        <v>53</v>
      </c>
      <c r="I175" s="136" t="s">
        <v>43</v>
      </c>
      <c r="J175" s="136" t="s">
        <v>2317</v>
      </c>
      <c r="K175" s="136" t="s">
        <v>2570</v>
      </c>
      <c r="L175" s="136" t="s">
        <v>44</v>
      </c>
      <c r="M175" s="136" t="s">
        <v>161</v>
      </c>
      <c r="N175" s="136"/>
      <c r="O175" s="136" t="s">
        <v>320</v>
      </c>
      <c r="P175" s="136" t="s">
        <v>149</v>
      </c>
      <c r="Q175" s="136"/>
      <c r="R175" s="136" t="s">
        <v>2571</v>
      </c>
      <c r="S175" s="136" t="s">
        <v>2572</v>
      </c>
      <c r="T175" s="345" t="s">
        <v>2573</v>
      </c>
      <c r="U175" s="139"/>
      <c r="V175" s="139">
        <v>30682</v>
      </c>
      <c r="W175" s="147" t="s">
        <v>2574</v>
      </c>
      <c r="X175" s="147" t="s">
        <v>154</v>
      </c>
      <c r="Y175" s="147"/>
      <c r="Z175" s="147"/>
      <c r="AA175" s="136">
        <v>23</v>
      </c>
      <c r="AB175" s="139">
        <v>43403</v>
      </c>
      <c r="AC175" s="285">
        <v>43160</v>
      </c>
      <c r="AD175" s="139"/>
      <c r="AE175" s="139" t="s">
        <v>2575</v>
      </c>
      <c r="AF175" s="139" t="s">
        <v>2576</v>
      </c>
      <c r="AG175" s="139"/>
      <c r="AH175" s="136">
        <f t="shared" si="43"/>
        <v>2</v>
      </c>
      <c r="AI175" s="139" t="s">
        <v>160</v>
      </c>
      <c r="AJ175" s="139"/>
      <c r="AK175" s="139"/>
      <c r="AL175" s="139" t="s">
        <v>148</v>
      </c>
      <c r="AM175" s="139"/>
      <c r="AN175" s="139"/>
      <c r="AO175" s="139" t="s">
        <v>162</v>
      </c>
      <c r="AP175" s="139" t="s">
        <v>2168</v>
      </c>
      <c r="AQ175" s="139" t="s">
        <v>215</v>
      </c>
      <c r="AR175" s="139" t="s">
        <v>148</v>
      </c>
      <c r="AS175" s="139"/>
      <c r="AT175" s="421" t="s">
        <v>217</v>
      </c>
      <c r="AU175" s="136" t="s">
        <v>2577</v>
      </c>
      <c r="AV175" s="139"/>
      <c r="AW175" s="141">
        <v>43164</v>
      </c>
      <c r="AX175" s="141">
        <v>43409</v>
      </c>
      <c r="AY175" s="141" t="s">
        <v>148</v>
      </c>
      <c r="AZ175" s="141">
        <v>43797</v>
      </c>
      <c r="BA175" s="141">
        <v>43895</v>
      </c>
      <c r="BB175" s="141"/>
      <c r="BC175" s="141"/>
      <c r="BD175" s="141"/>
      <c r="BE175" s="142" t="s">
        <v>2578</v>
      </c>
      <c r="BF175" s="141">
        <v>44470</v>
      </c>
      <c r="BG175" s="141" t="s">
        <v>161</v>
      </c>
      <c r="BH175" s="141">
        <v>44732</v>
      </c>
      <c r="BI175" s="141" t="s">
        <v>161</v>
      </c>
      <c r="BJ175" s="139"/>
      <c r="BK175" s="139"/>
      <c r="BL175" s="139"/>
      <c r="BM175" s="143">
        <v>45434</v>
      </c>
      <c r="BN175" s="148" t="s">
        <v>16</v>
      </c>
      <c r="BO175" s="136">
        <f>DATEDIF(AW175,BM175, "M")+1</f>
        <v>75</v>
      </c>
      <c r="BP175" s="136">
        <f t="shared" ref="BP175:BP176" si="51">DATEDIF(AX175,BM175, "M")+1</f>
        <v>67</v>
      </c>
      <c r="BQ175" s="147" t="s">
        <v>2579</v>
      </c>
      <c r="BR175" s="136">
        <v>1</v>
      </c>
      <c r="BS175" s="136">
        <v>2</v>
      </c>
      <c r="BT175" s="136">
        <v>0</v>
      </c>
      <c r="BU175" s="136"/>
      <c r="BV175" s="136"/>
      <c r="BW175" s="136"/>
      <c r="BX175" s="136"/>
      <c r="BY175" s="136" t="s">
        <v>161</v>
      </c>
      <c r="BZ175" s="136"/>
      <c r="CA175" s="136"/>
      <c r="CB175" s="144">
        <v>43952</v>
      </c>
      <c r="CC175" s="144">
        <v>44043</v>
      </c>
      <c r="CD175" s="136">
        <v>3</v>
      </c>
      <c r="CE175" s="136"/>
      <c r="CF175" s="136"/>
      <c r="CG175" s="136"/>
      <c r="CH175" s="374">
        <v>0</v>
      </c>
      <c r="CI175" s="136"/>
      <c r="CJ175" s="136"/>
      <c r="CK175" s="136" t="s">
        <v>807</v>
      </c>
      <c r="CL175"/>
    </row>
    <row r="176" spans="1:90" s="53" customFormat="1" ht="25" customHeight="1" x14ac:dyDescent="0.35">
      <c r="A176" s="136">
        <v>179</v>
      </c>
      <c r="B176" s="136" t="s">
        <v>2580</v>
      </c>
      <c r="C176" s="136" t="s">
        <v>2581</v>
      </c>
      <c r="D176" s="136" t="s">
        <v>2582</v>
      </c>
      <c r="E176" s="136" t="s">
        <v>2583</v>
      </c>
      <c r="F176" s="136" t="s">
        <v>4139</v>
      </c>
      <c r="G176" s="136">
        <v>8</v>
      </c>
      <c r="H176" s="136" t="s">
        <v>52</v>
      </c>
      <c r="I176" s="136" t="s">
        <v>39</v>
      </c>
      <c r="J176" s="136" t="s">
        <v>437</v>
      </c>
      <c r="K176" s="136" t="s">
        <v>437</v>
      </c>
      <c r="L176" s="136" t="s">
        <v>39</v>
      </c>
      <c r="M176" s="136" t="s">
        <v>148</v>
      </c>
      <c r="N176" s="136" t="s">
        <v>2584</v>
      </c>
      <c r="O176" s="136" t="s">
        <v>149</v>
      </c>
      <c r="P176" s="136" t="s">
        <v>149</v>
      </c>
      <c r="Q176" s="136" t="s">
        <v>149</v>
      </c>
      <c r="R176" s="136" t="s">
        <v>2585</v>
      </c>
      <c r="S176" s="136" t="s">
        <v>2586</v>
      </c>
      <c r="T176" s="345" t="s">
        <v>2587</v>
      </c>
      <c r="U176" s="139" t="s">
        <v>2588</v>
      </c>
      <c r="V176" s="139">
        <v>29237</v>
      </c>
      <c r="W176" s="147" t="s">
        <v>2589</v>
      </c>
      <c r="X176" s="147" t="s">
        <v>177</v>
      </c>
      <c r="Y176" s="147" t="s">
        <v>161</v>
      </c>
      <c r="Z176" s="147"/>
      <c r="AA176" s="136">
        <v>18</v>
      </c>
      <c r="AB176" s="139">
        <v>42870</v>
      </c>
      <c r="AC176" s="285">
        <v>43160</v>
      </c>
      <c r="AD176" s="139"/>
      <c r="AE176" s="139" t="s">
        <v>2590</v>
      </c>
      <c r="AF176" s="139" t="s">
        <v>2591</v>
      </c>
      <c r="AG176" s="139"/>
      <c r="AH176" s="136">
        <f t="shared" si="43"/>
        <v>2</v>
      </c>
      <c r="AI176" s="139" t="s">
        <v>159</v>
      </c>
      <c r="AJ176" s="139" t="s">
        <v>159</v>
      </c>
      <c r="AK176" s="139"/>
      <c r="AL176" s="139" t="s">
        <v>148</v>
      </c>
      <c r="AM176" s="139" t="s">
        <v>161</v>
      </c>
      <c r="AN176" s="139"/>
      <c r="AO176" s="139" t="s">
        <v>162</v>
      </c>
      <c r="AP176" s="139" t="s">
        <v>179</v>
      </c>
      <c r="AQ176" s="139" t="s">
        <v>248</v>
      </c>
      <c r="AR176" s="139" t="s">
        <v>148</v>
      </c>
      <c r="AS176" s="139"/>
      <c r="AT176" s="421" t="s">
        <v>283</v>
      </c>
      <c r="AU176" s="136" t="s">
        <v>2592</v>
      </c>
      <c r="AV176" s="139"/>
      <c r="AW176" s="141">
        <v>43164</v>
      </c>
      <c r="AX176" s="141">
        <v>43409</v>
      </c>
      <c r="AY176" s="141" t="s">
        <v>148</v>
      </c>
      <c r="AZ176" s="141">
        <v>43656</v>
      </c>
      <c r="BA176" s="141">
        <v>43675</v>
      </c>
      <c r="BB176" s="141"/>
      <c r="BC176" s="141"/>
      <c r="BD176" s="141"/>
      <c r="BE176" s="142" t="s">
        <v>2593</v>
      </c>
      <c r="BF176" s="141">
        <v>44207</v>
      </c>
      <c r="BG176" s="141" t="s">
        <v>148</v>
      </c>
      <c r="BH176" s="141">
        <v>44410</v>
      </c>
      <c r="BI176" s="141" t="s">
        <v>148</v>
      </c>
      <c r="BJ176" s="139"/>
      <c r="BK176" s="139">
        <v>44421</v>
      </c>
      <c r="BL176" s="139">
        <v>44461</v>
      </c>
      <c r="BM176" s="139">
        <v>44461</v>
      </c>
      <c r="BN176" s="136" t="s">
        <v>16</v>
      </c>
      <c r="BO176" s="136">
        <f>DATEDIF(AW176,BM176, "M")+1</f>
        <v>43</v>
      </c>
      <c r="BP176" s="136">
        <f t="shared" si="51"/>
        <v>35</v>
      </c>
      <c r="BQ176" s="136"/>
      <c r="BR176" s="136">
        <v>0</v>
      </c>
      <c r="BS176" s="136">
        <v>3</v>
      </c>
      <c r="BT176" s="136">
        <v>3</v>
      </c>
      <c r="BU176" s="136"/>
      <c r="BV176" s="136"/>
      <c r="BW176" s="136"/>
      <c r="BX176" s="136"/>
      <c r="BY176" s="136" t="s">
        <v>161</v>
      </c>
      <c r="BZ176" s="136" t="s">
        <v>161</v>
      </c>
      <c r="CA176" s="136"/>
      <c r="CB176" s="144"/>
      <c r="CC176" s="144"/>
      <c r="CD176" s="136"/>
      <c r="CE176" s="136" t="s">
        <v>148</v>
      </c>
      <c r="CF176" s="136">
        <v>43891</v>
      </c>
      <c r="CG176" s="136">
        <v>44012</v>
      </c>
      <c r="CH176" s="374">
        <v>2</v>
      </c>
      <c r="CI176" s="136">
        <v>3</v>
      </c>
      <c r="CJ176" s="136"/>
      <c r="CK176" s="136" t="s">
        <v>807</v>
      </c>
      <c r="CL176"/>
    </row>
    <row r="177" spans="1:90" ht="25" customHeight="1" x14ac:dyDescent="0.35">
      <c r="A177" s="91">
        <v>180</v>
      </c>
      <c r="B177" s="91" t="s">
        <v>2594</v>
      </c>
      <c r="C177" s="91" t="s">
        <v>2595</v>
      </c>
      <c r="D177" s="91"/>
      <c r="E177" s="91" t="s">
        <v>2596</v>
      </c>
      <c r="F177" s="91" t="s">
        <v>4140</v>
      </c>
      <c r="G177" s="91">
        <v>8</v>
      </c>
      <c r="H177" s="91" t="s">
        <v>58</v>
      </c>
      <c r="I177" s="91" t="s">
        <v>35</v>
      </c>
      <c r="J177" s="91" t="s">
        <v>600</v>
      </c>
      <c r="K177" s="91" t="s">
        <v>1238</v>
      </c>
      <c r="L177" s="91" t="s">
        <v>35</v>
      </c>
      <c r="M177" s="91" t="s">
        <v>148</v>
      </c>
      <c r="N177" s="91">
        <v>207019377</v>
      </c>
      <c r="O177" s="91"/>
      <c r="P177" s="91" t="s">
        <v>149</v>
      </c>
      <c r="Q177" s="91"/>
      <c r="R177" s="91" t="s">
        <v>2597</v>
      </c>
      <c r="S177" s="91" t="s">
        <v>2598</v>
      </c>
      <c r="T177" s="200" t="s">
        <v>2599</v>
      </c>
      <c r="U177" s="92"/>
      <c r="V177" s="92">
        <v>29599</v>
      </c>
      <c r="W177" s="164" t="s">
        <v>2600</v>
      </c>
      <c r="X177" s="164"/>
      <c r="Y177" s="164"/>
      <c r="Z177" s="164"/>
      <c r="AA177" s="91">
        <v>33</v>
      </c>
      <c r="AB177" s="92">
        <v>43045</v>
      </c>
      <c r="AC177" s="281">
        <v>43160</v>
      </c>
      <c r="AD177" s="92">
        <v>43867</v>
      </c>
      <c r="AE177" s="92"/>
      <c r="AF177" s="92"/>
      <c r="AG177" s="92"/>
      <c r="AH177" s="91">
        <f t="shared" si="43"/>
        <v>0</v>
      </c>
      <c r="AI177" s="92"/>
      <c r="AJ177" s="92"/>
      <c r="AK177" s="92"/>
      <c r="AL177" s="92"/>
      <c r="AM177" s="92"/>
      <c r="AN177" s="92"/>
      <c r="AO177" s="92" t="s">
        <v>180</v>
      </c>
      <c r="AP177" s="92"/>
      <c r="AQ177" s="92"/>
      <c r="AR177" s="92"/>
      <c r="AS177" s="92"/>
      <c r="AT177" s="400" t="s">
        <v>578</v>
      </c>
      <c r="AU177" s="91"/>
      <c r="AV177" s="92"/>
      <c r="AW177" s="93">
        <v>43164</v>
      </c>
      <c r="AX177" s="93"/>
      <c r="AY177" s="93" t="s">
        <v>161</v>
      </c>
      <c r="AZ177" s="93"/>
      <c r="BA177" s="93"/>
      <c r="BB177" s="93"/>
      <c r="BC177" s="93"/>
      <c r="BD177" s="93"/>
      <c r="BE177" s="94"/>
      <c r="BF177" s="93"/>
      <c r="BG177" s="93"/>
      <c r="BH177" s="93"/>
      <c r="BI177" s="93"/>
      <c r="BJ177" s="92"/>
      <c r="BK177" s="92"/>
      <c r="BL177" s="92"/>
      <c r="BM177" s="92"/>
      <c r="BN177" s="193" t="s">
        <v>18</v>
      </c>
      <c r="BO177" s="193" t="s">
        <v>18</v>
      </c>
      <c r="BP177" s="265"/>
      <c r="BQ177" s="91"/>
      <c r="BR177" s="91">
        <v>3</v>
      </c>
      <c r="BS177" s="91"/>
      <c r="BT177" s="91"/>
      <c r="BU177" s="91"/>
      <c r="BV177" s="91"/>
      <c r="BW177" s="91"/>
      <c r="BX177" s="91"/>
      <c r="BY177" s="91" t="s">
        <v>161</v>
      </c>
      <c r="BZ177" s="91"/>
      <c r="CA177" s="91"/>
      <c r="CB177" s="95"/>
      <c r="CC177" s="95"/>
      <c r="CD177" s="91"/>
      <c r="CE177" s="91"/>
      <c r="CF177" s="91"/>
      <c r="CG177" s="91"/>
      <c r="CH177" s="113">
        <v>2</v>
      </c>
      <c r="CI177" s="91"/>
      <c r="CJ177" s="91"/>
      <c r="CK177" s="91" t="s">
        <v>807</v>
      </c>
    </row>
    <row r="178" spans="1:90" s="53" customFormat="1" ht="25" customHeight="1" x14ac:dyDescent="0.35">
      <c r="A178" s="136">
        <v>181</v>
      </c>
      <c r="B178" s="136" t="s">
        <v>2601</v>
      </c>
      <c r="C178" s="136" t="s">
        <v>2602</v>
      </c>
      <c r="D178" s="136" t="s">
        <v>2603</v>
      </c>
      <c r="E178" s="136" t="s">
        <v>2604</v>
      </c>
      <c r="F178" s="136" t="s">
        <v>4139</v>
      </c>
      <c r="G178" s="136">
        <v>8</v>
      </c>
      <c r="H178" s="136" t="s">
        <v>50</v>
      </c>
      <c r="I178" s="136" t="s">
        <v>42</v>
      </c>
      <c r="J178" s="136" t="s">
        <v>1544</v>
      </c>
      <c r="K178" s="136"/>
      <c r="L178" s="136" t="s">
        <v>44</v>
      </c>
      <c r="M178" s="136" t="s">
        <v>161</v>
      </c>
      <c r="N178" s="136">
        <v>2160178</v>
      </c>
      <c r="O178" s="136" t="s">
        <v>149</v>
      </c>
      <c r="P178" s="136" t="s">
        <v>149</v>
      </c>
      <c r="Q178" s="136"/>
      <c r="R178" s="136" t="s">
        <v>2605</v>
      </c>
      <c r="S178" s="136" t="s">
        <v>2606</v>
      </c>
      <c r="T178" s="346" t="s">
        <v>2607</v>
      </c>
      <c r="U178" s="139" t="s">
        <v>2608</v>
      </c>
      <c r="V178" s="139">
        <v>30010</v>
      </c>
      <c r="W178" s="147" t="s">
        <v>2609</v>
      </c>
      <c r="X178" s="147" t="s">
        <v>2377</v>
      </c>
      <c r="Y178" s="147" t="s">
        <v>155</v>
      </c>
      <c r="Z178" s="147"/>
      <c r="AA178" s="136">
        <v>3</v>
      </c>
      <c r="AB178" s="139">
        <v>43373</v>
      </c>
      <c r="AC178" s="285">
        <v>43160</v>
      </c>
      <c r="AD178" s="139"/>
      <c r="AE178" s="139" t="s">
        <v>2610</v>
      </c>
      <c r="AF178" s="313" t="s">
        <v>2611</v>
      </c>
      <c r="AG178" s="139"/>
      <c r="AH178" s="136">
        <f t="shared" si="43"/>
        <v>2</v>
      </c>
      <c r="AI178" s="139" t="s">
        <v>160</v>
      </c>
      <c r="AJ178" s="139"/>
      <c r="AK178" s="139"/>
      <c r="AL178" s="139" t="s">
        <v>161</v>
      </c>
      <c r="AM178" s="139"/>
      <c r="AN178" s="139"/>
      <c r="AO178" s="139" t="s">
        <v>957</v>
      </c>
      <c r="AP178" s="139" t="s">
        <v>2612</v>
      </c>
      <c r="AQ178" s="139" t="s">
        <v>2612</v>
      </c>
      <c r="AR178" s="139"/>
      <c r="AS178" s="236" t="s">
        <v>2613</v>
      </c>
      <c r="AT178" s="421" t="s">
        <v>418</v>
      </c>
      <c r="AU178" s="136" t="s">
        <v>2614</v>
      </c>
      <c r="AV178" s="139"/>
      <c r="AW178" s="141">
        <v>43164</v>
      </c>
      <c r="AX178" s="141">
        <v>43409</v>
      </c>
      <c r="AY178" s="141" t="s">
        <v>148</v>
      </c>
      <c r="AZ178" s="141">
        <v>43797</v>
      </c>
      <c r="BA178" s="141">
        <v>43865</v>
      </c>
      <c r="BB178" s="141"/>
      <c r="BC178" s="141"/>
      <c r="BD178" s="141"/>
      <c r="BE178" s="142" t="s">
        <v>2615</v>
      </c>
      <c r="BF178" s="141">
        <v>44470</v>
      </c>
      <c r="BG178" s="141" t="s">
        <v>161</v>
      </c>
      <c r="BH178" s="141">
        <v>45110</v>
      </c>
      <c r="BI178" s="141" t="s">
        <v>161</v>
      </c>
      <c r="BJ178" s="139">
        <v>44949</v>
      </c>
      <c r="BK178" s="139"/>
      <c r="BL178" s="139"/>
      <c r="BM178" s="143">
        <v>45087</v>
      </c>
      <c r="BN178" s="148" t="s">
        <v>16</v>
      </c>
      <c r="BO178" s="136">
        <f>DATEDIF(AW178,BM178, "M")+1</f>
        <v>64</v>
      </c>
      <c r="BP178" s="136">
        <f t="shared" ref="BP178:BP180" si="52">DATEDIF(AX178,BM178, "M")+1</f>
        <v>56</v>
      </c>
      <c r="BQ178" s="147" t="s">
        <v>2616</v>
      </c>
      <c r="BR178" s="136">
        <v>1</v>
      </c>
      <c r="BS178" s="136">
        <v>2</v>
      </c>
      <c r="BT178" s="136">
        <v>0</v>
      </c>
      <c r="BU178" s="136"/>
      <c r="BV178" s="136"/>
      <c r="BW178" s="136"/>
      <c r="BX178" s="136"/>
      <c r="BY178" s="136" t="s">
        <v>161</v>
      </c>
      <c r="BZ178" s="136" t="s">
        <v>148</v>
      </c>
      <c r="CA178" s="136" t="s">
        <v>2617</v>
      </c>
      <c r="CB178" s="144">
        <v>43647</v>
      </c>
      <c r="CC178" s="144">
        <v>44012</v>
      </c>
      <c r="CD178" s="136">
        <v>11</v>
      </c>
      <c r="CE178" s="136" t="s">
        <v>161</v>
      </c>
      <c r="CF178" s="136"/>
      <c r="CG178" s="136"/>
      <c r="CH178" s="374">
        <v>2</v>
      </c>
      <c r="CI178" s="136"/>
      <c r="CJ178" s="136"/>
      <c r="CK178" s="136" t="s">
        <v>1820</v>
      </c>
      <c r="CL178"/>
    </row>
    <row r="179" spans="1:90" s="53" customFormat="1" ht="25" customHeight="1" x14ac:dyDescent="0.35">
      <c r="A179" s="136">
        <v>182</v>
      </c>
      <c r="B179" s="136" t="s">
        <v>2618</v>
      </c>
      <c r="C179" s="136" t="s">
        <v>2619</v>
      </c>
      <c r="D179" s="136" t="s">
        <v>2620</v>
      </c>
      <c r="E179" s="136" t="s">
        <v>2621</v>
      </c>
      <c r="F179" s="136" t="s">
        <v>4140</v>
      </c>
      <c r="G179" s="136">
        <v>8</v>
      </c>
      <c r="H179" s="136" t="s">
        <v>50</v>
      </c>
      <c r="I179" s="136" t="s">
        <v>42</v>
      </c>
      <c r="J179" s="136" t="s">
        <v>2622</v>
      </c>
      <c r="K179" s="136" t="s">
        <v>2623</v>
      </c>
      <c r="L179" s="136" t="s">
        <v>42</v>
      </c>
      <c r="M179" s="136" t="s">
        <v>148</v>
      </c>
      <c r="N179" s="136"/>
      <c r="O179" s="136" t="s">
        <v>320</v>
      </c>
      <c r="P179" s="136" t="s">
        <v>320</v>
      </c>
      <c r="Q179" s="136"/>
      <c r="R179" s="387" t="s">
        <v>2624</v>
      </c>
      <c r="S179" s="387" t="s">
        <v>2625</v>
      </c>
      <c r="T179" s="345" t="s">
        <v>2626</v>
      </c>
      <c r="U179" s="139" t="s">
        <v>2627</v>
      </c>
      <c r="V179" s="139">
        <v>31650</v>
      </c>
      <c r="W179" s="147" t="s">
        <v>2628</v>
      </c>
      <c r="X179" s="147" t="s">
        <v>2377</v>
      </c>
      <c r="Y179" s="147"/>
      <c r="Z179" s="147"/>
      <c r="AA179" s="136">
        <v>10</v>
      </c>
      <c r="AB179" s="139">
        <v>43374</v>
      </c>
      <c r="AC179" s="285">
        <v>43160</v>
      </c>
      <c r="AD179" s="139"/>
      <c r="AE179" s="139" t="s">
        <v>2629</v>
      </c>
      <c r="AF179" s="139" t="s">
        <v>2630</v>
      </c>
      <c r="AG179" s="139" t="s">
        <v>2631</v>
      </c>
      <c r="AH179" s="136">
        <f t="shared" si="43"/>
        <v>3</v>
      </c>
      <c r="AI179" s="139" t="s">
        <v>159</v>
      </c>
      <c r="AJ179" s="139" t="s">
        <v>200</v>
      </c>
      <c r="AK179" s="139" t="s">
        <v>159</v>
      </c>
      <c r="AL179" s="139" t="s">
        <v>148</v>
      </c>
      <c r="AM179" s="139" t="s">
        <v>161</v>
      </c>
      <c r="AN179" s="139" t="s">
        <v>161</v>
      </c>
      <c r="AO179" s="139" t="s">
        <v>162</v>
      </c>
      <c r="AP179" s="139" t="s">
        <v>1181</v>
      </c>
      <c r="AQ179" s="139" t="s">
        <v>201</v>
      </c>
      <c r="AR179" s="139" t="s">
        <v>148</v>
      </c>
      <c r="AS179" s="139"/>
      <c r="AT179" s="421" t="s">
        <v>418</v>
      </c>
      <c r="AU179" s="136" t="s">
        <v>2632</v>
      </c>
      <c r="AV179" s="139"/>
      <c r="AW179" s="141">
        <v>43164</v>
      </c>
      <c r="AX179" s="141">
        <v>43409</v>
      </c>
      <c r="AY179" s="141" t="s">
        <v>148</v>
      </c>
      <c r="AZ179" s="141">
        <v>43334</v>
      </c>
      <c r="BA179" s="141">
        <v>43468</v>
      </c>
      <c r="BB179" s="141"/>
      <c r="BC179" s="141"/>
      <c r="BD179" s="141"/>
      <c r="BE179" s="142" t="s">
        <v>2633</v>
      </c>
      <c r="BF179" s="141">
        <v>44207</v>
      </c>
      <c r="BG179" s="141" t="s">
        <v>148</v>
      </c>
      <c r="BH179" s="141">
        <v>44410</v>
      </c>
      <c r="BI179" s="141" t="s">
        <v>148</v>
      </c>
      <c r="BJ179" s="139"/>
      <c r="BK179" s="139"/>
      <c r="BL179" s="139"/>
      <c r="BM179" s="143">
        <v>44679</v>
      </c>
      <c r="BN179" s="136" t="s">
        <v>16</v>
      </c>
      <c r="BO179" s="136">
        <f t="shared" ref="BO179:BO180" si="53">DATEDIF(AW179,BM179, "M")+1</f>
        <v>50</v>
      </c>
      <c r="BP179" s="136">
        <f t="shared" si="52"/>
        <v>42</v>
      </c>
      <c r="BQ179" s="136"/>
      <c r="BR179" s="136">
        <v>1</v>
      </c>
      <c r="BS179" s="136">
        <v>2</v>
      </c>
      <c r="BT179" s="136">
        <v>0</v>
      </c>
      <c r="BU179" s="136"/>
      <c r="BV179" s="136"/>
      <c r="BW179" s="136"/>
      <c r="BX179" s="136"/>
      <c r="BY179" s="136" t="s">
        <v>161</v>
      </c>
      <c r="BZ179" s="136"/>
      <c r="CA179" s="136"/>
      <c r="CB179" s="144"/>
      <c r="CC179" s="144"/>
      <c r="CD179" s="136"/>
      <c r="CE179" s="136"/>
      <c r="CF179" s="136"/>
      <c r="CG179" s="136"/>
      <c r="CH179" s="374">
        <v>2</v>
      </c>
      <c r="CI179" s="136"/>
      <c r="CJ179" s="136"/>
      <c r="CK179" s="136" t="s">
        <v>1820</v>
      </c>
      <c r="CL179"/>
    </row>
    <row r="180" spans="1:90" s="53" customFormat="1" ht="25" customHeight="1" x14ac:dyDescent="0.35">
      <c r="A180" s="136">
        <v>183</v>
      </c>
      <c r="B180" s="136" t="s">
        <v>2634</v>
      </c>
      <c r="C180" s="136" t="s">
        <v>2635</v>
      </c>
      <c r="D180" s="136" t="s">
        <v>2636</v>
      </c>
      <c r="E180" s="136" t="s">
        <v>2637</v>
      </c>
      <c r="F180" s="136" t="s">
        <v>4139</v>
      </c>
      <c r="G180" s="136">
        <v>8</v>
      </c>
      <c r="H180" s="136" t="s">
        <v>56</v>
      </c>
      <c r="I180" s="136" t="s">
        <v>44</v>
      </c>
      <c r="J180" s="136" t="s">
        <v>2042</v>
      </c>
      <c r="K180" s="136"/>
      <c r="L180" s="136" t="s">
        <v>44</v>
      </c>
      <c r="M180" s="136" t="s">
        <v>148</v>
      </c>
      <c r="N180" s="136"/>
      <c r="O180" s="136" t="s">
        <v>320</v>
      </c>
      <c r="P180" s="136" t="s">
        <v>320</v>
      </c>
      <c r="Q180" s="136"/>
      <c r="R180" s="136" t="s">
        <v>2638</v>
      </c>
      <c r="S180" s="136" t="s">
        <v>2639</v>
      </c>
      <c r="T180" s="346" t="s">
        <v>2640</v>
      </c>
      <c r="U180" s="139"/>
      <c r="V180" s="139">
        <v>30956</v>
      </c>
      <c r="W180" s="147" t="s">
        <v>2641</v>
      </c>
      <c r="X180" s="147" t="s">
        <v>154</v>
      </c>
      <c r="Y180" s="147"/>
      <c r="Z180" s="147"/>
      <c r="AA180" s="136">
        <v>43</v>
      </c>
      <c r="AB180" s="139">
        <v>43466</v>
      </c>
      <c r="AC180" s="285">
        <v>43160</v>
      </c>
      <c r="AD180" s="139"/>
      <c r="AE180" s="139" t="s">
        <v>2642</v>
      </c>
      <c r="AF180" s="139" t="s">
        <v>2643</v>
      </c>
      <c r="AG180" s="139"/>
      <c r="AH180" s="136">
        <f t="shared" si="43"/>
        <v>2</v>
      </c>
      <c r="AI180" s="139" t="s">
        <v>159</v>
      </c>
      <c r="AJ180" s="139" t="s">
        <v>200</v>
      </c>
      <c r="AK180" s="139"/>
      <c r="AL180" s="139" t="s">
        <v>148</v>
      </c>
      <c r="AM180" s="139" t="s">
        <v>161</v>
      </c>
      <c r="AN180" s="139"/>
      <c r="AO180" s="139" t="s">
        <v>200</v>
      </c>
      <c r="AP180" s="139" t="s">
        <v>2644</v>
      </c>
      <c r="AQ180" s="139" t="s">
        <v>180</v>
      </c>
      <c r="AR180" s="139"/>
      <c r="AS180" s="139"/>
      <c r="AT180" s="421" t="s">
        <v>370</v>
      </c>
      <c r="AU180" s="136" t="s">
        <v>2645</v>
      </c>
      <c r="AV180" s="139"/>
      <c r="AW180" s="141">
        <v>43164</v>
      </c>
      <c r="AX180" s="141">
        <v>43409</v>
      </c>
      <c r="AY180" s="141" t="s">
        <v>148</v>
      </c>
      <c r="AZ180" s="141">
        <v>43690</v>
      </c>
      <c r="BA180" s="141">
        <v>43644</v>
      </c>
      <c r="BB180" s="141"/>
      <c r="BC180" s="141"/>
      <c r="BD180" s="141"/>
      <c r="BE180" s="142" t="s">
        <v>2646</v>
      </c>
      <c r="BF180" s="141">
        <v>44207</v>
      </c>
      <c r="BG180" s="141" t="s">
        <v>148</v>
      </c>
      <c r="BH180" s="141">
        <v>44410</v>
      </c>
      <c r="BI180" s="141" t="s">
        <v>148</v>
      </c>
      <c r="BJ180" s="139"/>
      <c r="BK180" s="139"/>
      <c r="BL180" s="139"/>
      <c r="BM180" s="143">
        <v>45610</v>
      </c>
      <c r="BN180" s="150" t="s">
        <v>16</v>
      </c>
      <c r="BO180" s="136">
        <f t="shared" si="53"/>
        <v>81</v>
      </c>
      <c r="BP180" s="136">
        <f t="shared" si="52"/>
        <v>73</v>
      </c>
      <c r="BQ180" s="147" t="s">
        <v>2647</v>
      </c>
      <c r="BR180" s="136">
        <v>1</v>
      </c>
      <c r="BS180" s="136">
        <v>4</v>
      </c>
      <c r="BT180" s="136">
        <v>0</v>
      </c>
      <c r="BU180" s="136"/>
      <c r="BV180" s="136"/>
      <c r="BW180" s="136"/>
      <c r="BX180" s="136"/>
      <c r="BY180" s="136" t="s">
        <v>161</v>
      </c>
      <c r="BZ180" s="136"/>
      <c r="CA180" s="136"/>
      <c r="CB180" s="144"/>
      <c r="CC180" s="144"/>
      <c r="CD180" s="136"/>
      <c r="CE180" s="136"/>
      <c r="CF180" s="136"/>
      <c r="CG180" s="136"/>
      <c r="CH180" s="374">
        <v>3</v>
      </c>
      <c r="CI180" s="136"/>
      <c r="CJ180" s="136"/>
      <c r="CK180" s="136" t="s">
        <v>807</v>
      </c>
      <c r="CL180"/>
    </row>
    <row r="181" spans="1:90" s="53" customFormat="1" ht="25" customHeight="1" x14ac:dyDescent="0.35">
      <c r="A181" s="136">
        <v>184</v>
      </c>
      <c r="B181" s="136" t="s">
        <v>2648</v>
      </c>
      <c r="C181" s="136" t="s">
        <v>2649</v>
      </c>
      <c r="D181" s="136" t="s">
        <v>2650</v>
      </c>
      <c r="E181" s="136" t="s">
        <v>2651</v>
      </c>
      <c r="F181" s="136" t="s">
        <v>4140</v>
      </c>
      <c r="G181" s="136">
        <v>8</v>
      </c>
      <c r="H181" s="136" t="s">
        <v>52</v>
      </c>
      <c r="I181" s="136" t="s">
        <v>31</v>
      </c>
      <c r="J181" s="136" t="s">
        <v>1419</v>
      </c>
      <c r="K181" s="136" t="s">
        <v>1419</v>
      </c>
      <c r="L181" s="136" t="s">
        <v>31</v>
      </c>
      <c r="M181" s="136" t="s">
        <v>148</v>
      </c>
      <c r="N181" s="136">
        <v>160413</v>
      </c>
      <c r="O181" s="136" t="s">
        <v>149</v>
      </c>
      <c r="P181" s="136" t="s">
        <v>149</v>
      </c>
      <c r="Q181" s="136" t="s">
        <v>149</v>
      </c>
      <c r="R181" s="136" t="s">
        <v>2652</v>
      </c>
      <c r="S181" s="136" t="s">
        <v>2653</v>
      </c>
      <c r="T181" s="345" t="s">
        <v>2654</v>
      </c>
      <c r="U181" s="139" t="s">
        <v>2655</v>
      </c>
      <c r="V181" s="139">
        <v>27514</v>
      </c>
      <c r="W181" s="147" t="s">
        <v>2656</v>
      </c>
      <c r="X181" s="147" t="s">
        <v>177</v>
      </c>
      <c r="Y181" s="147" t="s">
        <v>161</v>
      </c>
      <c r="Z181" s="147"/>
      <c r="AA181" s="136">
        <v>28</v>
      </c>
      <c r="AB181" s="139">
        <v>42030</v>
      </c>
      <c r="AC181" s="285">
        <v>43160</v>
      </c>
      <c r="AD181" s="139"/>
      <c r="AE181" s="139" t="s">
        <v>2657</v>
      </c>
      <c r="AF181" s="139"/>
      <c r="AG181" s="139"/>
      <c r="AH181" s="136">
        <f t="shared" si="43"/>
        <v>1</v>
      </c>
      <c r="AI181" s="139"/>
      <c r="AJ181" s="139"/>
      <c r="AK181" s="139"/>
      <c r="AL181" s="139" t="s">
        <v>148</v>
      </c>
      <c r="AM181" s="139"/>
      <c r="AN181" s="139"/>
      <c r="AO181" s="139" t="s">
        <v>162</v>
      </c>
      <c r="AP181" s="139" t="s">
        <v>443</v>
      </c>
      <c r="AQ181" s="139" t="s">
        <v>443</v>
      </c>
      <c r="AR181" s="139"/>
      <c r="AS181" s="139"/>
      <c r="AT181" s="421" t="s">
        <v>326</v>
      </c>
      <c r="AU181" s="136" t="s">
        <v>2658</v>
      </c>
      <c r="AV181" s="139"/>
      <c r="AW181" s="141">
        <v>43164</v>
      </c>
      <c r="AX181" s="141">
        <v>43409</v>
      </c>
      <c r="AY181" s="141" t="s">
        <v>148</v>
      </c>
      <c r="AZ181" s="141">
        <v>43326</v>
      </c>
      <c r="BA181" s="141">
        <v>43403</v>
      </c>
      <c r="BB181" s="141"/>
      <c r="BC181" s="141"/>
      <c r="BD181" s="141"/>
      <c r="BE181" s="142" t="s">
        <v>2659</v>
      </c>
      <c r="BF181" s="141">
        <v>44207</v>
      </c>
      <c r="BG181" s="141" t="s">
        <v>148</v>
      </c>
      <c r="BH181" s="141">
        <v>44410</v>
      </c>
      <c r="BI181" s="141" t="s">
        <v>148</v>
      </c>
      <c r="BJ181" s="139"/>
      <c r="BK181" s="139"/>
      <c r="BL181" s="139"/>
      <c r="BM181" s="143">
        <v>44648</v>
      </c>
      <c r="BN181" s="136" t="s">
        <v>16</v>
      </c>
      <c r="BO181" s="136">
        <f t="shared" ref="BO181" si="54">DATEDIF(AW181,BM181, "M")+1</f>
        <v>49</v>
      </c>
      <c r="BP181" s="136">
        <f>DATEDIF(AX181,BM181, "M")+1</f>
        <v>41</v>
      </c>
      <c r="BQ181" s="136"/>
      <c r="BR181" s="136">
        <v>1</v>
      </c>
      <c r="BS181" s="136">
        <v>0</v>
      </c>
      <c r="BT181" s="136">
        <v>1</v>
      </c>
      <c r="BU181" s="136"/>
      <c r="BV181" s="136"/>
      <c r="BW181" s="136"/>
      <c r="BX181" s="136"/>
      <c r="BY181" s="136" t="s">
        <v>161</v>
      </c>
      <c r="BZ181" s="136" t="s">
        <v>161</v>
      </c>
      <c r="CA181" s="136"/>
      <c r="CB181" s="144"/>
      <c r="CC181" s="144"/>
      <c r="CD181" s="136"/>
      <c r="CE181" s="136" t="s">
        <v>161</v>
      </c>
      <c r="CF181" s="136"/>
      <c r="CG181" s="136"/>
      <c r="CH181" s="374">
        <v>3</v>
      </c>
      <c r="CI181" s="136">
        <v>3</v>
      </c>
      <c r="CJ181" s="136"/>
      <c r="CK181" s="136" t="s">
        <v>807</v>
      </c>
      <c r="CL181"/>
    </row>
    <row r="182" spans="1:90" s="53" customFormat="1" ht="25" customHeight="1" x14ac:dyDescent="0.35">
      <c r="A182" s="136">
        <v>185</v>
      </c>
      <c r="B182" s="136" t="s">
        <v>2660</v>
      </c>
      <c r="C182" s="136" t="s">
        <v>2661</v>
      </c>
      <c r="D182" s="136"/>
      <c r="E182" s="136" t="s">
        <v>2662</v>
      </c>
      <c r="F182" s="136" t="s">
        <v>4140</v>
      </c>
      <c r="G182" s="136">
        <v>8</v>
      </c>
      <c r="H182" s="136" t="s">
        <v>58</v>
      </c>
      <c r="I182" s="136" t="s">
        <v>35</v>
      </c>
      <c r="J182" s="136" t="s">
        <v>2663</v>
      </c>
      <c r="K182" s="136" t="s">
        <v>2664</v>
      </c>
      <c r="L182" s="136" t="s">
        <v>42</v>
      </c>
      <c r="M182" s="136" t="s">
        <v>161</v>
      </c>
      <c r="N182" s="136" t="s">
        <v>2665</v>
      </c>
      <c r="O182" s="136" t="s">
        <v>149</v>
      </c>
      <c r="P182" s="136" t="s">
        <v>149</v>
      </c>
      <c r="Q182" s="136"/>
      <c r="R182" s="136" t="s">
        <v>2666</v>
      </c>
      <c r="S182" s="136" t="s">
        <v>2667</v>
      </c>
      <c r="T182" s="345" t="s">
        <v>2668</v>
      </c>
      <c r="U182" s="139" t="s">
        <v>2669</v>
      </c>
      <c r="V182" s="139">
        <v>33161</v>
      </c>
      <c r="W182" s="147" t="s">
        <v>2670</v>
      </c>
      <c r="X182" s="147" t="s">
        <v>2377</v>
      </c>
      <c r="Y182" s="147" t="s">
        <v>155</v>
      </c>
      <c r="Z182" s="147"/>
      <c r="AA182" s="136">
        <v>31</v>
      </c>
      <c r="AB182" s="139">
        <v>43493</v>
      </c>
      <c r="AC182" s="285">
        <v>43160</v>
      </c>
      <c r="AD182" s="139"/>
      <c r="AE182" s="139" t="s">
        <v>2671</v>
      </c>
      <c r="AF182" s="139" t="s">
        <v>2672</v>
      </c>
      <c r="AG182" s="139"/>
      <c r="AH182" s="136">
        <f t="shared" si="43"/>
        <v>2</v>
      </c>
      <c r="AI182" s="139" t="s">
        <v>159</v>
      </c>
      <c r="AJ182" s="139" t="s">
        <v>200</v>
      </c>
      <c r="AK182" s="139"/>
      <c r="AL182" s="139" t="s">
        <v>161</v>
      </c>
      <c r="AM182" s="139" t="s">
        <v>161</v>
      </c>
      <c r="AN182" s="139"/>
      <c r="AO182" s="139" t="s">
        <v>162</v>
      </c>
      <c r="AP182" s="139" t="s">
        <v>179</v>
      </c>
      <c r="AQ182" s="139" t="s">
        <v>179</v>
      </c>
      <c r="AR182" s="139"/>
      <c r="AS182" s="139"/>
      <c r="AT182" s="421" t="s">
        <v>578</v>
      </c>
      <c r="AU182" s="136" t="s">
        <v>2673</v>
      </c>
      <c r="AV182" s="139"/>
      <c r="AW182" s="141">
        <v>43164</v>
      </c>
      <c r="AX182" s="141">
        <v>43409</v>
      </c>
      <c r="AY182" s="141" t="s">
        <v>148</v>
      </c>
      <c r="AZ182" s="141">
        <v>43228</v>
      </c>
      <c r="BA182" s="141">
        <v>43665</v>
      </c>
      <c r="BB182" s="141"/>
      <c r="BC182" s="141"/>
      <c r="BD182" s="141"/>
      <c r="BE182" s="142" t="s">
        <v>2674</v>
      </c>
      <c r="BF182" s="141">
        <v>44207</v>
      </c>
      <c r="BG182" s="141" t="s">
        <v>148</v>
      </c>
      <c r="BH182" s="141">
        <v>44410</v>
      </c>
      <c r="BI182" s="141" t="s">
        <v>148</v>
      </c>
      <c r="BJ182" s="139"/>
      <c r="BK182" s="139"/>
      <c r="BL182" s="139"/>
      <c r="BM182" s="143"/>
      <c r="BN182" s="129" t="s">
        <v>17</v>
      </c>
      <c r="BO182" s="139"/>
      <c r="BP182" s="136"/>
      <c r="BQ182" s="136"/>
      <c r="BR182" s="136">
        <v>1</v>
      </c>
      <c r="BS182" s="136">
        <v>6</v>
      </c>
      <c r="BT182" s="136">
        <v>0</v>
      </c>
      <c r="BU182" s="136"/>
      <c r="BV182" s="136"/>
      <c r="BW182" s="136"/>
      <c r="BX182" s="136"/>
      <c r="BY182" s="136" t="s">
        <v>2312</v>
      </c>
      <c r="BZ182" s="136" t="s">
        <v>161</v>
      </c>
      <c r="CA182" s="136"/>
      <c r="CB182" s="144"/>
      <c r="CC182" s="144"/>
      <c r="CD182" s="136"/>
      <c r="CE182" s="136" t="s">
        <v>161</v>
      </c>
      <c r="CF182" s="136"/>
      <c r="CG182" s="136"/>
      <c r="CH182" s="374">
        <v>0</v>
      </c>
      <c r="CI182" s="136"/>
      <c r="CJ182" s="136"/>
      <c r="CK182" s="136" t="s">
        <v>807</v>
      </c>
      <c r="CL182"/>
    </row>
    <row r="183" spans="1:90" s="53" customFormat="1" ht="25" customHeight="1" x14ac:dyDescent="0.35">
      <c r="A183" s="136">
        <v>186</v>
      </c>
      <c r="B183" s="136" t="s">
        <v>2675</v>
      </c>
      <c r="C183" s="136" t="s">
        <v>2676</v>
      </c>
      <c r="D183" s="136"/>
      <c r="E183" s="136" t="s">
        <v>2520</v>
      </c>
      <c r="F183" s="136" t="s">
        <v>4139</v>
      </c>
      <c r="G183" s="136">
        <v>8</v>
      </c>
      <c r="H183" s="136" t="s">
        <v>53</v>
      </c>
      <c r="I183" s="136" t="s">
        <v>43</v>
      </c>
      <c r="J183" s="136" t="s">
        <v>2677</v>
      </c>
      <c r="K183" s="136" t="s">
        <v>2678</v>
      </c>
      <c r="L183" s="136" t="s">
        <v>42</v>
      </c>
      <c r="M183" s="136" t="s">
        <v>161</v>
      </c>
      <c r="N183" s="136"/>
      <c r="O183" s="136" t="s">
        <v>149</v>
      </c>
      <c r="P183" s="136" t="s">
        <v>149</v>
      </c>
      <c r="Q183" s="136"/>
      <c r="R183" s="145" t="s">
        <v>2679</v>
      </c>
      <c r="S183" s="136" t="s">
        <v>2680</v>
      </c>
      <c r="T183" s="345" t="s">
        <v>2681</v>
      </c>
      <c r="U183" s="139"/>
      <c r="V183" s="139">
        <v>31334</v>
      </c>
      <c r="W183" s="147" t="s">
        <v>2682</v>
      </c>
      <c r="X183" s="147" t="s">
        <v>2377</v>
      </c>
      <c r="Y183" s="147"/>
      <c r="Z183" s="147"/>
      <c r="AA183" s="136">
        <v>38</v>
      </c>
      <c r="AB183" s="139">
        <v>43325</v>
      </c>
      <c r="AC183" s="285">
        <v>43160</v>
      </c>
      <c r="AD183" s="139"/>
      <c r="AE183" s="139" t="s">
        <v>2683</v>
      </c>
      <c r="AF183" s="139"/>
      <c r="AG183" s="139"/>
      <c r="AH183" s="136">
        <f t="shared" si="43"/>
        <v>1</v>
      </c>
      <c r="AI183" s="139"/>
      <c r="AJ183" s="139"/>
      <c r="AK183" s="139"/>
      <c r="AL183" s="139" t="s">
        <v>148</v>
      </c>
      <c r="AM183" s="139"/>
      <c r="AN183" s="139"/>
      <c r="AO183" s="139" t="s">
        <v>162</v>
      </c>
      <c r="AP183" s="139" t="s">
        <v>179</v>
      </c>
      <c r="AQ183" s="139" t="s">
        <v>201</v>
      </c>
      <c r="AR183" s="139" t="s">
        <v>148</v>
      </c>
      <c r="AS183" s="139"/>
      <c r="AT183" s="421" t="s">
        <v>2684</v>
      </c>
      <c r="AU183" s="136" t="s">
        <v>2685</v>
      </c>
      <c r="AV183" s="139"/>
      <c r="AW183" s="141">
        <v>43164</v>
      </c>
      <c r="AX183" s="141">
        <v>43409</v>
      </c>
      <c r="AY183" s="141" t="s">
        <v>148</v>
      </c>
      <c r="AZ183" s="141">
        <v>43893</v>
      </c>
      <c r="BA183" s="141">
        <v>43700</v>
      </c>
      <c r="BB183" s="141"/>
      <c r="BC183" s="141"/>
      <c r="BD183" s="141"/>
      <c r="BE183" s="142" t="s">
        <v>2686</v>
      </c>
      <c r="BF183" s="141">
        <v>44470</v>
      </c>
      <c r="BG183" s="141" t="s">
        <v>161</v>
      </c>
      <c r="BH183" s="141">
        <v>44732</v>
      </c>
      <c r="BI183" s="141" t="s">
        <v>161</v>
      </c>
      <c r="BJ183" s="139"/>
      <c r="BK183" s="139"/>
      <c r="BL183" s="139"/>
      <c r="BM183" s="143"/>
      <c r="BN183" s="148" t="s">
        <v>17</v>
      </c>
      <c r="BO183" s="139"/>
      <c r="BP183" s="136"/>
      <c r="BQ183" s="136"/>
      <c r="BR183" s="136">
        <v>1</v>
      </c>
      <c r="BS183" s="136">
        <v>6</v>
      </c>
      <c r="BT183" s="136">
        <v>0</v>
      </c>
      <c r="BU183" s="136"/>
      <c r="BV183" s="136"/>
      <c r="BW183" s="136"/>
      <c r="BX183" s="136"/>
      <c r="BY183" s="136" t="s">
        <v>161</v>
      </c>
      <c r="BZ183" s="136"/>
      <c r="CA183" s="136"/>
      <c r="CB183" s="144"/>
      <c r="CC183" s="144"/>
      <c r="CD183" s="136"/>
      <c r="CE183" s="136"/>
      <c r="CF183" s="136"/>
      <c r="CG183" s="136"/>
      <c r="CH183" s="374">
        <v>1</v>
      </c>
      <c r="CI183" s="136"/>
      <c r="CJ183" s="136"/>
      <c r="CK183" s="136" t="s">
        <v>807</v>
      </c>
      <c r="CL183"/>
    </row>
    <row r="184" spans="1:90" s="53" customFormat="1" ht="25" customHeight="1" x14ac:dyDescent="0.35">
      <c r="A184" s="136">
        <v>187</v>
      </c>
      <c r="B184" s="136" t="s">
        <v>2687</v>
      </c>
      <c r="C184" s="136" t="s">
        <v>2688</v>
      </c>
      <c r="D184" s="136" t="s">
        <v>2689</v>
      </c>
      <c r="E184" s="136" t="s">
        <v>386</v>
      </c>
      <c r="F184" s="136" t="s">
        <v>4140</v>
      </c>
      <c r="G184" s="136">
        <v>8</v>
      </c>
      <c r="H184" s="136" t="s">
        <v>50</v>
      </c>
      <c r="I184" s="136" t="s">
        <v>42</v>
      </c>
      <c r="J184" s="136" t="s">
        <v>2690</v>
      </c>
      <c r="K184" s="136" t="s">
        <v>2691</v>
      </c>
      <c r="L184" s="136" t="s">
        <v>42</v>
      </c>
      <c r="M184" s="136" t="s">
        <v>148</v>
      </c>
      <c r="N184" s="136"/>
      <c r="O184" s="136" t="s">
        <v>149</v>
      </c>
      <c r="P184" s="136" t="s">
        <v>149</v>
      </c>
      <c r="Q184" s="136" t="s">
        <v>149</v>
      </c>
      <c r="R184" s="136" t="s">
        <v>2692</v>
      </c>
      <c r="S184" s="387" t="s">
        <v>2693</v>
      </c>
      <c r="T184" s="346" t="s">
        <v>2694</v>
      </c>
      <c r="U184" s="139" t="s">
        <v>2695</v>
      </c>
      <c r="V184" s="139">
        <v>31784</v>
      </c>
      <c r="W184" s="147" t="s">
        <v>2696</v>
      </c>
      <c r="X184" s="147" t="s">
        <v>2377</v>
      </c>
      <c r="Y184" s="147" t="s">
        <v>155</v>
      </c>
      <c r="Z184" s="147"/>
      <c r="AA184" s="136">
        <v>8</v>
      </c>
      <c r="AB184" s="139">
        <v>43160</v>
      </c>
      <c r="AC184" s="285">
        <v>43160</v>
      </c>
      <c r="AD184" s="139"/>
      <c r="AE184" s="139" t="s">
        <v>2697</v>
      </c>
      <c r="AF184" s="139" t="s">
        <v>2698</v>
      </c>
      <c r="AG184" s="139" t="s">
        <v>2699</v>
      </c>
      <c r="AH184" s="136">
        <f t="shared" si="43"/>
        <v>3</v>
      </c>
      <c r="AI184" s="139" t="s">
        <v>159</v>
      </c>
      <c r="AJ184" s="139" t="s">
        <v>159</v>
      </c>
      <c r="AK184" s="139" t="s">
        <v>159</v>
      </c>
      <c r="AL184" s="139" t="s">
        <v>148</v>
      </c>
      <c r="AM184" s="139"/>
      <c r="AN184" s="139"/>
      <c r="AO184" s="139" t="s">
        <v>162</v>
      </c>
      <c r="AP184" s="139" t="s">
        <v>1181</v>
      </c>
      <c r="AQ184" s="139" t="s">
        <v>201</v>
      </c>
      <c r="AR184" s="139" t="s">
        <v>148</v>
      </c>
      <c r="AS184" s="139"/>
      <c r="AT184" s="421" t="s">
        <v>418</v>
      </c>
      <c r="AU184" s="136" t="s">
        <v>2700</v>
      </c>
      <c r="AV184" s="139"/>
      <c r="AW184" s="141">
        <v>43164</v>
      </c>
      <c r="AX184" s="141">
        <v>43409</v>
      </c>
      <c r="AY184" s="141" t="s">
        <v>148</v>
      </c>
      <c r="AZ184" s="141">
        <v>43327</v>
      </c>
      <c r="BA184" s="141">
        <v>43391</v>
      </c>
      <c r="BB184" s="141"/>
      <c r="BC184" s="141"/>
      <c r="BD184" s="141"/>
      <c r="BE184" s="142" t="s">
        <v>2701</v>
      </c>
      <c r="BF184" s="141">
        <v>44207</v>
      </c>
      <c r="BG184" s="141" t="s">
        <v>148</v>
      </c>
      <c r="BH184" s="141">
        <v>44410</v>
      </c>
      <c r="BI184" s="141" t="s">
        <v>148</v>
      </c>
      <c r="BJ184" s="139"/>
      <c r="BK184" s="139"/>
      <c r="BL184" s="139"/>
      <c r="BM184" s="143">
        <v>44160</v>
      </c>
      <c r="BN184" s="136" t="s">
        <v>16</v>
      </c>
      <c r="BO184" s="136">
        <f t="shared" ref="BO184:BO187" si="55">DATEDIF(AW184,BM184, "M")+1</f>
        <v>33</v>
      </c>
      <c r="BP184" s="136">
        <f t="shared" ref="BP184:BP187" si="56">DATEDIF(AX184,BM184, "M")+1</f>
        <v>25</v>
      </c>
      <c r="BQ184" s="147" t="s">
        <v>2702</v>
      </c>
      <c r="BR184" s="136">
        <v>3</v>
      </c>
      <c r="BS184" s="136">
        <v>5</v>
      </c>
      <c r="BT184" s="136">
        <v>1</v>
      </c>
      <c r="BU184" s="136"/>
      <c r="BV184" s="136"/>
      <c r="BW184" s="136"/>
      <c r="BX184" s="136"/>
      <c r="BY184" s="136" t="s">
        <v>161</v>
      </c>
      <c r="BZ184" s="136" t="s">
        <v>161</v>
      </c>
      <c r="CA184" s="136"/>
      <c r="CB184" s="144"/>
      <c r="CC184" s="144"/>
      <c r="CD184" s="136"/>
      <c r="CE184" s="136"/>
      <c r="CF184" s="136"/>
      <c r="CG184" s="136"/>
      <c r="CH184" s="374">
        <v>1</v>
      </c>
      <c r="CI184" s="136">
        <v>2</v>
      </c>
      <c r="CJ184" s="136"/>
      <c r="CK184" s="136" t="s">
        <v>2217</v>
      </c>
      <c r="CL184"/>
    </row>
    <row r="185" spans="1:90" s="53" customFormat="1" ht="25" customHeight="1" x14ac:dyDescent="0.35">
      <c r="A185" s="136">
        <v>188</v>
      </c>
      <c r="B185" s="136" t="s">
        <v>2703</v>
      </c>
      <c r="C185" s="136" t="s">
        <v>2704</v>
      </c>
      <c r="D185" s="136" t="s">
        <v>2705</v>
      </c>
      <c r="E185" s="136" t="s">
        <v>2706</v>
      </c>
      <c r="F185" s="136" t="s">
        <v>4140</v>
      </c>
      <c r="G185" s="136">
        <v>8</v>
      </c>
      <c r="H185" s="136" t="s">
        <v>51</v>
      </c>
      <c r="I185" s="136" t="s">
        <v>4136</v>
      </c>
      <c r="J185" s="136" t="s">
        <v>255</v>
      </c>
      <c r="K185" s="136" t="s">
        <v>333</v>
      </c>
      <c r="L185" s="136" t="s">
        <v>4136</v>
      </c>
      <c r="M185" s="136" t="s">
        <v>148</v>
      </c>
      <c r="N185" s="136"/>
      <c r="O185" s="136" t="s">
        <v>149</v>
      </c>
      <c r="P185" s="136" t="s">
        <v>149</v>
      </c>
      <c r="Q185" s="136"/>
      <c r="R185" s="136" t="s">
        <v>2707</v>
      </c>
      <c r="S185" s="136" t="s">
        <v>2708</v>
      </c>
      <c r="T185" s="346" t="s">
        <v>2709</v>
      </c>
      <c r="U185" s="139"/>
      <c r="V185" s="139">
        <v>29877</v>
      </c>
      <c r="W185" s="147" t="s">
        <v>2710</v>
      </c>
      <c r="X185" s="147" t="s">
        <v>177</v>
      </c>
      <c r="Y185" s="147"/>
      <c r="Z185" s="147"/>
      <c r="AA185" s="136">
        <v>32</v>
      </c>
      <c r="AB185" s="139">
        <v>43191</v>
      </c>
      <c r="AC185" s="285">
        <v>43160</v>
      </c>
      <c r="AD185" s="139"/>
      <c r="AE185" s="139" t="s">
        <v>2711</v>
      </c>
      <c r="AF185" s="139" t="s">
        <v>2712</v>
      </c>
      <c r="AG185" s="139"/>
      <c r="AH185" s="136">
        <f t="shared" si="43"/>
        <v>2</v>
      </c>
      <c r="AI185" s="139" t="s">
        <v>159</v>
      </c>
      <c r="AJ185" s="139" t="s">
        <v>200</v>
      </c>
      <c r="AK185" s="139"/>
      <c r="AL185" s="139" t="s">
        <v>148</v>
      </c>
      <c r="AM185" s="139"/>
      <c r="AN185" s="139"/>
      <c r="AO185" s="139" t="s">
        <v>162</v>
      </c>
      <c r="AP185" s="139"/>
      <c r="AQ185" s="139"/>
      <c r="AR185" s="139"/>
      <c r="AS185" s="139"/>
      <c r="AT185" s="421" t="s">
        <v>296</v>
      </c>
      <c r="AU185" s="136" t="s">
        <v>2713</v>
      </c>
      <c r="AV185" s="139"/>
      <c r="AW185" s="141">
        <v>43164</v>
      </c>
      <c r="AX185" s="141">
        <v>43409</v>
      </c>
      <c r="AY185" s="141" t="s">
        <v>148</v>
      </c>
      <c r="AZ185" s="141">
        <v>43861</v>
      </c>
      <c r="BA185" s="141">
        <v>43696</v>
      </c>
      <c r="BB185" s="141"/>
      <c r="BC185" s="141"/>
      <c r="BD185" s="141"/>
      <c r="BE185" s="142" t="s">
        <v>2714</v>
      </c>
      <c r="BF185" s="141">
        <v>44207</v>
      </c>
      <c r="BG185" s="141" t="s">
        <v>148</v>
      </c>
      <c r="BH185" s="141">
        <v>44410</v>
      </c>
      <c r="BI185" s="141" t="s">
        <v>148</v>
      </c>
      <c r="BJ185" s="139"/>
      <c r="BK185" s="139"/>
      <c r="BL185" s="139"/>
      <c r="BM185" s="143">
        <v>44900</v>
      </c>
      <c r="BN185" s="129" t="s">
        <v>16</v>
      </c>
      <c r="BO185" s="136">
        <f t="shared" si="55"/>
        <v>58</v>
      </c>
      <c r="BP185" s="136">
        <f t="shared" si="56"/>
        <v>50</v>
      </c>
      <c r="BQ185" s="147" t="s">
        <v>2715</v>
      </c>
      <c r="BR185" s="136">
        <v>1</v>
      </c>
      <c r="BS185" s="136">
        <v>3</v>
      </c>
      <c r="BT185" s="136">
        <v>0</v>
      </c>
      <c r="BU185" s="136"/>
      <c r="BV185" s="136"/>
      <c r="BW185" s="136"/>
      <c r="BX185" s="136"/>
      <c r="BY185" s="136" t="s">
        <v>161</v>
      </c>
      <c r="BZ185" s="136"/>
      <c r="CA185" s="136"/>
      <c r="CB185" s="144"/>
      <c r="CC185" s="144"/>
      <c r="CD185" s="136"/>
      <c r="CE185" s="136"/>
      <c r="CF185" s="136"/>
      <c r="CG185" s="136"/>
      <c r="CH185" s="374">
        <v>2</v>
      </c>
      <c r="CI185" s="136"/>
      <c r="CJ185" s="136"/>
      <c r="CK185" s="136" t="s">
        <v>807</v>
      </c>
      <c r="CL185"/>
    </row>
    <row r="186" spans="1:90" s="53" customFormat="1" ht="25" customHeight="1" x14ac:dyDescent="0.35">
      <c r="A186" s="136">
        <v>189</v>
      </c>
      <c r="B186" s="136" t="s">
        <v>2716</v>
      </c>
      <c r="C186" s="136" t="s">
        <v>990</v>
      </c>
      <c r="D186" s="136" t="s">
        <v>436</v>
      </c>
      <c r="E186" s="136" t="s">
        <v>2717</v>
      </c>
      <c r="F186" s="136" t="s">
        <v>4140</v>
      </c>
      <c r="G186" s="136">
        <v>8</v>
      </c>
      <c r="H186" s="136" t="s">
        <v>52</v>
      </c>
      <c r="I186" s="136" t="s">
        <v>39</v>
      </c>
      <c r="J186" s="136" t="s">
        <v>600</v>
      </c>
      <c r="K186" s="136" t="s">
        <v>1254</v>
      </c>
      <c r="L186" s="136" t="s">
        <v>44</v>
      </c>
      <c r="M186" s="136" t="s">
        <v>161</v>
      </c>
      <c r="N186" s="136">
        <v>1928547</v>
      </c>
      <c r="O186" s="136" t="s">
        <v>149</v>
      </c>
      <c r="P186" s="136" t="s">
        <v>149</v>
      </c>
      <c r="Q186" s="136"/>
      <c r="R186" s="136" t="s">
        <v>2718</v>
      </c>
      <c r="S186" s="136" t="s">
        <v>2719</v>
      </c>
      <c r="T186" s="345" t="s">
        <v>2720</v>
      </c>
      <c r="U186" s="139" t="s">
        <v>2721</v>
      </c>
      <c r="V186" s="139">
        <v>27605</v>
      </c>
      <c r="W186" s="147" t="s">
        <v>2722</v>
      </c>
      <c r="X186" s="147" t="s">
        <v>177</v>
      </c>
      <c r="Y186" s="147"/>
      <c r="Z186" s="147"/>
      <c r="AA186" s="136">
        <v>1</v>
      </c>
      <c r="AB186" s="139">
        <v>43221</v>
      </c>
      <c r="AC186" s="285">
        <v>43160</v>
      </c>
      <c r="AD186" s="139"/>
      <c r="AE186" s="139" t="s">
        <v>2723</v>
      </c>
      <c r="AF186" s="139" t="s">
        <v>2724</v>
      </c>
      <c r="AG186" s="139"/>
      <c r="AH186" s="136">
        <f t="shared" si="43"/>
        <v>2</v>
      </c>
      <c r="AI186" s="139" t="s">
        <v>160</v>
      </c>
      <c r="AJ186" s="139" t="s">
        <v>160</v>
      </c>
      <c r="AK186" s="139"/>
      <c r="AL186" s="139" t="s">
        <v>161</v>
      </c>
      <c r="AM186" s="139" t="s">
        <v>161</v>
      </c>
      <c r="AN186" s="139"/>
      <c r="AO186" s="139" t="s">
        <v>162</v>
      </c>
      <c r="AP186" s="139" t="s">
        <v>248</v>
      </c>
      <c r="AQ186" s="139" t="s">
        <v>1120</v>
      </c>
      <c r="AR186" s="139" t="s">
        <v>148</v>
      </c>
      <c r="AS186" s="139"/>
      <c r="AT186" s="421" t="s">
        <v>283</v>
      </c>
      <c r="AU186" s="136" t="s">
        <v>2725</v>
      </c>
      <c r="AV186" s="139"/>
      <c r="AW186" s="141">
        <v>43164</v>
      </c>
      <c r="AX186" s="141">
        <v>43409</v>
      </c>
      <c r="AY186" s="141" t="s">
        <v>148</v>
      </c>
      <c r="AZ186" s="141">
        <v>43522</v>
      </c>
      <c r="BA186" s="141">
        <v>43623</v>
      </c>
      <c r="BB186" s="141"/>
      <c r="BC186" s="141"/>
      <c r="BD186" s="141"/>
      <c r="BE186" s="142" t="s">
        <v>2726</v>
      </c>
      <c r="BF186" s="141">
        <v>44207</v>
      </c>
      <c r="BG186" s="141" t="s">
        <v>148</v>
      </c>
      <c r="BH186" s="141">
        <v>44410</v>
      </c>
      <c r="BI186" s="141" t="s">
        <v>148</v>
      </c>
      <c r="BJ186" s="139"/>
      <c r="BK186" s="139"/>
      <c r="BL186" s="139"/>
      <c r="BM186" s="143">
        <v>44907</v>
      </c>
      <c r="BN186" s="148" t="s">
        <v>16</v>
      </c>
      <c r="BO186" s="136">
        <f t="shared" si="55"/>
        <v>58</v>
      </c>
      <c r="BP186" s="136">
        <f t="shared" si="56"/>
        <v>50</v>
      </c>
      <c r="BQ186" s="136" t="s">
        <v>2727</v>
      </c>
      <c r="BR186" s="136">
        <v>5</v>
      </c>
      <c r="BS186" s="136">
        <v>5</v>
      </c>
      <c r="BT186" s="136">
        <v>0</v>
      </c>
      <c r="BU186" s="136"/>
      <c r="BV186" s="136"/>
      <c r="BW186" s="136"/>
      <c r="BX186" s="136"/>
      <c r="BY186" s="136" t="s">
        <v>161</v>
      </c>
      <c r="BZ186" s="136"/>
      <c r="CA186" s="136"/>
      <c r="CB186" s="144"/>
      <c r="CC186" s="144"/>
      <c r="CD186" s="136"/>
      <c r="CE186" s="136"/>
      <c r="CF186" s="136"/>
      <c r="CG186" s="136"/>
      <c r="CH186" s="374">
        <v>3</v>
      </c>
      <c r="CI186" s="136"/>
      <c r="CJ186" s="136"/>
      <c r="CK186" s="136" t="s">
        <v>1820</v>
      </c>
      <c r="CL186"/>
    </row>
    <row r="187" spans="1:90" s="53" customFormat="1" ht="25" customHeight="1" x14ac:dyDescent="0.35">
      <c r="A187" s="136">
        <v>190</v>
      </c>
      <c r="B187" s="136" t="s">
        <v>2728</v>
      </c>
      <c r="C187" s="136" t="s">
        <v>2729</v>
      </c>
      <c r="D187" s="136" t="s">
        <v>2730</v>
      </c>
      <c r="E187" s="136" t="s">
        <v>2731</v>
      </c>
      <c r="F187" s="136" t="s">
        <v>4139</v>
      </c>
      <c r="G187" s="136">
        <v>8</v>
      </c>
      <c r="H187" s="136" t="s">
        <v>52</v>
      </c>
      <c r="I187" s="136" t="s">
        <v>31</v>
      </c>
      <c r="J187" s="136" t="s">
        <v>600</v>
      </c>
      <c r="K187" s="136" t="s">
        <v>2732</v>
      </c>
      <c r="L187" s="136" t="s">
        <v>44</v>
      </c>
      <c r="M187" s="136" t="s">
        <v>161</v>
      </c>
      <c r="N187" s="136"/>
      <c r="O187" s="136" t="s">
        <v>149</v>
      </c>
      <c r="P187" s="136" t="s">
        <v>149</v>
      </c>
      <c r="Q187" s="136" t="s">
        <v>149</v>
      </c>
      <c r="R187" s="136" t="s">
        <v>2733</v>
      </c>
      <c r="S187" s="136" t="s">
        <v>2734</v>
      </c>
      <c r="T187" s="345" t="s">
        <v>2735</v>
      </c>
      <c r="U187" s="139" t="s">
        <v>2736</v>
      </c>
      <c r="V187" s="139">
        <v>29924</v>
      </c>
      <c r="W187" s="147" t="s">
        <v>2737</v>
      </c>
      <c r="X187" s="147" t="s">
        <v>177</v>
      </c>
      <c r="Y187" s="147"/>
      <c r="Z187" s="147"/>
      <c r="AA187" s="136">
        <v>5</v>
      </c>
      <c r="AB187" s="139">
        <v>43318</v>
      </c>
      <c r="AC187" s="285">
        <v>43160</v>
      </c>
      <c r="AD187" s="139"/>
      <c r="AE187" s="139" t="s">
        <v>2738</v>
      </c>
      <c r="AF187" s="139"/>
      <c r="AG187" s="139"/>
      <c r="AH187" s="136">
        <f t="shared" si="43"/>
        <v>1</v>
      </c>
      <c r="AI187" s="139"/>
      <c r="AJ187" s="139"/>
      <c r="AK187" s="139"/>
      <c r="AL187" s="139" t="s">
        <v>161</v>
      </c>
      <c r="AM187" s="139"/>
      <c r="AN187" s="139"/>
      <c r="AO187" s="139" t="s">
        <v>162</v>
      </c>
      <c r="AP187" s="139" t="s">
        <v>443</v>
      </c>
      <c r="AQ187" s="139" t="s">
        <v>1438</v>
      </c>
      <c r="AR187" s="139" t="s">
        <v>148</v>
      </c>
      <c r="AS187" s="139"/>
      <c r="AT187" s="421" t="s">
        <v>326</v>
      </c>
      <c r="AU187" s="136" t="s">
        <v>2739</v>
      </c>
      <c r="AV187" s="139"/>
      <c r="AW187" s="141">
        <v>43164</v>
      </c>
      <c r="AX187" s="141">
        <v>43409</v>
      </c>
      <c r="AY187" s="141" t="s">
        <v>148</v>
      </c>
      <c r="AZ187" s="141">
        <v>43615</v>
      </c>
      <c r="BA187" s="141">
        <v>43615</v>
      </c>
      <c r="BB187" s="141"/>
      <c r="BC187" s="141"/>
      <c r="BD187" s="141"/>
      <c r="BE187" s="142" t="s">
        <v>2740</v>
      </c>
      <c r="BF187" s="141">
        <v>44207</v>
      </c>
      <c r="BG187" s="141" t="s">
        <v>148</v>
      </c>
      <c r="BH187" s="141">
        <v>44410</v>
      </c>
      <c r="BI187" s="141" t="s">
        <v>148</v>
      </c>
      <c r="BJ187" s="139"/>
      <c r="BK187" s="139"/>
      <c r="BL187" s="139"/>
      <c r="BM187" s="143">
        <v>44441</v>
      </c>
      <c r="BN187" s="136" t="s">
        <v>16</v>
      </c>
      <c r="BO187" s="136">
        <f t="shared" si="55"/>
        <v>42</v>
      </c>
      <c r="BP187" s="136">
        <f t="shared" si="56"/>
        <v>34</v>
      </c>
      <c r="BQ187" s="136"/>
      <c r="BR187" s="136">
        <v>3</v>
      </c>
      <c r="BS187" s="136">
        <v>3</v>
      </c>
      <c r="BT187" s="136">
        <v>2</v>
      </c>
      <c r="BU187" s="136"/>
      <c r="BV187" s="136"/>
      <c r="BW187" s="136"/>
      <c r="BX187" s="136"/>
      <c r="BY187" s="136" t="s">
        <v>161</v>
      </c>
      <c r="BZ187" s="136"/>
      <c r="CA187" s="136"/>
      <c r="CB187" s="144"/>
      <c r="CC187" s="144"/>
      <c r="CD187" s="136"/>
      <c r="CE187" s="136"/>
      <c r="CF187" s="136"/>
      <c r="CG187" s="136"/>
      <c r="CH187" s="374">
        <v>3</v>
      </c>
      <c r="CI187" s="136">
        <v>3</v>
      </c>
      <c r="CJ187" s="136"/>
      <c r="CK187" s="136" t="s">
        <v>1820</v>
      </c>
      <c r="CL187"/>
    </row>
    <row r="188" spans="1:90" s="53" customFormat="1" ht="25" customHeight="1" x14ac:dyDescent="0.35">
      <c r="A188" s="136">
        <v>191</v>
      </c>
      <c r="B188" s="136" t="s">
        <v>2741</v>
      </c>
      <c r="C188" s="136" t="s">
        <v>2742</v>
      </c>
      <c r="D188" s="136" t="s">
        <v>2743</v>
      </c>
      <c r="E188" s="136" t="s">
        <v>287</v>
      </c>
      <c r="F188" s="136" t="s">
        <v>4140</v>
      </c>
      <c r="G188" s="136">
        <v>8</v>
      </c>
      <c r="H188" s="136" t="s">
        <v>56</v>
      </c>
      <c r="I188" s="136" t="s">
        <v>44</v>
      </c>
      <c r="J188" s="136" t="s">
        <v>2744</v>
      </c>
      <c r="K188" s="136" t="s">
        <v>600</v>
      </c>
      <c r="L188" s="136" t="s">
        <v>44</v>
      </c>
      <c r="M188" s="136" t="s">
        <v>148</v>
      </c>
      <c r="N188" s="136" t="s">
        <v>2745</v>
      </c>
      <c r="O188" s="136" t="s">
        <v>149</v>
      </c>
      <c r="P188" s="136" t="s">
        <v>149</v>
      </c>
      <c r="Q188" s="136"/>
      <c r="R188" s="136" t="s">
        <v>2746</v>
      </c>
      <c r="S188" s="136" t="s">
        <v>2747</v>
      </c>
      <c r="T188" s="345" t="s">
        <v>2748</v>
      </c>
      <c r="U188" s="139" t="s">
        <v>2749</v>
      </c>
      <c r="V188" s="139">
        <v>28944</v>
      </c>
      <c r="W188" s="147" t="s">
        <v>2750</v>
      </c>
      <c r="X188" s="147" t="s">
        <v>177</v>
      </c>
      <c r="Y188" s="147" t="s">
        <v>161</v>
      </c>
      <c r="Z188" s="147"/>
      <c r="AA188" s="136">
        <v>19</v>
      </c>
      <c r="AB188" s="139">
        <v>43313</v>
      </c>
      <c r="AC188" s="285">
        <v>43160</v>
      </c>
      <c r="AD188" s="139"/>
      <c r="AE188" s="139" t="s">
        <v>2751</v>
      </c>
      <c r="AF188" s="139" t="s">
        <v>2752</v>
      </c>
      <c r="AG188" s="139"/>
      <c r="AH188" s="136">
        <f t="shared" si="43"/>
        <v>2</v>
      </c>
      <c r="AI188" s="139" t="s">
        <v>159</v>
      </c>
      <c r="AJ188" s="139" t="s">
        <v>159</v>
      </c>
      <c r="AK188" s="139"/>
      <c r="AL188" s="139" t="s">
        <v>161</v>
      </c>
      <c r="AM188" s="139" t="s">
        <v>161</v>
      </c>
      <c r="AN188" s="139"/>
      <c r="AO188" s="139" t="s">
        <v>162</v>
      </c>
      <c r="AP188" s="139" t="s">
        <v>201</v>
      </c>
      <c r="AQ188" s="139" t="s">
        <v>201</v>
      </c>
      <c r="AR188" s="139"/>
      <c r="AS188" s="236" t="s">
        <v>2753</v>
      </c>
      <c r="AT188" s="421" t="s">
        <v>370</v>
      </c>
      <c r="AU188" s="136" t="s">
        <v>297</v>
      </c>
      <c r="AV188" s="139"/>
      <c r="AW188" s="141">
        <v>43164</v>
      </c>
      <c r="AX188" s="141">
        <v>43409</v>
      </c>
      <c r="AY188" s="141" t="s">
        <v>148</v>
      </c>
      <c r="AZ188" s="141">
        <v>43531</v>
      </c>
      <c r="BA188" s="141">
        <v>43623</v>
      </c>
      <c r="BB188" s="141"/>
      <c r="BC188" s="141"/>
      <c r="BD188" s="141"/>
      <c r="BE188" s="142" t="s">
        <v>2754</v>
      </c>
      <c r="BF188" s="141">
        <v>44207</v>
      </c>
      <c r="BG188" s="141" t="s">
        <v>148</v>
      </c>
      <c r="BH188" s="141">
        <v>44410</v>
      </c>
      <c r="BI188" s="141" t="s">
        <v>148</v>
      </c>
      <c r="BJ188" s="139"/>
      <c r="BK188" s="139"/>
      <c r="BL188" s="139"/>
      <c r="BM188" s="143">
        <v>45610</v>
      </c>
      <c r="BN188" s="136" t="s">
        <v>16</v>
      </c>
      <c r="BO188" s="136">
        <f t="shared" ref="BO188" si="57">DATEDIF(AW188,BM188, "M")+1</f>
        <v>81</v>
      </c>
      <c r="BP188" s="136">
        <f t="shared" ref="BP188" si="58">DATEDIF(AX188,BM188, "M")+1</f>
        <v>73</v>
      </c>
      <c r="BQ188" s="136" t="s">
        <v>2755</v>
      </c>
      <c r="BR188" s="136">
        <v>2</v>
      </c>
      <c r="BS188" s="136"/>
      <c r="BT188" s="136"/>
      <c r="BU188" s="136"/>
      <c r="BV188" s="136"/>
      <c r="BW188" s="136"/>
      <c r="BX188" s="136"/>
      <c r="BY188" s="136" t="s">
        <v>161</v>
      </c>
      <c r="BZ188" s="136" t="s">
        <v>161</v>
      </c>
      <c r="CA188" s="136"/>
      <c r="CB188" s="144"/>
      <c r="CC188" s="144"/>
      <c r="CD188" s="136"/>
      <c r="CE188" s="136" t="s">
        <v>161</v>
      </c>
      <c r="CF188" s="136"/>
      <c r="CG188" s="136"/>
      <c r="CH188" s="374">
        <v>2</v>
      </c>
      <c r="CI188" s="136"/>
      <c r="CJ188" s="136"/>
      <c r="CK188" s="136" t="s">
        <v>807</v>
      </c>
      <c r="CL188"/>
    </row>
    <row r="189" spans="1:90" s="53" customFormat="1" ht="25" customHeight="1" x14ac:dyDescent="0.35">
      <c r="A189" s="136">
        <v>192</v>
      </c>
      <c r="B189" s="136" t="s">
        <v>2756</v>
      </c>
      <c r="C189" s="136" t="s">
        <v>761</v>
      </c>
      <c r="D189" s="136" t="s">
        <v>462</v>
      </c>
      <c r="E189" s="136" t="s">
        <v>1778</v>
      </c>
      <c r="F189" s="136" t="s">
        <v>4140</v>
      </c>
      <c r="G189" s="136">
        <v>8</v>
      </c>
      <c r="H189" s="136" t="s">
        <v>50</v>
      </c>
      <c r="I189" s="136" t="s">
        <v>42</v>
      </c>
      <c r="J189" s="136" t="s">
        <v>1173</v>
      </c>
      <c r="K189" s="136" t="s">
        <v>1173</v>
      </c>
      <c r="L189" s="136" t="s">
        <v>42</v>
      </c>
      <c r="M189" s="136" t="s">
        <v>148</v>
      </c>
      <c r="N189" s="136" t="s">
        <v>2757</v>
      </c>
      <c r="O189" s="136" t="s">
        <v>149</v>
      </c>
      <c r="P189" s="136" t="s">
        <v>149</v>
      </c>
      <c r="Q189" s="136"/>
      <c r="R189" s="136" t="s">
        <v>2758</v>
      </c>
      <c r="S189" s="136" t="s">
        <v>2759</v>
      </c>
      <c r="T189" s="346" t="s">
        <v>2760</v>
      </c>
      <c r="U189" s="139" t="s">
        <v>2761</v>
      </c>
      <c r="V189" s="139">
        <v>29223</v>
      </c>
      <c r="W189" s="147" t="s">
        <v>2762</v>
      </c>
      <c r="X189" s="147" t="s">
        <v>2763</v>
      </c>
      <c r="Y189" s="147"/>
      <c r="Z189" s="147"/>
      <c r="AA189" s="136">
        <v>11</v>
      </c>
      <c r="AB189" s="139">
        <v>43466</v>
      </c>
      <c r="AC189" s="285">
        <v>43160</v>
      </c>
      <c r="AD189" s="139"/>
      <c r="AE189" s="139" t="s">
        <v>2764</v>
      </c>
      <c r="AF189" s="139" t="s">
        <v>2765</v>
      </c>
      <c r="AG189" s="139" t="s">
        <v>2766</v>
      </c>
      <c r="AH189" s="136">
        <f t="shared" si="43"/>
        <v>3</v>
      </c>
      <c r="AI189" s="139" t="s">
        <v>159</v>
      </c>
      <c r="AJ189" s="139" t="s">
        <v>159</v>
      </c>
      <c r="AK189" s="139"/>
      <c r="AL189" s="139" t="s">
        <v>148</v>
      </c>
      <c r="AM189" s="139" t="s">
        <v>161</v>
      </c>
      <c r="AN189" s="139"/>
      <c r="AO189" s="139" t="s">
        <v>162</v>
      </c>
      <c r="AP189" s="139" t="s">
        <v>1181</v>
      </c>
      <c r="AQ189" s="139" t="s">
        <v>1181</v>
      </c>
      <c r="AR189" s="139"/>
      <c r="AS189" s="139"/>
      <c r="AT189" s="421" t="s">
        <v>418</v>
      </c>
      <c r="AU189" s="136" t="s">
        <v>2767</v>
      </c>
      <c r="AV189" s="139"/>
      <c r="AW189" s="141">
        <v>43164</v>
      </c>
      <c r="AX189" s="141">
        <v>43409</v>
      </c>
      <c r="AY189" s="141" t="s">
        <v>148</v>
      </c>
      <c r="AZ189" s="141">
        <v>43319</v>
      </c>
      <c r="BA189" s="141">
        <v>43378</v>
      </c>
      <c r="BB189" s="141"/>
      <c r="BC189" s="141"/>
      <c r="BD189" s="141"/>
      <c r="BE189" s="142" t="s">
        <v>2768</v>
      </c>
      <c r="BF189" s="141">
        <v>44207</v>
      </c>
      <c r="BG189" s="141" t="s">
        <v>148</v>
      </c>
      <c r="BH189" s="141">
        <v>44410</v>
      </c>
      <c r="BI189" s="141" t="s">
        <v>148</v>
      </c>
      <c r="BJ189" s="139"/>
      <c r="BK189" s="139"/>
      <c r="BL189" s="139"/>
      <c r="BM189" s="143"/>
      <c r="BN189" s="136" t="s">
        <v>17</v>
      </c>
      <c r="BO189" s="139"/>
      <c r="BP189" s="136"/>
      <c r="BQ189" s="136"/>
      <c r="BR189" s="136">
        <v>1</v>
      </c>
      <c r="BS189" s="136">
        <v>3</v>
      </c>
      <c r="BT189" s="136">
        <v>0</v>
      </c>
      <c r="BU189" s="136"/>
      <c r="BV189" s="136"/>
      <c r="BW189" s="136"/>
      <c r="BX189" s="136"/>
      <c r="BY189" s="136" t="s">
        <v>161</v>
      </c>
      <c r="BZ189" s="136" t="s">
        <v>161</v>
      </c>
      <c r="CA189" s="136"/>
      <c r="CB189" s="144"/>
      <c r="CC189" s="144"/>
      <c r="CD189" s="136"/>
      <c r="CE189" s="136" t="s">
        <v>161</v>
      </c>
      <c r="CF189" s="136"/>
      <c r="CG189" s="136"/>
      <c r="CH189" s="374">
        <v>3</v>
      </c>
      <c r="CI189" s="136"/>
      <c r="CJ189" s="136"/>
      <c r="CK189" s="136" t="s">
        <v>1820</v>
      </c>
      <c r="CL189"/>
    </row>
    <row r="190" spans="1:90" s="53" customFormat="1" ht="25" customHeight="1" x14ac:dyDescent="0.35">
      <c r="A190" s="136">
        <v>193</v>
      </c>
      <c r="B190" s="136" t="s">
        <v>2769</v>
      </c>
      <c r="C190" s="136" t="s">
        <v>2770</v>
      </c>
      <c r="D190" s="136" t="s">
        <v>2771</v>
      </c>
      <c r="E190" s="136" t="s">
        <v>2772</v>
      </c>
      <c r="F190" s="136" t="s">
        <v>4140</v>
      </c>
      <c r="G190" s="136">
        <v>8</v>
      </c>
      <c r="H190" s="136" t="s">
        <v>52</v>
      </c>
      <c r="I190" s="136" t="s">
        <v>39</v>
      </c>
      <c r="J190" s="136" t="s">
        <v>1419</v>
      </c>
      <c r="K190" s="136" t="s">
        <v>2773</v>
      </c>
      <c r="L190" s="136" t="s">
        <v>44</v>
      </c>
      <c r="M190" s="136" t="s">
        <v>161</v>
      </c>
      <c r="N190" s="136">
        <v>1815816</v>
      </c>
      <c r="O190" s="136"/>
      <c r="P190" s="136" t="s">
        <v>320</v>
      </c>
      <c r="Q190" s="136"/>
      <c r="R190" s="145" t="s">
        <v>2774</v>
      </c>
      <c r="S190" s="427" t="s">
        <v>2775</v>
      </c>
      <c r="T190" s="346" t="s">
        <v>2776</v>
      </c>
      <c r="U190" s="139"/>
      <c r="V190" s="139">
        <v>30273</v>
      </c>
      <c r="W190" s="147" t="s">
        <v>2777</v>
      </c>
      <c r="X190" s="147" t="s">
        <v>154</v>
      </c>
      <c r="Y190" s="147"/>
      <c r="Z190" s="147"/>
      <c r="AA190" s="136">
        <v>7</v>
      </c>
      <c r="AB190" s="139">
        <v>43311</v>
      </c>
      <c r="AC190" s="285">
        <v>43160</v>
      </c>
      <c r="AD190" s="139"/>
      <c r="AE190" s="139" t="s">
        <v>2778</v>
      </c>
      <c r="AF190" s="139"/>
      <c r="AG190" s="139"/>
      <c r="AH190" s="136">
        <f t="shared" si="43"/>
        <v>1</v>
      </c>
      <c r="AI190" s="139" t="s">
        <v>160</v>
      </c>
      <c r="AJ190" s="139"/>
      <c r="AK190" s="139"/>
      <c r="AL190" s="139" t="s">
        <v>148</v>
      </c>
      <c r="AM190" s="139"/>
      <c r="AN190" s="139"/>
      <c r="AO190" s="139" t="s">
        <v>162</v>
      </c>
      <c r="AP190" s="139"/>
      <c r="AQ190" s="139" t="s">
        <v>248</v>
      </c>
      <c r="AR190" s="139" t="s">
        <v>148</v>
      </c>
      <c r="AS190" s="139"/>
      <c r="AT190" s="421" t="s">
        <v>283</v>
      </c>
      <c r="AU190" s="136" t="s">
        <v>2779</v>
      </c>
      <c r="AV190" s="139"/>
      <c r="AW190" s="141">
        <v>43164</v>
      </c>
      <c r="AX190" s="141">
        <v>43409</v>
      </c>
      <c r="AY190" s="141" t="s">
        <v>148</v>
      </c>
      <c r="AZ190" s="141">
        <v>43333</v>
      </c>
      <c r="BA190" s="141">
        <v>43364</v>
      </c>
      <c r="BB190" s="141"/>
      <c r="BC190" s="141"/>
      <c r="BD190" s="141"/>
      <c r="BE190" s="142" t="s">
        <v>2780</v>
      </c>
      <c r="BF190" s="141">
        <v>44207</v>
      </c>
      <c r="BG190" s="141" t="s">
        <v>148</v>
      </c>
      <c r="BH190" s="141">
        <v>44410</v>
      </c>
      <c r="BI190" s="141" t="s">
        <v>148</v>
      </c>
      <c r="BJ190" s="139"/>
      <c r="BK190" s="139"/>
      <c r="BL190" s="139"/>
      <c r="BM190" s="143">
        <v>44741</v>
      </c>
      <c r="BN190" s="136" t="s">
        <v>16</v>
      </c>
      <c r="BO190" s="136">
        <f t="shared" ref="BO190:BO192" si="59">DATEDIF(AW190,BM190, "M")+1</f>
        <v>52</v>
      </c>
      <c r="BP190" s="136">
        <f>DATEDIF(AX190,BM190, "M")+1</f>
        <v>44</v>
      </c>
      <c r="BQ190" s="264" t="s">
        <v>2781</v>
      </c>
      <c r="BR190" s="136">
        <v>2</v>
      </c>
      <c r="BS190" s="136">
        <v>5</v>
      </c>
      <c r="BT190" s="136">
        <v>2</v>
      </c>
      <c r="BU190" s="136"/>
      <c r="BV190" s="136"/>
      <c r="BW190" s="136"/>
      <c r="BX190" s="136"/>
      <c r="BY190" s="136" t="s">
        <v>161</v>
      </c>
      <c r="BZ190" s="136"/>
      <c r="CA190" s="136"/>
      <c r="CB190" s="144"/>
      <c r="CC190" s="144"/>
      <c r="CD190" s="136"/>
      <c r="CE190" s="136"/>
      <c r="CF190" s="136"/>
      <c r="CG190" s="136"/>
      <c r="CH190" s="374">
        <v>2</v>
      </c>
      <c r="CI190" s="136"/>
      <c r="CJ190" s="136"/>
      <c r="CK190" s="136" t="s">
        <v>1820</v>
      </c>
      <c r="CL190"/>
    </row>
    <row r="191" spans="1:90" s="53" customFormat="1" ht="25" customHeight="1" x14ac:dyDescent="0.35">
      <c r="A191" s="136">
        <v>194</v>
      </c>
      <c r="B191" s="136" t="s">
        <v>2782</v>
      </c>
      <c r="C191" s="136" t="s">
        <v>2783</v>
      </c>
      <c r="D191" s="136"/>
      <c r="E191" s="136" t="s">
        <v>2784</v>
      </c>
      <c r="F191" s="136" t="s">
        <v>4139</v>
      </c>
      <c r="G191" s="136">
        <v>8</v>
      </c>
      <c r="H191" s="136" t="s">
        <v>53</v>
      </c>
      <c r="I191" s="136" t="s">
        <v>43</v>
      </c>
      <c r="J191" s="136" t="s">
        <v>2785</v>
      </c>
      <c r="K191" s="136" t="s">
        <v>2786</v>
      </c>
      <c r="L191" s="136" t="s">
        <v>43</v>
      </c>
      <c r="M191" s="136" t="s">
        <v>148</v>
      </c>
      <c r="N191" s="136"/>
      <c r="O191" s="136" t="s">
        <v>149</v>
      </c>
      <c r="P191" s="136" t="s">
        <v>149</v>
      </c>
      <c r="Q191" s="136"/>
      <c r="R191" s="136" t="s">
        <v>2787</v>
      </c>
      <c r="S191" s="136" t="s">
        <v>2788</v>
      </c>
      <c r="T191" s="345" t="s">
        <v>2789</v>
      </c>
      <c r="U191" s="139" t="s">
        <v>2786</v>
      </c>
      <c r="V191" s="139">
        <v>28915</v>
      </c>
      <c r="W191" s="147" t="s">
        <v>2790</v>
      </c>
      <c r="X191" s="147" t="s">
        <v>2377</v>
      </c>
      <c r="Y191" s="147" t="s">
        <v>155</v>
      </c>
      <c r="Z191" s="147"/>
      <c r="AA191" s="136">
        <v>12</v>
      </c>
      <c r="AB191" s="139">
        <v>43344</v>
      </c>
      <c r="AC191" s="285">
        <v>43160</v>
      </c>
      <c r="AD191" s="139"/>
      <c r="AE191" s="139" t="s">
        <v>2791</v>
      </c>
      <c r="AF191" s="139"/>
      <c r="AG191" s="139"/>
      <c r="AH191" s="136">
        <f>COUNTA(AE191:AG191)</f>
        <v>1</v>
      </c>
      <c r="AI191" s="139" t="s">
        <v>159</v>
      </c>
      <c r="AJ191" s="139"/>
      <c r="AK191" s="139"/>
      <c r="AL191" s="139" t="s">
        <v>148</v>
      </c>
      <c r="AM191" s="139"/>
      <c r="AN191" s="139"/>
      <c r="AO191" s="139" t="s">
        <v>162</v>
      </c>
      <c r="AP191" s="139" t="s">
        <v>2792</v>
      </c>
      <c r="AQ191" s="139" t="s">
        <v>215</v>
      </c>
      <c r="AR191" s="139" t="s">
        <v>148</v>
      </c>
      <c r="AS191" s="139"/>
      <c r="AT191" s="421" t="s">
        <v>217</v>
      </c>
      <c r="AU191" s="136" t="s">
        <v>2793</v>
      </c>
      <c r="AV191" s="139"/>
      <c r="AW191" s="141">
        <v>43164</v>
      </c>
      <c r="AX191" s="141">
        <v>43409</v>
      </c>
      <c r="AY191" s="141" t="s">
        <v>148</v>
      </c>
      <c r="AZ191" s="141">
        <v>43252</v>
      </c>
      <c r="BA191" s="141">
        <v>43132</v>
      </c>
      <c r="BB191" s="141"/>
      <c r="BC191" s="141"/>
      <c r="BD191" s="141"/>
      <c r="BE191" s="142" t="s">
        <v>2794</v>
      </c>
      <c r="BF191" s="141">
        <v>44207</v>
      </c>
      <c r="BG191" s="141" t="s">
        <v>148</v>
      </c>
      <c r="BH191" s="141">
        <v>44410</v>
      </c>
      <c r="BI191" s="141" t="s">
        <v>148</v>
      </c>
      <c r="BJ191" s="139"/>
      <c r="BK191" s="139"/>
      <c r="BL191" s="139"/>
      <c r="BM191" s="143">
        <v>45247</v>
      </c>
      <c r="BN191" s="136" t="s">
        <v>16</v>
      </c>
      <c r="BO191" s="238"/>
      <c r="BP191" s="136"/>
      <c r="BQ191" s="136"/>
      <c r="BR191" s="136">
        <v>9</v>
      </c>
      <c r="BS191" s="136">
        <v>57</v>
      </c>
      <c r="BT191" s="136">
        <v>0</v>
      </c>
      <c r="BU191" s="136"/>
      <c r="BV191" s="136"/>
      <c r="BW191" s="136"/>
      <c r="BX191" s="136"/>
      <c r="BY191" s="136" t="s">
        <v>161</v>
      </c>
      <c r="BZ191" s="136" t="s">
        <v>161</v>
      </c>
      <c r="CA191" s="136"/>
      <c r="CB191" s="144"/>
      <c r="CC191" s="144"/>
      <c r="CD191" s="136"/>
      <c r="CE191" s="136" t="s">
        <v>161</v>
      </c>
      <c r="CF191" s="136"/>
      <c r="CG191" s="136"/>
      <c r="CH191" s="374">
        <v>2</v>
      </c>
      <c r="CI191" s="136"/>
      <c r="CJ191" s="136"/>
      <c r="CK191" s="136" t="s">
        <v>1820</v>
      </c>
      <c r="CL191"/>
    </row>
    <row r="192" spans="1:90" s="53" customFormat="1" ht="25" customHeight="1" x14ac:dyDescent="0.35">
      <c r="A192" s="136">
        <v>195</v>
      </c>
      <c r="B192" s="136" t="s">
        <v>2795</v>
      </c>
      <c r="C192" s="136" t="s">
        <v>2796</v>
      </c>
      <c r="D192" s="136" t="s">
        <v>2797</v>
      </c>
      <c r="E192" s="136" t="s">
        <v>2798</v>
      </c>
      <c r="F192" s="136" t="s">
        <v>4140</v>
      </c>
      <c r="G192" s="136">
        <v>8</v>
      </c>
      <c r="H192" s="136" t="s">
        <v>52</v>
      </c>
      <c r="I192" s="136" t="s">
        <v>31</v>
      </c>
      <c r="J192" s="136" t="s">
        <v>2799</v>
      </c>
      <c r="K192" s="136" t="s">
        <v>2800</v>
      </c>
      <c r="L192" s="136" t="s">
        <v>44</v>
      </c>
      <c r="M192" s="136" t="s">
        <v>161</v>
      </c>
      <c r="N192" s="136">
        <v>2113374</v>
      </c>
      <c r="O192" s="136"/>
      <c r="P192" s="136" t="s">
        <v>149</v>
      </c>
      <c r="Q192" s="136"/>
      <c r="R192" s="136" t="s">
        <v>2801</v>
      </c>
      <c r="S192" s="136" t="s">
        <v>2802</v>
      </c>
      <c r="T192" s="346" t="s">
        <v>2803</v>
      </c>
      <c r="U192" s="139"/>
      <c r="V192" s="139">
        <v>28332</v>
      </c>
      <c r="W192" s="147" t="s">
        <v>2804</v>
      </c>
      <c r="X192" s="147" t="s">
        <v>2496</v>
      </c>
      <c r="Y192" s="147"/>
      <c r="Z192" s="147"/>
      <c r="AA192" s="136">
        <v>9</v>
      </c>
      <c r="AB192" s="139">
        <v>43261</v>
      </c>
      <c r="AC192" s="285">
        <v>43160</v>
      </c>
      <c r="AD192" s="139"/>
      <c r="AE192" s="139" t="s">
        <v>2805</v>
      </c>
      <c r="AF192" s="139" t="s">
        <v>2806</v>
      </c>
      <c r="AG192" s="139" t="s">
        <v>2807</v>
      </c>
      <c r="AH192" s="136">
        <f t="shared" ref="AH192:AH197" si="60">COUNTA(AE192:AG192)</f>
        <v>3</v>
      </c>
      <c r="AI192" s="139" t="s">
        <v>160</v>
      </c>
      <c r="AJ192" s="139" t="s">
        <v>160</v>
      </c>
      <c r="AK192" s="139"/>
      <c r="AL192" s="139" t="s">
        <v>148</v>
      </c>
      <c r="AM192" s="139" t="s">
        <v>161</v>
      </c>
      <c r="AN192" s="139" t="s">
        <v>161</v>
      </c>
      <c r="AO192" s="139" t="s">
        <v>162</v>
      </c>
      <c r="AP192" s="139" t="s">
        <v>201</v>
      </c>
      <c r="AQ192" s="139" t="s">
        <v>248</v>
      </c>
      <c r="AR192" s="139"/>
      <c r="AS192" s="139"/>
      <c r="AT192" s="421" t="s">
        <v>326</v>
      </c>
      <c r="AU192" s="136" t="s">
        <v>2808</v>
      </c>
      <c r="AV192" s="139"/>
      <c r="AW192" s="141">
        <v>43164</v>
      </c>
      <c r="AX192" s="141">
        <v>43409</v>
      </c>
      <c r="AY192" s="141" t="s">
        <v>148</v>
      </c>
      <c r="AZ192" s="141">
        <v>44169</v>
      </c>
      <c r="BA192" s="141">
        <v>44124</v>
      </c>
      <c r="BB192" s="141"/>
      <c r="BC192" s="141"/>
      <c r="BD192" s="141"/>
      <c r="BE192" s="142" t="s">
        <v>2809</v>
      </c>
      <c r="BF192" s="141">
        <v>44207</v>
      </c>
      <c r="BG192" s="141" t="s">
        <v>148</v>
      </c>
      <c r="BH192" s="141">
        <v>44410</v>
      </c>
      <c r="BI192" s="141" t="s">
        <v>148</v>
      </c>
      <c r="BJ192" s="139"/>
      <c r="BK192" s="139"/>
      <c r="BL192" s="139"/>
      <c r="BM192" s="143">
        <v>45498</v>
      </c>
      <c r="BN192" s="136" t="s">
        <v>16</v>
      </c>
      <c r="BO192" s="136">
        <f t="shared" si="59"/>
        <v>77</v>
      </c>
      <c r="BP192" s="136">
        <f>DATEDIF(AX192,BM192, "M")+1</f>
        <v>69</v>
      </c>
      <c r="BQ192" s="264" t="s">
        <v>2810</v>
      </c>
      <c r="BR192" s="136">
        <v>1</v>
      </c>
      <c r="BS192" s="136">
        <v>5</v>
      </c>
      <c r="BT192" s="136">
        <v>0</v>
      </c>
      <c r="BU192" s="136"/>
      <c r="BV192" s="136"/>
      <c r="BW192" s="136"/>
      <c r="BX192" s="136"/>
      <c r="BY192" s="136" t="s">
        <v>161</v>
      </c>
      <c r="BZ192" s="136"/>
      <c r="CA192" s="136"/>
      <c r="CB192" s="144"/>
      <c r="CC192" s="144"/>
      <c r="CD192" s="136"/>
      <c r="CE192" s="136"/>
      <c r="CF192" s="136"/>
      <c r="CG192" s="136"/>
      <c r="CH192" s="374"/>
      <c r="CI192" s="136"/>
      <c r="CJ192" s="136"/>
      <c r="CK192" s="136" t="s">
        <v>1820</v>
      </c>
      <c r="CL192"/>
    </row>
    <row r="193" spans="1:90" s="53" customFormat="1" ht="25" customHeight="1" x14ac:dyDescent="0.35">
      <c r="A193" s="91">
        <v>196</v>
      </c>
      <c r="B193" s="91" t="s">
        <v>2811</v>
      </c>
      <c r="C193" s="91" t="s">
        <v>2812</v>
      </c>
      <c r="D193" s="91" t="s">
        <v>2813</v>
      </c>
      <c r="E193" s="91" t="s">
        <v>2814</v>
      </c>
      <c r="F193" s="91" t="s">
        <v>4139</v>
      </c>
      <c r="G193" s="91">
        <v>8</v>
      </c>
      <c r="H193" s="91" t="s">
        <v>51</v>
      </c>
      <c r="I193" s="91" t="s">
        <v>4136</v>
      </c>
      <c r="J193" s="91" t="s">
        <v>2287</v>
      </c>
      <c r="K193" s="91" t="s">
        <v>2815</v>
      </c>
      <c r="L193" s="91" t="s">
        <v>4136</v>
      </c>
      <c r="M193" s="91" t="s">
        <v>148</v>
      </c>
      <c r="N193" s="91"/>
      <c r="O193" s="91"/>
      <c r="P193" s="91" t="s">
        <v>149</v>
      </c>
      <c r="Q193" s="91"/>
      <c r="R193" s="91" t="s">
        <v>2816</v>
      </c>
      <c r="S193" s="91" t="s">
        <v>2817</v>
      </c>
      <c r="T193" s="341" t="s">
        <v>2818</v>
      </c>
      <c r="U193" s="92"/>
      <c r="V193" s="92">
        <v>29109</v>
      </c>
      <c r="W193" s="164" t="s">
        <v>2819</v>
      </c>
      <c r="X193" s="164"/>
      <c r="Y193" s="164"/>
      <c r="Z193" s="164"/>
      <c r="AA193" s="91">
        <v>12</v>
      </c>
      <c r="AB193" s="92">
        <v>43284</v>
      </c>
      <c r="AC193" s="281">
        <v>43160</v>
      </c>
      <c r="AD193" s="92">
        <v>44398</v>
      </c>
      <c r="AE193" s="92" t="s">
        <v>2820</v>
      </c>
      <c r="AF193" s="92"/>
      <c r="AG193" s="92"/>
      <c r="AH193" s="91">
        <f t="shared" si="60"/>
        <v>1</v>
      </c>
      <c r="AI193" s="92" t="s">
        <v>159</v>
      </c>
      <c r="AJ193" s="92"/>
      <c r="AK193" s="92"/>
      <c r="AL193" s="92" t="s">
        <v>148</v>
      </c>
      <c r="AM193" s="92"/>
      <c r="AN193" s="92"/>
      <c r="AO193" s="92" t="s">
        <v>162</v>
      </c>
      <c r="AP193" s="92"/>
      <c r="AQ193" s="92"/>
      <c r="AR193" s="92"/>
      <c r="AS193" s="92"/>
      <c r="AT193" s="400" t="s">
        <v>296</v>
      </c>
      <c r="AU193" s="91" t="s">
        <v>2821</v>
      </c>
      <c r="AV193" s="92"/>
      <c r="AW193" s="93">
        <v>43164</v>
      </c>
      <c r="AX193" s="93">
        <v>43409</v>
      </c>
      <c r="AY193" s="93" t="s">
        <v>148</v>
      </c>
      <c r="AZ193" s="93">
        <v>44099</v>
      </c>
      <c r="BA193" s="93">
        <v>44122</v>
      </c>
      <c r="BB193" s="93"/>
      <c r="BC193" s="93"/>
      <c r="BD193" s="93"/>
      <c r="BE193" s="94"/>
      <c r="BF193" s="93"/>
      <c r="BG193" s="93"/>
      <c r="BH193" s="93"/>
      <c r="BI193" s="93"/>
      <c r="BJ193" s="92"/>
      <c r="BK193" s="92"/>
      <c r="BL193" s="92"/>
      <c r="BM193" s="109"/>
      <c r="BN193" s="91" t="s">
        <v>18</v>
      </c>
      <c r="BO193" s="265"/>
      <c r="BP193" s="265"/>
      <c r="BQ193" s="91"/>
      <c r="BR193" s="91">
        <v>0</v>
      </c>
      <c r="BS193" s="91"/>
      <c r="BT193" s="91"/>
      <c r="BU193" s="91"/>
      <c r="BV193" s="91"/>
      <c r="BW193" s="91"/>
      <c r="BX193" s="91"/>
      <c r="BY193" s="91" t="s">
        <v>161</v>
      </c>
      <c r="BZ193" s="91"/>
      <c r="CA193" s="91"/>
      <c r="CB193" s="95"/>
      <c r="CC193" s="95"/>
      <c r="CD193" s="91"/>
      <c r="CE193" s="91"/>
      <c r="CF193" s="91"/>
      <c r="CG193" s="91"/>
      <c r="CH193" s="113"/>
      <c r="CI193" s="91"/>
      <c r="CJ193" s="91"/>
      <c r="CK193" s="91" t="s">
        <v>1820</v>
      </c>
      <c r="CL193"/>
    </row>
    <row r="194" spans="1:90" s="53" customFormat="1" ht="25" customHeight="1" x14ac:dyDescent="0.35">
      <c r="A194" s="91">
        <v>197</v>
      </c>
      <c r="B194" s="91" t="s">
        <v>2822</v>
      </c>
      <c r="C194" s="91" t="s">
        <v>2823</v>
      </c>
      <c r="D194" s="91" t="s">
        <v>2824</v>
      </c>
      <c r="E194" s="91" t="s">
        <v>2825</v>
      </c>
      <c r="F194" s="91" t="s">
        <v>4140</v>
      </c>
      <c r="G194" s="91">
        <v>8</v>
      </c>
      <c r="H194" s="91" t="s">
        <v>58</v>
      </c>
      <c r="I194" s="91" t="s">
        <v>35</v>
      </c>
      <c r="J194" s="91" t="s">
        <v>600</v>
      </c>
      <c r="K194" s="91" t="s">
        <v>2826</v>
      </c>
      <c r="L194" s="91"/>
      <c r="M194" s="91" t="s">
        <v>161</v>
      </c>
      <c r="N194" s="91"/>
      <c r="O194" s="91"/>
      <c r="P194" s="91" t="s">
        <v>320</v>
      </c>
      <c r="Q194" s="91"/>
      <c r="R194" s="91" t="s">
        <v>2827</v>
      </c>
      <c r="S194" s="91" t="s">
        <v>2828</v>
      </c>
      <c r="T194" s="353" t="s">
        <v>2829</v>
      </c>
      <c r="U194" s="92"/>
      <c r="V194" s="92">
        <v>26666</v>
      </c>
      <c r="W194" s="164" t="s">
        <v>2830</v>
      </c>
      <c r="X194" s="164"/>
      <c r="Y194" s="164"/>
      <c r="Z194" s="164"/>
      <c r="AA194" s="91">
        <v>14</v>
      </c>
      <c r="AB194" s="92">
        <v>43343</v>
      </c>
      <c r="AC194" s="281">
        <v>43160</v>
      </c>
      <c r="AD194" s="92">
        <v>44651</v>
      </c>
      <c r="AE194" s="92" t="s">
        <v>2831</v>
      </c>
      <c r="AF194" s="92" t="s">
        <v>1134</v>
      </c>
      <c r="AG194" s="92"/>
      <c r="AH194" s="91">
        <f t="shared" si="60"/>
        <v>2</v>
      </c>
      <c r="AI194" s="92" t="s">
        <v>159</v>
      </c>
      <c r="AJ194" s="92" t="s">
        <v>159</v>
      </c>
      <c r="AK194" s="92"/>
      <c r="AL194" s="92" t="s">
        <v>161</v>
      </c>
      <c r="AM194" s="92"/>
      <c r="AN194" s="92"/>
      <c r="AO194" s="92" t="s">
        <v>162</v>
      </c>
      <c r="AP194" s="92"/>
      <c r="AQ194" s="92"/>
      <c r="AR194" s="92"/>
      <c r="AS194" s="92"/>
      <c r="AT194" s="400" t="s">
        <v>578</v>
      </c>
      <c r="AU194" s="91" t="s">
        <v>2832</v>
      </c>
      <c r="AV194" s="92"/>
      <c r="AW194" s="93">
        <v>43164</v>
      </c>
      <c r="AX194" s="93">
        <v>43409</v>
      </c>
      <c r="AY194" s="93" t="s">
        <v>148</v>
      </c>
      <c r="AZ194" s="93"/>
      <c r="BA194" s="93"/>
      <c r="BB194" s="93"/>
      <c r="BC194" s="93"/>
      <c r="BD194" s="93"/>
      <c r="BE194" s="94"/>
      <c r="BF194" s="93"/>
      <c r="BG194" s="93"/>
      <c r="BH194" s="93"/>
      <c r="BI194" s="93"/>
      <c r="BJ194" s="92"/>
      <c r="BK194" s="92"/>
      <c r="BL194" s="92"/>
      <c r="BM194" s="109"/>
      <c r="BN194" s="91" t="s">
        <v>18</v>
      </c>
      <c r="BO194" s="265"/>
      <c r="BP194" s="265"/>
      <c r="BQ194" s="91"/>
      <c r="BR194" s="91">
        <v>4</v>
      </c>
      <c r="BS194" s="91"/>
      <c r="BT194" s="91"/>
      <c r="BU194" s="91"/>
      <c r="BV194" s="91"/>
      <c r="BW194" s="91"/>
      <c r="BX194" s="91"/>
      <c r="BY194" s="91" t="s">
        <v>161</v>
      </c>
      <c r="BZ194" s="91"/>
      <c r="CA194" s="91"/>
      <c r="CB194" s="95"/>
      <c r="CC194" s="95"/>
      <c r="CD194" s="91"/>
      <c r="CE194" s="91"/>
      <c r="CF194" s="91"/>
      <c r="CG194" s="91"/>
      <c r="CH194" s="113"/>
      <c r="CI194" s="91"/>
      <c r="CJ194" s="91"/>
      <c r="CK194" s="91" t="s">
        <v>1820</v>
      </c>
      <c r="CL194"/>
    </row>
    <row r="195" spans="1:90" s="53" customFormat="1" ht="25" customHeight="1" x14ac:dyDescent="0.35">
      <c r="A195" s="136">
        <v>198</v>
      </c>
      <c r="B195" s="136" t="s">
        <v>2833</v>
      </c>
      <c r="C195" s="136" t="s">
        <v>2834</v>
      </c>
      <c r="D195" s="136" t="s">
        <v>2835</v>
      </c>
      <c r="E195" s="136" t="s">
        <v>2836</v>
      </c>
      <c r="F195" s="136" t="s">
        <v>4139</v>
      </c>
      <c r="G195" s="136">
        <v>8</v>
      </c>
      <c r="H195" s="136" t="s">
        <v>52</v>
      </c>
      <c r="I195" s="136" t="s">
        <v>31</v>
      </c>
      <c r="J195" s="136" t="s">
        <v>600</v>
      </c>
      <c r="K195" s="136" t="s">
        <v>2239</v>
      </c>
      <c r="L195" s="136" t="s">
        <v>31</v>
      </c>
      <c r="M195" s="136" t="s">
        <v>148</v>
      </c>
      <c r="N195" s="136"/>
      <c r="O195" s="136"/>
      <c r="P195" s="136" t="s">
        <v>149</v>
      </c>
      <c r="Q195" s="136"/>
      <c r="R195" s="387" t="s">
        <v>2837</v>
      </c>
      <c r="S195" s="136" t="s">
        <v>2838</v>
      </c>
      <c r="T195" s="345" t="s">
        <v>2839</v>
      </c>
      <c r="U195" s="139"/>
      <c r="V195" s="139">
        <v>28488</v>
      </c>
      <c r="W195" s="147" t="s">
        <v>2840</v>
      </c>
      <c r="X195" s="147" t="s">
        <v>154</v>
      </c>
      <c r="Y195" s="147"/>
      <c r="Z195" s="147"/>
      <c r="AA195" s="136">
        <v>2</v>
      </c>
      <c r="AB195" s="139">
        <v>43405</v>
      </c>
      <c r="AC195" s="285">
        <v>43160</v>
      </c>
      <c r="AD195" s="139"/>
      <c r="AE195" s="139" t="s">
        <v>2841</v>
      </c>
      <c r="AF195" s="139" t="s">
        <v>2842</v>
      </c>
      <c r="AG195" s="139"/>
      <c r="AH195" s="136">
        <f t="shared" si="60"/>
        <v>2</v>
      </c>
      <c r="AI195" s="139"/>
      <c r="AJ195" s="139" t="s">
        <v>159</v>
      </c>
      <c r="AK195" s="139"/>
      <c r="AL195" s="139" t="s">
        <v>148</v>
      </c>
      <c r="AM195" s="139" t="s">
        <v>148</v>
      </c>
      <c r="AN195" s="139"/>
      <c r="AO195" s="139" t="s">
        <v>162</v>
      </c>
      <c r="AP195" s="139"/>
      <c r="AQ195" s="139" t="s">
        <v>2843</v>
      </c>
      <c r="AR195" s="139"/>
      <c r="AS195" s="139"/>
      <c r="AT195" s="421" t="s">
        <v>326</v>
      </c>
      <c r="AU195" s="136" t="s">
        <v>2844</v>
      </c>
      <c r="AV195" s="139"/>
      <c r="AW195" s="141">
        <v>43164</v>
      </c>
      <c r="AX195" s="141">
        <v>43409</v>
      </c>
      <c r="AY195" s="141" t="s">
        <v>148</v>
      </c>
      <c r="AZ195" s="141">
        <v>43833</v>
      </c>
      <c r="BA195" s="141">
        <v>43857</v>
      </c>
      <c r="BB195" s="141"/>
      <c r="BC195" s="141"/>
      <c r="BD195" s="141"/>
      <c r="BE195" s="142" t="s">
        <v>2845</v>
      </c>
      <c r="BF195" s="141">
        <v>44207</v>
      </c>
      <c r="BG195" s="141" t="s">
        <v>148</v>
      </c>
      <c r="BH195" s="141">
        <v>44410</v>
      </c>
      <c r="BI195" s="141" t="s">
        <v>148</v>
      </c>
      <c r="BJ195" s="139"/>
      <c r="BK195" s="139"/>
      <c r="BL195" s="139"/>
      <c r="BM195" s="143"/>
      <c r="BN195" s="136" t="s">
        <v>17</v>
      </c>
      <c r="BO195" s="238"/>
      <c r="BP195" s="238"/>
      <c r="BQ195" s="136"/>
      <c r="BR195" s="136">
        <v>5</v>
      </c>
      <c r="BS195" s="136">
        <v>12</v>
      </c>
      <c r="BT195" s="136">
        <v>0</v>
      </c>
      <c r="BU195" s="136"/>
      <c r="BV195" s="136"/>
      <c r="BW195" s="136"/>
      <c r="BX195" s="136"/>
      <c r="BY195" s="136" t="s">
        <v>161</v>
      </c>
      <c r="BZ195" s="136"/>
      <c r="CA195" s="136"/>
      <c r="CB195" s="144"/>
      <c r="CC195" s="144"/>
      <c r="CD195" s="136"/>
      <c r="CE195" s="136"/>
      <c r="CF195" s="136"/>
      <c r="CG195" s="136"/>
      <c r="CH195" s="374"/>
      <c r="CI195" s="136"/>
      <c r="CJ195" s="136"/>
      <c r="CK195" s="136" t="s">
        <v>1820</v>
      </c>
      <c r="CL195"/>
    </row>
    <row r="196" spans="1:90" s="53" customFormat="1" ht="25" customHeight="1" x14ac:dyDescent="0.35">
      <c r="A196" s="136">
        <v>199</v>
      </c>
      <c r="B196" s="136" t="s">
        <v>2846</v>
      </c>
      <c r="C196" s="136" t="s">
        <v>2219</v>
      </c>
      <c r="D196" s="136"/>
      <c r="E196" s="136" t="s">
        <v>2847</v>
      </c>
      <c r="F196" s="136" t="s">
        <v>4140</v>
      </c>
      <c r="G196" s="136">
        <v>8</v>
      </c>
      <c r="H196" s="136" t="s">
        <v>50</v>
      </c>
      <c r="I196" s="136" t="s">
        <v>37</v>
      </c>
      <c r="J196" s="136" t="s">
        <v>2848</v>
      </c>
      <c r="K196" s="136" t="s">
        <v>2849</v>
      </c>
      <c r="L196" s="136" t="s">
        <v>44</v>
      </c>
      <c r="M196" s="136" t="s">
        <v>161</v>
      </c>
      <c r="N196" s="136">
        <v>1540298</v>
      </c>
      <c r="O196" s="136" t="s">
        <v>320</v>
      </c>
      <c r="P196" s="136" t="s">
        <v>320</v>
      </c>
      <c r="Q196" s="136"/>
      <c r="R196" s="387" t="s">
        <v>2850</v>
      </c>
      <c r="S196" s="136" t="s">
        <v>2851</v>
      </c>
      <c r="T196" s="346" t="s">
        <v>2852</v>
      </c>
      <c r="U196" s="139" t="s">
        <v>2853</v>
      </c>
      <c r="V196" s="139">
        <v>31614</v>
      </c>
      <c r="W196" s="147" t="s">
        <v>2854</v>
      </c>
      <c r="X196" s="147" t="s">
        <v>177</v>
      </c>
      <c r="Y196" s="147" t="s">
        <v>161</v>
      </c>
      <c r="Z196" s="147"/>
      <c r="AA196" s="136">
        <v>15</v>
      </c>
      <c r="AB196" s="139">
        <v>43346</v>
      </c>
      <c r="AC196" s="285">
        <v>43160</v>
      </c>
      <c r="AD196" s="139"/>
      <c r="AE196" s="139" t="s">
        <v>2855</v>
      </c>
      <c r="AF196" s="139" t="s">
        <v>2308</v>
      </c>
      <c r="AG196" s="139"/>
      <c r="AH196" s="136">
        <f t="shared" si="60"/>
        <v>2</v>
      </c>
      <c r="AI196" s="139" t="s">
        <v>160</v>
      </c>
      <c r="AJ196" s="139" t="s">
        <v>159</v>
      </c>
      <c r="AK196" s="139"/>
      <c r="AL196" s="139" t="s">
        <v>161</v>
      </c>
      <c r="AM196" s="139" t="s">
        <v>161</v>
      </c>
      <c r="AN196" s="139"/>
      <c r="AO196" s="139" t="s">
        <v>180</v>
      </c>
      <c r="AP196" s="139" t="s">
        <v>2856</v>
      </c>
      <c r="AQ196" s="139" t="s">
        <v>2857</v>
      </c>
      <c r="AR196" s="139"/>
      <c r="AS196" s="139"/>
      <c r="AT196" s="421" t="s">
        <v>202</v>
      </c>
      <c r="AU196" s="136" t="s">
        <v>2858</v>
      </c>
      <c r="AV196" s="139"/>
      <c r="AW196" s="141">
        <v>43164</v>
      </c>
      <c r="AX196" s="141">
        <v>43409</v>
      </c>
      <c r="AY196" s="141" t="s">
        <v>148</v>
      </c>
      <c r="AZ196" s="141">
        <v>43607</v>
      </c>
      <c r="BA196" s="141">
        <v>43941</v>
      </c>
      <c r="BB196" s="141"/>
      <c r="BC196" s="141"/>
      <c r="BD196" s="141"/>
      <c r="BE196" s="142" t="s">
        <v>2859</v>
      </c>
      <c r="BF196" s="141">
        <v>44207</v>
      </c>
      <c r="BG196" s="141" t="s">
        <v>148</v>
      </c>
      <c r="BH196" s="141">
        <v>44410</v>
      </c>
      <c r="BI196" s="141" t="s">
        <v>148</v>
      </c>
      <c r="BJ196" s="139"/>
      <c r="BK196" s="139"/>
      <c r="BL196" s="139"/>
      <c r="BM196" s="143">
        <v>45701</v>
      </c>
      <c r="BN196" s="136" t="s">
        <v>16</v>
      </c>
      <c r="BO196" s="238"/>
      <c r="BP196" s="238"/>
      <c r="BQ196" s="136" t="s">
        <v>2860</v>
      </c>
      <c r="BR196" s="136">
        <v>1</v>
      </c>
      <c r="BS196" s="136">
        <v>8</v>
      </c>
      <c r="BT196" s="136">
        <v>0</v>
      </c>
      <c r="BU196" s="136"/>
      <c r="BV196" s="136"/>
      <c r="BW196" s="136"/>
      <c r="BX196" s="136"/>
      <c r="BY196" s="136" t="s">
        <v>161</v>
      </c>
      <c r="BZ196" s="136" t="s">
        <v>161</v>
      </c>
      <c r="CA196" s="136" t="s">
        <v>2861</v>
      </c>
      <c r="CB196" s="144"/>
      <c r="CC196" s="144"/>
      <c r="CD196" s="136"/>
      <c r="CE196" s="136" t="s">
        <v>161</v>
      </c>
      <c r="CF196" s="136"/>
      <c r="CG196" s="136"/>
      <c r="CH196" s="374">
        <v>1</v>
      </c>
      <c r="CI196" s="136"/>
      <c r="CJ196" s="136"/>
      <c r="CK196" s="136" t="s">
        <v>807</v>
      </c>
      <c r="CL196"/>
    </row>
    <row r="197" spans="1:90" s="53" customFormat="1" ht="25.5" customHeight="1" x14ac:dyDescent="0.35">
      <c r="A197" s="136">
        <v>200</v>
      </c>
      <c r="B197" s="136" t="s">
        <v>2862</v>
      </c>
      <c r="C197" s="136" t="s">
        <v>2863</v>
      </c>
      <c r="D197" s="136" t="s">
        <v>2864</v>
      </c>
      <c r="E197" s="136" t="s">
        <v>2865</v>
      </c>
      <c r="F197" s="136" t="s">
        <v>4140</v>
      </c>
      <c r="G197" s="136">
        <v>8</v>
      </c>
      <c r="H197" s="136" t="s">
        <v>50</v>
      </c>
      <c r="I197" s="136" t="s">
        <v>37</v>
      </c>
      <c r="J197" s="136" t="s">
        <v>2866</v>
      </c>
      <c r="K197" s="136" t="s">
        <v>2867</v>
      </c>
      <c r="L197" s="136" t="s">
        <v>42</v>
      </c>
      <c r="M197" s="136" t="s">
        <v>161</v>
      </c>
      <c r="N197" s="136">
        <v>10104312016</v>
      </c>
      <c r="O197" s="136"/>
      <c r="P197" s="136" t="s">
        <v>149</v>
      </c>
      <c r="Q197" s="136"/>
      <c r="R197" s="136" t="s">
        <v>2868</v>
      </c>
      <c r="S197" s="145" t="s">
        <v>2869</v>
      </c>
      <c r="T197" s="345" t="s">
        <v>2870</v>
      </c>
      <c r="U197" s="139"/>
      <c r="V197" s="139">
        <v>31356</v>
      </c>
      <c r="W197" s="147" t="s">
        <v>2871</v>
      </c>
      <c r="X197" s="147" t="s">
        <v>177</v>
      </c>
      <c r="Y197" s="147"/>
      <c r="Z197" s="147"/>
      <c r="AA197" s="136">
        <v>41</v>
      </c>
      <c r="AB197" s="139">
        <v>42594</v>
      </c>
      <c r="AC197" s="285">
        <v>43160</v>
      </c>
      <c r="AD197" s="139"/>
      <c r="AE197" s="139" t="s">
        <v>2872</v>
      </c>
      <c r="AF197" s="139" t="s">
        <v>2873</v>
      </c>
      <c r="AG197" s="139"/>
      <c r="AH197" s="136">
        <f t="shared" si="60"/>
        <v>2</v>
      </c>
      <c r="AI197" s="139" t="s">
        <v>160</v>
      </c>
      <c r="AJ197" s="139" t="s">
        <v>160</v>
      </c>
      <c r="AK197" s="139"/>
      <c r="AL197" s="139" t="s">
        <v>161</v>
      </c>
      <c r="AM197" s="139"/>
      <c r="AN197" s="139"/>
      <c r="AO197" s="139" t="s">
        <v>162</v>
      </c>
      <c r="AP197" s="139" t="s">
        <v>179</v>
      </c>
      <c r="AQ197" s="139" t="s">
        <v>179</v>
      </c>
      <c r="AR197" s="139"/>
      <c r="AS197" s="139"/>
      <c r="AT197" s="421" t="s">
        <v>202</v>
      </c>
      <c r="AU197" s="136" t="s">
        <v>2874</v>
      </c>
      <c r="AV197" s="139"/>
      <c r="AW197" s="141">
        <v>43164</v>
      </c>
      <c r="AX197" s="141">
        <v>43409</v>
      </c>
      <c r="AY197" s="141" t="s">
        <v>148</v>
      </c>
      <c r="AZ197" s="141">
        <v>43714</v>
      </c>
      <c r="BA197" s="141">
        <v>43927</v>
      </c>
      <c r="BB197" s="141"/>
      <c r="BC197" s="141"/>
      <c r="BD197" s="141"/>
      <c r="BE197" s="142" t="s">
        <v>2875</v>
      </c>
      <c r="BF197" s="141">
        <v>44207</v>
      </c>
      <c r="BG197" s="141" t="s">
        <v>148</v>
      </c>
      <c r="BH197" s="141">
        <v>44410</v>
      </c>
      <c r="BI197" s="141" t="s">
        <v>148</v>
      </c>
      <c r="BJ197" s="139"/>
      <c r="BK197" s="139"/>
      <c r="BL197" s="139"/>
      <c r="BM197" s="143"/>
      <c r="BN197" s="136" t="s">
        <v>17</v>
      </c>
      <c r="BO197" s="238"/>
      <c r="BP197" s="238"/>
      <c r="BQ197" s="136"/>
      <c r="BR197" s="136">
        <v>3</v>
      </c>
      <c r="BS197" s="136"/>
      <c r="BT197" s="136"/>
      <c r="BU197" s="136"/>
      <c r="BV197" s="136"/>
      <c r="BW197" s="136"/>
      <c r="BX197" s="136"/>
      <c r="BY197" s="136" t="s">
        <v>161</v>
      </c>
      <c r="BZ197" s="136"/>
      <c r="CA197" s="136"/>
      <c r="CB197" s="144"/>
      <c r="CC197" s="144"/>
      <c r="CD197" s="136"/>
      <c r="CE197" s="136"/>
      <c r="CF197" s="136"/>
      <c r="CG197" s="136"/>
      <c r="CH197" s="374"/>
      <c r="CI197" s="136"/>
      <c r="CJ197" s="136"/>
      <c r="CK197" s="136" t="s">
        <v>807</v>
      </c>
      <c r="CL197"/>
    </row>
    <row r="198" spans="1:90" s="53" customFormat="1" ht="25" customHeight="1" x14ac:dyDescent="0.35">
      <c r="A198" s="96">
        <v>201</v>
      </c>
      <c r="B198" s="96" t="s">
        <v>2876</v>
      </c>
      <c r="C198" s="96" t="s">
        <v>2877</v>
      </c>
      <c r="D198" s="96" t="s">
        <v>2878</v>
      </c>
      <c r="E198" s="96" t="s">
        <v>2879</v>
      </c>
      <c r="F198" s="96" t="s">
        <v>4139</v>
      </c>
      <c r="G198" s="96">
        <v>9</v>
      </c>
      <c r="H198" s="96" t="s">
        <v>51</v>
      </c>
      <c r="I198" s="96" t="s">
        <v>4136</v>
      </c>
      <c r="J198" s="96" t="s">
        <v>2880</v>
      </c>
      <c r="K198" s="96" t="s">
        <v>2881</v>
      </c>
      <c r="L198" s="96" t="s">
        <v>4136</v>
      </c>
      <c r="M198" s="96" t="s">
        <v>148</v>
      </c>
      <c r="N198" s="96"/>
      <c r="O198" s="96" t="s">
        <v>149</v>
      </c>
      <c r="P198" s="96" t="s">
        <v>149</v>
      </c>
      <c r="Q198" s="96"/>
      <c r="R198" s="96" t="s">
        <v>2882</v>
      </c>
      <c r="S198" s="96" t="s">
        <v>2883</v>
      </c>
      <c r="T198" s="196" t="s">
        <v>2884</v>
      </c>
      <c r="U198" s="97"/>
      <c r="V198" s="97">
        <v>31152</v>
      </c>
      <c r="W198" s="105" t="s">
        <v>2885</v>
      </c>
      <c r="X198" s="105" t="s">
        <v>2886</v>
      </c>
      <c r="Y198" s="105"/>
      <c r="Z198" s="105"/>
      <c r="AA198" s="96">
        <v>14</v>
      </c>
      <c r="AB198" s="97">
        <v>43709</v>
      </c>
      <c r="AC198" s="282">
        <v>43525</v>
      </c>
      <c r="AD198" s="97"/>
      <c r="AE198" s="97" t="s">
        <v>2887</v>
      </c>
      <c r="AF198" s="97" t="s">
        <v>2888</v>
      </c>
      <c r="AG198" s="97"/>
      <c r="AH198" s="96">
        <f>COUNTA(AE198:AG198)</f>
        <v>2</v>
      </c>
      <c r="AI198" s="97" t="s">
        <v>159</v>
      </c>
      <c r="AJ198" s="97" t="s">
        <v>159</v>
      </c>
      <c r="AK198" s="97"/>
      <c r="AL198" s="97" t="s">
        <v>161</v>
      </c>
      <c r="AM198" s="97" t="s">
        <v>148</v>
      </c>
      <c r="AN198" s="97"/>
      <c r="AO198" s="97" t="s">
        <v>180</v>
      </c>
      <c r="AP198" s="97" t="s">
        <v>2889</v>
      </c>
      <c r="AQ198" s="97" t="s">
        <v>2890</v>
      </c>
      <c r="AR198" s="97" t="s">
        <v>148</v>
      </c>
      <c r="AS198" s="97"/>
      <c r="AT198" s="401" t="s">
        <v>296</v>
      </c>
      <c r="AU198" s="96" t="s">
        <v>2891</v>
      </c>
      <c r="AV198" s="97"/>
      <c r="AW198" s="99">
        <v>43528</v>
      </c>
      <c r="AX198" s="99">
        <v>43770</v>
      </c>
      <c r="AY198" s="99" t="s">
        <v>148</v>
      </c>
      <c r="AZ198" s="99">
        <v>43815</v>
      </c>
      <c r="BA198" s="99">
        <v>43808</v>
      </c>
      <c r="BB198" s="99"/>
      <c r="BC198" s="99"/>
      <c r="BD198" s="99"/>
      <c r="BE198" s="100" t="s">
        <v>2892</v>
      </c>
      <c r="BF198" s="99">
        <v>44470</v>
      </c>
      <c r="BG198" s="99" t="s">
        <v>148</v>
      </c>
      <c r="BH198" s="99">
        <v>44732</v>
      </c>
      <c r="BI198" s="99" t="s">
        <v>148</v>
      </c>
      <c r="BJ198" s="97">
        <v>45197</v>
      </c>
      <c r="BK198" s="97"/>
      <c r="BL198" s="97"/>
      <c r="BM198" s="101">
        <v>45337</v>
      </c>
      <c r="BN198" s="96" t="s">
        <v>16</v>
      </c>
      <c r="BO198" s="96">
        <f t="shared" ref="BO198:BO203" si="61">DATEDIF(AW198,BM198, "M")+1</f>
        <v>60</v>
      </c>
      <c r="BP198" s="266">
        <f t="shared" ref="BP198:BP200" si="62">DATEDIF(AX198,BM198, "M")+1</f>
        <v>52</v>
      </c>
      <c r="BQ198" s="96"/>
      <c r="BR198" s="96">
        <v>0</v>
      </c>
      <c r="BS198" s="96">
        <v>5</v>
      </c>
      <c r="BT198" s="96"/>
      <c r="BU198" s="96"/>
      <c r="BV198" s="96"/>
      <c r="BW198" s="96"/>
      <c r="BX198" s="96"/>
      <c r="BY198" s="96" t="s">
        <v>161</v>
      </c>
      <c r="BZ198" s="96"/>
      <c r="CA198" s="96"/>
      <c r="CB198" s="103"/>
      <c r="CC198" s="103"/>
      <c r="CD198" s="96"/>
      <c r="CE198" s="96"/>
      <c r="CF198" s="96"/>
      <c r="CG198" s="96"/>
      <c r="CH198" s="371">
        <v>2</v>
      </c>
      <c r="CI198" s="96"/>
      <c r="CJ198" s="96"/>
      <c r="CK198" s="96" t="s">
        <v>1820</v>
      </c>
      <c r="CL198"/>
    </row>
    <row r="199" spans="1:90" s="53" customFormat="1" ht="25" customHeight="1" x14ac:dyDescent="0.35">
      <c r="A199" s="96">
        <v>202</v>
      </c>
      <c r="B199" s="96" t="s">
        <v>2893</v>
      </c>
      <c r="C199" s="96" t="s">
        <v>2894</v>
      </c>
      <c r="D199" s="96" t="s">
        <v>2895</v>
      </c>
      <c r="E199" s="96" t="s">
        <v>2896</v>
      </c>
      <c r="F199" s="96" t="s">
        <v>4139</v>
      </c>
      <c r="G199" s="96">
        <v>9</v>
      </c>
      <c r="H199" s="96" t="s">
        <v>52</v>
      </c>
      <c r="I199" s="96" t="s">
        <v>39</v>
      </c>
      <c r="J199" s="96" t="s">
        <v>600</v>
      </c>
      <c r="K199" s="96" t="s">
        <v>600</v>
      </c>
      <c r="L199" s="96" t="s">
        <v>44</v>
      </c>
      <c r="M199" s="96" t="s">
        <v>161</v>
      </c>
      <c r="N199" s="197">
        <v>1507128</v>
      </c>
      <c r="O199" s="197" t="s">
        <v>149</v>
      </c>
      <c r="P199" s="96" t="s">
        <v>149</v>
      </c>
      <c r="Q199" s="96"/>
      <c r="R199" s="96" t="s">
        <v>2897</v>
      </c>
      <c r="S199" s="96" t="s">
        <v>2898</v>
      </c>
      <c r="T199" s="196" t="s">
        <v>2899</v>
      </c>
      <c r="U199" s="97" t="s">
        <v>2900</v>
      </c>
      <c r="V199" s="97">
        <v>28764</v>
      </c>
      <c r="W199" s="105" t="s">
        <v>2901</v>
      </c>
      <c r="X199" s="105" t="s">
        <v>177</v>
      </c>
      <c r="Y199" s="105" t="s">
        <v>161</v>
      </c>
      <c r="Z199" s="105"/>
      <c r="AA199" s="96">
        <v>21</v>
      </c>
      <c r="AB199" s="97">
        <v>43837</v>
      </c>
      <c r="AC199" s="282">
        <v>43525</v>
      </c>
      <c r="AD199" s="97"/>
      <c r="AE199" s="97" t="s">
        <v>2902</v>
      </c>
      <c r="AF199" s="97"/>
      <c r="AG199" s="97"/>
      <c r="AH199" s="96">
        <f t="shared" ref="AH199:AH221" si="63">COUNTA(AE199:AG199)</f>
        <v>1</v>
      </c>
      <c r="AI199" s="97" t="s">
        <v>2903</v>
      </c>
      <c r="AJ199" s="97"/>
      <c r="AK199" s="97"/>
      <c r="AL199" s="97" t="s">
        <v>148</v>
      </c>
      <c r="AM199" s="97"/>
      <c r="AN199" s="97"/>
      <c r="AO199" s="97" t="s">
        <v>180</v>
      </c>
      <c r="AP199" s="97" t="s">
        <v>2200</v>
      </c>
      <c r="AQ199" s="97" t="s">
        <v>2904</v>
      </c>
      <c r="AR199" s="97" t="s">
        <v>148</v>
      </c>
      <c r="AS199" s="97"/>
      <c r="AT199" s="401" t="s">
        <v>283</v>
      </c>
      <c r="AU199" s="96" t="s">
        <v>2905</v>
      </c>
      <c r="AV199" s="97"/>
      <c r="AW199" s="99">
        <v>43528</v>
      </c>
      <c r="AX199" s="99">
        <v>43770</v>
      </c>
      <c r="AY199" s="99" t="s">
        <v>148</v>
      </c>
      <c r="AZ199" s="99">
        <v>44057</v>
      </c>
      <c r="BA199" s="99">
        <v>44319</v>
      </c>
      <c r="BB199" s="99"/>
      <c r="BC199" s="99"/>
      <c r="BD199" s="99"/>
      <c r="BE199" s="100" t="s">
        <v>2906</v>
      </c>
      <c r="BF199" s="99">
        <v>44470</v>
      </c>
      <c r="BG199" s="99" t="s">
        <v>148</v>
      </c>
      <c r="BH199" s="99">
        <v>44732</v>
      </c>
      <c r="BI199" s="99" t="s">
        <v>148</v>
      </c>
      <c r="BJ199" s="97"/>
      <c r="BK199" s="97"/>
      <c r="BL199" s="97"/>
      <c r="BM199" s="101">
        <v>45202</v>
      </c>
      <c r="BN199" s="96" t="s">
        <v>16</v>
      </c>
      <c r="BO199" s="96">
        <f t="shared" si="61"/>
        <v>55</v>
      </c>
      <c r="BP199" s="266">
        <f t="shared" si="62"/>
        <v>48</v>
      </c>
      <c r="BQ199" s="266" t="s">
        <v>2907</v>
      </c>
      <c r="BR199" s="96">
        <v>7</v>
      </c>
      <c r="BS199" s="96">
        <v>8</v>
      </c>
      <c r="BT199" s="96"/>
      <c r="BU199" s="96"/>
      <c r="BV199" s="96"/>
      <c r="BW199" s="96"/>
      <c r="BX199" s="96"/>
      <c r="BY199" s="96" t="s">
        <v>161</v>
      </c>
      <c r="BZ199" s="96"/>
      <c r="CA199" s="96"/>
      <c r="CB199" s="103"/>
      <c r="CC199" s="103"/>
      <c r="CD199" s="96"/>
      <c r="CE199" s="96" t="s">
        <v>161</v>
      </c>
      <c r="CF199" s="96"/>
      <c r="CG199" s="96"/>
      <c r="CH199" s="371">
        <v>3</v>
      </c>
      <c r="CI199" s="96"/>
      <c r="CJ199" s="96"/>
      <c r="CK199" s="96" t="s">
        <v>1820</v>
      </c>
      <c r="CL199"/>
    </row>
    <row r="200" spans="1:90" s="53" customFormat="1" ht="25" customHeight="1" x14ac:dyDescent="0.35">
      <c r="A200" s="96">
        <v>203</v>
      </c>
      <c r="B200" s="96" t="s">
        <v>2908</v>
      </c>
      <c r="C200" s="96" t="s">
        <v>2909</v>
      </c>
      <c r="D200" s="96" t="s">
        <v>2910</v>
      </c>
      <c r="E200" s="96" t="s">
        <v>2911</v>
      </c>
      <c r="F200" s="96" t="s">
        <v>4140</v>
      </c>
      <c r="G200" s="96">
        <v>9</v>
      </c>
      <c r="H200" s="96" t="s">
        <v>56</v>
      </c>
      <c r="I200" s="96" t="s">
        <v>44</v>
      </c>
      <c r="J200" s="96" t="s">
        <v>2912</v>
      </c>
      <c r="K200" s="96" t="s">
        <v>2912</v>
      </c>
      <c r="L200" s="96" t="s">
        <v>44</v>
      </c>
      <c r="M200" s="96" t="s">
        <v>148</v>
      </c>
      <c r="N200" s="96">
        <v>161842</v>
      </c>
      <c r="O200" s="96" t="s">
        <v>320</v>
      </c>
      <c r="P200" s="96" t="s">
        <v>320</v>
      </c>
      <c r="Q200" s="96"/>
      <c r="R200" s="318" t="s">
        <v>2913</v>
      </c>
      <c r="S200" s="318" t="s">
        <v>2914</v>
      </c>
      <c r="T200" s="196" t="s">
        <v>2915</v>
      </c>
      <c r="U200" s="97"/>
      <c r="V200" s="97">
        <v>33162</v>
      </c>
      <c r="W200" s="105" t="s">
        <v>2916</v>
      </c>
      <c r="X200" s="105" t="s">
        <v>2886</v>
      </c>
      <c r="Y200" s="105"/>
      <c r="Z200" s="105"/>
      <c r="AA200" s="96">
        <v>33</v>
      </c>
      <c r="AB200" s="97">
        <v>43242</v>
      </c>
      <c r="AC200" s="282">
        <v>43525</v>
      </c>
      <c r="AD200" s="97"/>
      <c r="AE200" s="97" t="s">
        <v>2917</v>
      </c>
      <c r="AF200" s="97"/>
      <c r="AG200" s="97"/>
      <c r="AH200" s="96">
        <f t="shared" si="63"/>
        <v>1</v>
      </c>
      <c r="AI200" s="97" t="s">
        <v>159</v>
      </c>
      <c r="AJ200" s="97"/>
      <c r="AK200" s="97"/>
      <c r="AL200" s="97" t="s">
        <v>148</v>
      </c>
      <c r="AM200" s="97"/>
      <c r="AN200" s="97"/>
      <c r="AO200" s="97" t="s">
        <v>162</v>
      </c>
      <c r="AP200" s="97"/>
      <c r="AQ200" s="97" t="s">
        <v>163</v>
      </c>
      <c r="AR200" s="97"/>
      <c r="AS200" s="97"/>
      <c r="AT200" s="401" t="s">
        <v>370</v>
      </c>
      <c r="AU200" s="96" t="s">
        <v>2918</v>
      </c>
      <c r="AV200" s="97"/>
      <c r="AW200" s="99">
        <v>43528</v>
      </c>
      <c r="AX200" s="99">
        <v>43770</v>
      </c>
      <c r="AY200" s="99" t="s">
        <v>148</v>
      </c>
      <c r="AZ200" s="99">
        <v>43775</v>
      </c>
      <c r="BA200" s="99">
        <v>43693</v>
      </c>
      <c r="BB200" s="99"/>
      <c r="BC200" s="99"/>
      <c r="BD200" s="99"/>
      <c r="BE200" s="100" t="s">
        <v>2919</v>
      </c>
      <c r="BF200" s="99">
        <v>44470</v>
      </c>
      <c r="BG200" s="99" t="s">
        <v>148</v>
      </c>
      <c r="BH200" s="99">
        <v>45110</v>
      </c>
      <c r="BI200" s="99" t="s">
        <v>161</v>
      </c>
      <c r="BJ200" s="97">
        <v>44678</v>
      </c>
      <c r="BK200" s="97"/>
      <c r="BL200" s="97"/>
      <c r="BM200" s="101">
        <v>44851</v>
      </c>
      <c r="BN200" s="96" t="s">
        <v>16</v>
      </c>
      <c r="BO200" s="96">
        <f t="shared" si="61"/>
        <v>44</v>
      </c>
      <c r="BP200" s="266">
        <f t="shared" si="62"/>
        <v>36</v>
      </c>
      <c r="BQ200" s="266" t="s">
        <v>2920</v>
      </c>
      <c r="BR200" s="96">
        <v>0</v>
      </c>
      <c r="BS200" s="96">
        <v>5</v>
      </c>
      <c r="BT200" s="96"/>
      <c r="BU200" s="96"/>
      <c r="BV200" s="96"/>
      <c r="BW200" s="96"/>
      <c r="BX200" s="96"/>
      <c r="BY200" s="96" t="s">
        <v>161</v>
      </c>
      <c r="BZ200" s="96"/>
      <c r="CA200" s="96"/>
      <c r="CB200" s="103"/>
      <c r="CC200" s="103"/>
      <c r="CD200" s="96"/>
      <c r="CE200" s="96"/>
      <c r="CF200" s="96"/>
      <c r="CG200" s="96"/>
      <c r="CH200" s="371">
        <v>0</v>
      </c>
      <c r="CI200" s="96"/>
      <c r="CJ200" s="96"/>
      <c r="CK200" s="96" t="s">
        <v>1820</v>
      </c>
      <c r="CL200"/>
    </row>
    <row r="201" spans="1:90" s="53" customFormat="1" ht="25" customHeight="1" x14ac:dyDescent="0.35">
      <c r="A201" s="96">
        <v>204</v>
      </c>
      <c r="B201" s="96" t="s">
        <v>2921</v>
      </c>
      <c r="C201" s="96" t="s">
        <v>2922</v>
      </c>
      <c r="D201" s="96"/>
      <c r="E201" s="96" t="s">
        <v>2923</v>
      </c>
      <c r="F201" s="96" t="s">
        <v>4139</v>
      </c>
      <c r="G201" s="96">
        <v>9</v>
      </c>
      <c r="H201" s="96" t="s">
        <v>53</v>
      </c>
      <c r="I201" s="96" t="s">
        <v>43</v>
      </c>
      <c r="J201" s="96" t="s">
        <v>2924</v>
      </c>
      <c r="K201" s="96" t="s">
        <v>2924</v>
      </c>
      <c r="L201" s="96" t="s">
        <v>43</v>
      </c>
      <c r="M201" s="96" t="s">
        <v>148</v>
      </c>
      <c r="N201" s="96">
        <v>217303134</v>
      </c>
      <c r="O201" s="96" t="s">
        <v>149</v>
      </c>
      <c r="P201" s="96" t="s">
        <v>149</v>
      </c>
      <c r="Q201" s="96"/>
      <c r="R201" s="96" t="s">
        <v>2925</v>
      </c>
      <c r="S201" s="96" t="s">
        <v>2926</v>
      </c>
      <c r="T201" s="196" t="s">
        <v>2927</v>
      </c>
      <c r="U201" s="97" t="s">
        <v>2928</v>
      </c>
      <c r="V201" s="97">
        <v>29580</v>
      </c>
      <c r="W201" s="105" t="s">
        <v>2929</v>
      </c>
      <c r="X201" s="105" t="s">
        <v>2377</v>
      </c>
      <c r="Y201" s="105" t="s">
        <v>161</v>
      </c>
      <c r="Z201" s="105"/>
      <c r="AA201" s="96">
        <v>21</v>
      </c>
      <c r="AB201" s="97">
        <v>43709</v>
      </c>
      <c r="AC201" s="282">
        <v>43525</v>
      </c>
      <c r="AD201" s="97"/>
      <c r="AE201" s="97" t="s">
        <v>2930</v>
      </c>
      <c r="AF201" s="97"/>
      <c r="AG201" s="97"/>
      <c r="AH201" s="96">
        <f t="shared" si="63"/>
        <v>1</v>
      </c>
      <c r="AI201" s="97" t="s">
        <v>2931</v>
      </c>
      <c r="AJ201" s="97"/>
      <c r="AK201" s="97"/>
      <c r="AL201" s="97" t="s">
        <v>148</v>
      </c>
      <c r="AM201" s="97"/>
      <c r="AN201" s="97"/>
      <c r="AO201" s="97" t="s">
        <v>162</v>
      </c>
      <c r="AP201" s="97" t="s">
        <v>201</v>
      </c>
      <c r="AQ201" s="97" t="s">
        <v>201</v>
      </c>
      <c r="AR201" s="97" t="s">
        <v>161</v>
      </c>
      <c r="AS201" s="104" t="s">
        <v>2932</v>
      </c>
      <c r="AT201" s="401" t="s">
        <v>217</v>
      </c>
      <c r="AU201" s="96" t="s">
        <v>2933</v>
      </c>
      <c r="AV201" s="97"/>
      <c r="AW201" s="99">
        <v>43528</v>
      </c>
      <c r="AX201" s="99">
        <v>43770</v>
      </c>
      <c r="AY201" s="99" t="s">
        <v>148</v>
      </c>
      <c r="AZ201" s="99">
        <v>44266</v>
      </c>
      <c r="BA201" s="99">
        <v>44270</v>
      </c>
      <c r="BB201" s="99"/>
      <c r="BC201" s="99"/>
      <c r="BD201" s="99"/>
      <c r="BE201" s="100" t="s">
        <v>2934</v>
      </c>
      <c r="BF201" s="99">
        <v>44470</v>
      </c>
      <c r="BG201" s="99" t="s">
        <v>148</v>
      </c>
      <c r="BH201" s="99">
        <v>44732</v>
      </c>
      <c r="BI201" s="99" t="s">
        <v>148</v>
      </c>
      <c r="BJ201" s="97"/>
      <c r="BK201" s="97"/>
      <c r="BL201" s="97"/>
      <c r="BM201" s="101">
        <v>45916</v>
      </c>
      <c r="BN201" s="96" t="s">
        <v>16</v>
      </c>
      <c r="BO201" s="96">
        <f t="shared" si="61"/>
        <v>79</v>
      </c>
      <c r="BP201" s="266">
        <f t="shared" ref="BP201" si="64">DATEDIF(AX201,BM201, "M")+1</f>
        <v>71</v>
      </c>
      <c r="BQ201" s="266"/>
      <c r="BR201" s="96"/>
      <c r="BS201" s="96"/>
      <c r="BT201" s="96"/>
      <c r="BU201" s="96"/>
      <c r="BV201" s="96"/>
      <c r="BW201" s="96"/>
      <c r="BX201" s="96"/>
      <c r="BY201" s="96" t="s">
        <v>161</v>
      </c>
      <c r="BZ201" s="96"/>
      <c r="CA201" s="96"/>
      <c r="CB201" s="103"/>
      <c r="CC201" s="103"/>
      <c r="CD201" s="96"/>
      <c r="CE201" s="96"/>
      <c r="CF201" s="96"/>
      <c r="CG201" s="96"/>
      <c r="CH201" s="371">
        <v>2</v>
      </c>
      <c r="CI201" s="96"/>
      <c r="CJ201" s="96"/>
      <c r="CK201" s="96" t="s">
        <v>1820</v>
      </c>
      <c r="CL201"/>
    </row>
    <row r="202" spans="1:90" s="53" customFormat="1" ht="25" customHeight="1" x14ac:dyDescent="0.35">
      <c r="A202" s="96">
        <v>205</v>
      </c>
      <c r="B202" s="96" t="s">
        <v>2935</v>
      </c>
      <c r="C202" s="96" t="s">
        <v>2936</v>
      </c>
      <c r="D202" s="96"/>
      <c r="E202" s="96" t="s">
        <v>2937</v>
      </c>
      <c r="F202" s="96" t="s">
        <v>4140</v>
      </c>
      <c r="G202" s="96">
        <v>9</v>
      </c>
      <c r="H202" s="96" t="s">
        <v>53</v>
      </c>
      <c r="I202" s="96" t="s">
        <v>43</v>
      </c>
      <c r="J202" s="96" t="s">
        <v>1419</v>
      </c>
      <c r="K202" s="96" t="s">
        <v>2011</v>
      </c>
      <c r="L202" s="96" t="s">
        <v>44</v>
      </c>
      <c r="M202" s="96" t="s">
        <v>161</v>
      </c>
      <c r="N202" s="96">
        <v>2394319</v>
      </c>
      <c r="O202" s="96" t="s">
        <v>149</v>
      </c>
      <c r="P202" s="96" t="s">
        <v>149</v>
      </c>
      <c r="Q202" s="96"/>
      <c r="R202" s="318" t="s">
        <v>2938</v>
      </c>
      <c r="S202" s="318" t="s">
        <v>2939</v>
      </c>
      <c r="T202" s="196" t="s">
        <v>2940</v>
      </c>
      <c r="U202" s="97" t="s">
        <v>2941</v>
      </c>
      <c r="V202" s="97">
        <v>27760</v>
      </c>
      <c r="W202" s="105" t="s">
        <v>2942</v>
      </c>
      <c r="X202" s="105" t="s">
        <v>2377</v>
      </c>
      <c r="Y202" s="105" t="s">
        <v>148</v>
      </c>
      <c r="Z202" s="105"/>
      <c r="AA202" s="96">
        <v>8</v>
      </c>
      <c r="AB202" s="97">
        <v>43840</v>
      </c>
      <c r="AC202" s="282">
        <v>43525</v>
      </c>
      <c r="AD202" s="97"/>
      <c r="AE202" s="97" t="s">
        <v>2943</v>
      </c>
      <c r="AF202" s="97"/>
      <c r="AG202" s="97"/>
      <c r="AH202" s="96">
        <f t="shared" si="63"/>
        <v>1</v>
      </c>
      <c r="AI202" s="97" t="s">
        <v>160</v>
      </c>
      <c r="AJ202" s="97"/>
      <c r="AK202" s="97"/>
      <c r="AL202" s="97" t="s">
        <v>148</v>
      </c>
      <c r="AM202" s="97"/>
      <c r="AN202" s="97"/>
      <c r="AO202" s="97" t="s">
        <v>162</v>
      </c>
      <c r="AP202" s="97" t="s">
        <v>201</v>
      </c>
      <c r="AQ202" s="97" t="s">
        <v>201</v>
      </c>
      <c r="AR202" s="97" t="s">
        <v>161</v>
      </c>
      <c r="AS202" s="97"/>
      <c r="AT202" s="401" t="s">
        <v>217</v>
      </c>
      <c r="AU202" s="96" t="s">
        <v>2944</v>
      </c>
      <c r="AV202" s="97"/>
      <c r="AW202" s="99">
        <v>43528</v>
      </c>
      <c r="AX202" s="99">
        <v>43770</v>
      </c>
      <c r="AY202" s="99" t="s">
        <v>148</v>
      </c>
      <c r="AZ202" s="99">
        <v>44166</v>
      </c>
      <c r="BA202" s="99">
        <v>44228</v>
      </c>
      <c r="BB202" s="99"/>
      <c r="BC202" s="99"/>
      <c r="BD202" s="99"/>
      <c r="BE202" s="100" t="s">
        <v>2945</v>
      </c>
      <c r="BF202" s="99">
        <v>44470</v>
      </c>
      <c r="BG202" s="99" t="s">
        <v>148</v>
      </c>
      <c r="BH202" s="99">
        <v>44732</v>
      </c>
      <c r="BI202" s="99" t="s">
        <v>148</v>
      </c>
      <c r="BJ202" s="97">
        <v>44986</v>
      </c>
      <c r="BK202" s="97"/>
      <c r="BL202" s="97"/>
      <c r="BM202" s="101">
        <v>45240</v>
      </c>
      <c r="BN202" s="96" t="s">
        <v>16</v>
      </c>
      <c r="BO202" s="96">
        <f t="shared" si="61"/>
        <v>57</v>
      </c>
      <c r="BP202" s="266">
        <f>DATEDIF(AX202,BM202, "M")+1</f>
        <v>49</v>
      </c>
      <c r="BQ202" s="266" t="s">
        <v>2946</v>
      </c>
      <c r="BR202" s="96">
        <v>1</v>
      </c>
      <c r="BS202" s="96">
        <v>1</v>
      </c>
      <c r="BT202" s="96"/>
      <c r="BU202" s="96"/>
      <c r="BV202" s="96"/>
      <c r="BW202" s="96"/>
      <c r="BX202" s="96"/>
      <c r="BY202" s="96" t="s">
        <v>161</v>
      </c>
      <c r="BZ202" s="96"/>
      <c r="CA202" s="96"/>
      <c r="CB202" s="103"/>
      <c r="CC202" s="103"/>
      <c r="CD202" s="96"/>
      <c r="CE202" s="96"/>
      <c r="CF202" s="96"/>
      <c r="CG202" s="96"/>
      <c r="CH202" s="371">
        <v>3</v>
      </c>
      <c r="CI202" s="96"/>
      <c r="CJ202" s="96"/>
      <c r="CK202" s="96" t="s">
        <v>1820</v>
      </c>
      <c r="CL202"/>
    </row>
    <row r="203" spans="1:90" s="53" customFormat="1" ht="25" customHeight="1" x14ac:dyDescent="0.35">
      <c r="A203" s="96">
        <v>206</v>
      </c>
      <c r="B203" s="96" t="s">
        <v>2947</v>
      </c>
      <c r="C203" s="96" t="s">
        <v>2948</v>
      </c>
      <c r="D203" s="96" t="s">
        <v>2949</v>
      </c>
      <c r="E203" s="96" t="s">
        <v>2950</v>
      </c>
      <c r="F203" s="96" t="s">
        <v>4140</v>
      </c>
      <c r="G203" s="96">
        <v>9</v>
      </c>
      <c r="H203" s="96" t="s">
        <v>50</v>
      </c>
      <c r="I203" s="96" t="s">
        <v>42</v>
      </c>
      <c r="J203" s="96" t="s">
        <v>2951</v>
      </c>
      <c r="K203" s="96" t="s">
        <v>2952</v>
      </c>
      <c r="L203" s="96" t="s">
        <v>42</v>
      </c>
      <c r="M203" s="96" t="s">
        <v>148</v>
      </c>
      <c r="N203" s="96" t="s">
        <v>2953</v>
      </c>
      <c r="O203" s="96" t="s">
        <v>320</v>
      </c>
      <c r="P203" s="96" t="s">
        <v>320</v>
      </c>
      <c r="Q203" s="96"/>
      <c r="R203" s="96" t="s">
        <v>2954</v>
      </c>
      <c r="S203" s="96" t="s">
        <v>2955</v>
      </c>
      <c r="T203" s="196" t="s">
        <v>2956</v>
      </c>
      <c r="U203" s="97" t="s">
        <v>2957</v>
      </c>
      <c r="V203" s="97">
        <v>28925</v>
      </c>
      <c r="W203" s="105" t="s">
        <v>2958</v>
      </c>
      <c r="X203" s="105" t="s">
        <v>2377</v>
      </c>
      <c r="Y203" s="105" t="s">
        <v>155</v>
      </c>
      <c r="Z203" s="105"/>
      <c r="AA203" s="96">
        <v>12</v>
      </c>
      <c r="AB203" s="97">
        <v>43442</v>
      </c>
      <c r="AC203" s="282">
        <v>43525</v>
      </c>
      <c r="AD203" s="97"/>
      <c r="AE203" s="313" t="s">
        <v>2959</v>
      </c>
      <c r="AF203" s="97" t="s">
        <v>2960</v>
      </c>
      <c r="AG203" s="313" t="s">
        <v>2961</v>
      </c>
      <c r="AH203" s="96">
        <f t="shared" si="63"/>
        <v>3</v>
      </c>
      <c r="AI203" s="97" t="s">
        <v>159</v>
      </c>
      <c r="AJ203" s="97" t="s">
        <v>159</v>
      </c>
      <c r="AK203" s="97" t="s">
        <v>200</v>
      </c>
      <c r="AL203" s="97" t="s">
        <v>148</v>
      </c>
      <c r="AM203" s="97" t="s">
        <v>161</v>
      </c>
      <c r="AN203" s="97" t="s">
        <v>161</v>
      </c>
      <c r="AO203" s="97" t="s">
        <v>200</v>
      </c>
      <c r="AP203" s="97" t="s">
        <v>2962</v>
      </c>
      <c r="AQ203" s="97" t="s">
        <v>2963</v>
      </c>
      <c r="AR203" s="97" t="s">
        <v>148</v>
      </c>
      <c r="AS203" s="104" t="s">
        <v>2964</v>
      </c>
      <c r="AT203" s="401" t="s">
        <v>2965</v>
      </c>
      <c r="AU203" s="96" t="s">
        <v>2966</v>
      </c>
      <c r="AV203" s="97"/>
      <c r="AW203" s="99">
        <v>43528</v>
      </c>
      <c r="AX203" s="99">
        <v>43770</v>
      </c>
      <c r="AY203" s="99" t="s">
        <v>148</v>
      </c>
      <c r="AZ203" s="99">
        <v>43411</v>
      </c>
      <c r="BA203" s="99">
        <v>43768</v>
      </c>
      <c r="BB203" s="99"/>
      <c r="BC203" s="99"/>
      <c r="BD203" s="99"/>
      <c r="BE203" s="100" t="s">
        <v>2967</v>
      </c>
      <c r="BF203" s="99">
        <v>44470</v>
      </c>
      <c r="BG203" s="99" t="s">
        <v>148</v>
      </c>
      <c r="BH203" s="99">
        <v>44732</v>
      </c>
      <c r="BI203" s="99" t="s">
        <v>148</v>
      </c>
      <c r="BJ203" s="97"/>
      <c r="BK203" s="97">
        <v>45694</v>
      </c>
      <c r="BL203" s="97"/>
      <c r="BM203" s="101">
        <v>45702</v>
      </c>
      <c r="BN203" s="96" t="s">
        <v>16</v>
      </c>
      <c r="BO203" s="220">
        <f t="shared" si="61"/>
        <v>72</v>
      </c>
      <c r="BP203" s="266">
        <f>DATEDIF(AX203,BM203, "M")+1</f>
        <v>64</v>
      </c>
      <c r="BQ203" s="96"/>
      <c r="BR203" s="96">
        <v>3</v>
      </c>
      <c r="BS203" s="96">
        <v>0</v>
      </c>
      <c r="BT203" s="96"/>
      <c r="BU203" s="96"/>
      <c r="BV203" s="96"/>
      <c r="BW203" s="96"/>
      <c r="BX203" s="96"/>
      <c r="BY203" s="96" t="s">
        <v>161</v>
      </c>
      <c r="BZ203" s="96"/>
      <c r="CA203" s="96"/>
      <c r="CB203" s="103">
        <v>45170</v>
      </c>
      <c r="CC203" s="103">
        <v>45473</v>
      </c>
      <c r="CD203" s="96">
        <v>10</v>
      </c>
      <c r="CE203" s="96"/>
      <c r="CF203" s="96"/>
      <c r="CG203" s="96"/>
      <c r="CH203" s="371">
        <v>1</v>
      </c>
      <c r="CI203" s="96"/>
      <c r="CJ203" s="96"/>
      <c r="CK203" s="96" t="s">
        <v>1820</v>
      </c>
      <c r="CL203"/>
    </row>
    <row r="204" spans="1:90" s="53" customFormat="1" ht="25" customHeight="1" x14ac:dyDescent="0.35">
      <c r="A204" s="96">
        <v>207</v>
      </c>
      <c r="B204" s="96" t="s">
        <v>2968</v>
      </c>
      <c r="C204" s="96" t="s">
        <v>2969</v>
      </c>
      <c r="D204" s="96"/>
      <c r="E204" s="96" t="s">
        <v>2205</v>
      </c>
      <c r="F204" s="96" t="s">
        <v>4139</v>
      </c>
      <c r="G204" s="96">
        <v>9</v>
      </c>
      <c r="H204" s="96" t="s">
        <v>53</v>
      </c>
      <c r="I204" s="96" t="s">
        <v>43</v>
      </c>
      <c r="J204" s="96" t="s">
        <v>2137</v>
      </c>
      <c r="K204" s="96" t="s">
        <v>171</v>
      </c>
      <c r="L204" s="96" t="s">
        <v>43</v>
      </c>
      <c r="M204" s="96" t="s">
        <v>148</v>
      </c>
      <c r="N204" s="96"/>
      <c r="O204" s="96" t="s">
        <v>149</v>
      </c>
      <c r="P204" s="96" t="s">
        <v>149</v>
      </c>
      <c r="Q204" s="96"/>
      <c r="R204" s="318" t="s">
        <v>2970</v>
      </c>
      <c r="S204" s="96" t="s">
        <v>2971</v>
      </c>
      <c r="T204" s="196" t="s">
        <v>2972</v>
      </c>
      <c r="U204" s="97" t="s">
        <v>301</v>
      </c>
      <c r="V204" s="97">
        <v>30157</v>
      </c>
      <c r="W204" s="105" t="s">
        <v>2973</v>
      </c>
      <c r="X204" s="105" t="s">
        <v>177</v>
      </c>
      <c r="Y204" s="105"/>
      <c r="Z204" s="105"/>
      <c r="AA204" s="96">
        <v>6</v>
      </c>
      <c r="AB204" s="97">
        <v>43758</v>
      </c>
      <c r="AC204" s="282">
        <v>43525</v>
      </c>
      <c r="AD204" s="97"/>
      <c r="AE204" s="97" t="s">
        <v>2974</v>
      </c>
      <c r="AF204" s="97" t="s">
        <v>2975</v>
      </c>
      <c r="AG204" s="97"/>
      <c r="AH204" s="96">
        <f t="shared" si="63"/>
        <v>2</v>
      </c>
      <c r="AI204" s="97" t="s">
        <v>160</v>
      </c>
      <c r="AJ204" s="97" t="s">
        <v>200</v>
      </c>
      <c r="AK204" s="97"/>
      <c r="AL204" s="97" t="s">
        <v>148</v>
      </c>
      <c r="AM204" s="97" t="s">
        <v>161</v>
      </c>
      <c r="AN204" s="97"/>
      <c r="AO204" s="97" t="s">
        <v>162</v>
      </c>
      <c r="AP204" s="97" t="s">
        <v>163</v>
      </c>
      <c r="AQ204" s="97" t="s">
        <v>201</v>
      </c>
      <c r="AR204" s="97" t="s">
        <v>161</v>
      </c>
      <c r="AS204" s="97"/>
      <c r="AT204" s="401" t="s">
        <v>217</v>
      </c>
      <c r="AU204" s="96" t="s">
        <v>2976</v>
      </c>
      <c r="AV204" s="97"/>
      <c r="AW204" s="99">
        <v>43528</v>
      </c>
      <c r="AX204" s="99">
        <v>43770</v>
      </c>
      <c r="AY204" s="99" t="s">
        <v>148</v>
      </c>
      <c r="AZ204" s="99">
        <v>43915</v>
      </c>
      <c r="BA204" s="99">
        <v>43971</v>
      </c>
      <c r="BB204" s="99"/>
      <c r="BC204" s="99"/>
      <c r="BD204" s="99"/>
      <c r="BE204" s="100" t="s">
        <v>2977</v>
      </c>
      <c r="BF204" s="99">
        <v>44470</v>
      </c>
      <c r="BG204" s="99" t="s">
        <v>148</v>
      </c>
      <c r="BH204" s="99">
        <v>44732</v>
      </c>
      <c r="BI204" s="99" t="s">
        <v>148</v>
      </c>
      <c r="BJ204" s="97"/>
      <c r="BK204" s="97"/>
      <c r="BL204" s="97"/>
      <c r="BM204" s="101"/>
      <c r="BN204" s="96" t="s">
        <v>17</v>
      </c>
      <c r="BO204" s="220"/>
      <c r="BP204" s="266"/>
      <c r="BQ204" s="96"/>
      <c r="BR204" s="96">
        <v>1</v>
      </c>
      <c r="BS204" s="96">
        <v>0</v>
      </c>
      <c r="BT204" s="96"/>
      <c r="BU204" s="96"/>
      <c r="BV204" s="96"/>
      <c r="BW204" s="96"/>
      <c r="BX204" s="96"/>
      <c r="BY204" s="96" t="s">
        <v>161</v>
      </c>
      <c r="BZ204" s="96"/>
      <c r="CA204" s="96"/>
      <c r="CB204" s="103"/>
      <c r="CC204" s="103"/>
      <c r="CD204" s="96"/>
      <c r="CE204" s="96"/>
      <c r="CF204" s="96"/>
      <c r="CG204" s="96"/>
      <c r="CH204" s="371">
        <v>1</v>
      </c>
      <c r="CI204" s="96"/>
      <c r="CJ204" s="96"/>
      <c r="CK204" s="96" t="s">
        <v>1820</v>
      </c>
      <c r="CL204"/>
    </row>
    <row r="205" spans="1:90" s="53" customFormat="1" ht="25" customHeight="1" x14ac:dyDescent="0.35">
      <c r="A205" s="96">
        <v>208</v>
      </c>
      <c r="B205" s="96" t="s">
        <v>2978</v>
      </c>
      <c r="C205" s="96" t="s">
        <v>809</v>
      </c>
      <c r="D205" s="96"/>
      <c r="E205" s="96" t="s">
        <v>2979</v>
      </c>
      <c r="F205" s="96" t="s">
        <v>4139</v>
      </c>
      <c r="G205" s="96">
        <v>9</v>
      </c>
      <c r="H205" s="96" t="s">
        <v>58</v>
      </c>
      <c r="I205" s="96" t="s">
        <v>35</v>
      </c>
      <c r="J205" s="96" t="s">
        <v>1742</v>
      </c>
      <c r="K205" s="96" t="s">
        <v>2980</v>
      </c>
      <c r="L205" s="96" t="s">
        <v>35</v>
      </c>
      <c r="M205" s="96" t="s">
        <v>148</v>
      </c>
      <c r="N205" s="96" t="s">
        <v>2981</v>
      </c>
      <c r="O205" s="96" t="s">
        <v>320</v>
      </c>
      <c r="P205" s="96" t="s">
        <v>320</v>
      </c>
      <c r="Q205" s="96"/>
      <c r="R205" s="96" t="s">
        <v>2982</v>
      </c>
      <c r="S205" s="96" t="s">
        <v>2983</v>
      </c>
      <c r="T205" s="198" t="s">
        <v>2984</v>
      </c>
      <c r="U205" s="97" t="s">
        <v>2985</v>
      </c>
      <c r="V205" s="97">
        <v>32361</v>
      </c>
      <c r="W205" s="105" t="s">
        <v>2986</v>
      </c>
      <c r="X205" s="105" t="s">
        <v>2377</v>
      </c>
      <c r="Y205" s="105" t="s">
        <v>155</v>
      </c>
      <c r="Z205" s="105"/>
      <c r="AA205" s="96">
        <v>15</v>
      </c>
      <c r="AB205" s="97">
        <v>43647</v>
      </c>
      <c r="AC205" s="282">
        <v>43525</v>
      </c>
      <c r="AD205" s="97"/>
      <c r="AE205" s="97" t="s">
        <v>2987</v>
      </c>
      <c r="AF205" s="97" t="s">
        <v>2988</v>
      </c>
      <c r="AG205" s="97" t="s">
        <v>2989</v>
      </c>
      <c r="AH205" s="96">
        <f t="shared" si="63"/>
        <v>3</v>
      </c>
      <c r="AI205" s="97" t="s">
        <v>159</v>
      </c>
      <c r="AJ205" s="97" t="s">
        <v>159</v>
      </c>
      <c r="AK205" s="97" t="s">
        <v>200</v>
      </c>
      <c r="AL205" s="97" t="s">
        <v>161</v>
      </c>
      <c r="AM205" s="97" t="s">
        <v>161</v>
      </c>
      <c r="AN205" s="97" t="s">
        <v>161</v>
      </c>
      <c r="AO205" s="97" t="s">
        <v>162</v>
      </c>
      <c r="AP205" s="97" t="s">
        <v>2990</v>
      </c>
      <c r="AQ205" s="97" t="s">
        <v>2990</v>
      </c>
      <c r="AR205" s="97"/>
      <c r="AS205" s="97"/>
      <c r="AT205" s="401" t="s">
        <v>578</v>
      </c>
      <c r="AU205" s="96" t="s">
        <v>2991</v>
      </c>
      <c r="AV205" s="97"/>
      <c r="AW205" s="99">
        <v>43528</v>
      </c>
      <c r="AX205" s="99">
        <v>43770</v>
      </c>
      <c r="AY205" s="99" t="s">
        <v>148</v>
      </c>
      <c r="AZ205" s="99">
        <v>43599</v>
      </c>
      <c r="BA205" s="99">
        <v>43746</v>
      </c>
      <c r="BB205" s="99"/>
      <c r="BC205" s="99"/>
      <c r="BD205" s="99"/>
      <c r="BE205" s="100" t="s">
        <v>2992</v>
      </c>
      <c r="BF205" s="99">
        <v>44470</v>
      </c>
      <c r="BG205" s="99" t="s">
        <v>148</v>
      </c>
      <c r="BH205" s="99">
        <v>44732</v>
      </c>
      <c r="BI205" s="99" t="s">
        <v>148</v>
      </c>
      <c r="BJ205" s="97"/>
      <c r="BK205" s="97">
        <v>45168</v>
      </c>
      <c r="BL205" s="97"/>
      <c r="BM205" s="97">
        <v>45168</v>
      </c>
      <c r="BN205" s="96" t="s">
        <v>16</v>
      </c>
      <c r="BO205" s="96">
        <f>DATEDIF(AW205,BM205, "M")+1</f>
        <v>54</v>
      </c>
      <c r="BP205" s="266">
        <f>DATEDIF(AX205,BM205, "M")+1</f>
        <v>46</v>
      </c>
      <c r="BQ205" s="266" t="s">
        <v>2986</v>
      </c>
      <c r="BR205" s="96">
        <v>7</v>
      </c>
      <c r="BS205" s="96">
        <v>24</v>
      </c>
      <c r="BT205" s="96"/>
      <c r="BU205" s="96"/>
      <c r="BV205" s="96"/>
      <c r="BW205" s="96"/>
      <c r="BX205" s="96"/>
      <c r="BY205" s="96" t="s">
        <v>161</v>
      </c>
      <c r="BZ205" s="96"/>
      <c r="CA205" s="96"/>
      <c r="CB205" s="103"/>
      <c r="CC205" s="103"/>
      <c r="CD205" s="96"/>
      <c r="CE205" s="96"/>
      <c r="CF205" s="96"/>
      <c r="CG205" s="96"/>
      <c r="CH205" s="371"/>
      <c r="CI205" s="96"/>
      <c r="CJ205" s="96"/>
      <c r="CK205" s="96" t="s">
        <v>1820</v>
      </c>
      <c r="CL205"/>
    </row>
    <row r="206" spans="1:90" s="53" customFormat="1" ht="25" customHeight="1" x14ac:dyDescent="0.35">
      <c r="A206" s="96">
        <v>209</v>
      </c>
      <c r="B206" s="96" t="s">
        <v>2993</v>
      </c>
      <c r="C206" s="96" t="s">
        <v>2994</v>
      </c>
      <c r="D206" s="96" t="s">
        <v>2995</v>
      </c>
      <c r="E206" s="96" t="s">
        <v>2996</v>
      </c>
      <c r="F206" s="96" t="s">
        <v>4139</v>
      </c>
      <c r="G206" s="96">
        <v>9</v>
      </c>
      <c r="H206" s="96" t="s">
        <v>50</v>
      </c>
      <c r="I206" s="96" t="s">
        <v>42</v>
      </c>
      <c r="J206" s="96" t="s">
        <v>2317</v>
      </c>
      <c r="K206" s="96" t="s">
        <v>2997</v>
      </c>
      <c r="L206" s="96" t="s">
        <v>44</v>
      </c>
      <c r="M206" s="96" t="s">
        <v>161</v>
      </c>
      <c r="N206" s="96"/>
      <c r="O206" s="96" t="s">
        <v>149</v>
      </c>
      <c r="P206" s="96" t="s">
        <v>149</v>
      </c>
      <c r="Q206" s="96"/>
      <c r="R206" s="96" t="s">
        <v>2998</v>
      </c>
      <c r="S206" s="96" t="s">
        <v>2999</v>
      </c>
      <c r="T206" s="196" t="s">
        <v>3000</v>
      </c>
      <c r="U206" s="97"/>
      <c r="V206" s="97">
        <v>30383</v>
      </c>
      <c r="W206" s="105"/>
      <c r="X206" s="105" t="s">
        <v>177</v>
      </c>
      <c r="Y206" s="105"/>
      <c r="Z206" s="105"/>
      <c r="AA206" s="96">
        <v>17</v>
      </c>
      <c r="AB206" s="97">
        <v>44055</v>
      </c>
      <c r="AC206" s="282">
        <v>43525</v>
      </c>
      <c r="AD206" s="97"/>
      <c r="AE206" s="97" t="s">
        <v>3001</v>
      </c>
      <c r="AF206" s="97" t="s">
        <v>3002</v>
      </c>
      <c r="AG206" s="97"/>
      <c r="AH206" s="96">
        <f t="shared" si="63"/>
        <v>2</v>
      </c>
      <c r="AI206" s="97" t="s">
        <v>160</v>
      </c>
      <c r="AJ206" s="97" t="s">
        <v>159</v>
      </c>
      <c r="AK206" s="97"/>
      <c r="AL206" s="197" t="s">
        <v>161</v>
      </c>
      <c r="AM206" s="97" t="s">
        <v>148</v>
      </c>
      <c r="AN206" s="97"/>
      <c r="AO206" s="97" t="s">
        <v>162</v>
      </c>
      <c r="AP206" s="97" t="s">
        <v>3003</v>
      </c>
      <c r="AQ206" s="97" t="s">
        <v>163</v>
      </c>
      <c r="AR206" s="97"/>
      <c r="AS206" s="97"/>
      <c r="AT206" s="401" t="s">
        <v>418</v>
      </c>
      <c r="AU206" s="96" t="s">
        <v>3004</v>
      </c>
      <c r="AV206" s="97"/>
      <c r="AW206" s="99">
        <v>43528</v>
      </c>
      <c r="AX206" s="99">
        <v>43770</v>
      </c>
      <c r="AY206" s="99" t="s">
        <v>148</v>
      </c>
      <c r="AZ206" s="99"/>
      <c r="BA206" s="99"/>
      <c r="BB206" s="99"/>
      <c r="BC206" s="99"/>
      <c r="BD206" s="99"/>
      <c r="BE206" s="100" t="s">
        <v>3005</v>
      </c>
      <c r="BF206" s="99">
        <v>45061</v>
      </c>
      <c r="BG206" s="99" t="s">
        <v>161</v>
      </c>
      <c r="BH206" s="99">
        <v>45110</v>
      </c>
      <c r="BI206" s="99" t="s">
        <v>161</v>
      </c>
      <c r="BJ206" s="97"/>
      <c r="BK206" s="97"/>
      <c r="BL206" s="97"/>
      <c r="BM206" s="101"/>
      <c r="BN206" s="96" t="s">
        <v>17</v>
      </c>
      <c r="BO206" s="220"/>
      <c r="BP206" s="266"/>
      <c r="BQ206" s="96"/>
      <c r="BR206" s="96"/>
      <c r="BS206" s="96"/>
      <c r="BT206" s="96"/>
      <c r="BU206" s="96"/>
      <c r="BV206" s="96"/>
      <c r="BW206" s="96"/>
      <c r="BX206" s="96"/>
      <c r="BY206" s="96" t="s">
        <v>161</v>
      </c>
      <c r="BZ206" s="96"/>
      <c r="CA206" s="96"/>
      <c r="CB206" s="103"/>
      <c r="CC206" s="103"/>
      <c r="CD206" s="96"/>
      <c r="CE206" s="96"/>
      <c r="CF206" s="96"/>
      <c r="CG206" s="96"/>
      <c r="CH206" s="371">
        <v>3</v>
      </c>
      <c r="CI206" s="96"/>
      <c r="CJ206" s="96"/>
      <c r="CK206" s="96" t="s">
        <v>1820</v>
      </c>
      <c r="CL206"/>
    </row>
    <row r="207" spans="1:90" s="53" customFormat="1" ht="25" customHeight="1" x14ac:dyDescent="0.35">
      <c r="A207" s="96">
        <v>210</v>
      </c>
      <c r="B207" s="96" t="s">
        <v>3006</v>
      </c>
      <c r="C207" s="96" t="s">
        <v>3007</v>
      </c>
      <c r="D207" s="96"/>
      <c r="E207" s="96" t="s">
        <v>3008</v>
      </c>
      <c r="F207" s="96" t="s">
        <v>4140</v>
      </c>
      <c r="G207" s="96">
        <v>9</v>
      </c>
      <c r="H207" s="96" t="s">
        <v>53</v>
      </c>
      <c r="I207" s="96" t="s">
        <v>43</v>
      </c>
      <c r="J207" s="96" t="s">
        <v>3009</v>
      </c>
      <c r="K207" s="96" t="s">
        <v>3010</v>
      </c>
      <c r="L207" s="96" t="s">
        <v>43</v>
      </c>
      <c r="M207" s="96" t="s">
        <v>148</v>
      </c>
      <c r="N207" s="96"/>
      <c r="O207" s="96" t="s">
        <v>149</v>
      </c>
      <c r="P207" s="96" t="s">
        <v>149</v>
      </c>
      <c r="Q207" s="96"/>
      <c r="R207" s="96" t="s">
        <v>3011</v>
      </c>
      <c r="S207" s="96" t="s">
        <v>3012</v>
      </c>
      <c r="T207" s="196" t="s">
        <v>3013</v>
      </c>
      <c r="U207" s="97" t="s">
        <v>3014</v>
      </c>
      <c r="V207" s="97">
        <v>29221</v>
      </c>
      <c r="W207" s="105" t="s">
        <v>3015</v>
      </c>
      <c r="X207" s="105" t="s">
        <v>2377</v>
      </c>
      <c r="Y207" s="105" t="s">
        <v>155</v>
      </c>
      <c r="Z207" s="105"/>
      <c r="AA207" s="96">
        <v>11</v>
      </c>
      <c r="AB207" s="97">
        <v>43810</v>
      </c>
      <c r="AC207" s="282">
        <v>43525</v>
      </c>
      <c r="AD207" s="97"/>
      <c r="AE207" s="97" t="s">
        <v>3016</v>
      </c>
      <c r="AF207" s="97" t="s">
        <v>3017</v>
      </c>
      <c r="AG207" s="97"/>
      <c r="AH207" s="96">
        <f t="shared" si="63"/>
        <v>2</v>
      </c>
      <c r="AI207" s="97" t="s">
        <v>159</v>
      </c>
      <c r="AJ207" s="97" t="s">
        <v>159</v>
      </c>
      <c r="AK207" s="97"/>
      <c r="AL207" s="197" t="s">
        <v>161</v>
      </c>
      <c r="AM207" s="97" t="s">
        <v>148</v>
      </c>
      <c r="AN207" s="97"/>
      <c r="AO207" s="97" t="s">
        <v>162</v>
      </c>
      <c r="AP207" s="97" t="s">
        <v>179</v>
      </c>
      <c r="AQ207" s="97" t="s">
        <v>201</v>
      </c>
      <c r="AR207" s="97" t="s">
        <v>161</v>
      </c>
      <c r="AS207" s="97"/>
      <c r="AT207" s="401" t="s">
        <v>217</v>
      </c>
      <c r="AU207" s="96" t="s">
        <v>3018</v>
      </c>
      <c r="AV207" s="97"/>
      <c r="AW207" s="99">
        <v>43528</v>
      </c>
      <c r="AX207" s="99">
        <v>43770</v>
      </c>
      <c r="AY207" s="99" t="s">
        <v>148</v>
      </c>
      <c r="AZ207" s="99"/>
      <c r="BA207" s="99"/>
      <c r="BB207" s="99"/>
      <c r="BC207" s="99"/>
      <c r="BD207" s="99"/>
      <c r="BE207" s="100" t="s">
        <v>3019</v>
      </c>
      <c r="BF207" s="99">
        <v>44470</v>
      </c>
      <c r="BG207" s="99" t="s">
        <v>148</v>
      </c>
      <c r="BH207" s="99">
        <v>44732</v>
      </c>
      <c r="BI207" s="99" t="s">
        <v>148</v>
      </c>
      <c r="BJ207" s="97"/>
      <c r="BK207" s="97"/>
      <c r="BL207" s="97"/>
      <c r="BM207" s="101">
        <v>45229</v>
      </c>
      <c r="BN207" s="96" t="s">
        <v>16</v>
      </c>
      <c r="BO207" s="96">
        <f>DATEDIF(AW207,BM207, "M")+1</f>
        <v>56</v>
      </c>
      <c r="BP207" s="266">
        <f>DATEDIF(AX207,BM207, "M")+1</f>
        <v>48</v>
      </c>
      <c r="BQ207" s="303" t="s">
        <v>3020</v>
      </c>
      <c r="BR207" s="96">
        <v>0</v>
      </c>
      <c r="BS207" s="96"/>
      <c r="BT207" s="96"/>
      <c r="BU207" s="96"/>
      <c r="BV207" s="96"/>
      <c r="BW207" s="96"/>
      <c r="BX207" s="96"/>
      <c r="BY207" s="96" t="s">
        <v>3021</v>
      </c>
      <c r="BZ207" s="96"/>
      <c r="CA207" s="96"/>
      <c r="CB207" s="103"/>
      <c r="CC207" s="103"/>
      <c r="CD207" s="96"/>
      <c r="CE207" s="96"/>
      <c r="CF207" s="96"/>
      <c r="CG207" s="96"/>
      <c r="CH207" s="371">
        <v>4</v>
      </c>
      <c r="CI207" s="96"/>
      <c r="CJ207" s="96"/>
      <c r="CK207" s="96" t="s">
        <v>1820</v>
      </c>
      <c r="CL207"/>
    </row>
    <row r="208" spans="1:90" s="53" customFormat="1" ht="25" customHeight="1" x14ac:dyDescent="0.35">
      <c r="A208" s="96">
        <v>211</v>
      </c>
      <c r="B208" s="96" t="s">
        <v>3022</v>
      </c>
      <c r="C208" s="96" t="s">
        <v>3023</v>
      </c>
      <c r="D208" s="96"/>
      <c r="E208" s="96" t="s">
        <v>3024</v>
      </c>
      <c r="F208" s="96" t="s">
        <v>4139</v>
      </c>
      <c r="G208" s="96">
        <v>9</v>
      </c>
      <c r="H208" s="96" t="s">
        <v>58</v>
      </c>
      <c r="I208" s="96" t="s">
        <v>35</v>
      </c>
      <c r="J208" s="96" t="s">
        <v>3025</v>
      </c>
      <c r="K208" s="96" t="s">
        <v>3026</v>
      </c>
      <c r="L208" s="96" t="s">
        <v>35</v>
      </c>
      <c r="M208" s="96" t="s">
        <v>148</v>
      </c>
      <c r="N208" s="96">
        <v>201000282</v>
      </c>
      <c r="O208" s="96" t="s">
        <v>149</v>
      </c>
      <c r="P208" s="96" t="s">
        <v>149</v>
      </c>
      <c r="Q208" s="96"/>
      <c r="R208" s="96" t="s">
        <v>3027</v>
      </c>
      <c r="S208" s="96" t="s">
        <v>3028</v>
      </c>
      <c r="T208" s="196" t="s">
        <v>3029</v>
      </c>
      <c r="U208" s="97" t="s">
        <v>3030</v>
      </c>
      <c r="V208" s="97">
        <v>29803</v>
      </c>
      <c r="W208" s="105" t="s">
        <v>3031</v>
      </c>
      <c r="X208" s="105" t="s">
        <v>2496</v>
      </c>
      <c r="Y208" s="105"/>
      <c r="Z208" s="105"/>
      <c r="AA208" s="96">
        <v>28</v>
      </c>
      <c r="AB208" s="97">
        <v>43556</v>
      </c>
      <c r="AC208" s="282">
        <v>43525</v>
      </c>
      <c r="AD208" s="97"/>
      <c r="AE208" s="97" t="s">
        <v>3032</v>
      </c>
      <c r="AF208" s="97" t="s">
        <v>3033</v>
      </c>
      <c r="AG208" s="97"/>
      <c r="AH208" s="96">
        <f t="shared" si="63"/>
        <v>2</v>
      </c>
      <c r="AI208" s="97"/>
      <c r="AJ208" s="97"/>
      <c r="AK208" s="97"/>
      <c r="AL208" s="97"/>
      <c r="AM208" s="97"/>
      <c r="AN208" s="97"/>
      <c r="AO208" s="97" t="s">
        <v>162</v>
      </c>
      <c r="AP208" s="97" t="s">
        <v>179</v>
      </c>
      <c r="AQ208" s="97"/>
      <c r="AR208" s="97"/>
      <c r="AS208" s="97"/>
      <c r="AT208" s="401" t="s">
        <v>578</v>
      </c>
      <c r="AU208" s="96" t="s">
        <v>3034</v>
      </c>
      <c r="AV208" s="97"/>
      <c r="AW208" s="99">
        <v>43528</v>
      </c>
      <c r="AX208" s="99">
        <v>43770</v>
      </c>
      <c r="AY208" s="99" t="s">
        <v>148</v>
      </c>
      <c r="AZ208" s="99"/>
      <c r="BA208" s="99">
        <v>43934</v>
      </c>
      <c r="BB208" s="99"/>
      <c r="BC208" s="99"/>
      <c r="BD208" s="99"/>
      <c r="BE208" s="100" t="s">
        <v>3035</v>
      </c>
      <c r="BF208" s="99">
        <v>44470</v>
      </c>
      <c r="BG208" s="99" t="s">
        <v>148</v>
      </c>
      <c r="BH208" s="99">
        <v>44732</v>
      </c>
      <c r="BI208" s="99" t="s">
        <v>148</v>
      </c>
      <c r="BJ208" s="97"/>
      <c r="BK208" s="97"/>
      <c r="BL208" s="97"/>
      <c r="BM208" s="101">
        <v>45483</v>
      </c>
      <c r="BN208" s="96" t="s">
        <v>16</v>
      </c>
      <c r="BO208" s="96">
        <f>DATEDIF(AW208,BM208, "M")+1</f>
        <v>65</v>
      </c>
      <c r="BP208" s="266">
        <f>DATEDIF(AX208,BM208, "M")+1</f>
        <v>57</v>
      </c>
      <c r="BQ208" s="96"/>
      <c r="BR208" s="96">
        <v>4</v>
      </c>
      <c r="BS208" s="96">
        <v>1</v>
      </c>
      <c r="BT208" s="96"/>
      <c r="BU208" s="96"/>
      <c r="BV208" s="96"/>
      <c r="BW208" s="96"/>
      <c r="BX208" s="96"/>
      <c r="BY208" s="96" t="s">
        <v>161</v>
      </c>
      <c r="BZ208" s="96"/>
      <c r="CA208" s="96"/>
      <c r="CB208" s="103"/>
      <c r="CC208" s="103"/>
      <c r="CD208" s="96"/>
      <c r="CE208" s="96"/>
      <c r="CF208" s="96"/>
      <c r="CG208" s="96"/>
      <c r="CH208" s="371">
        <v>3</v>
      </c>
      <c r="CI208" s="96"/>
      <c r="CJ208" s="96"/>
      <c r="CK208" s="96" t="s">
        <v>1820</v>
      </c>
      <c r="CL208"/>
    </row>
    <row r="209" spans="1:90" s="53" customFormat="1" ht="25" customHeight="1" x14ac:dyDescent="0.35">
      <c r="A209" s="96">
        <v>212</v>
      </c>
      <c r="B209" s="96" t="s">
        <v>3036</v>
      </c>
      <c r="C209" s="96" t="s">
        <v>3037</v>
      </c>
      <c r="D209" s="96"/>
      <c r="E209" s="96" t="s">
        <v>3038</v>
      </c>
      <c r="F209" s="96" t="s">
        <v>4140</v>
      </c>
      <c r="G209" s="96">
        <v>9</v>
      </c>
      <c r="H209" s="96" t="s">
        <v>56</v>
      </c>
      <c r="I209" s="96" t="s">
        <v>44</v>
      </c>
      <c r="J209" s="96" t="s">
        <v>2744</v>
      </c>
      <c r="K209" s="96" t="s">
        <v>2744</v>
      </c>
      <c r="L209" s="96" t="s">
        <v>44</v>
      </c>
      <c r="M209" s="96" t="s">
        <v>148</v>
      </c>
      <c r="N209" s="96"/>
      <c r="O209" s="96" t="s">
        <v>320</v>
      </c>
      <c r="P209" s="96" t="s">
        <v>320</v>
      </c>
      <c r="Q209" s="96"/>
      <c r="R209" s="96" t="s">
        <v>3039</v>
      </c>
      <c r="S209" s="96" t="s">
        <v>3040</v>
      </c>
      <c r="T209" s="196" t="s">
        <v>3041</v>
      </c>
      <c r="U209" s="97" t="s">
        <v>3042</v>
      </c>
      <c r="V209" s="97">
        <v>30461</v>
      </c>
      <c r="W209" s="105" t="s">
        <v>3043</v>
      </c>
      <c r="X209" s="105" t="s">
        <v>177</v>
      </c>
      <c r="Y209" s="105"/>
      <c r="Z209" s="105"/>
      <c r="AA209" s="96">
        <v>1</v>
      </c>
      <c r="AB209" s="97">
        <v>43528</v>
      </c>
      <c r="AC209" s="282">
        <v>43525</v>
      </c>
      <c r="AD209" s="97"/>
      <c r="AE209" s="97" t="s">
        <v>3044</v>
      </c>
      <c r="AF209" s="97" t="s">
        <v>3045</v>
      </c>
      <c r="AG209" s="97" t="s">
        <v>3046</v>
      </c>
      <c r="AH209" s="96">
        <f t="shared" si="63"/>
        <v>3</v>
      </c>
      <c r="AI209" s="97" t="s">
        <v>159</v>
      </c>
      <c r="AJ209" s="97" t="s">
        <v>200</v>
      </c>
      <c r="AK209" s="97"/>
      <c r="AL209" s="97" t="s">
        <v>148</v>
      </c>
      <c r="AM209" s="97" t="s">
        <v>161</v>
      </c>
      <c r="AN209" s="97"/>
      <c r="AO209" s="97" t="s">
        <v>162</v>
      </c>
      <c r="AP209" s="97" t="s">
        <v>1857</v>
      </c>
      <c r="AQ209" s="97" t="s">
        <v>2432</v>
      </c>
      <c r="AR209" s="97" t="s">
        <v>148</v>
      </c>
      <c r="AS209" s="104" t="s">
        <v>3047</v>
      </c>
      <c r="AT209" s="401" t="s">
        <v>370</v>
      </c>
      <c r="AU209" s="96" t="s">
        <v>3048</v>
      </c>
      <c r="AV209" s="97"/>
      <c r="AW209" s="99">
        <v>43528</v>
      </c>
      <c r="AX209" s="99">
        <v>43770</v>
      </c>
      <c r="AY209" s="99" t="s">
        <v>148</v>
      </c>
      <c r="AZ209" s="99">
        <v>43770</v>
      </c>
      <c r="BA209" s="99">
        <v>43862</v>
      </c>
      <c r="BB209" s="99"/>
      <c r="BC209" s="99"/>
      <c r="BD209" s="99"/>
      <c r="BE209" s="100" t="s">
        <v>3049</v>
      </c>
      <c r="BF209" s="99">
        <v>44470</v>
      </c>
      <c r="BG209" s="99" t="s">
        <v>148</v>
      </c>
      <c r="BH209" s="99">
        <v>44732</v>
      </c>
      <c r="BI209" s="99" t="s">
        <v>148</v>
      </c>
      <c r="BJ209" s="97"/>
      <c r="BK209" s="97"/>
      <c r="BL209" s="97"/>
      <c r="BM209" s="101">
        <v>45443</v>
      </c>
      <c r="BN209" s="96" t="s">
        <v>16</v>
      </c>
      <c r="BO209" s="96">
        <f>DATEDIF(AW209,BM209, "M")+1</f>
        <v>63</v>
      </c>
      <c r="BP209" s="266">
        <f t="shared" ref="BP209:BP210" si="65">DATEDIF(AX209,BM209, "M")+1</f>
        <v>55</v>
      </c>
      <c r="BQ209" s="303" t="s">
        <v>3050</v>
      </c>
      <c r="BR209" s="96">
        <v>2</v>
      </c>
      <c r="BS209" s="96">
        <v>0</v>
      </c>
      <c r="BT209" s="96"/>
      <c r="BU209" s="96"/>
      <c r="BV209" s="96"/>
      <c r="BW209" s="96"/>
      <c r="BX209" s="96"/>
      <c r="BY209" s="96" t="s">
        <v>161</v>
      </c>
      <c r="BZ209" s="96"/>
      <c r="CA209" s="96"/>
      <c r="CB209" s="103"/>
      <c r="CC209" s="103"/>
      <c r="CD209" s="96"/>
      <c r="CE209" s="96"/>
      <c r="CF209" s="96"/>
      <c r="CG209" s="96"/>
      <c r="CH209" s="371">
        <v>0</v>
      </c>
      <c r="CI209" s="96"/>
      <c r="CJ209" s="96"/>
      <c r="CK209" s="96" t="s">
        <v>1820</v>
      </c>
      <c r="CL209"/>
    </row>
    <row r="210" spans="1:90" s="53" customFormat="1" ht="25" customHeight="1" x14ac:dyDescent="0.35">
      <c r="A210" s="96">
        <v>213</v>
      </c>
      <c r="B210" s="96" t="s">
        <v>3051</v>
      </c>
      <c r="C210" s="96" t="s">
        <v>3052</v>
      </c>
      <c r="D210" s="96" t="s">
        <v>3053</v>
      </c>
      <c r="E210" s="96" t="s">
        <v>3054</v>
      </c>
      <c r="F210" s="96" t="s">
        <v>4140</v>
      </c>
      <c r="G210" s="96">
        <v>9</v>
      </c>
      <c r="H210" s="96" t="s">
        <v>52</v>
      </c>
      <c r="I210" s="96" t="s">
        <v>39</v>
      </c>
      <c r="J210" s="96" t="s">
        <v>3055</v>
      </c>
      <c r="K210" s="96" t="s">
        <v>288</v>
      </c>
      <c r="L210" s="96" t="s">
        <v>31</v>
      </c>
      <c r="M210" s="96" t="s">
        <v>161</v>
      </c>
      <c r="N210" s="96">
        <v>78570</v>
      </c>
      <c r="O210" s="96" t="s">
        <v>149</v>
      </c>
      <c r="P210" s="96" t="s">
        <v>149</v>
      </c>
      <c r="Q210" s="96"/>
      <c r="R210" s="96" t="s">
        <v>3056</v>
      </c>
      <c r="S210" s="318" t="s">
        <v>3057</v>
      </c>
      <c r="T210" s="196" t="s">
        <v>3058</v>
      </c>
      <c r="U210" s="97"/>
      <c r="V210" s="97">
        <v>28082</v>
      </c>
      <c r="W210" s="105" t="s">
        <v>3059</v>
      </c>
      <c r="X210" s="105" t="s">
        <v>177</v>
      </c>
      <c r="Y210" s="105"/>
      <c r="Z210" s="105"/>
      <c r="AA210" s="96">
        <v>30</v>
      </c>
      <c r="AB210" s="97">
        <v>43570</v>
      </c>
      <c r="AC210" s="282">
        <v>43525</v>
      </c>
      <c r="AD210" s="97"/>
      <c r="AE210" s="97" t="s">
        <v>3060</v>
      </c>
      <c r="AF210" s="97" t="s">
        <v>3061</v>
      </c>
      <c r="AG210" s="97"/>
      <c r="AH210" s="96">
        <f t="shared" si="63"/>
        <v>2</v>
      </c>
      <c r="AI210" s="97" t="s">
        <v>160</v>
      </c>
      <c r="AJ210" s="97" t="s">
        <v>159</v>
      </c>
      <c r="AK210" s="97"/>
      <c r="AL210" s="97" t="s">
        <v>148</v>
      </c>
      <c r="AM210" s="97"/>
      <c r="AN210" s="97"/>
      <c r="AO210" s="97" t="s">
        <v>162</v>
      </c>
      <c r="AP210" s="97" t="s">
        <v>201</v>
      </c>
      <c r="AQ210" s="97" t="s">
        <v>248</v>
      </c>
      <c r="AR210" s="97" t="s">
        <v>148</v>
      </c>
      <c r="AS210" s="97"/>
      <c r="AT210" s="401" t="s">
        <v>283</v>
      </c>
      <c r="AU210" s="96" t="s">
        <v>3062</v>
      </c>
      <c r="AV210" s="97"/>
      <c r="AW210" s="99">
        <v>43528</v>
      </c>
      <c r="AX210" s="99">
        <v>43770</v>
      </c>
      <c r="AY210" s="99" t="s">
        <v>148</v>
      </c>
      <c r="AZ210" s="99">
        <v>44369</v>
      </c>
      <c r="BA210" s="99">
        <v>44083</v>
      </c>
      <c r="BB210" s="99"/>
      <c r="BC210" s="99"/>
      <c r="BD210" s="99"/>
      <c r="BE210" s="100" t="s">
        <v>3063</v>
      </c>
      <c r="BF210" s="99">
        <v>44470</v>
      </c>
      <c r="BG210" s="99" t="s">
        <v>148</v>
      </c>
      <c r="BH210" s="99">
        <v>44732</v>
      </c>
      <c r="BI210" s="99" t="s">
        <v>148</v>
      </c>
      <c r="BJ210" s="97"/>
      <c r="BK210" s="97">
        <v>45187</v>
      </c>
      <c r="BL210" s="97"/>
      <c r="BM210" s="101">
        <v>45226</v>
      </c>
      <c r="BN210" s="96" t="s">
        <v>16</v>
      </c>
      <c r="BO210" s="96">
        <f>DATEDIF(AW210,BM210, "M")+1</f>
        <v>56</v>
      </c>
      <c r="BP210" s="266">
        <f t="shared" si="65"/>
        <v>48</v>
      </c>
      <c r="BQ210" s="96"/>
      <c r="BR210" s="96">
        <v>2</v>
      </c>
      <c r="BS210" s="96">
        <v>2</v>
      </c>
      <c r="BT210" s="96"/>
      <c r="BU210" s="96"/>
      <c r="BV210" s="96"/>
      <c r="BW210" s="96"/>
      <c r="BX210" s="96"/>
      <c r="BY210" s="96" t="s">
        <v>161</v>
      </c>
      <c r="BZ210" s="96"/>
      <c r="CA210" s="96"/>
      <c r="CB210" s="103">
        <v>45047</v>
      </c>
      <c r="CC210" s="103">
        <v>45229</v>
      </c>
      <c r="CD210" s="96">
        <v>6</v>
      </c>
      <c r="CE210" s="96"/>
      <c r="CF210" s="96"/>
      <c r="CG210" s="96"/>
      <c r="CH210" s="371">
        <v>3</v>
      </c>
      <c r="CI210" s="96"/>
      <c r="CJ210" s="96"/>
      <c r="CK210" s="96" t="s">
        <v>807</v>
      </c>
      <c r="CL210"/>
    </row>
    <row r="211" spans="1:90" s="53" customFormat="1" ht="25" customHeight="1" x14ac:dyDescent="0.35">
      <c r="A211" s="96">
        <v>214</v>
      </c>
      <c r="B211" s="96" t="s">
        <v>3064</v>
      </c>
      <c r="C211" s="96" t="s">
        <v>3065</v>
      </c>
      <c r="D211" s="96" t="s">
        <v>3066</v>
      </c>
      <c r="E211" s="96" t="s">
        <v>3067</v>
      </c>
      <c r="F211" s="96" t="s">
        <v>4140</v>
      </c>
      <c r="G211" s="96">
        <v>9</v>
      </c>
      <c r="H211" s="96" t="s">
        <v>52</v>
      </c>
      <c r="I211" s="96" t="s">
        <v>31</v>
      </c>
      <c r="J211" s="96" t="s">
        <v>1173</v>
      </c>
      <c r="K211" s="96" t="s">
        <v>3068</v>
      </c>
      <c r="L211" s="96" t="s">
        <v>31</v>
      </c>
      <c r="M211" s="96" t="s">
        <v>148</v>
      </c>
      <c r="N211" s="96" t="s">
        <v>3069</v>
      </c>
      <c r="O211" s="96" t="s">
        <v>149</v>
      </c>
      <c r="P211" s="96" t="s">
        <v>149</v>
      </c>
      <c r="Q211" s="96"/>
      <c r="R211" s="96" t="s">
        <v>3070</v>
      </c>
      <c r="S211" s="96" t="s">
        <v>3071</v>
      </c>
      <c r="T211" s="196" t="s">
        <v>3072</v>
      </c>
      <c r="U211" s="97" t="s">
        <v>3073</v>
      </c>
      <c r="V211" s="97">
        <v>27320</v>
      </c>
      <c r="W211" s="105" t="s">
        <v>3074</v>
      </c>
      <c r="X211" s="105" t="s">
        <v>2377</v>
      </c>
      <c r="Y211" s="105" t="s">
        <v>148</v>
      </c>
      <c r="Z211" s="105"/>
      <c r="AA211" s="96">
        <v>2</v>
      </c>
      <c r="AB211" s="97">
        <v>43472</v>
      </c>
      <c r="AC211" s="282">
        <v>43525</v>
      </c>
      <c r="AD211" s="97"/>
      <c r="AE211" s="97" t="s">
        <v>3075</v>
      </c>
      <c r="AF211" s="97"/>
      <c r="AG211" s="97"/>
      <c r="AH211" s="96">
        <f t="shared" si="63"/>
        <v>1</v>
      </c>
      <c r="AI211" s="97" t="s">
        <v>159</v>
      </c>
      <c r="AJ211" s="97"/>
      <c r="AK211" s="97"/>
      <c r="AL211" s="97" t="s">
        <v>148</v>
      </c>
      <c r="AM211" s="97"/>
      <c r="AN211" s="97"/>
      <c r="AO211" s="97" t="s">
        <v>162</v>
      </c>
      <c r="AP211" s="97" t="s">
        <v>1438</v>
      </c>
      <c r="AQ211" s="97" t="s">
        <v>248</v>
      </c>
      <c r="AR211" s="97" t="s">
        <v>148</v>
      </c>
      <c r="AS211" s="97"/>
      <c r="AT211" s="402" t="s">
        <v>326</v>
      </c>
      <c r="AU211" s="96" t="s">
        <v>3076</v>
      </c>
      <c r="AV211" s="97"/>
      <c r="AW211" s="99">
        <v>43528</v>
      </c>
      <c r="AX211" s="99">
        <v>43770</v>
      </c>
      <c r="AY211" s="99" t="s">
        <v>148</v>
      </c>
      <c r="AZ211" s="99">
        <v>43724</v>
      </c>
      <c r="BA211" s="99">
        <v>44187</v>
      </c>
      <c r="BB211" s="99"/>
      <c r="BC211" s="99"/>
      <c r="BD211" s="99"/>
      <c r="BE211" s="100" t="s">
        <v>3077</v>
      </c>
      <c r="BF211" s="99">
        <v>44872</v>
      </c>
      <c r="BG211" s="99" t="s">
        <v>161</v>
      </c>
      <c r="BH211" s="99">
        <v>45110</v>
      </c>
      <c r="BI211" s="99" t="s">
        <v>161</v>
      </c>
      <c r="BJ211" s="97"/>
      <c r="BK211" s="97"/>
      <c r="BL211" s="97"/>
      <c r="BM211" s="101"/>
      <c r="BN211" s="96" t="s">
        <v>17</v>
      </c>
      <c r="BO211" s="220"/>
      <c r="BP211" s="266"/>
      <c r="BQ211" s="96"/>
      <c r="BR211" s="96">
        <v>7</v>
      </c>
      <c r="BS211" s="96">
        <v>5</v>
      </c>
      <c r="BT211" s="96"/>
      <c r="BU211" s="96"/>
      <c r="BV211" s="96"/>
      <c r="BW211" s="96"/>
      <c r="BX211" s="96"/>
      <c r="BY211" s="96" t="s">
        <v>161</v>
      </c>
      <c r="BZ211" s="96"/>
      <c r="CA211" s="96"/>
      <c r="CB211" s="103"/>
      <c r="CC211" s="103"/>
      <c r="CD211" s="96"/>
      <c r="CE211" s="96"/>
      <c r="CF211" s="96"/>
      <c r="CG211" s="96"/>
      <c r="CH211" s="371">
        <v>4</v>
      </c>
      <c r="CI211" s="96"/>
      <c r="CJ211" s="96"/>
      <c r="CK211" s="96" t="s">
        <v>807</v>
      </c>
      <c r="CL211"/>
    </row>
    <row r="212" spans="1:90" s="53" customFormat="1" ht="31" customHeight="1" x14ac:dyDescent="0.35">
      <c r="A212" s="96">
        <v>215</v>
      </c>
      <c r="B212" s="96" t="s">
        <v>3078</v>
      </c>
      <c r="C212" s="96" t="s">
        <v>3079</v>
      </c>
      <c r="D212" s="96" t="s">
        <v>3080</v>
      </c>
      <c r="E212" s="96" t="s">
        <v>3081</v>
      </c>
      <c r="F212" s="96" t="s">
        <v>4140</v>
      </c>
      <c r="G212" s="96">
        <v>9</v>
      </c>
      <c r="H212" s="96" t="s">
        <v>52</v>
      </c>
      <c r="I212" s="96" t="s">
        <v>31</v>
      </c>
      <c r="J212" s="96" t="s">
        <v>3082</v>
      </c>
      <c r="K212" s="96" t="s">
        <v>3083</v>
      </c>
      <c r="L212" s="96" t="s">
        <v>31</v>
      </c>
      <c r="M212" s="96" t="s">
        <v>148</v>
      </c>
      <c r="N212" s="96">
        <v>138807</v>
      </c>
      <c r="O212" s="96" t="s">
        <v>320</v>
      </c>
      <c r="P212" s="96" t="s">
        <v>320</v>
      </c>
      <c r="Q212" s="96"/>
      <c r="R212" s="318" t="s">
        <v>3084</v>
      </c>
      <c r="S212" s="318" t="s">
        <v>3085</v>
      </c>
      <c r="T212" s="199" t="s">
        <v>3086</v>
      </c>
      <c r="U212" s="97" t="s">
        <v>3087</v>
      </c>
      <c r="V212" s="97">
        <v>31819</v>
      </c>
      <c r="W212" s="105" t="s">
        <v>3088</v>
      </c>
      <c r="X212" s="105" t="s">
        <v>2377</v>
      </c>
      <c r="Y212" s="105" t="s">
        <v>155</v>
      </c>
      <c r="Z212" s="105"/>
      <c r="AA212" s="96">
        <v>13</v>
      </c>
      <c r="AB212" s="97">
        <v>42417</v>
      </c>
      <c r="AC212" s="282">
        <v>43525</v>
      </c>
      <c r="AD212" s="97"/>
      <c r="AE212" s="97" t="s">
        <v>3089</v>
      </c>
      <c r="AF212" s="97"/>
      <c r="AG212" s="97"/>
      <c r="AH212" s="96">
        <f t="shared" si="63"/>
        <v>1</v>
      </c>
      <c r="AI212" s="97" t="s">
        <v>159</v>
      </c>
      <c r="AJ212" s="97"/>
      <c r="AK212" s="97"/>
      <c r="AL212" s="97" t="s">
        <v>148</v>
      </c>
      <c r="AM212" s="97"/>
      <c r="AN212" s="97"/>
      <c r="AO212" s="97" t="s">
        <v>162</v>
      </c>
      <c r="AP212" s="97" t="s">
        <v>3090</v>
      </c>
      <c r="AQ212" s="97" t="s">
        <v>3091</v>
      </c>
      <c r="AR212" s="97"/>
      <c r="AS212" s="97"/>
      <c r="AT212" s="402" t="s">
        <v>3092</v>
      </c>
      <c r="AU212" s="96" t="s">
        <v>3093</v>
      </c>
      <c r="AV212" s="97"/>
      <c r="AW212" s="99">
        <v>43528</v>
      </c>
      <c r="AX212" s="99">
        <v>43770</v>
      </c>
      <c r="AY212" s="99" t="s">
        <v>148</v>
      </c>
      <c r="AZ212" s="99">
        <v>43271</v>
      </c>
      <c r="BA212" s="99">
        <v>43977</v>
      </c>
      <c r="BB212" s="99"/>
      <c r="BC212" s="99"/>
      <c r="BD212" s="99"/>
      <c r="BE212" s="100" t="s">
        <v>3094</v>
      </c>
      <c r="BF212" s="99">
        <v>44470</v>
      </c>
      <c r="BG212" s="99" t="s">
        <v>148</v>
      </c>
      <c r="BH212" s="99">
        <v>44732</v>
      </c>
      <c r="BI212" s="99" t="s">
        <v>148</v>
      </c>
      <c r="BJ212" s="97"/>
      <c r="BK212" s="97">
        <v>45152</v>
      </c>
      <c r="BL212" s="97"/>
      <c r="BM212" s="101">
        <v>45163</v>
      </c>
      <c r="BN212" s="96" t="s">
        <v>16</v>
      </c>
      <c r="BO212" s="96">
        <f t="shared" ref="BO212" si="66">DATEDIF(AW212,BM212, "M")+1</f>
        <v>54</v>
      </c>
      <c r="BP212" s="266">
        <f t="shared" ref="BP212:BP213" si="67">DATEDIF(AX212,BM212, "M")+1</f>
        <v>46</v>
      </c>
      <c r="BQ212" s="266" t="s">
        <v>3095</v>
      </c>
      <c r="BR212" s="96">
        <v>2</v>
      </c>
      <c r="BS212" s="96">
        <v>1</v>
      </c>
      <c r="BT212" s="96"/>
      <c r="BU212" s="96"/>
      <c r="BV212" s="96"/>
      <c r="BW212" s="96"/>
      <c r="BX212" s="96"/>
      <c r="BY212" s="96" t="s">
        <v>161</v>
      </c>
      <c r="BZ212" s="96"/>
      <c r="CA212" s="96"/>
      <c r="CB212" s="103"/>
      <c r="CC212" s="103"/>
      <c r="CD212" s="96"/>
      <c r="CE212" s="96"/>
      <c r="CF212" s="96"/>
      <c r="CG212" s="96"/>
      <c r="CH212" s="371"/>
      <c r="CI212" s="96"/>
      <c r="CJ212" s="96"/>
      <c r="CK212" s="96" t="s">
        <v>807</v>
      </c>
      <c r="CL212"/>
    </row>
    <row r="213" spans="1:90" s="53" customFormat="1" ht="24" customHeight="1" x14ac:dyDescent="0.35">
      <c r="A213" s="96">
        <v>216</v>
      </c>
      <c r="B213" s="96" t="s">
        <v>3096</v>
      </c>
      <c r="C213" s="96" t="s">
        <v>3097</v>
      </c>
      <c r="D213" s="96" t="s">
        <v>3098</v>
      </c>
      <c r="E213" s="96" t="s">
        <v>3099</v>
      </c>
      <c r="F213" s="96" t="s">
        <v>4140</v>
      </c>
      <c r="G213" s="96">
        <v>9</v>
      </c>
      <c r="H213" s="96" t="s">
        <v>56</v>
      </c>
      <c r="I213" s="96" t="s">
        <v>44</v>
      </c>
      <c r="J213" s="96" t="s">
        <v>3100</v>
      </c>
      <c r="K213" s="96" t="s">
        <v>3101</v>
      </c>
      <c r="L213" s="96" t="s">
        <v>44</v>
      </c>
      <c r="M213" s="96" t="s">
        <v>148</v>
      </c>
      <c r="N213" s="96" t="s">
        <v>3102</v>
      </c>
      <c r="O213" s="96" t="s">
        <v>320</v>
      </c>
      <c r="P213" s="96" t="s">
        <v>320</v>
      </c>
      <c r="Q213" s="96"/>
      <c r="R213" s="96" t="s">
        <v>3103</v>
      </c>
      <c r="S213" s="96" t="s">
        <v>3104</v>
      </c>
      <c r="T213" s="196" t="s">
        <v>3105</v>
      </c>
      <c r="U213" s="97" t="s">
        <v>3106</v>
      </c>
      <c r="V213" s="97">
        <v>31878</v>
      </c>
      <c r="W213" s="105" t="s">
        <v>3107</v>
      </c>
      <c r="X213" s="105" t="s">
        <v>177</v>
      </c>
      <c r="Y213" s="105"/>
      <c r="Z213" s="105"/>
      <c r="AA213" s="96">
        <v>6</v>
      </c>
      <c r="AB213" s="97">
        <v>43861</v>
      </c>
      <c r="AC213" s="282">
        <v>43525</v>
      </c>
      <c r="AD213" s="97"/>
      <c r="AE213" s="97" t="s">
        <v>3108</v>
      </c>
      <c r="AF213" s="97" t="s">
        <v>3109</v>
      </c>
      <c r="AG213" s="97"/>
      <c r="AH213" s="96">
        <f t="shared" si="63"/>
        <v>2</v>
      </c>
      <c r="AI213" s="97" t="s">
        <v>159</v>
      </c>
      <c r="AJ213" s="97" t="s">
        <v>159</v>
      </c>
      <c r="AK213" s="97"/>
      <c r="AL213" s="97" t="s">
        <v>161</v>
      </c>
      <c r="AM213" s="97" t="s">
        <v>161</v>
      </c>
      <c r="AN213" s="97"/>
      <c r="AO213" s="97" t="s">
        <v>162</v>
      </c>
      <c r="AP213" s="97" t="s">
        <v>201</v>
      </c>
      <c r="AQ213" s="97" t="s">
        <v>248</v>
      </c>
      <c r="AR213" s="97"/>
      <c r="AS213" s="97"/>
      <c r="AT213" s="401" t="s">
        <v>3110</v>
      </c>
      <c r="AU213" s="96" t="s">
        <v>3048</v>
      </c>
      <c r="AV213" s="97"/>
      <c r="AW213" s="99">
        <v>43528</v>
      </c>
      <c r="AX213" s="99">
        <v>43770</v>
      </c>
      <c r="AY213" s="99" t="s">
        <v>148</v>
      </c>
      <c r="AZ213" s="99">
        <v>43918</v>
      </c>
      <c r="BA213" s="99">
        <v>44050</v>
      </c>
      <c r="BB213" s="99"/>
      <c r="BC213" s="99"/>
      <c r="BD213" s="99"/>
      <c r="BE213" s="100" t="s">
        <v>3111</v>
      </c>
      <c r="BF213" s="99">
        <v>44470</v>
      </c>
      <c r="BG213" s="99" t="s">
        <v>148</v>
      </c>
      <c r="BH213" s="99">
        <v>44732</v>
      </c>
      <c r="BI213" s="99" t="s">
        <v>148</v>
      </c>
      <c r="BJ213" s="97">
        <v>45247</v>
      </c>
      <c r="BK213" s="97"/>
      <c r="BL213" s="97"/>
      <c r="BM213" s="101">
        <v>45441</v>
      </c>
      <c r="BN213" s="96" t="s">
        <v>16</v>
      </c>
      <c r="BO213" s="96">
        <f>DATEDIF(AW213,BM213, "M")+1</f>
        <v>63</v>
      </c>
      <c r="BP213" s="266">
        <f t="shared" si="67"/>
        <v>55</v>
      </c>
      <c r="BQ213" s="266" t="s">
        <v>3112</v>
      </c>
      <c r="BR213" s="96">
        <v>0</v>
      </c>
      <c r="BS213" s="96"/>
      <c r="BT213" s="96"/>
      <c r="BU213" s="96"/>
      <c r="BV213" s="96"/>
      <c r="BW213" s="96"/>
      <c r="BX213" s="96"/>
      <c r="BY213" s="96" t="s">
        <v>161</v>
      </c>
      <c r="BZ213" s="96"/>
      <c r="CA213" s="96"/>
      <c r="CB213" s="103"/>
      <c r="CC213" s="103"/>
      <c r="CD213" s="96"/>
      <c r="CE213" s="96"/>
      <c r="CF213" s="96"/>
      <c r="CG213" s="96"/>
      <c r="CH213" s="371">
        <v>0</v>
      </c>
      <c r="CI213" s="96"/>
      <c r="CJ213" s="96"/>
      <c r="CK213" s="96" t="s">
        <v>807</v>
      </c>
      <c r="CL213"/>
    </row>
    <row r="214" spans="1:90" s="53" customFormat="1" ht="25" customHeight="1" x14ac:dyDescent="0.35">
      <c r="A214" s="91">
        <v>217</v>
      </c>
      <c r="B214" s="91" t="s">
        <v>3113</v>
      </c>
      <c r="C214" s="91" t="s">
        <v>3114</v>
      </c>
      <c r="D214" s="91" t="s">
        <v>3115</v>
      </c>
      <c r="E214" s="91" t="s">
        <v>3116</v>
      </c>
      <c r="F214" s="91" t="s">
        <v>4140</v>
      </c>
      <c r="G214" s="91">
        <v>9</v>
      </c>
      <c r="H214" s="91" t="s">
        <v>50</v>
      </c>
      <c r="I214" s="91" t="s">
        <v>42</v>
      </c>
      <c r="J214" s="91" t="s">
        <v>2677</v>
      </c>
      <c r="K214" s="91" t="s">
        <v>3117</v>
      </c>
      <c r="L214" s="91" t="s">
        <v>42</v>
      </c>
      <c r="M214" s="91" t="s">
        <v>148</v>
      </c>
      <c r="N214" s="91" t="s">
        <v>3118</v>
      </c>
      <c r="O214" s="91" t="s">
        <v>149</v>
      </c>
      <c r="P214" s="91" t="s">
        <v>149</v>
      </c>
      <c r="Q214" s="91"/>
      <c r="R214" s="91" t="s">
        <v>3119</v>
      </c>
      <c r="S214" s="91" t="s">
        <v>3120</v>
      </c>
      <c r="T214" s="200" t="s">
        <v>3121</v>
      </c>
      <c r="U214" s="92" t="s">
        <v>3122</v>
      </c>
      <c r="V214" s="92">
        <v>31511</v>
      </c>
      <c r="W214" s="164"/>
      <c r="X214" s="164" t="s">
        <v>200</v>
      </c>
      <c r="Y214" s="164"/>
      <c r="Z214" s="164"/>
      <c r="AA214" s="91">
        <v>5</v>
      </c>
      <c r="AB214" s="92">
        <v>43346</v>
      </c>
      <c r="AC214" s="281">
        <v>43525</v>
      </c>
      <c r="AD214" s="92">
        <v>44818</v>
      </c>
      <c r="AE214" s="92" t="s">
        <v>3123</v>
      </c>
      <c r="AF214" s="92" t="s">
        <v>3124</v>
      </c>
      <c r="AG214" s="114"/>
      <c r="AH214" s="91">
        <f>COUNTA(AE214:AF214)</f>
        <v>2</v>
      </c>
      <c r="AI214" s="92" t="s">
        <v>159</v>
      </c>
      <c r="AJ214" s="92" t="s">
        <v>159</v>
      </c>
      <c r="AK214" s="92" t="s">
        <v>200</v>
      </c>
      <c r="AL214" s="92" t="s">
        <v>161</v>
      </c>
      <c r="AM214" s="92"/>
      <c r="AN214" s="92"/>
      <c r="AO214" s="92" t="s">
        <v>180</v>
      </c>
      <c r="AP214" s="92" t="s">
        <v>3125</v>
      </c>
      <c r="AQ214" s="92" t="s">
        <v>180</v>
      </c>
      <c r="AR214" s="92"/>
      <c r="AS214" s="92"/>
      <c r="AT214" s="400" t="s">
        <v>418</v>
      </c>
      <c r="AU214" s="91" t="s">
        <v>3126</v>
      </c>
      <c r="AV214" s="92"/>
      <c r="AW214" s="93">
        <v>43528</v>
      </c>
      <c r="AX214" s="93">
        <v>43770</v>
      </c>
      <c r="AY214" s="93" t="s">
        <v>148</v>
      </c>
      <c r="AZ214" s="93">
        <v>43427</v>
      </c>
      <c r="BA214" s="93">
        <v>43599</v>
      </c>
      <c r="BB214" s="93"/>
      <c r="BC214" s="93"/>
      <c r="BD214" s="93"/>
      <c r="BE214" s="94" t="s">
        <v>3127</v>
      </c>
      <c r="BF214" s="93"/>
      <c r="BG214" s="93"/>
      <c r="BH214" s="93"/>
      <c r="BI214" s="93"/>
      <c r="BJ214" s="91"/>
      <c r="BK214" s="91"/>
      <c r="BL214" s="91"/>
      <c r="BM214" s="109"/>
      <c r="BN214" s="91" t="s">
        <v>18</v>
      </c>
      <c r="BO214" s="265" t="s">
        <v>18</v>
      </c>
      <c r="BP214" s="265"/>
      <c r="BQ214" s="91"/>
      <c r="BR214" s="91">
        <v>1</v>
      </c>
      <c r="BS214" s="91">
        <v>1</v>
      </c>
      <c r="BT214" s="91"/>
      <c r="BU214" s="91"/>
      <c r="BV214" s="91"/>
      <c r="BW214" s="91"/>
      <c r="BX214" s="91"/>
      <c r="BY214" s="91" t="s">
        <v>3128</v>
      </c>
      <c r="BZ214" s="91"/>
      <c r="CA214" s="91"/>
      <c r="CB214" s="95">
        <v>44398</v>
      </c>
      <c r="CC214" s="95">
        <v>44733</v>
      </c>
      <c r="CD214" s="91">
        <v>12</v>
      </c>
      <c r="CE214" s="91"/>
      <c r="CF214" s="91"/>
      <c r="CG214" s="91"/>
      <c r="CH214" s="113">
        <v>2</v>
      </c>
      <c r="CI214" s="91"/>
      <c r="CJ214" s="91"/>
      <c r="CK214" s="91" t="s">
        <v>807</v>
      </c>
      <c r="CL214"/>
    </row>
    <row r="215" spans="1:90" s="53" customFormat="1" ht="25" customHeight="1" x14ac:dyDescent="0.35">
      <c r="A215" s="96">
        <v>218</v>
      </c>
      <c r="B215" s="96" t="s">
        <v>3129</v>
      </c>
      <c r="C215" s="96" t="s">
        <v>3130</v>
      </c>
      <c r="D215" s="96" t="s">
        <v>2649</v>
      </c>
      <c r="E215" s="96" t="s">
        <v>3131</v>
      </c>
      <c r="F215" s="96" t="s">
        <v>4140</v>
      </c>
      <c r="G215" s="96">
        <v>9</v>
      </c>
      <c r="H215" s="96" t="s">
        <v>52</v>
      </c>
      <c r="I215" s="96" t="s">
        <v>31</v>
      </c>
      <c r="J215" s="96" t="s">
        <v>3132</v>
      </c>
      <c r="K215" s="96" t="s">
        <v>3132</v>
      </c>
      <c r="L215" s="96" t="s">
        <v>44</v>
      </c>
      <c r="M215" s="96" t="s">
        <v>161</v>
      </c>
      <c r="N215" s="96" t="s">
        <v>3133</v>
      </c>
      <c r="O215" s="96" t="s">
        <v>149</v>
      </c>
      <c r="P215" s="96" t="s">
        <v>149</v>
      </c>
      <c r="Q215" s="96"/>
      <c r="R215" s="96" t="s">
        <v>3134</v>
      </c>
      <c r="S215" s="96" t="s">
        <v>3135</v>
      </c>
      <c r="T215" s="199" t="s">
        <v>3136</v>
      </c>
      <c r="U215" s="267"/>
      <c r="V215" s="97">
        <v>27798</v>
      </c>
      <c r="W215" s="105" t="s">
        <v>3137</v>
      </c>
      <c r="X215" s="105" t="s">
        <v>177</v>
      </c>
      <c r="Y215" s="105"/>
      <c r="Z215" s="105"/>
      <c r="AA215" s="96">
        <v>24</v>
      </c>
      <c r="AB215" s="97">
        <v>43647</v>
      </c>
      <c r="AC215" s="282">
        <v>43525</v>
      </c>
      <c r="AD215" s="97"/>
      <c r="AE215" s="97" t="s">
        <v>3138</v>
      </c>
      <c r="AF215" s="97"/>
      <c r="AG215" s="97"/>
      <c r="AH215" s="96">
        <f t="shared" si="63"/>
        <v>1</v>
      </c>
      <c r="AI215" s="97" t="s">
        <v>160</v>
      </c>
      <c r="AJ215" s="97"/>
      <c r="AK215" s="97"/>
      <c r="AL215" s="97" t="s">
        <v>161</v>
      </c>
      <c r="AM215" s="97"/>
      <c r="AN215" s="97"/>
      <c r="AO215" s="97" t="s">
        <v>162</v>
      </c>
      <c r="AP215" s="97" t="s">
        <v>201</v>
      </c>
      <c r="AQ215" s="97" t="s">
        <v>248</v>
      </c>
      <c r="AR215" s="97"/>
      <c r="AS215" s="97"/>
      <c r="AT215" s="401" t="s">
        <v>326</v>
      </c>
      <c r="AU215" s="96" t="s">
        <v>3139</v>
      </c>
      <c r="AV215" s="97"/>
      <c r="AW215" s="99">
        <v>43528</v>
      </c>
      <c r="AX215" s="99">
        <v>43770</v>
      </c>
      <c r="AY215" s="99" t="s">
        <v>148</v>
      </c>
      <c r="AZ215" s="99">
        <v>44258</v>
      </c>
      <c r="BA215" s="99">
        <v>44287</v>
      </c>
      <c r="BB215" s="99"/>
      <c r="BC215" s="99"/>
      <c r="BD215" s="99"/>
      <c r="BE215" s="100" t="s">
        <v>3140</v>
      </c>
      <c r="BF215" s="99">
        <v>44470</v>
      </c>
      <c r="BG215" s="99" t="s">
        <v>148</v>
      </c>
      <c r="BH215" s="99">
        <v>44732</v>
      </c>
      <c r="BI215" s="99" t="s">
        <v>148</v>
      </c>
      <c r="BJ215" s="96"/>
      <c r="BK215" s="96"/>
      <c r="BL215" s="96"/>
      <c r="BM215" s="101">
        <v>45258</v>
      </c>
      <c r="BN215" s="96" t="s">
        <v>16</v>
      </c>
      <c r="BO215" s="96">
        <f t="shared" ref="BO215:BO218" si="68">DATEDIF(AW215,BM215, "M")+1</f>
        <v>57</v>
      </c>
      <c r="BP215" s="266">
        <f>DATEDIF(AX215,BM215, "M")+1</f>
        <v>49</v>
      </c>
      <c r="BQ215" s="266" t="s">
        <v>3141</v>
      </c>
      <c r="BR215" s="96">
        <v>5</v>
      </c>
      <c r="BS215" s="96">
        <v>6</v>
      </c>
      <c r="BT215" s="96"/>
      <c r="BU215" s="96"/>
      <c r="BV215" s="96"/>
      <c r="BW215" s="96"/>
      <c r="BX215" s="96"/>
      <c r="BY215" s="96" t="s">
        <v>161</v>
      </c>
      <c r="BZ215" s="96"/>
      <c r="CA215" s="96"/>
      <c r="CB215" s="103"/>
      <c r="CC215" s="103"/>
      <c r="CD215" s="96"/>
      <c r="CE215" s="96"/>
      <c r="CF215" s="96"/>
      <c r="CG215" s="96"/>
      <c r="CH215" s="371">
        <v>2</v>
      </c>
      <c r="CI215" s="96"/>
      <c r="CJ215" s="96"/>
      <c r="CK215" s="96" t="s">
        <v>807</v>
      </c>
      <c r="CL215"/>
    </row>
    <row r="216" spans="1:90" s="53" customFormat="1" ht="25" customHeight="1" x14ac:dyDescent="0.35">
      <c r="A216" s="96">
        <v>219</v>
      </c>
      <c r="B216" s="96" t="s">
        <v>3142</v>
      </c>
      <c r="C216" s="96" t="s">
        <v>3143</v>
      </c>
      <c r="D216" s="96" t="s">
        <v>3144</v>
      </c>
      <c r="E216" s="96" t="s">
        <v>3145</v>
      </c>
      <c r="F216" s="96" t="s">
        <v>4139</v>
      </c>
      <c r="G216" s="96">
        <v>9</v>
      </c>
      <c r="H216" s="96" t="s">
        <v>50</v>
      </c>
      <c r="I216" s="96" t="s">
        <v>37</v>
      </c>
      <c r="J216" s="96" t="s">
        <v>3146</v>
      </c>
      <c r="K216" s="96" t="s">
        <v>3147</v>
      </c>
      <c r="L216" s="96" t="s">
        <v>44</v>
      </c>
      <c r="M216" s="96" t="s">
        <v>161</v>
      </c>
      <c r="N216" s="96"/>
      <c r="O216" s="96" t="s">
        <v>149</v>
      </c>
      <c r="P216" s="96" t="s">
        <v>149</v>
      </c>
      <c r="Q216" s="96"/>
      <c r="R216" s="96" t="s">
        <v>3148</v>
      </c>
      <c r="S216" s="96" t="s">
        <v>3149</v>
      </c>
      <c r="T216" s="196" t="s">
        <v>3150</v>
      </c>
      <c r="U216" s="97" t="s">
        <v>3151</v>
      </c>
      <c r="V216" s="97">
        <v>29084</v>
      </c>
      <c r="W216" s="105" t="s">
        <v>3152</v>
      </c>
      <c r="X216" s="105" t="s">
        <v>2377</v>
      </c>
      <c r="Y216" s="105" t="s">
        <v>155</v>
      </c>
      <c r="Z216" s="105"/>
      <c r="AA216" s="96">
        <v>16</v>
      </c>
      <c r="AB216" s="97">
        <v>43831</v>
      </c>
      <c r="AC216" s="282">
        <v>43525</v>
      </c>
      <c r="AD216" s="97"/>
      <c r="AE216" s="97" t="s">
        <v>3153</v>
      </c>
      <c r="AF216" s="97" t="s">
        <v>3154</v>
      </c>
      <c r="AG216" s="97" t="s">
        <v>3155</v>
      </c>
      <c r="AH216" s="96">
        <f t="shared" si="63"/>
        <v>3</v>
      </c>
      <c r="AI216" s="97" t="s">
        <v>160</v>
      </c>
      <c r="AJ216" s="97" t="s">
        <v>159</v>
      </c>
      <c r="AK216" s="97" t="s">
        <v>159</v>
      </c>
      <c r="AL216" s="97" t="s">
        <v>148</v>
      </c>
      <c r="AM216" s="97"/>
      <c r="AN216" s="97"/>
      <c r="AO216" s="97" t="s">
        <v>162</v>
      </c>
      <c r="AP216" s="97" t="s">
        <v>201</v>
      </c>
      <c r="AQ216" s="97" t="s">
        <v>201</v>
      </c>
      <c r="AR216" s="97"/>
      <c r="AS216" s="97"/>
      <c r="AT216" s="401" t="s">
        <v>202</v>
      </c>
      <c r="AU216" s="96" t="s">
        <v>3156</v>
      </c>
      <c r="AV216" s="97"/>
      <c r="AW216" s="99">
        <v>43528</v>
      </c>
      <c r="AX216" s="99">
        <v>43770</v>
      </c>
      <c r="AY216" s="99" t="s">
        <v>148</v>
      </c>
      <c r="AZ216" s="99">
        <v>44887</v>
      </c>
      <c r="BA216" s="99">
        <v>44887</v>
      </c>
      <c r="BB216" s="99"/>
      <c r="BC216" s="99"/>
      <c r="BD216" s="99"/>
      <c r="BE216" s="100" t="s">
        <v>3157</v>
      </c>
      <c r="BF216" s="99">
        <v>44470</v>
      </c>
      <c r="BG216" s="99" t="s">
        <v>148</v>
      </c>
      <c r="BH216" s="99">
        <v>44732</v>
      </c>
      <c r="BI216" s="99" t="s">
        <v>148</v>
      </c>
      <c r="BJ216" s="96"/>
      <c r="BK216" s="96"/>
      <c r="BL216" s="96"/>
      <c r="BM216" s="101"/>
      <c r="BN216" s="96" t="s">
        <v>17</v>
      </c>
      <c r="BO216" s="220"/>
      <c r="BP216" s="266"/>
      <c r="BQ216" s="96"/>
      <c r="BR216" s="96">
        <v>3</v>
      </c>
      <c r="BS216" s="96"/>
      <c r="BT216" s="96"/>
      <c r="BU216" s="96"/>
      <c r="BV216" s="96"/>
      <c r="BW216" s="96"/>
      <c r="BX216" s="96"/>
      <c r="BY216" s="96" t="s">
        <v>161</v>
      </c>
      <c r="BZ216" s="96"/>
      <c r="CA216" s="96"/>
      <c r="CB216" s="103"/>
      <c r="CC216" s="103"/>
      <c r="CD216" s="96"/>
      <c r="CE216" s="96"/>
      <c r="CF216" s="96"/>
      <c r="CG216" s="96"/>
      <c r="CH216" s="371">
        <v>3</v>
      </c>
      <c r="CI216" s="96"/>
      <c r="CJ216" s="96"/>
      <c r="CK216" s="96" t="s">
        <v>807</v>
      </c>
      <c r="CL216"/>
    </row>
    <row r="217" spans="1:90" s="53" customFormat="1" ht="25" customHeight="1" x14ac:dyDescent="0.35">
      <c r="A217" s="96">
        <v>220</v>
      </c>
      <c r="B217" s="96" t="s">
        <v>3158</v>
      </c>
      <c r="C217" s="96" t="s">
        <v>3159</v>
      </c>
      <c r="D217" s="96" t="s">
        <v>3160</v>
      </c>
      <c r="E217" s="96" t="s">
        <v>3161</v>
      </c>
      <c r="F217" s="96" t="s">
        <v>4140</v>
      </c>
      <c r="G217" s="96">
        <v>9</v>
      </c>
      <c r="H217" s="96" t="s">
        <v>52</v>
      </c>
      <c r="I217" s="96" t="s">
        <v>39</v>
      </c>
      <c r="J217" s="96" t="s">
        <v>3162</v>
      </c>
      <c r="K217" s="96" t="s">
        <v>3163</v>
      </c>
      <c r="L217" s="96" t="s">
        <v>39</v>
      </c>
      <c r="M217" s="96" t="s">
        <v>148</v>
      </c>
      <c r="N217" s="96" t="s">
        <v>3164</v>
      </c>
      <c r="O217" s="96" t="s">
        <v>149</v>
      </c>
      <c r="P217" s="96" t="s">
        <v>149</v>
      </c>
      <c r="Q217" s="96"/>
      <c r="R217" s="96" t="s">
        <v>3165</v>
      </c>
      <c r="S217" s="96" t="s">
        <v>3166</v>
      </c>
      <c r="T217" s="196" t="s">
        <v>3167</v>
      </c>
      <c r="U217" s="97" t="s">
        <v>2749</v>
      </c>
      <c r="V217" s="97">
        <v>27500</v>
      </c>
      <c r="W217" s="105"/>
      <c r="X217" s="105" t="s">
        <v>177</v>
      </c>
      <c r="Y217" s="105" t="s">
        <v>161</v>
      </c>
      <c r="Z217" s="105"/>
      <c r="AA217" s="96">
        <v>9</v>
      </c>
      <c r="AB217" s="97">
        <v>43396</v>
      </c>
      <c r="AC217" s="282">
        <v>43525</v>
      </c>
      <c r="AD217" s="97"/>
      <c r="AE217" s="97" t="s">
        <v>3168</v>
      </c>
      <c r="AF217" s="97" t="s">
        <v>3169</v>
      </c>
      <c r="AG217" s="97"/>
      <c r="AH217" s="96">
        <f t="shared" si="63"/>
        <v>2</v>
      </c>
      <c r="AI217" s="97" t="s">
        <v>159</v>
      </c>
      <c r="AJ217" s="97" t="s">
        <v>159</v>
      </c>
      <c r="AK217" s="97"/>
      <c r="AL217" s="97" t="s">
        <v>148</v>
      </c>
      <c r="AM217" s="97"/>
      <c r="AN217" s="97"/>
      <c r="AO217" s="97" t="s">
        <v>180</v>
      </c>
      <c r="AP217" s="97" t="s">
        <v>1263</v>
      </c>
      <c r="AQ217" s="97"/>
      <c r="AR217" s="97"/>
      <c r="AS217" s="97"/>
      <c r="AT217" s="401" t="s">
        <v>283</v>
      </c>
      <c r="AU217" s="96" t="s">
        <v>3170</v>
      </c>
      <c r="AV217" s="97"/>
      <c r="AW217" s="99">
        <v>43528</v>
      </c>
      <c r="AX217" s="99">
        <v>43770</v>
      </c>
      <c r="AY217" s="99" t="s">
        <v>148</v>
      </c>
      <c r="AZ217" s="99">
        <v>44404</v>
      </c>
      <c r="BA217" s="99">
        <v>44351</v>
      </c>
      <c r="BB217" s="99"/>
      <c r="BC217" s="99"/>
      <c r="BD217" s="99"/>
      <c r="BE217" s="100" t="s">
        <v>3171</v>
      </c>
      <c r="BF217" s="99">
        <v>44470</v>
      </c>
      <c r="BG217" s="99" t="s">
        <v>148</v>
      </c>
      <c r="BH217" s="99">
        <v>44732</v>
      </c>
      <c r="BI217" s="99" t="s">
        <v>148</v>
      </c>
      <c r="BJ217" s="96"/>
      <c r="BK217" s="98">
        <v>45272</v>
      </c>
      <c r="BL217" s="98">
        <v>45283</v>
      </c>
      <c r="BM217" s="101">
        <v>44938</v>
      </c>
      <c r="BN217" s="96" t="s">
        <v>16</v>
      </c>
      <c r="BO217" s="96">
        <f t="shared" si="68"/>
        <v>47</v>
      </c>
      <c r="BP217" s="266">
        <f t="shared" ref="BP217:BP218" si="69">DATEDIF(AX217,BM217, "M")+1</f>
        <v>39</v>
      </c>
      <c r="BQ217" s="266" t="s">
        <v>3172</v>
      </c>
      <c r="BR217" s="96">
        <v>7</v>
      </c>
      <c r="BS217" s="96">
        <v>4</v>
      </c>
      <c r="BT217" s="96"/>
      <c r="BU217" s="96"/>
      <c r="BV217" s="96"/>
      <c r="BW217" s="96"/>
      <c r="BX217" s="96"/>
      <c r="BY217" s="96" t="s">
        <v>161</v>
      </c>
      <c r="BZ217" s="96"/>
      <c r="CA217" s="96"/>
      <c r="CB217" s="103"/>
      <c r="CC217" s="103"/>
      <c r="CD217" s="96"/>
      <c r="CE217" s="96"/>
      <c r="CF217" s="96"/>
      <c r="CG217" s="96"/>
      <c r="CH217" s="371">
        <v>3</v>
      </c>
      <c r="CI217" s="96"/>
      <c r="CJ217" s="96"/>
      <c r="CK217" s="96" t="s">
        <v>807</v>
      </c>
      <c r="CL217"/>
    </row>
    <row r="218" spans="1:90" s="53" customFormat="1" ht="25" customHeight="1" x14ac:dyDescent="0.35">
      <c r="A218" s="96">
        <v>221</v>
      </c>
      <c r="B218" s="96" t="s">
        <v>3173</v>
      </c>
      <c r="C218" s="96" t="s">
        <v>3174</v>
      </c>
      <c r="D218" s="96" t="s">
        <v>617</v>
      </c>
      <c r="E218" s="96" t="s">
        <v>3175</v>
      </c>
      <c r="F218" s="96" t="s">
        <v>4139</v>
      </c>
      <c r="G218" s="96">
        <v>9</v>
      </c>
      <c r="H218" s="96" t="s">
        <v>57</v>
      </c>
      <c r="I218" s="96" t="s">
        <v>40</v>
      </c>
      <c r="J218" s="96" t="s">
        <v>1126</v>
      </c>
      <c r="K218" s="96" t="s">
        <v>3176</v>
      </c>
      <c r="L218" s="96" t="s">
        <v>44</v>
      </c>
      <c r="M218" s="96" t="s">
        <v>161</v>
      </c>
      <c r="N218" s="96"/>
      <c r="O218" s="96" t="s">
        <v>149</v>
      </c>
      <c r="P218" s="96" t="s">
        <v>149</v>
      </c>
      <c r="Q218" s="96"/>
      <c r="R218" s="318" t="s">
        <v>3177</v>
      </c>
      <c r="S218" s="318" t="s">
        <v>3178</v>
      </c>
      <c r="T218" s="198" t="s">
        <v>3179</v>
      </c>
      <c r="U218" s="97" t="s">
        <v>3180</v>
      </c>
      <c r="V218" s="97">
        <v>30008</v>
      </c>
      <c r="W218" s="105" t="s">
        <v>3181</v>
      </c>
      <c r="X218" s="105" t="s">
        <v>2377</v>
      </c>
      <c r="Y218" s="105" t="s">
        <v>155</v>
      </c>
      <c r="Z218" s="105"/>
      <c r="AA218" s="96">
        <v>9</v>
      </c>
      <c r="AB218" s="97">
        <v>43861</v>
      </c>
      <c r="AC218" s="282">
        <v>43525</v>
      </c>
      <c r="AD218" s="97"/>
      <c r="AE218" s="97" t="s">
        <v>3182</v>
      </c>
      <c r="AF218" s="97" t="s">
        <v>3183</v>
      </c>
      <c r="AG218" s="97" t="s">
        <v>3184</v>
      </c>
      <c r="AH218" s="96">
        <f t="shared" si="63"/>
        <v>3</v>
      </c>
      <c r="AI218" s="97" t="s">
        <v>160</v>
      </c>
      <c r="AJ218" s="97" t="s">
        <v>160</v>
      </c>
      <c r="AK218" s="97" t="s">
        <v>159</v>
      </c>
      <c r="AL218" s="97" t="s">
        <v>148</v>
      </c>
      <c r="AM218" s="97" t="s">
        <v>161</v>
      </c>
      <c r="AN218" s="97" t="s">
        <v>161</v>
      </c>
      <c r="AO218" s="97" t="s">
        <v>180</v>
      </c>
      <c r="AP218" s="97" t="s">
        <v>591</v>
      </c>
      <c r="AQ218" s="97"/>
      <c r="AR218" s="97"/>
      <c r="AS218" s="97"/>
      <c r="AT218" s="401" t="s">
        <v>1264</v>
      </c>
      <c r="AU218" s="96" t="s">
        <v>3185</v>
      </c>
      <c r="AV218" s="97"/>
      <c r="AW218" s="99">
        <v>43528</v>
      </c>
      <c r="AX218" s="99">
        <v>43770</v>
      </c>
      <c r="AY218" s="99" t="s">
        <v>148</v>
      </c>
      <c r="AZ218" s="99">
        <v>44239</v>
      </c>
      <c r="BA218" s="99">
        <v>44375</v>
      </c>
      <c r="BB218" s="99"/>
      <c r="BC218" s="99"/>
      <c r="BD218" s="99"/>
      <c r="BE218" s="100" t="s">
        <v>3186</v>
      </c>
      <c r="BF218" s="99">
        <v>44470</v>
      </c>
      <c r="BG218" s="99" t="s">
        <v>148</v>
      </c>
      <c r="BH218" s="99">
        <v>44732</v>
      </c>
      <c r="BI218" s="99" t="s">
        <v>148</v>
      </c>
      <c r="BJ218" s="96"/>
      <c r="BK218" s="96"/>
      <c r="BL218" s="96"/>
      <c r="BM218" s="101">
        <v>45313</v>
      </c>
      <c r="BN218" s="96" t="s">
        <v>16</v>
      </c>
      <c r="BO218" s="96">
        <f t="shared" si="68"/>
        <v>59</v>
      </c>
      <c r="BP218" s="266">
        <f t="shared" si="69"/>
        <v>51</v>
      </c>
      <c r="BQ218" s="266" t="s">
        <v>3187</v>
      </c>
      <c r="BR218" s="96">
        <v>24</v>
      </c>
      <c r="BS218" s="96">
        <v>6</v>
      </c>
      <c r="BT218" s="96"/>
      <c r="BU218" s="96"/>
      <c r="BV218" s="96"/>
      <c r="BW218" s="96"/>
      <c r="BX218" s="96"/>
      <c r="BY218" s="96" t="s">
        <v>161</v>
      </c>
      <c r="BZ218" s="96"/>
      <c r="CA218" s="96"/>
      <c r="CB218" s="103"/>
      <c r="CC218" s="103"/>
      <c r="CD218" s="96"/>
      <c r="CE218" s="96"/>
      <c r="CF218" s="96"/>
      <c r="CG218" s="96"/>
      <c r="CH218" s="371">
        <v>1</v>
      </c>
      <c r="CI218" s="96"/>
      <c r="CJ218" s="96"/>
      <c r="CK218" s="96" t="s">
        <v>807</v>
      </c>
      <c r="CL218"/>
    </row>
    <row r="219" spans="1:90" s="53" customFormat="1" ht="25" customHeight="1" x14ac:dyDescent="0.35">
      <c r="A219" s="96">
        <v>222</v>
      </c>
      <c r="B219" s="96" t="s">
        <v>3188</v>
      </c>
      <c r="C219" s="96" t="s">
        <v>3189</v>
      </c>
      <c r="D219" s="96"/>
      <c r="E219" s="96" t="s">
        <v>3190</v>
      </c>
      <c r="F219" s="96" t="s">
        <v>4140</v>
      </c>
      <c r="G219" s="96">
        <v>9</v>
      </c>
      <c r="H219" s="96" t="s">
        <v>51</v>
      </c>
      <c r="I219" s="96" t="s">
        <v>4136</v>
      </c>
      <c r="J219" s="96" t="s">
        <v>3191</v>
      </c>
      <c r="K219" s="96" t="s">
        <v>3192</v>
      </c>
      <c r="L219" s="96" t="s">
        <v>4136</v>
      </c>
      <c r="M219" s="96" t="s">
        <v>148</v>
      </c>
      <c r="N219" s="96">
        <v>201980015427</v>
      </c>
      <c r="O219" s="96" t="s">
        <v>149</v>
      </c>
      <c r="P219" s="96" t="s">
        <v>149</v>
      </c>
      <c r="Q219" s="96"/>
      <c r="R219" s="96" t="s">
        <v>3193</v>
      </c>
      <c r="S219" s="96" t="s">
        <v>3194</v>
      </c>
      <c r="T219" s="196" t="s">
        <v>3195</v>
      </c>
      <c r="U219" s="97" t="s">
        <v>3196</v>
      </c>
      <c r="V219" s="97">
        <v>33421</v>
      </c>
      <c r="W219" s="105" t="s">
        <v>3197</v>
      </c>
      <c r="X219" s="105" t="s">
        <v>154</v>
      </c>
      <c r="Y219" s="105"/>
      <c r="Z219" s="105"/>
      <c r="AA219" s="96">
        <v>3</v>
      </c>
      <c r="AB219" s="97">
        <v>43815</v>
      </c>
      <c r="AC219" s="282">
        <v>43525</v>
      </c>
      <c r="AD219" s="97"/>
      <c r="AE219" s="97" t="s">
        <v>3198</v>
      </c>
      <c r="AF219" s="97" t="s">
        <v>3199</v>
      </c>
      <c r="AG219" s="97"/>
      <c r="AH219" s="96">
        <f t="shared" si="63"/>
        <v>2</v>
      </c>
      <c r="AI219" s="97" t="s">
        <v>159</v>
      </c>
      <c r="AJ219" s="97" t="s">
        <v>159</v>
      </c>
      <c r="AK219" s="97"/>
      <c r="AL219" s="97" t="s">
        <v>161</v>
      </c>
      <c r="AM219" s="97" t="s">
        <v>148</v>
      </c>
      <c r="AN219" s="97"/>
      <c r="AO219" s="97" t="s">
        <v>180</v>
      </c>
      <c r="AP219" s="97" t="s">
        <v>2200</v>
      </c>
      <c r="AQ219" s="97" t="s">
        <v>2200</v>
      </c>
      <c r="AR219" s="97"/>
      <c r="AS219" s="97"/>
      <c r="AT219" s="401" t="s">
        <v>296</v>
      </c>
      <c r="AU219" s="96" t="s">
        <v>3200</v>
      </c>
      <c r="AV219" s="97"/>
      <c r="AW219" s="99">
        <v>43528</v>
      </c>
      <c r="AX219" s="99">
        <v>43770</v>
      </c>
      <c r="AY219" s="99" t="s">
        <v>148</v>
      </c>
      <c r="AZ219" s="99">
        <v>43609</v>
      </c>
      <c r="BA219" s="99">
        <v>43653</v>
      </c>
      <c r="BB219" s="99"/>
      <c r="BC219" s="99"/>
      <c r="BD219" s="99"/>
      <c r="BE219" s="100" t="s">
        <v>3201</v>
      </c>
      <c r="BF219" s="99">
        <v>44470</v>
      </c>
      <c r="BG219" s="99" t="s">
        <v>148</v>
      </c>
      <c r="BH219" s="99">
        <v>44732</v>
      </c>
      <c r="BI219" s="99" t="s">
        <v>148</v>
      </c>
      <c r="BJ219" s="96"/>
      <c r="BK219" s="96"/>
      <c r="BL219" s="96"/>
      <c r="BM219" s="101"/>
      <c r="BN219" s="96" t="s">
        <v>17</v>
      </c>
      <c r="BO219" s="220"/>
      <c r="BP219" s="266"/>
      <c r="BQ219" s="96"/>
      <c r="BR219" s="96">
        <v>0</v>
      </c>
      <c r="BS219" s="96">
        <v>5</v>
      </c>
      <c r="BT219" s="96"/>
      <c r="BU219" s="96"/>
      <c r="BV219" s="96"/>
      <c r="BW219" s="96"/>
      <c r="BX219" s="96"/>
      <c r="BY219" s="96" t="s">
        <v>161</v>
      </c>
      <c r="BZ219" s="96"/>
      <c r="CA219" s="96"/>
      <c r="CB219" s="103">
        <v>45078</v>
      </c>
      <c r="CC219" s="103">
        <v>45443</v>
      </c>
      <c r="CD219" s="96">
        <v>12</v>
      </c>
      <c r="CE219" s="96"/>
      <c r="CF219" s="96"/>
      <c r="CG219" s="96"/>
      <c r="CH219" s="371">
        <v>0</v>
      </c>
      <c r="CI219" s="96"/>
      <c r="CJ219" s="96"/>
      <c r="CK219" s="96" t="s">
        <v>807</v>
      </c>
      <c r="CL219"/>
    </row>
    <row r="220" spans="1:90" s="53" customFormat="1" ht="25" customHeight="1" x14ac:dyDescent="0.35">
      <c r="A220" s="96">
        <v>223</v>
      </c>
      <c r="B220" s="96" t="s">
        <v>3202</v>
      </c>
      <c r="C220" s="96" t="s">
        <v>3203</v>
      </c>
      <c r="D220" s="96"/>
      <c r="E220" s="96" t="s">
        <v>3204</v>
      </c>
      <c r="F220" s="96" t="s">
        <v>4140</v>
      </c>
      <c r="G220" s="96">
        <v>9</v>
      </c>
      <c r="H220" s="96" t="s">
        <v>52</v>
      </c>
      <c r="I220" s="96" t="s">
        <v>31</v>
      </c>
      <c r="J220" s="96" t="s">
        <v>3205</v>
      </c>
      <c r="K220" s="96" t="s">
        <v>3206</v>
      </c>
      <c r="L220" s="96" t="s">
        <v>31</v>
      </c>
      <c r="M220" s="96" t="s">
        <v>148</v>
      </c>
      <c r="N220" s="96"/>
      <c r="O220" s="96" t="s">
        <v>149</v>
      </c>
      <c r="P220" s="96" t="s">
        <v>149</v>
      </c>
      <c r="Q220" s="96"/>
      <c r="R220" s="96" t="s">
        <v>3207</v>
      </c>
      <c r="S220" s="96" t="s">
        <v>3208</v>
      </c>
      <c r="T220" s="196" t="s">
        <v>3209</v>
      </c>
      <c r="U220" s="268" t="s">
        <v>3210</v>
      </c>
      <c r="V220" s="97">
        <v>26828</v>
      </c>
      <c r="W220" s="201" t="s">
        <v>3211</v>
      </c>
      <c r="X220" s="201" t="s">
        <v>177</v>
      </c>
      <c r="Y220" s="201" t="s">
        <v>161</v>
      </c>
      <c r="Z220" s="201"/>
      <c r="AA220" s="96">
        <v>45</v>
      </c>
      <c r="AB220" s="97">
        <v>43840</v>
      </c>
      <c r="AC220" s="282">
        <v>43525</v>
      </c>
      <c r="AD220" s="97"/>
      <c r="AE220" s="97" t="s">
        <v>3212</v>
      </c>
      <c r="AF220" s="97"/>
      <c r="AG220" s="97"/>
      <c r="AH220" s="96">
        <f t="shared" si="63"/>
        <v>1</v>
      </c>
      <c r="AI220" s="97" t="s">
        <v>3213</v>
      </c>
      <c r="AJ220" s="97"/>
      <c r="AK220" s="97"/>
      <c r="AL220" s="97" t="s">
        <v>148</v>
      </c>
      <c r="AM220" s="97"/>
      <c r="AN220" s="97"/>
      <c r="AO220" s="97" t="s">
        <v>162</v>
      </c>
      <c r="AP220" s="97" t="s">
        <v>1438</v>
      </c>
      <c r="AQ220" s="97" t="s">
        <v>1438</v>
      </c>
      <c r="AR220" s="97"/>
      <c r="AS220" s="97"/>
      <c r="AT220" s="401" t="s">
        <v>326</v>
      </c>
      <c r="AU220" s="96" t="s">
        <v>3214</v>
      </c>
      <c r="AV220" s="97"/>
      <c r="AW220" s="99">
        <v>43528</v>
      </c>
      <c r="AX220" s="99">
        <v>43771</v>
      </c>
      <c r="AY220" s="99" t="s">
        <v>148</v>
      </c>
      <c r="AZ220" s="99">
        <v>40464</v>
      </c>
      <c r="BA220" s="99">
        <v>44116</v>
      </c>
      <c r="BB220" s="99"/>
      <c r="BC220" s="99"/>
      <c r="BD220" s="99"/>
      <c r="BE220" s="100" t="s">
        <v>3215</v>
      </c>
      <c r="BF220" s="99">
        <v>44470</v>
      </c>
      <c r="BG220" s="99" t="s">
        <v>148</v>
      </c>
      <c r="BH220" s="99">
        <v>44732</v>
      </c>
      <c r="BI220" s="99" t="s">
        <v>148</v>
      </c>
      <c r="BJ220" s="96"/>
      <c r="BK220" s="96"/>
      <c r="BL220" s="96"/>
      <c r="BM220" s="101"/>
      <c r="BN220" s="96" t="s">
        <v>17</v>
      </c>
      <c r="BO220" s="220"/>
      <c r="BP220" s="266"/>
      <c r="BQ220" s="96"/>
      <c r="BR220" s="96">
        <v>3</v>
      </c>
      <c r="BS220" s="96">
        <v>7</v>
      </c>
      <c r="BT220" s="96"/>
      <c r="BU220" s="96"/>
      <c r="BV220" s="96"/>
      <c r="BW220" s="96"/>
      <c r="BX220" s="96"/>
      <c r="BY220" s="96" t="s">
        <v>161</v>
      </c>
      <c r="BZ220" s="96"/>
      <c r="CA220" s="96"/>
      <c r="CB220" s="103"/>
      <c r="CC220" s="103"/>
      <c r="CD220" s="96"/>
      <c r="CE220" s="96"/>
      <c r="CF220" s="96"/>
      <c r="CG220" s="96"/>
      <c r="CH220" s="371">
        <v>3</v>
      </c>
      <c r="CI220" s="96"/>
      <c r="CJ220" s="96"/>
      <c r="CK220" s="96" t="s">
        <v>807</v>
      </c>
      <c r="CL220"/>
    </row>
    <row r="221" spans="1:90" s="53" customFormat="1" ht="25" customHeight="1" x14ac:dyDescent="0.35">
      <c r="A221" s="96">
        <v>224</v>
      </c>
      <c r="B221" s="91" t="s">
        <v>3216</v>
      </c>
      <c r="C221" s="91" t="s">
        <v>3217</v>
      </c>
      <c r="D221" s="91" t="s">
        <v>3218</v>
      </c>
      <c r="E221" s="91" t="s">
        <v>3219</v>
      </c>
      <c r="F221" s="91" t="s">
        <v>4140</v>
      </c>
      <c r="G221" s="91">
        <v>9</v>
      </c>
      <c r="H221" s="91" t="s">
        <v>58</v>
      </c>
      <c r="I221" s="91" t="s">
        <v>35</v>
      </c>
      <c r="J221" s="91" t="s">
        <v>1529</v>
      </c>
      <c r="K221" s="91" t="s">
        <v>2980</v>
      </c>
      <c r="L221" s="91"/>
      <c r="M221" s="91" t="s">
        <v>148</v>
      </c>
      <c r="N221" s="91"/>
      <c r="O221" s="91" t="s">
        <v>149</v>
      </c>
      <c r="P221" s="91" t="s">
        <v>149</v>
      </c>
      <c r="Q221" s="91"/>
      <c r="R221" s="91" t="s">
        <v>3220</v>
      </c>
      <c r="S221" s="194" t="s">
        <v>3221</v>
      </c>
      <c r="T221" s="200" t="s">
        <v>3222</v>
      </c>
      <c r="U221" s="92" t="s">
        <v>3223</v>
      </c>
      <c r="V221" s="92">
        <v>30844</v>
      </c>
      <c r="W221" s="164" t="s">
        <v>3224</v>
      </c>
      <c r="X221" s="164"/>
      <c r="Y221" s="164"/>
      <c r="Z221" s="164"/>
      <c r="AA221" s="91">
        <v>26</v>
      </c>
      <c r="AB221" s="92"/>
      <c r="AC221" s="281">
        <v>43525</v>
      </c>
      <c r="AD221" s="92">
        <v>44818</v>
      </c>
      <c r="AE221" s="92"/>
      <c r="AF221" s="92"/>
      <c r="AG221" s="92"/>
      <c r="AH221" s="91">
        <f t="shared" si="63"/>
        <v>0</v>
      </c>
      <c r="AI221" s="92"/>
      <c r="AJ221" s="92"/>
      <c r="AK221" s="92"/>
      <c r="AL221" s="92"/>
      <c r="AM221" s="92"/>
      <c r="AN221" s="92"/>
      <c r="AO221" s="92" t="s">
        <v>180</v>
      </c>
      <c r="AP221" s="92" t="s">
        <v>2889</v>
      </c>
      <c r="AQ221" s="92" t="s">
        <v>2889</v>
      </c>
      <c r="AR221" s="92"/>
      <c r="AS221" s="92"/>
      <c r="AT221" s="400" t="s">
        <v>578</v>
      </c>
      <c r="AU221" s="91" t="s">
        <v>3225</v>
      </c>
      <c r="AV221" s="92"/>
      <c r="AW221" s="93">
        <v>43891</v>
      </c>
      <c r="AX221" s="93">
        <v>44136</v>
      </c>
      <c r="AY221" s="93" t="s">
        <v>161</v>
      </c>
      <c r="AZ221" s="93"/>
      <c r="BA221" s="93"/>
      <c r="BB221" s="93"/>
      <c r="BC221" s="93"/>
      <c r="BD221" s="93"/>
      <c r="BE221" s="94" t="s">
        <v>3224</v>
      </c>
      <c r="BF221" s="93"/>
      <c r="BG221" s="93"/>
      <c r="BH221" s="93"/>
      <c r="BI221" s="93"/>
      <c r="BJ221" s="91"/>
      <c r="BK221" s="91"/>
      <c r="BL221" s="91"/>
      <c r="BM221" s="109"/>
      <c r="BN221" s="91" t="s">
        <v>18</v>
      </c>
      <c r="BO221" s="265" t="s">
        <v>18</v>
      </c>
      <c r="BP221" s="265"/>
      <c r="BQ221" s="91"/>
      <c r="BR221" s="91">
        <v>1</v>
      </c>
      <c r="BS221" s="91">
        <v>2</v>
      </c>
      <c r="BT221" s="91"/>
      <c r="BU221" s="91"/>
      <c r="BV221" s="91"/>
      <c r="BW221" s="91"/>
      <c r="BX221" s="91"/>
      <c r="BY221" s="91" t="s">
        <v>161</v>
      </c>
      <c r="BZ221" s="91" t="s">
        <v>148</v>
      </c>
      <c r="CA221" s="91"/>
      <c r="CB221" s="95">
        <v>43705</v>
      </c>
      <c r="CC221" s="95">
        <v>43914</v>
      </c>
      <c r="CD221" s="91">
        <v>7</v>
      </c>
      <c r="CE221" s="91"/>
      <c r="CF221" s="91"/>
      <c r="CG221" s="91"/>
      <c r="CH221" s="113">
        <v>3</v>
      </c>
      <c r="CI221" s="91"/>
      <c r="CJ221" s="91"/>
      <c r="CK221" s="91" t="s">
        <v>807</v>
      </c>
      <c r="CL221"/>
    </row>
    <row r="222" spans="1:90" s="53" customFormat="1" ht="29.5" customHeight="1" x14ac:dyDescent="0.35">
      <c r="A222" s="202">
        <v>225</v>
      </c>
      <c r="B222" s="202" t="s">
        <v>3226</v>
      </c>
      <c r="C222" s="202" t="s">
        <v>3227</v>
      </c>
      <c r="D222" s="202"/>
      <c r="E222" s="202" t="s">
        <v>3228</v>
      </c>
      <c r="F222" s="202" t="s">
        <v>4140</v>
      </c>
      <c r="G222" s="202">
        <v>10</v>
      </c>
      <c r="H222" s="202" t="s">
        <v>53</v>
      </c>
      <c r="I222" s="202" t="s">
        <v>43</v>
      </c>
      <c r="J222" s="202" t="s">
        <v>1419</v>
      </c>
      <c r="K222" s="202" t="s">
        <v>3229</v>
      </c>
      <c r="L222" s="202" t="s">
        <v>44</v>
      </c>
      <c r="M222" s="202" t="s">
        <v>161</v>
      </c>
      <c r="N222" s="202"/>
      <c r="O222" s="202" t="s">
        <v>149</v>
      </c>
      <c r="P222" s="202" t="s">
        <v>149</v>
      </c>
      <c r="Q222" s="202"/>
      <c r="R222" s="202" t="s">
        <v>3230</v>
      </c>
      <c r="S222" s="392" t="s">
        <v>3231</v>
      </c>
      <c r="T222" s="354" t="s">
        <v>3232</v>
      </c>
      <c r="U222" s="203" t="s">
        <v>3233</v>
      </c>
      <c r="V222" s="203">
        <v>29346</v>
      </c>
      <c r="W222" s="269" t="s">
        <v>3234</v>
      </c>
      <c r="X222" s="269" t="s">
        <v>177</v>
      </c>
      <c r="Y222" s="269"/>
      <c r="Z222" s="269"/>
      <c r="AA222" s="202"/>
      <c r="AB222" s="203">
        <v>44266</v>
      </c>
      <c r="AC222" s="289">
        <v>43891</v>
      </c>
      <c r="AD222" s="203"/>
      <c r="AE222" s="203" t="s">
        <v>3235</v>
      </c>
      <c r="AF222" s="203"/>
      <c r="AG222" s="203"/>
      <c r="AH222" s="202">
        <f t="shared" ref="AH222:AH246" si="70">COUNTA(AE222:AG222)</f>
        <v>1</v>
      </c>
      <c r="AI222" s="203"/>
      <c r="AJ222" s="203"/>
      <c r="AK222" s="203"/>
      <c r="AL222" s="203"/>
      <c r="AM222" s="203"/>
      <c r="AN222" s="203"/>
      <c r="AO222" s="203" t="s">
        <v>162</v>
      </c>
      <c r="AP222" s="203" t="s">
        <v>179</v>
      </c>
      <c r="AQ222" s="203" t="s">
        <v>179</v>
      </c>
      <c r="AR222" s="203" t="s">
        <v>161</v>
      </c>
      <c r="AS222" s="203"/>
      <c r="AT222" s="422" t="s">
        <v>217</v>
      </c>
      <c r="AU222" s="202" t="s">
        <v>3236</v>
      </c>
      <c r="AV222" s="203"/>
      <c r="AW222" s="204">
        <v>43892</v>
      </c>
      <c r="AX222" s="316" t="s">
        <v>3237</v>
      </c>
      <c r="AY222" s="203" t="s">
        <v>148</v>
      </c>
      <c r="AZ222" s="204">
        <v>44452</v>
      </c>
      <c r="BA222" s="204">
        <v>44531</v>
      </c>
      <c r="BB222" s="204"/>
      <c r="BC222" s="204"/>
      <c r="BD222" s="204"/>
      <c r="BE222" s="205" t="s">
        <v>3234</v>
      </c>
      <c r="BF222" s="204">
        <v>44872</v>
      </c>
      <c r="BG222" s="204" t="s">
        <v>148</v>
      </c>
      <c r="BH222" s="204">
        <v>45476</v>
      </c>
      <c r="BI222" s="204" t="s">
        <v>148</v>
      </c>
      <c r="BJ222" s="203"/>
      <c r="BK222" s="203"/>
      <c r="BL222" s="203"/>
      <c r="BM222" s="206">
        <v>45538</v>
      </c>
      <c r="BN222" s="202" t="s">
        <v>16</v>
      </c>
      <c r="BO222" s="270">
        <f>DATEDIF(AW222,BM222, "M")+1</f>
        <v>55</v>
      </c>
      <c r="BP222" s="270">
        <f>DATEDIF(AB222,BM222, "M")+1</f>
        <v>42</v>
      </c>
      <c r="BQ222" s="202" t="s">
        <v>3238</v>
      </c>
      <c r="BR222" s="202">
        <v>0</v>
      </c>
      <c r="BS222" s="202"/>
      <c r="BT222" s="202"/>
      <c r="BU222" s="202"/>
      <c r="BV222" s="202"/>
      <c r="BW222" s="202"/>
      <c r="BX222" s="202"/>
      <c r="BY222" s="202" t="s">
        <v>161</v>
      </c>
      <c r="BZ222" s="202"/>
      <c r="CA222" s="202"/>
      <c r="CB222" s="207"/>
      <c r="CC222" s="207"/>
      <c r="CD222" s="202"/>
      <c r="CE222" s="202"/>
      <c r="CF222" s="202"/>
      <c r="CG222" s="202"/>
      <c r="CH222" s="378">
        <v>3</v>
      </c>
      <c r="CI222" s="202"/>
      <c r="CJ222" s="202"/>
      <c r="CK222" s="202" t="s">
        <v>807</v>
      </c>
      <c r="CL222"/>
    </row>
    <row r="223" spans="1:90" s="53" customFormat="1" ht="32.5" customHeight="1" x14ac:dyDescent="0.35">
      <c r="A223" s="202">
        <v>226</v>
      </c>
      <c r="B223" s="202" t="s">
        <v>3239</v>
      </c>
      <c r="C223" s="202" t="s">
        <v>3240</v>
      </c>
      <c r="D223" s="202"/>
      <c r="E223" s="202" t="s">
        <v>3241</v>
      </c>
      <c r="F223" s="202" t="s">
        <v>4140</v>
      </c>
      <c r="G223" s="202">
        <v>10</v>
      </c>
      <c r="H223" s="202" t="s">
        <v>53</v>
      </c>
      <c r="I223" s="202" t="s">
        <v>43</v>
      </c>
      <c r="J223" s="202" t="s">
        <v>600</v>
      </c>
      <c r="K223" s="202" t="s">
        <v>3242</v>
      </c>
      <c r="L223" s="202" t="s">
        <v>44</v>
      </c>
      <c r="M223" s="202" t="s">
        <v>161</v>
      </c>
      <c r="N223" s="202">
        <v>2477108</v>
      </c>
      <c r="O223" s="202" t="s">
        <v>149</v>
      </c>
      <c r="P223" s="202" t="s">
        <v>149</v>
      </c>
      <c r="Q223" s="202"/>
      <c r="R223" s="392" t="s">
        <v>3243</v>
      </c>
      <c r="S223" s="392" t="s">
        <v>3244</v>
      </c>
      <c r="T223" s="354" t="s">
        <v>3245</v>
      </c>
      <c r="U223" s="203" t="s">
        <v>3246</v>
      </c>
      <c r="V223" s="203">
        <v>31357</v>
      </c>
      <c r="W223" s="269" t="s">
        <v>3247</v>
      </c>
      <c r="X223" s="269" t="s">
        <v>177</v>
      </c>
      <c r="Y223" s="269"/>
      <c r="Z223" s="269"/>
      <c r="AA223" s="202"/>
      <c r="AB223" s="203">
        <v>43815</v>
      </c>
      <c r="AC223" s="289">
        <v>43891</v>
      </c>
      <c r="AD223" s="203"/>
      <c r="AE223" s="203" t="s">
        <v>3248</v>
      </c>
      <c r="AF223" s="203"/>
      <c r="AG223" s="203"/>
      <c r="AH223" s="202">
        <f t="shared" si="70"/>
        <v>1</v>
      </c>
      <c r="AI223" s="203"/>
      <c r="AJ223" s="203"/>
      <c r="AK223" s="203"/>
      <c r="AL223" s="203"/>
      <c r="AM223" s="203"/>
      <c r="AN223" s="203"/>
      <c r="AO223" s="203" t="s">
        <v>162</v>
      </c>
      <c r="AP223" s="203" t="s">
        <v>179</v>
      </c>
      <c r="AQ223" s="203" t="s">
        <v>179</v>
      </c>
      <c r="AR223" s="203" t="s">
        <v>161</v>
      </c>
      <c r="AS223" s="203" t="s">
        <v>3249</v>
      </c>
      <c r="AT223" s="422" t="s">
        <v>217</v>
      </c>
      <c r="AU223" s="202" t="s">
        <v>3250</v>
      </c>
      <c r="AV223" s="203"/>
      <c r="AW223" s="204">
        <v>43893</v>
      </c>
      <c r="AX223" s="316" t="s">
        <v>3237</v>
      </c>
      <c r="AY223" s="203" t="s">
        <v>148</v>
      </c>
      <c r="AZ223" s="204">
        <v>44111</v>
      </c>
      <c r="BA223" s="204">
        <v>44075</v>
      </c>
      <c r="BB223" s="204"/>
      <c r="BC223" s="204"/>
      <c r="BD223" s="204"/>
      <c r="BE223" s="205" t="s">
        <v>3247</v>
      </c>
      <c r="BF223" s="204">
        <v>44872</v>
      </c>
      <c r="BG223" s="204" t="s">
        <v>148</v>
      </c>
      <c r="BH223" s="204">
        <v>45476</v>
      </c>
      <c r="BI223" s="204" t="s">
        <v>148</v>
      </c>
      <c r="BJ223" s="203">
        <v>45747</v>
      </c>
      <c r="BK223" s="203"/>
      <c r="BL223" s="203"/>
      <c r="BM223" s="206">
        <v>45936</v>
      </c>
      <c r="BN223" s="202" t="s">
        <v>16</v>
      </c>
      <c r="BO223" s="270">
        <f>DATEDIF(AW223,BM223, "M")+1</f>
        <v>68</v>
      </c>
      <c r="BP223" s="202" t="e">
        <f>DATEDIF(AX223,BM223, "M")+1</f>
        <v>#VALUE!</v>
      </c>
      <c r="BQ223" s="202"/>
      <c r="BR223" s="202">
        <v>1</v>
      </c>
      <c r="BS223" s="202">
        <v>2</v>
      </c>
      <c r="BT223" s="202"/>
      <c r="BU223" s="202"/>
      <c r="BV223" s="202"/>
      <c r="BW223" s="202"/>
      <c r="BX223" s="202"/>
      <c r="BY223" s="202" t="s">
        <v>161</v>
      </c>
      <c r="BZ223" s="202"/>
      <c r="CA223" s="202"/>
      <c r="CB223" s="207">
        <v>45586</v>
      </c>
      <c r="CC223" s="207">
        <v>45716</v>
      </c>
      <c r="CD223" s="202">
        <v>4</v>
      </c>
      <c r="CE223" s="202"/>
      <c r="CF223" s="202"/>
      <c r="CG223" s="202"/>
      <c r="CH223" s="378">
        <v>0</v>
      </c>
      <c r="CI223" s="202"/>
      <c r="CJ223" s="202"/>
      <c r="CK223" s="202" t="s">
        <v>807</v>
      </c>
      <c r="CL223"/>
    </row>
    <row r="224" spans="1:90" s="53" customFormat="1" ht="20.5" customHeight="1" x14ac:dyDescent="0.35">
      <c r="A224" s="202">
        <v>227</v>
      </c>
      <c r="B224" s="202" t="s">
        <v>3251</v>
      </c>
      <c r="C224" s="202" t="s">
        <v>3252</v>
      </c>
      <c r="D224" s="202" t="s">
        <v>3253</v>
      </c>
      <c r="E224" s="202" t="s">
        <v>3254</v>
      </c>
      <c r="F224" s="202" t="s">
        <v>4140</v>
      </c>
      <c r="G224" s="202">
        <v>10</v>
      </c>
      <c r="H224" s="202" t="s">
        <v>57</v>
      </c>
      <c r="I224" s="202" t="s">
        <v>40</v>
      </c>
      <c r="J224" s="202" t="s">
        <v>2137</v>
      </c>
      <c r="K224" s="202" t="s">
        <v>3255</v>
      </c>
      <c r="L224" s="202" t="s">
        <v>44</v>
      </c>
      <c r="M224" s="202" t="s">
        <v>161</v>
      </c>
      <c r="N224" s="202"/>
      <c r="O224" s="202" t="s">
        <v>320</v>
      </c>
      <c r="P224" s="202" t="s">
        <v>320</v>
      </c>
      <c r="Q224" s="202"/>
      <c r="R224" s="392" t="s">
        <v>3256</v>
      </c>
      <c r="S224" s="392" t="s">
        <v>3257</v>
      </c>
      <c r="T224" s="354" t="s">
        <v>3258</v>
      </c>
      <c r="U224" s="203" t="s">
        <v>3259</v>
      </c>
      <c r="V224" s="203">
        <v>30155</v>
      </c>
      <c r="W224" s="269" t="s">
        <v>3260</v>
      </c>
      <c r="X224" s="269" t="s">
        <v>2886</v>
      </c>
      <c r="Y224" s="269"/>
      <c r="Z224" s="269"/>
      <c r="AA224" s="202"/>
      <c r="AB224" s="203">
        <v>44089</v>
      </c>
      <c r="AC224" s="289">
        <v>43891</v>
      </c>
      <c r="AD224" s="203"/>
      <c r="AE224" s="203" t="s">
        <v>3261</v>
      </c>
      <c r="AF224" s="203" t="s">
        <v>3262</v>
      </c>
      <c r="AG224" s="203"/>
      <c r="AH224" s="202">
        <f t="shared" si="70"/>
        <v>2</v>
      </c>
      <c r="AI224" s="203"/>
      <c r="AJ224" s="203"/>
      <c r="AK224" s="203"/>
      <c r="AL224" s="203"/>
      <c r="AM224" s="203"/>
      <c r="AN224" s="203"/>
      <c r="AO224" s="203" t="s">
        <v>957</v>
      </c>
      <c r="AP224" s="203" t="s">
        <v>591</v>
      </c>
      <c r="AQ224" s="203"/>
      <c r="AR224" s="203"/>
      <c r="AS224" s="203"/>
      <c r="AT224" s="422" t="s">
        <v>1264</v>
      </c>
      <c r="AU224" s="202" t="s">
        <v>3263</v>
      </c>
      <c r="AV224" s="203"/>
      <c r="AW224" s="204">
        <v>43895</v>
      </c>
      <c r="AX224" s="316" t="s">
        <v>3237</v>
      </c>
      <c r="AY224" s="203" t="s">
        <v>148</v>
      </c>
      <c r="AZ224" s="204">
        <v>44309</v>
      </c>
      <c r="BA224" s="204">
        <v>44474</v>
      </c>
      <c r="BB224" s="204"/>
      <c r="BC224" s="204"/>
      <c r="BD224" s="204"/>
      <c r="BE224" s="205" t="s">
        <v>3260</v>
      </c>
      <c r="BF224" s="204">
        <v>44872</v>
      </c>
      <c r="BG224" s="204" t="s">
        <v>148</v>
      </c>
      <c r="BH224" s="204">
        <v>45476</v>
      </c>
      <c r="BI224" s="204" t="s">
        <v>148</v>
      </c>
      <c r="BJ224" s="203"/>
      <c r="BK224" s="203">
        <v>45597</v>
      </c>
      <c r="BL224" s="203"/>
      <c r="BM224" s="206">
        <v>45990</v>
      </c>
      <c r="BN224" s="202" t="s">
        <v>16</v>
      </c>
      <c r="BO224" s="270"/>
      <c r="BP224" s="270"/>
      <c r="BQ224" s="270">
        <v>2511</v>
      </c>
      <c r="BR224" s="202">
        <v>15</v>
      </c>
      <c r="BS224" s="202">
        <v>4</v>
      </c>
      <c r="BT224" s="202"/>
      <c r="BU224" s="202"/>
      <c r="BV224" s="202"/>
      <c r="BW224" s="202"/>
      <c r="BX224" s="202"/>
      <c r="BY224" s="202" t="s">
        <v>161</v>
      </c>
      <c r="BZ224" s="202"/>
      <c r="CA224" s="202"/>
      <c r="CB224" s="207"/>
      <c r="CC224" s="207"/>
      <c r="CD224" s="202"/>
      <c r="CE224" s="202"/>
      <c r="CF224" s="202"/>
      <c r="CG224" s="202"/>
      <c r="CH224" s="378">
        <v>0</v>
      </c>
      <c r="CI224" s="202"/>
      <c r="CJ224" s="202"/>
      <c r="CK224" s="202" t="s">
        <v>807</v>
      </c>
      <c r="CL224"/>
    </row>
    <row r="225" spans="1:90" s="53" customFormat="1" ht="29.5" customHeight="1" x14ac:dyDescent="0.35">
      <c r="A225" s="202">
        <v>228</v>
      </c>
      <c r="B225" s="202" t="s">
        <v>3264</v>
      </c>
      <c r="C225" s="202" t="s">
        <v>627</v>
      </c>
      <c r="D225" s="202" t="s">
        <v>3265</v>
      </c>
      <c r="E225" s="202" t="s">
        <v>3266</v>
      </c>
      <c r="F225" s="202" t="s">
        <v>4140</v>
      </c>
      <c r="G225" s="202">
        <v>10</v>
      </c>
      <c r="H225" s="202" t="s">
        <v>52</v>
      </c>
      <c r="I225" s="202" t="s">
        <v>31</v>
      </c>
      <c r="J225" s="202" t="s">
        <v>3267</v>
      </c>
      <c r="K225" s="202" t="s">
        <v>3268</v>
      </c>
      <c r="L225" s="202" t="s">
        <v>31</v>
      </c>
      <c r="M225" s="202" t="s">
        <v>148</v>
      </c>
      <c r="N225" s="202"/>
      <c r="O225" s="202" t="s">
        <v>320</v>
      </c>
      <c r="P225" s="202" t="s">
        <v>320</v>
      </c>
      <c r="Q225" s="202"/>
      <c r="R225" s="392" t="s">
        <v>3269</v>
      </c>
      <c r="S225" s="392" t="s">
        <v>3270</v>
      </c>
      <c r="T225" s="354" t="s">
        <v>3271</v>
      </c>
      <c r="U225" s="203" t="s">
        <v>3272</v>
      </c>
      <c r="V225" s="203">
        <v>27816</v>
      </c>
      <c r="W225" s="269" t="s">
        <v>3273</v>
      </c>
      <c r="X225" s="269" t="s">
        <v>177</v>
      </c>
      <c r="Y225" s="269"/>
      <c r="Z225" s="269"/>
      <c r="AA225" s="202"/>
      <c r="AB225" s="203">
        <v>43955</v>
      </c>
      <c r="AC225" s="289">
        <v>43891</v>
      </c>
      <c r="AD225" s="203"/>
      <c r="AE225" s="203" t="s">
        <v>3274</v>
      </c>
      <c r="AF225" s="203"/>
      <c r="AG225" s="203"/>
      <c r="AH225" s="202">
        <f t="shared" si="70"/>
        <v>1</v>
      </c>
      <c r="AI225" s="203"/>
      <c r="AJ225" s="203"/>
      <c r="AK225" s="203"/>
      <c r="AL225" s="203"/>
      <c r="AM225" s="203"/>
      <c r="AN225" s="203"/>
      <c r="AO225" s="203" t="s">
        <v>162</v>
      </c>
      <c r="AP225" s="203" t="s">
        <v>1438</v>
      </c>
      <c r="AQ225" s="203" t="s">
        <v>248</v>
      </c>
      <c r="AR225" s="203" t="s">
        <v>148</v>
      </c>
      <c r="AS225" s="203"/>
      <c r="AT225" s="422" t="s">
        <v>326</v>
      </c>
      <c r="AU225" s="202" t="s">
        <v>3275</v>
      </c>
      <c r="AV225" s="203"/>
      <c r="AW225" s="204">
        <v>43906</v>
      </c>
      <c r="AX225" s="317">
        <v>44136</v>
      </c>
      <c r="AY225" s="204" t="s">
        <v>148</v>
      </c>
      <c r="AZ225" s="204"/>
      <c r="BA225" s="204">
        <v>44600</v>
      </c>
      <c r="BB225" s="204"/>
      <c r="BC225" s="204"/>
      <c r="BD225" s="204"/>
      <c r="BE225" s="205" t="s">
        <v>3273</v>
      </c>
      <c r="BF225" s="204">
        <v>45061</v>
      </c>
      <c r="BG225" s="204" t="s">
        <v>161</v>
      </c>
      <c r="BH225" s="204">
        <v>45476</v>
      </c>
      <c r="BI225" s="204" t="s">
        <v>148</v>
      </c>
      <c r="BJ225" s="203"/>
      <c r="BK225" s="203"/>
      <c r="BL225" s="203"/>
      <c r="BM225" s="206">
        <v>45717</v>
      </c>
      <c r="BN225" s="202" t="s">
        <v>16</v>
      </c>
      <c r="BO225" s="270">
        <f>DATEDIF(AW225,BM225, "M")+1</f>
        <v>60</v>
      </c>
      <c r="BP225" s="270" t="e">
        <f>DATEDIF(AX225,BN225, "M")+1</f>
        <v>#VALUE!</v>
      </c>
      <c r="BQ225" s="202"/>
      <c r="BR225" s="202">
        <v>4</v>
      </c>
      <c r="BS225" s="202">
        <v>3</v>
      </c>
      <c r="BT225" s="202"/>
      <c r="BU225" s="202"/>
      <c r="BV225" s="202"/>
      <c r="BW225" s="202"/>
      <c r="BX225" s="202"/>
      <c r="BY225" s="202" t="s">
        <v>161</v>
      </c>
      <c r="BZ225" s="202"/>
      <c r="CA225" s="202"/>
      <c r="CB225" s="207">
        <v>45566</v>
      </c>
      <c r="CC225" s="207">
        <v>45688</v>
      </c>
      <c r="CD225" s="202">
        <v>4</v>
      </c>
      <c r="CE225" s="202"/>
      <c r="CF225" s="202"/>
      <c r="CG225" s="202"/>
      <c r="CH225" s="378">
        <v>0</v>
      </c>
      <c r="CI225" s="202"/>
      <c r="CJ225" s="202"/>
      <c r="CK225" s="202" t="s">
        <v>807</v>
      </c>
      <c r="CL225"/>
    </row>
    <row r="226" spans="1:90" s="53" customFormat="1" ht="29.5" customHeight="1" x14ac:dyDescent="0.35">
      <c r="A226" s="202">
        <v>229</v>
      </c>
      <c r="B226" s="202" t="s">
        <v>3276</v>
      </c>
      <c r="C226" s="202" t="s">
        <v>3277</v>
      </c>
      <c r="D226" s="202" t="s">
        <v>3278</v>
      </c>
      <c r="E226" s="202" t="s">
        <v>3279</v>
      </c>
      <c r="F226" s="202" t="s">
        <v>4140</v>
      </c>
      <c r="G226" s="202">
        <v>10</v>
      </c>
      <c r="H226" s="202" t="s">
        <v>51</v>
      </c>
      <c r="I226" s="202" t="s">
        <v>4136</v>
      </c>
      <c r="J226" s="202" t="s">
        <v>1419</v>
      </c>
      <c r="K226" s="202" t="s">
        <v>3280</v>
      </c>
      <c r="L226" s="202" t="s">
        <v>44</v>
      </c>
      <c r="M226" s="202" t="s">
        <v>161</v>
      </c>
      <c r="N226" s="202"/>
      <c r="O226" s="202" t="s">
        <v>149</v>
      </c>
      <c r="P226" s="202" t="s">
        <v>149</v>
      </c>
      <c r="Q226" s="202"/>
      <c r="R226" s="392" t="s">
        <v>3281</v>
      </c>
      <c r="S226" s="392" t="s">
        <v>3282</v>
      </c>
      <c r="T226" s="354" t="s">
        <v>3283</v>
      </c>
      <c r="U226" s="203" t="s">
        <v>3284</v>
      </c>
      <c r="V226" s="203">
        <v>29049</v>
      </c>
      <c r="W226" s="269" t="s">
        <v>3285</v>
      </c>
      <c r="X226" s="269" t="s">
        <v>2886</v>
      </c>
      <c r="Y226" s="269"/>
      <c r="Z226" s="269"/>
      <c r="AA226" s="202"/>
      <c r="AB226" s="203">
        <v>44398</v>
      </c>
      <c r="AC226" s="289">
        <v>43891</v>
      </c>
      <c r="AD226" s="203"/>
      <c r="AE226" s="203" t="s">
        <v>2943</v>
      </c>
      <c r="AF226" s="313" t="s">
        <v>3286</v>
      </c>
      <c r="AG226" s="203"/>
      <c r="AH226" s="202">
        <f t="shared" si="70"/>
        <v>2</v>
      </c>
      <c r="AI226" s="203"/>
      <c r="AJ226" s="203"/>
      <c r="AK226" s="203"/>
      <c r="AL226" s="203"/>
      <c r="AM226" s="203"/>
      <c r="AN226" s="203"/>
      <c r="AO226" s="203" t="s">
        <v>162</v>
      </c>
      <c r="AP226" s="203" t="s">
        <v>248</v>
      </c>
      <c r="AQ226" s="203" t="s">
        <v>248</v>
      </c>
      <c r="AR226" s="203" t="s">
        <v>148</v>
      </c>
      <c r="AS226" s="203"/>
      <c r="AT226" s="422" t="s">
        <v>296</v>
      </c>
      <c r="AU226" s="202" t="s">
        <v>3287</v>
      </c>
      <c r="AV226" s="203"/>
      <c r="AW226" s="204">
        <v>43907</v>
      </c>
      <c r="AX226" s="316" t="s">
        <v>3237</v>
      </c>
      <c r="AY226" s="204" t="s">
        <v>148</v>
      </c>
      <c r="AZ226" s="204">
        <v>44596</v>
      </c>
      <c r="BA226" s="204">
        <v>44656</v>
      </c>
      <c r="BB226" s="204"/>
      <c r="BC226" s="204"/>
      <c r="BD226" s="204"/>
      <c r="BE226" s="205" t="s">
        <v>3285</v>
      </c>
      <c r="BF226" s="204">
        <v>44872</v>
      </c>
      <c r="BG226" s="204" t="s">
        <v>148</v>
      </c>
      <c r="BH226" s="204">
        <v>45476</v>
      </c>
      <c r="BI226" s="204" t="s">
        <v>148</v>
      </c>
      <c r="BJ226" s="203"/>
      <c r="BK226" s="203"/>
      <c r="BL226" s="203"/>
      <c r="BM226" s="206">
        <v>46204</v>
      </c>
      <c r="BN226" s="202" t="s">
        <v>16</v>
      </c>
      <c r="BO226" s="270">
        <f>DATEDIF(AW226,BM226, "M")+1</f>
        <v>76</v>
      </c>
      <c r="BP226" s="270">
        <f>DATEDIF($AB$226,BM226, "M")+1</f>
        <v>60</v>
      </c>
      <c r="BQ226" s="485" t="s">
        <v>3288</v>
      </c>
      <c r="BR226" s="202">
        <v>1</v>
      </c>
      <c r="BS226" s="202">
        <v>6</v>
      </c>
      <c r="BT226" s="202"/>
      <c r="BU226" s="202"/>
      <c r="BV226" s="202"/>
      <c r="BW226" s="202"/>
      <c r="BX226" s="202"/>
      <c r="BY226" s="202" t="s">
        <v>161</v>
      </c>
      <c r="BZ226" s="202"/>
      <c r="CA226" s="202"/>
      <c r="CB226" s="207"/>
      <c r="CC226" s="207"/>
      <c r="CD226" s="202"/>
      <c r="CE226" s="202"/>
      <c r="CF226" s="202"/>
      <c r="CG226" s="202"/>
      <c r="CH226" s="378">
        <v>3</v>
      </c>
      <c r="CI226" s="202"/>
      <c r="CJ226" s="202"/>
      <c r="CK226" s="202" t="s">
        <v>807</v>
      </c>
      <c r="CL226"/>
    </row>
    <row r="227" spans="1:90" s="53" customFormat="1" ht="29.5" customHeight="1" x14ac:dyDescent="0.35">
      <c r="A227" s="202">
        <v>230</v>
      </c>
      <c r="B227" s="202" t="s">
        <v>3289</v>
      </c>
      <c r="C227" s="202" t="s">
        <v>3290</v>
      </c>
      <c r="D227" s="202" t="s">
        <v>3291</v>
      </c>
      <c r="E227" s="202" t="s">
        <v>3292</v>
      </c>
      <c r="F227" s="202" t="s">
        <v>4140</v>
      </c>
      <c r="G227" s="202">
        <v>10</v>
      </c>
      <c r="H227" s="202" t="s">
        <v>50</v>
      </c>
      <c r="I227" s="202" t="s">
        <v>37</v>
      </c>
      <c r="J227" s="202" t="s">
        <v>3293</v>
      </c>
      <c r="K227" s="202" t="s">
        <v>3294</v>
      </c>
      <c r="L227" s="202" t="s">
        <v>44</v>
      </c>
      <c r="M227" s="202" t="s">
        <v>161</v>
      </c>
      <c r="N227" s="202"/>
      <c r="O227" s="202" t="s">
        <v>1301</v>
      </c>
      <c r="P227" s="202" t="s">
        <v>1301</v>
      </c>
      <c r="Q227" s="202"/>
      <c r="R227" s="392" t="s">
        <v>3295</v>
      </c>
      <c r="S227" s="392" t="s">
        <v>3296</v>
      </c>
      <c r="T227" s="354" t="s">
        <v>3297</v>
      </c>
      <c r="U227" s="203" t="s">
        <v>3298</v>
      </c>
      <c r="V227" s="203">
        <v>31132</v>
      </c>
      <c r="W227" s="269" t="s">
        <v>3299</v>
      </c>
      <c r="X227" s="269" t="s">
        <v>177</v>
      </c>
      <c r="Y227" s="269"/>
      <c r="Z227" s="269"/>
      <c r="AA227" s="202"/>
      <c r="AB227" s="203">
        <v>44013</v>
      </c>
      <c r="AC227" s="289">
        <v>43891</v>
      </c>
      <c r="AD227" s="203"/>
      <c r="AE227" s="203" t="s">
        <v>3300</v>
      </c>
      <c r="AF227" s="203" t="s">
        <v>3301</v>
      </c>
      <c r="AG227" s="203" t="s">
        <v>3301</v>
      </c>
      <c r="AH227" s="202">
        <f t="shared" si="70"/>
        <v>3</v>
      </c>
      <c r="AI227" s="203"/>
      <c r="AJ227" s="203"/>
      <c r="AK227" s="203"/>
      <c r="AL227" s="203"/>
      <c r="AM227" s="203"/>
      <c r="AN227" s="203"/>
      <c r="AO227" s="203" t="s">
        <v>162</v>
      </c>
      <c r="AP227" s="203" t="s">
        <v>873</v>
      </c>
      <c r="AQ227" s="203" t="s">
        <v>3302</v>
      </c>
      <c r="AR227" s="203" t="s">
        <v>148</v>
      </c>
      <c r="AS227" s="203"/>
      <c r="AT227" s="422" t="s">
        <v>3303</v>
      </c>
      <c r="AU227" s="202" t="s">
        <v>3304</v>
      </c>
      <c r="AV227" s="203"/>
      <c r="AW227" s="204">
        <v>43897</v>
      </c>
      <c r="AX227" s="316" t="s">
        <v>3237</v>
      </c>
      <c r="AY227" s="204" t="s">
        <v>148</v>
      </c>
      <c r="AZ227" s="204">
        <v>44161</v>
      </c>
      <c r="BA227" s="204">
        <v>44214</v>
      </c>
      <c r="BB227" s="204"/>
      <c r="BC227" s="204"/>
      <c r="BD227" s="204"/>
      <c r="BE227" s="205" t="s">
        <v>3299</v>
      </c>
      <c r="BF227" s="204">
        <v>44872</v>
      </c>
      <c r="BG227" s="204" t="s">
        <v>148</v>
      </c>
      <c r="BH227" s="204">
        <v>45476</v>
      </c>
      <c r="BI227" s="204" t="s">
        <v>148</v>
      </c>
      <c r="BJ227" s="203"/>
      <c r="BK227" s="203"/>
      <c r="BL227" s="203"/>
      <c r="BM227" s="206">
        <v>45188</v>
      </c>
      <c r="BN227" s="208" t="s">
        <v>16</v>
      </c>
      <c r="BO227" s="270">
        <f>DATEDIF(AW227,BM227, "M")+1</f>
        <v>43</v>
      </c>
      <c r="BP227" s="202" t="e">
        <f t="shared" ref="BP227" si="71">DATEDIF(AX227,BM227, "M")+1</f>
        <v>#VALUE!</v>
      </c>
      <c r="BQ227" s="309" t="s">
        <v>3305</v>
      </c>
      <c r="BR227" s="202">
        <v>2</v>
      </c>
      <c r="BS227" s="202">
        <v>1</v>
      </c>
      <c r="BT227" s="202"/>
      <c r="BU227" s="202"/>
      <c r="BV227" s="202"/>
      <c r="BW227" s="202"/>
      <c r="BX227" s="202"/>
      <c r="BY227" s="202" t="s">
        <v>161</v>
      </c>
      <c r="BZ227" s="202"/>
      <c r="CA227" s="202"/>
      <c r="CB227" s="207"/>
      <c r="CC227" s="207"/>
      <c r="CD227" s="202"/>
      <c r="CE227" s="202"/>
      <c r="CF227" s="202"/>
      <c r="CG227" s="202"/>
      <c r="CH227" s="378">
        <v>3</v>
      </c>
      <c r="CI227" s="202"/>
      <c r="CJ227" s="202"/>
      <c r="CK227" s="202" t="s">
        <v>807</v>
      </c>
      <c r="CL227"/>
    </row>
    <row r="228" spans="1:90" s="53" customFormat="1" ht="25" customHeight="1" x14ac:dyDescent="0.35">
      <c r="A228" s="202">
        <v>231</v>
      </c>
      <c r="B228" s="202" t="s">
        <v>3306</v>
      </c>
      <c r="C228" s="202" t="s">
        <v>3307</v>
      </c>
      <c r="D228" s="202" t="s">
        <v>3308</v>
      </c>
      <c r="E228" s="202" t="s">
        <v>3309</v>
      </c>
      <c r="F228" s="202" t="s">
        <v>4140</v>
      </c>
      <c r="G228" s="202">
        <v>10</v>
      </c>
      <c r="H228" s="202" t="s">
        <v>52</v>
      </c>
      <c r="I228" s="202" t="s">
        <v>31</v>
      </c>
      <c r="J228" s="202" t="s">
        <v>3310</v>
      </c>
      <c r="K228" s="202" t="s">
        <v>1742</v>
      </c>
      <c r="L228" s="202" t="s">
        <v>31</v>
      </c>
      <c r="M228" s="202" t="s">
        <v>161</v>
      </c>
      <c r="N228" s="202"/>
      <c r="O228" s="202" t="s">
        <v>149</v>
      </c>
      <c r="P228" s="202" t="s">
        <v>149</v>
      </c>
      <c r="Q228" s="202" t="s">
        <v>149</v>
      </c>
      <c r="R228" s="202" t="s">
        <v>3311</v>
      </c>
      <c r="S228" s="202" t="s">
        <v>3312</v>
      </c>
      <c r="T228" s="354" t="s">
        <v>3313</v>
      </c>
      <c r="U228" s="203" t="s">
        <v>3314</v>
      </c>
      <c r="V228" s="203">
        <v>29362</v>
      </c>
      <c r="W228" s="269" t="s">
        <v>3315</v>
      </c>
      <c r="X228" s="269" t="s">
        <v>2496</v>
      </c>
      <c r="Y228" s="269"/>
      <c r="Z228" s="269"/>
      <c r="AA228" s="202"/>
      <c r="AB228" s="203"/>
      <c r="AC228" s="289">
        <v>43891</v>
      </c>
      <c r="AD228" s="203"/>
      <c r="AE228" s="203" t="s">
        <v>3316</v>
      </c>
      <c r="AF228" s="203" t="s">
        <v>3317</v>
      </c>
      <c r="AG228" s="203" t="s">
        <v>3318</v>
      </c>
      <c r="AH228" s="202">
        <f t="shared" si="70"/>
        <v>3</v>
      </c>
      <c r="AI228" s="203"/>
      <c r="AJ228" s="203"/>
      <c r="AK228" s="203"/>
      <c r="AL228" s="203"/>
      <c r="AM228" s="203"/>
      <c r="AN228" s="203"/>
      <c r="AO228" s="203" t="s">
        <v>162</v>
      </c>
      <c r="AP228" s="203" t="s">
        <v>443</v>
      </c>
      <c r="AQ228" s="203" t="s">
        <v>1438</v>
      </c>
      <c r="AR228" s="203" t="s">
        <v>148</v>
      </c>
      <c r="AS228" s="203"/>
      <c r="AT228" s="422" t="s">
        <v>326</v>
      </c>
      <c r="AU228" s="202" t="s">
        <v>3319</v>
      </c>
      <c r="AV228" s="203"/>
      <c r="AW228" s="204">
        <v>43898</v>
      </c>
      <c r="AX228" s="204">
        <v>44136</v>
      </c>
      <c r="AY228" s="204" t="s">
        <v>148</v>
      </c>
      <c r="AZ228" s="204"/>
      <c r="BA228" s="204"/>
      <c r="BB228" s="204"/>
      <c r="BC228" s="204"/>
      <c r="BD228" s="204"/>
      <c r="BE228" s="205" t="s">
        <v>3315</v>
      </c>
      <c r="BF228" s="204">
        <v>44872</v>
      </c>
      <c r="BG228" s="204" t="s">
        <v>148</v>
      </c>
      <c r="BH228" s="204">
        <v>45476</v>
      </c>
      <c r="BI228" s="204" t="s">
        <v>148</v>
      </c>
      <c r="BJ228" s="203"/>
      <c r="BK228" s="203"/>
      <c r="BL228" s="203"/>
      <c r="BM228" s="206">
        <v>44543</v>
      </c>
      <c r="BN228" s="202" t="s">
        <v>16</v>
      </c>
      <c r="BO228" s="270">
        <f>DATEDIF(AW228,BM228, "M")+1</f>
        <v>22</v>
      </c>
      <c r="BP228" s="202">
        <f t="shared" ref="BP228" si="72">DATEDIF(AX228,BM228, "M")+1</f>
        <v>14</v>
      </c>
      <c r="BQ228" s="309" t="s">
        <v>3320</v>
      </c>
      <c r="BR228" s="202">
        <v>3</v>
      </c>
      <c r="BS228" s="202">
        <v>2</v>
      </c>
      <c r="BT228" s="202"/>
      <c r="BU228" s="202"/>
      <c r="BV228" s="202"/>
      <c r="BW228" s="202"/>
      <c r="BX228" s="202"/>
      <c r="BY228" s="202" t="s">
        <v>3321</v>
      </c>
      <c r="BZ228" s="202"/>
      <c r="CA228" s="202"/>
      <c r="CB228" s="207"/>
      <c r="CC228" s="207"/>
      <c r="CD228" s="202"/>
      <c r="CE228" s="202"/>
      <c r="CF228" s="202"/>
      <c r="CG228" s="202"/>
      <c r="CH228" s="378">
        <v>4</v>
      </c>
      <c r="CI228" s="202">
        <v>4</v>
      </c>
      <c r="CJ228" s="202"/>
      <c r="CK228" s="202" t="s">
        <v>807</v>
      </c>
      <c r="CL228"/>
    </row>
    <row r="229" spans="1:90" s="53" customFormat="1" ht="25" customHeight="1" x14ac:dyDescent="0.35">
      <c r="A229" s="202">
        <v>232</v>
      </c>
      <c r="B229" s="91" t="s">
        <v>3322</v>
      </c>
      <c r="C229" s="91" t="s">
        <v>3323</v>
      </c>
      <c r="D229" s="91" t="s">
        <v>3324</v>
      </c>
      <c r="E229" s="91" t="s">
        <v>3325</v>
      </c>
      <c r="F229" s="91" t="s">
        <v>4139</v>
      </c>
      <c r="G229" s="91">
        <v>10</v>
      </c>
      <c r="H229" s="91" t="s">
        <v>50</v>
      </c>
      <c r="I229" s="91" t="s">
        <v>42</v>
      </c>
      <c r="J229" s="91" t="s">
        <v>3326</v>
      </c>
      <c r="K229" s="91" t="s">
        <v>2288</v>
      </c>
      <c r="L229" s="91" t="s">
        <v>42</v>
      </c>
      <c r="M229" s="91" t="s">
        <v>148</v>
      </c>
      <c r="N229" s="91"/>
      <c r="O229" s="91" t="s">
        <v>320</v>
      </c>
      <c r="P229" s="91" t="s">
        <v>320</v>
      </c>
      <c r="Q229" s="91"/>
      <c r="R229" s="91" t="s">
        <v>3327</v>
      </c>
      <c r="S229" s="91" t="s">
        <v>3328</v>
      </c>
      <c r="T229" s="341" t="s">
        <v>3329</v>
      </c>
      <c r="U229" s="92" t="s">
        <v>3330</v>
      </c>
      <c r="V229" s="92">
        <v>30207</v>
      </c>
      <c r="W229" s="164" t="s">
        <v>3331</v>
      </c>
      <c r="X229" s="164" t="s">
        <v>2377</v>
      </c>
      <c r="Y229" s="164"/>
      <c r="Z229" s="164"/>
      <c r="AA229" s="91"/>
      <c r="AB229" s="92"/>
      <c r="AC229" s="281">
        <v>43891</v>
      </c>
      <c r="AD229" s="92">
        <v>45107</v>
      </c>
      <c r="AE229" s="92" t="s">
        <v>3332</v>
      </c>
      <c r="AF229" s="91"/>
      <c r="AG229" s="91"/>
      <c r="AH229" s="91">
        <f t="shared" si="70"/>
        <v>1</v>
      </c>
      <c r="AI229" s="92"/>
      <c r="AJ229" s="92"/>
      <c r="AK229" s="92"/>
      <c r="AL229" s="92"/>
      <c r="AM229" s="92"/>
      <c r="AN229" s="92"/>
      <c r="AO229" s="92" t="s">
        <v>162</v>
      </c>
      <c r="AP229" s="92"/>
      <c r="AQ229" s="92"/>
      <c r="AR229" s="92"/>
      <c r="AS229" s="92"/>
      <c r="AT229" s="400" t="s">
        <v>418</v>
      </c>
      <c r="AU229" s="91" t="s">
        <v>3333</v>
      </c>
      <c r="AV229" s="92"/>
      <c r="AW229" s="93">
        <v>43899</v>
      </c>
      <c r="AX229" s="93">
        <v>44136</v>
      </c>
      <c r="AY229" s="93" t="s">
        <v>148</v>
      </c>
      <c r="AZ229" s="93"/>
      <c r="BA229" s="93"/>
      <c r="BB229" s="93"/>
      <c r="BC229" s="93"/>
      <c r="BD229" s="93"/>
      <c r="BE229" s="94" t="s">
        <v>3331</v>
      </c>
      <c r="BF229" s="93"/>
      <c r="BG229" s="93"/>
      <c r="BH229" s="93"/>
      <c r="BI229" s="93"/>
      <c r="BJ229" s="92"/>
      <c r="BK229" s="92"/>
      <c r="BL229" s="92"/>
      <c r="BM229" s="109"/>
      <c r="BN229" s="193" t="s">
        <v>18</v>
      </c>
      <c r="BO229" s="265"/>
      <c r="BP229" s="265"/>
      <c r="BQ229" s="91"/>
      <c r="BR229" s="91"/>
      <c r="BS229" s="91"/>
      <c r="BT229" s="91"/>
      <c r="BU229" s="91"/>
      <c r="BV229" s="91"/>
      <c r="BW229" s="91"/>
      <c r="BX229" s="91"/>
      <c r="BY229" s="91" t="s">
        <v>161</v>
      </c>
      <c r="BZ229" s="91"/>
      <c r="CA229" s="91"/>
      <c r="CB229" s="95"/>
      <c r="CC229" s="95"/>
      <c r="CD229" s="91"/>
      <c r="CE229" s="91"/>
      <c r="CF229" s="91"/>
      <c r="CG229" s="91"/>
      <c r="CH229" s="113">
        <v>1</v>
      </c>
      <c r="CI229" s="91"/>
      <c r="CJ229" s="91"/>
      <c r="CK229" s="91" t="s">
        <v>807</v>
      </c>
      <c r="CL229"/>
    </row>
    <row r="230" spans="1:90" s="53" customFormat="1" ht="25" customHeight="1" x14ac:dyDescent="0.35">
      <c r="A230" s="202">
        <v>233</v>
      </c>
      <c r="B230" s="202" t="s">
        <v>3334</v>
      </c>
      <c r="C230" s="202" t="s">
        <v>3335</v>
      </c>
      <c r="D230" s="202" t="s">
        <v>3336</v>
      </c>
      <c r="E230" s="202" t="s">
        <v>3337</v>
      </c>
      <c r="F230" s="202" t="s">
        <v>4140</v>
      </c>
      <c r="G230" s="202">
        <v>10</v>
      </c>
      <c r="H230" s="202" t="s">
        <v>52</v>
      </c>
      <c r="I230" s="202" t="s">
        <v>39</v>
      </c>
      <c r="J230" s="202" t="s">
        <v>2799</v>
      </c>
      <c r="K230" s="202" t="s">
        <v>3338</v>
      </c>
      <c r="L230" s="202" t="s">
        <v>44</v>
      </c>
      <c r="M230" s="202" t="s">
        <v>161</v>
      </c>
      <c r="N230" s="202"/>
      <c r="O230" s="202" t="s">
        <v>149</v>
      </c>
      <c r="P230" s="202" t="s">
        <v>149</v>
      </c>
      <c r="Q230" s="202"/>
      <c r="R230" s="392" t="s">
        <v>3339</v>
      </c>
      <c r="S230" s="392" t="s">
        <v>3340</v>
      </c>
      <c r="T230" s="354" t="s">
        <v>3341</v>
      </c>
      <c r="U230" s="203" t="s">
        <v>787</v>
      </c>
      <c r="V230" s="203">
        <v>29652</v>
      </c>
      <c r="W230" s="269" t="s">
        <v>3342</v>
      </c>
      <c r="X230" s="269" t="s">
        <v>2377</v>
      </c>
      <c r="Y230" s="269"/>
      <c r="Z230" s="269"/>
      <c r="AA230" s="202"/>
      <c r="AB230" s="203">
        <v>44305</v>
      </c>
      <c r="AC230" s="289">
        <v>43891</v>
      </c>
      <c r="AD230" s="203"/>
      <c r="AE230" s="203" t="s">
        <v>3343</v>
      </c>
      <c r="AF230" s="203" t="s">
        <v>3344</v>
      </c>
      <c r="AG230" s="203" t="s">
        <v>3345</v>
      </c>
      <c r="AH230" s="202">
        <f t="shared" si="70"/>
        <v>3</v>
      </c>
      <c r="AI230" s="203"/>
      <c r="AJ230" s="203"/>
      <c r="AK230" s="203"/>
      <c r="AL230" s="203"/>
      <c r="AM230" s="203"/>
      <c r="AN230" s="203"/>
      <c r="AO230" s="203" t="s">
        <v>162</v>
      </c>
      <c r="AP230" s="203" t="s">
        <v>1438</v>
      </c>
      <c r="AQ230" s="203" t="s">
        <v>1967</v>
      </c>
      <c r="AR230" s="203" t="s">
        <v>148</v>
      </c>
      <c r="AS230" s="203"/>
      <c r="AT230" s="422" t="s">
        <v>283</v>
      </c>
      <c r="AU230" s="202" t="s">
        <v>3346</v>
      </c>
      <c r="AV230" s="203"/>
      <c r="AW230" s="204">
        <v>43909</v>
      </c>
      <c r="AX230" s="204">
        <v>44136</v>
      </c>
      <c r="AY230" s="204" t="s">
        <v>148</v>
      </c>
      <c r="AZ230" s="204">
        <v>44391</v>
      </c>
      <c r="BA230" s="204">
        <v>44355</v>
      </c>
      <c r="BB230" s="204"/>
      <c r="BC230" s="204"/>
      <c r="BD230" s="204"/>
      <c r="BE230" s="205" t="s">
        <v>3342</v>
      </c>
      <c r="BF230" s="204">
        <v>45061</v>
      </c>
      <c r="BG230" s="204" t="s">
        <v>161</v>
      </c>
      <c r="BH230" s="204">
        <v>45476</v>
      </c>
      <c r="BI230" s="204" t="s">
        <v>148</v>
      </c>
      <c r="BJ230" s="203"/>
      <c r="BK230" s="203"/>
      <c r="BL230" s="203">
        <v>45747</v>
      </c>
      <c r="BM230" s="203">
        <v>45747</v>
      </c>
      <c r="BN230" s="202" t="s">
        <v>16</v>
      </c>
      <c r="BO230" s="270">
        <f t="shared" ref="BO230:BO236" si="73">DATEDIF(AW230,BM230, "M")+1</f>
        <v>61</v>
      </c>
      <c r="BP230" s="270">
        <f>DATEDIF(AX230,BM230, "M")+1</f>
        <v>53</v>
      </c>
      <c r="BQ230" s="202" t="s">
        <v>3347</v>
      </c>
      <c r="BR230" s="202">
        <v>4</v>
      </c>
      <c r="BS230" s="202">
        <v>3</v>
      </c>
      <c r="BT230" s="202"/>
      <c r="BU230" s="202"/>
      <c r="BV230" s="202"/>
      <c r="BW230" s="202"/>
      <c r="BX230" s="202"/>
      <c r="BY230" s="202" t="s">
        <v>161</v>
      </c>
      <c r="BZ230" s="202"/>
      <c r="CA230" s="202"/>
      <c r="CB230" s="207"/>
      <c r="CC230" s="207"/>
      <c r="CD230" s="202"/>
      <c r="CE230" s="202"/>
      <c r="CF230" s="202"/>
      <c r="CG230" s="202"/>
      <c r="CH230" s="378">
        <v>2</v>
      </c>
      <c r="CI230" s="202"/>
      <c r="CJ230" s="202"/>
      <c r="CK230" s="202" t="s">
        <v>807</v>
      </c>
      <c r="CL230"/>
    </row>
    <row r="231" spans="1:90" s="53" customFormat="1" ht="25" customHeight="1" x14ac:dyDescent="0.35">
      <c r="A231" s="202">
        <v>234</v>
      </c>
      <c r="B231" s="202" t="s">
        <v>3348</v>
      </c>
      <c r="C231" s="202" t="s">
        <v>3349</v>
      </c>
      <c r="D231" s="202"/>
      <c r="E231" s="202" t="s">
        <v>3350</v>
      </c>
      <c r="F231" s="202" t="s">
        <v>4139</v>
      </c>
      <c r="G231" s="202">
        <v>10</v>
      </c>
      <c r="H231" s="202" t="s">
        <v>58</v>
      </c>
      <c r="I231" s="202" t="s">
        <v>35</v>
      </c>
      <c r="J231" s="202" t="s">
        <v>600</v>
      </c>
      <c r="K231" s="202" t="s">
        <v>2980</v>
      </c>
      <c r="L231" s="202" t="s">
        <v>35</v>
      </c>
      <c r="M231" s="202" t="s">
        <v>148</v>
      </c>
      <c r="N231" s="202"/>
      <c r="O231" s="202" t="s">
        <v>149</v>
      </c>
      <c r="P231" s="202" t="s">
        <v>149</v>
      </c>
      <c r="Q231" s="202"/>
      <c r="R231" s="392" t="s">
        <v>3351</v>
      </c>
      <c r="S231" s="392" t="s">
        <v>3352</v>
      </c>
      <c r="T231" s="354" t="s">
        <v>3353</v>
      </c>
      <c r="U231" s="203" t="s">
        <v>815</v>
      </c>
      <c r="V231" s="203">
        <v>31343</v>
      </c>
      <c r="W231" s="269" t="s">
        <v>3354</v>
      </c>
      <c r="X231" s="269" t="s">
        <v>177</v>
      </c>
      <c r="Y231" s="269"/>
      <c r="Z231" s="269"/>
      <c r="AA231" s="202"/>
      <c r="AB231" s="203">
        <v>44074</v>
      </c>
      <c r="AC231" s="289">
        <v>43891</v>
      </c>
      <c r="AD231" s="203"/>
      <c r="AE231" s="203" t="s">
        <v>3355</v>
      </c>
      <c r="AF231" s="203" t="s">
        <v>3356</v>
      </c>
      <c r="AG231" s="203" t="s">
        <v>3357</v>
      </c>
      <c r="AH231" s="202">
        <f t="shared" si="70"/>
        <v>3</v>
      </c>
      <c r="AI231" s="203"/>
      <c r="AJ231" s="203"/>
      <c r="AK231" s="203"/>
      <c r="AL231" s="203"/>
      <c r="AM231" s="203"/>
      <c r="AN231" s="203"/>
      <c r="AO231" s="203" t="s">
        <v>180</v>
      </c>
      <c r="AP231" s="203" t="s">
        <v>1833</v>
      </c>
      <c r="AQ231" s="203"/>
      <c r="AR231" s="203" t="s">
        <v>148</v>
      </c>
      <c r="AS231" s="203"/>
      <c r="AT231" s="422" t="s">
        <v>578</v>
      </c>
      <c r="AU231" s="202" t="s">
        <v>3358</v>
      </c>
      <c r="AV231" s="203"/>
      <c r="AW231" s="204">
        <v>43901</v>
      </c>
      <c r="AX231" s="204">
        <v>44136</v>
      </c>
      <c r="AY231" s="204" t="s">
        <v>148</v>
      </c>
      <c r="AZ231" s="204">
        <v>44271</v>
      </c>
      <c r="BA231" s="204">
        <v>44593</v>
      </c>
      <c r="BB231" s="204"/>
      <c r="BC231" s="204"/>
      <c r="BD231" s="204"/>
      <c r="BE231" s="205" t="s">
        <v>3354</v>
      </c>
      <c r="BF231" s="204">
        <v>44872</v>
      </c>
      <c r="BG231" s="204" t="s">
        <v>148</v>
      </c>
      <c r="BH231" s="204">
        <v>45476</v>
      </c>
      <c r="BI231" s="204" t="s">
        <v>148</v>
      </c>
      <c r="BJ231" s="203"/>
      <c r="BK231" s="203">
        <v>45237</v>
      </c>
      <c r="BL231" s="203"/>
      <c r="BM231" s="206">
        <v>45245</v>
      </c>
      <c r="BN231" s="202" t="s">
        <v>16</v>
      </c>
      <c r="BO231" s="270">
        <f t="shared" si="73"/>
        <v>45</v>
      </c>
      <c r="BP231" s="202">
        <f>DATEDIF(AX231,BM231, "M")+1</f>
        <v>37</v>
      </c>
      <c r="BQ231" s="309" t="s">
        <v>3359</v>
      </c>
      <c r="BR231" s="202">
        <v>8</v>
      </c>
      <c r="BS231" s="202">
        <v>7</v>
      </c>
      <c r="BT231" s="202"/>
      <c r="BU231" s="202"/>
      <c r="BV231" s="202"/>
      <c r="BW231" s="202"/>
      <c r="BX231" s="202"/>
      <c r="BY231" s="202" t="s">
        <v>161</v>
      </c>
      <c r="BZ231" s="202"/>
      <c r="CA231" s="202"/>
      <c r="CB231" s="207"/>
      <c r="CC231" s="207"/>
      <c r="CD231" s="202"/>
      <c r="CE231" s="202"/>
      <c r="CF231" s="202"/>
      <c r="CG231" s="202"/>
      <c r="CH231" s="378">
        <v>1</v>
      </c>
      <c r="CI231" s="202"/>
      <c r="CJ231" s="202"/>
      <c r="CK231" s="202" t="s">
        <v>807</v>
      </c>
      <c r="CL231"/>
    </row>
    <row r="232" spans="1:90" s="53" customFormat="1" ht="26.15" customHeight="1" x14ac:dyDescent="0.35">
      <c r="A232" s="202">
        <v>235</v>
      </c>
      <c r="B232" s="202" t="s">
        <v>3360</v>
      </c>
      <c r="C232" s="202" t="s">
        <v>3361</v>
      </c>
      <c r="D232" s="202" t="s">
        <v>3362</v>
      </c>
      <c r="E232" s="202" t="s">
        <v>3363</v>
      </c>
      <c r="F232" s="202" t="s">
        <v>4140</v>
      </c>
      <c r="G232" s="202">
        <v>10</v>
      </c>
      <c r="H232" s="202" t="s">
        <v>52</v>
      </c>
      <c r="I232" s="202" t="s">
        <v>39</v>
      </c>
      <c r="J232" s="202" t="s">
        <v>3364</v>
      </c>
      <c r="K232" s="202" t="s">
        <v>3365</v>
      </c>
      <c r="L232" s="202" t="s">
        <v>31</v>
      </c>
      <c r="M232" s="202" t="s">
        <v>161</v>
      </c>
      <c r="N232" s="202"/>
      <c r="O232" s="202" t="s">
        <v>149</v>
      </c>
      <c r="P232" s="202" t="s">
        <v>149</v>
      </c>
      <c r="Q232" s="202"/>
      <c r="R232" s="392" t="s">
        <v>3366</v>
      </c>
      <c r="S232" s="392" t="s">
        <v>3367</v>
      </c>
      <c r="T232" s="354" t="s">
        <v>3368</v>
      </c>
      <c r="U232" s="203" t="s">
        <v>815</v>
      </c>
      <c r="V232" s="203">
        <v>27714</v>
      </c>
      <c r="W232" s="269" t="s">
        <v>3369</v>
      </c>
      <c r="X232" s="269" t="s">
        <v>154</v>
      </c>
      <c r="Y232" s="269"/>
      <c r="Z232" s="269"/>
      <c r="AA232" s="202"/>
      <c r="AB232" s="203">
        <v>44217</v>
      </c>
      <c r="AC232" s="289">
        <v>43891</v>
      </c>
      <c r="AD232" s="203"/>
      <c r="AE232" s="203" t="s">
        <v>3370</v>
      </c>
      <c r="AF232" s="203" t="s">
        <v>3371</v>
      </c>
      <c r="AG232" s="203"/>
      <c r="AH232" s="202">
        <f t="shared" si="70"/>
        <v>2</v>
      </c>
      <c r="AI232" s="203"/>
      <c r="AJ232" s="203"/>
      <c r="AK232" s="203"/>
      <c r="AL232" s="203"/>
      <c r="AM232" s="203"/>
      <c r="AN232" s="203"/>
      <c r="AO232" s="203" t="s">
        <v>180</v>
      </c>
      <c r="AP232" s="203" t="s">
        <v>248</v>
      </c>
      <c r="AQ232" s="203" t="s">
        <v>3372</v>
      </c>
      <c r="AR232" s="203" t="s">
        <v>148</v>
      </c>
      <c r="AS232" s="203"/>
      <c r="AT232" s="422" t="s">
        <v>283</v>
      </c>
      <c r="AU232" s="202" t="s">
        <v>3373</v>
      </c>
      <c r="AV232" s="203"/>
      <c r="AW232" s="204">
        <v>43910</v>
      </c>
      <c r="AX232" s="316" t="s">
        <v>3237</v>
      </c>
      <c r="AY232" s="204" t="s">
        <v>148</v>
      </c>
      <c r="AZ232" s="204">
        <v>44888</v>
      </c>
      <c r="BA232" s="204">
        <v>44780</v>
      </c>
      <c r="BB232" s="204"/>
      <c r="BC232" s="204"/>
      <c r="BD232" s="204"/>
      <c r="BE232" s="205" t="s">
        <v>3369</v>
      </c>
      <c r="BF232" s="204">
        <v>45061</v>
      </c>
      <c r="BG232" s="204" t="s">
        <v>161</v>
      </c>
      <c r="BH232" s="204">
        <v>45476</v>
      </c>
      <c r="BI232" s="204" t="s">
        <v>148</v>
      </c>
      <c r="BJ232" s="203"/>
      <c r="BK232" s="203">
        <v>46058</v>
      </c>
      <c r="BL232" s="203">
        <v>46094</v>
      </c>
      <c r="BM232" s="206">
        <v>46094</v>
      </c>
      <c r="BN232" s="202" t="s">
        <v>16</v>
      </c>
      <c r="BO232" s="270">
        <f t="shared" si="73"/>
        <v>72</v>
      </c>
      <c r="BP232" s="202"/>
      <c r="BQ232" s="309" t="s">
        <v>3374</v>
      </c>
      <c r="BR232" s="202">
        <v>7</v>
      </c>
      <c r="BS232" s="202">
        <v>8</v>
      </c>
      <c r="BT232" s="202"/>
      <c r="BU232" s="202"/>
      <c r="BV232" s="202"/>
      <c r="BW232" s="202"/>
      <c r="BX232" s="202"/>
      <c r="BY232" s="202" t="s">
        <v>161</v>
      </c>
      <c r="BZ232" s="202"/>
      <c r="CA232" s="202"/>
      <c r="CB232" s="207"/>
      <c r="CC232" s="207"/>
      <c r="CD232" s="202"/>
      <c r="CE232" s="202"/>
      <c r="CF232" s="202"/>
      <c r="CG232" s="202"/>
      <c r="CH232" s="378">
        <v>2</v>
      </c>
      <c r="CI232" s="202"/>
      <c r="CJ232" s="202"/>
      <c r="CK232" s="202" t="s">
        <v>807</v>
      </c>
      <c r="CL232"/>
    </row>
    <row r="233" spans="1:90" s="53" customFormat="1" ht="26.15" customHeight="1" x14ac:dyDescent="0.35">
      <c r="A233" s="202">
        <v>236</v>
      </c>
      <c r="B233" s="202" t="s">
        <v>3375</v>
      </c>
      <c r="C233" s="202" t="s">
        <v>3376</v>
      </c>
      <c r="D233" s="202"/>
      <c r="E233" s="202" t="s">
        <v>3377</v>
      </c>
      <c r="F233" s="202" t="s">
        <v>4139</v>
      </c>
      <c r="G233" s="202">
        <v>10</v>
      </c>
      <c r="H233" s="202" t="s">
        <v>58</v>
      </c>
      <c r="I233" s="202" t="s">
        <v>35</v>
      </c>
      <c r="J233" s="202" t="s">
        <v>2690</v>
      </c>
      <c r="K233" s="202" t="s">
        <v>3378</v>
      </c>
      <c r="L233" s="202" t="s">
        <v>35</v>
      </c>
      <c r="M233" s="202" t="s">
        <v>148</v>
      </c>
      <c r="N233" s="202"/>
      <c r="O233" s="202" t="s">
        <v>149</v>
      </c>
      <c r="P233" s="202" t="s">
        <v>149</v>
      </c>
      <c r="Q233" s="202"/>
      <c r="R233" s="392" t="s">
        <v>3379</v>
      </c>
      <c r="S233" s="392" t="s">
        <v>3380</v>
      </c>
      <c r="T233" s="354" t="s">
        <v>3381</v>
      </c>
      <c r="U233" s="203" t="s">
        <v>3382</v>
      </c>
      <c r="V233" s="203">
        <v>34002</v>
      </c>
      <c r="W233" s="269" t="s">
        <v>3383</v>
      </c>
      <c r="X233" s="269" t="s">
        <v>2496</v>
      </c>
      <c r="Y233" s="269"/>
      <c r="Z233" s="269"/>
      <c r="AA233" s="202"/>
      <c r="AB233" s="203">
        <v>44580</v>
      </c>
      <c r="AC233" s="289">
        <v>43891</v>
      </c>
      <c r="AD233" s="203"/>
      <c r="AE233" s="203" t="s">
        <v>3384</v>
      </c>
      <c r="AF233" s="203" t="s">
        <v>3385</v>
      </c>
      <c r="AG233" s="203" t="s">
        <v>3386</v>
      </c>
      <c r="AH233" s="202">
        <f t="shared" si="70"/>
        <v>3</v>
      </c>
      <c r="AI233" s="203"/>
      <c r="AJ233" s="203"/>
      <c r="AK233" s="203"/>
      <c r="AL233" s="203"/>
      <c r="AM233" s="203"/>
      <c r="AN233" s="203"/>
      <c r="AO233" s="203" t="s">
        <v>162</v>
      </c>
      <c r="AP233" s="203" t="s">
        <v>1833</v>
      </c>
      <c r="AQ233" s="203"/>
      <c r="AR233" s="203"/>
      <c r="AS233" s="203"/>
      <c r="AT233" s="422" t="s">
        <v>578</v>
      </c>
      <c r="AU233" s="202" t="s">
        <v>3387</v>
      </c>
      <c r="AV233" s="203"/>
      <c r="AW233" s="204">
        <v>43903</v>
      </c>
      <c r="AX233" s="316" t="s">
        <v>3237</v>
      </c>
      <c r="AY233" s="204" t="s">
        <v>148</v>
      </c>
      <c r="AZ233" s="204">
        <v>44566</v>
      </c>
      <c r="BA233" s="204">
        <v>44582</v>
      </c>
      <c r="BB233" s="204"/>
      <c r="BC233" s="204"/>
      <c r="BD233" s="204"/>
      <c r="BE233" s="205" t="s">
        <v>3383</v>
      </c>
      <c r="BF233" s="204">
        <v>44872</v>
      </c>
      <c r="BG233" s="204" t="s">
        <v>148</v>
      </c>
      <c r="BH233" s="204">
        <v>45476</v>
      </c>
      <c r="BI233" s="204" t="s">
        <v>148</v>
      </c>
      <c r="BJ233" s="203"/>
      <c r="BK233" s="203">
        <v>45253</v>
      </c>
      <c r="BL233" s="203"/>
      <c r="BM233" s="206">
        <v>45254</v>
      </c>
      <c r="BN233" s="202" t="s">
        <v>16</v>
      </c>
      <c r="BO233" s="270">
        <f t="shared" si="73"/>
        <v>45</v>
      </c>
      <c r="BP233" s="202" t="e">
        <f>DATEDIF(AX233,BM233, "M")+1</f>
        <v>#VALUE!</v>
      </c>
      <c r="BQ233" s="269" t="s">
        <v>3388</v>
      </c>
      <c r="BR233" s="202">
        <v>4</v>
      </c>
      <c r="BS233" s="202">
        <v>4</v>
      </c>
      <c r="BT233" s="202"/>
      <c r="BU233" s="202"/>
      <c r="BV233" s="202"/>
      <c r="BW233" s="202"/>
      <c r="BX233" s="202"/>
      <c r="BY233" s="202" t="s">
        <v>161</v>
      </c>
      <c r="BZ233" s="202"/>
      <c r="CA233" s="202"/>
      <c r="CB233" s="207"/>
      <c r="CC233" s="207"/>
      <c r="CD233" s="202"/>
      <c r="CE233" s="202"/>
      <c r="CF233" s="202"/>
      <c r="CG233" s="202"/>
      <c r="CH233" s="378">
        <v>3</v>
      </c>
      <c r="CI233" s="202"/>
      <c r="CJ233" s="202"/>
      <c r="CK233" s="202" t="s">
        <v>807</v>
      </c>
      <c r="CL233"/>
    </row>
    <row r="234" spans="1:90" s="53" customFormat="1" ht="26.15" customHeight="1" x14ac:dyDescent="0.35">
      <c r="A234" s="202">
        <v>237</v>
      </c>
      <c r="B234" s="202" t="s">
        <v>3389</v>
      </c>
      <c r="C234" s="202" t="s">
        <v>3390</v>
      </c>
      <c r="D234" s="202"/>
      <c r="E234" s="202" t="s">
        <v>3391</v>
      </c>
      <c r="F234" s="202" t="s">
        <v>4140</v>
      </c>
      <c r="G234" s="202">
        <v>10</v>
      </c>
      <c r="H234" s="202" t="s">
        <v>59</v>
      </c>
      <c r="I234" s="202" t="s">
        <v>44</v>
      </c>
      <c r="J234" s="304" t="s">
        <v>600</v>
      </c>
      <c r="K234" s="202" t="s">
        <v>3392</v>
      </c>
      <c r="L234" s="202" t="s">
        <v>44</v>
      </c>
      <c r="M234" s="202" t="s">
        <v>148</v>
      </c>
      <c r="N234" s="202"/>
      <c r="O234" s="202" t="s">
        <v>149</v>
      </c>
      <c r="P234" s="202" t="s">
        <v>149</v>
      </c>
      <c r="Q234" s="202"/>
      <c r="R234" s="202" t="s">
        <v>3393</v>
      </c>
      <c r="S234" s="202" t="s">
        <v>3394</v>
      </c>
      <c r="T234" s="354" t="s">
        <v>3395</v>
      </c>
      <c r="U234" s="203" t="s">
        <v>3396</v>
      </c>
      <c r="V234" s="203">
        <v>30016</v>
      </c>
      <c r="W234" s="305" t="s">
        <v>3397</v>
      </c>
      <c r="X234" s="269" t="s">
        <v>177</v>
      </c>
      <c r="Y234" s="269"/>
      <c r="Z234" s="269"/>
      <c r="AA234" s="202"/>
      <c r="AB234" s="203">
        <v>44265</v>
      </c>
      <c r="AC234" s="289">
        <v>43891</v>
      </c>
      <c r="AD234" s="203"/>
      <c r="AE234" s="203" t="s">
        <v>3398</v>
      </c>
      <c r="AF234" s="203" t="s">
        <v>2098</v>
      </c>
      <c r="AG234" s="203"/>
      <c r="AH234" s="202">
        <f t="shared" si="70"/>
        <v>2</v>
      </c>
      <c r="AI234" s="203"/>
      <c r="AJ234" s="203"/>
      <c r="AK234" s="203"/>
      <c r="AL234" s="203"/>
      <c r="AM234" s="203"/>
      <c r="AN234" s="203"/>
      <c r="AO234" s="203" t="s">
        <v>162</v>
      </c>
      <c r="AP234" s="203" t="s">
        <v>180</v>
      </c>
      <c r="AQ234" s="203" t="s">
        <v>180</v>
      </c>
      <c r="AR234" s="203"/>
      <c r="AS234" s="203"/>
      <c r="AT234" s="422" t="s">
        <v>370</v>
      </c>
      <c r="AU234" s="202" t="s">
        <v>3399</v>
      </c>
      <c r="AV234" s="203"/>
      <c r="AW234" s="204">
        <v>43911</v>
      </c>
      <c r="AX234" s="316" t="s">
        <v>3237</v>
      </c>
      <c r="AY234" s="204" t="s">
        <v>148</v>
      </c>
      <c r="AZ234" s="204">
        <v>44407</v>
      </c>
      <c r="BA234" s="204">
        <v>44508</v>
      </c>
      <c r="BB234" s="204"/>
      <c r="BC234" s="204"/>
      <c r="BD234" s="204"/>
      <c r="BE234" s="205" t="s">
        <v>3397</v>
      </c>
      <c r="BF234" s="204">
        <v>44872</v>
      </c>
      <c r="BG234" s="204" t="s">
        <v>148</v>
      </c>
      <c r="BH234" s="204">
        <v>45476</v>
      </c>
      <c r="BI234" s="204" t="s">
        <v>148</v>
      </c>
      <c r="BJ234" s="204">
        <v>45747</v>
      </c>
      <c r="BK234" s="203"/>
      <c r="BL234" s="203"/>
      <c r="BM234" s="206">
        <v>45937</v>
      </c>
      <c r="BN234" s="202" t="s">
        <v>16</v>
      </c>
      <c r="BO234" s="270">
        <f t="shared" si="73"/>
        <v>67</v>
      </c>
      <c r="BP234" s="202" t="e">
        <f>DATEDIF(AX234,BM234, "M")+1</f>
        <v>#VALUE!</v>
      </c>
      <c r="BQ234" s="269" t="s">
        <v>3400</v>
      </c>
      <c r="BR234" s="202">
        <v>3</v>
      </c>
      <c r="BS234" s="202">
        <v>3</v>
      </c>
      <c r="BT234" s="202"/>
      <c r="BU234" s="202"/>
      <c r="BV234" s="202"/>
      <c r="BW234" s="202"/>
      <c r="BX234" s="202"/>
      <c r="BY234" s="202" t="s">
        <v>161</v>
      </c>
      <c r="BZ234" s="202"/>
      <c r="CA234" s="202"/>
      <c r="CB234" s="207"/>
      <c r="CC234" s="207"/>
      <c r="CD234" s="202"/>
      <c r="CE234" s="202"/>
      <c r="CF234" s="202"/>
      <c r="CG234" s="202"/>
      <c r="CH234" s="378">
        <v>3</v>
      </c>
      <c r="CI234" s="202"/>
      <c r="CJ234" s="202"/>
      <c r="CK234" s="202" t="s">
        <v>3401</v>
      </c>
      <c r="CL234"/>
    </row>
    <row r="235" spans="1:90" s="53" customFormat="1" ht="26.15" customHeight="1" x14ac:dyDescent="0.35">
      <c r="A235" s="202">
        <v>238</v>
      </c>
      <c r="B235" s="202" t="s">
        <v>3402</v>
      </c>
      <c r="C235" s="202" t="s">
        <v>3403</v>
      </c>
      <c r="D235" s="202"/>
      <c r="E235" s="202" t="s">
        <v>3404</v>
      </c>
      <c r="F235" s="202" t="s">
        <v>4140</v>
      </c>
      <c r="G235" s="202">
        <v>10</v>
      </c>
      <c r="H235" s="202" t="s">
        <v>59</v>
      </c>
      <c r="I235" s="202" t="s">
        <v>44</v>
      </c>
      <c r="J235" s="202" t="s">
        <v>360</v>
      </c>
      <c r="K235" s="202" t="s">
        <v>3405</v>
      </c>
      <c r="L235" s="202" t="s">
        <v>44</v>
      </c>
      <c r="M235" s="202" t="s">
        <v>148</v>
      </c>
      <c r="N235" s="202"/>
      <c r="O235" s="202" t="s">
        <v>149</v>
      </c>
      <c r="P235" s="202" t="s">
        <v>149</v>
      </c>
      <c r="Q235" s="202"/>
      <c r="R235" s="202" t="s">
        <v>3406</v>
      </c>
      <c r="S235" s="202" t="s">
        <v>3407</v>
      </c>
      <c r="T235" s="354" t="s">
        <v>3408</v>
      </c>
      <c r="U235" s="203" t="s">
        <v>3409</v>
      </c>
      <c r="V235" s="203">
        <v>31616</v>
      </c>
      <c r="W235" s="269" t="s">
        <v>3410</v>
      </c>
      <c r="X235" s="269" t="s">
        <v>177</v>
      </c>
      <c r="Y235" s="269"/>
      <c r="Z235" s="269"/>
      <c r="AA235" s="202"/>
      <c r="AB235" s="203">
        <v>43865</v>
      </c>
      <c r="AC235" s="289">
        <v>43891</v>
      </c>
      <c r="AD235" s="203"/>
      <c r="AE235" s="203" t="s">
        <v>3411</v>
      </c>
      <c r="AF235" s="203"/>
      <c r="AG235" s="203"/>
      <c r="AH235" s="202">
        <f t="shared" si="70"/>
        <v>1</v>
      </c>
      <c r="AI235" s="203"/>
      <c r="AJ235" s="203"/>
      <c r="AK235" s="203"/>
      <c r="AL235" s="203"/>
      <c r="AM235" s="203"/>
      <c r="AN235" s="203"/>
      <c r="AO235" s="203" t="s">
        <v>162</v>
      </c>
      <c r="AP235" s="203" t="s">
        <v>3412</v>
      </c>
      <c r="AQ235" s="203" t="s">
        <v>3413</v>
      </c>
      <c r="AR235" s="203" t="s">
        <v>148</v>
      </c>
      <c r="AS235" s="203"/>
      <c r="AT235" s="422" t="s">
        <v>370</v>
      </c>
      <c r="AU235" s="202" t="s">
        <v>3414</v>
      </c>
      <c r="AV235" s="203"/>
      <c r="AW235" s="204">
        <v>43905</v>
      </c>
      <c r="AX235" s="316" t="s">
        <v>3237</v>
      </c>
      <c r="AY235" s="204" t="s">
        <v>148</v>
      </c>
      <c r="AZ235" s="204"/>
      <c r="BA235" s="204"/>
      <c r="BB235" s="204"/>
      <c r="BC235" s="204"/>
      <c r="BD235" s="204"/>
      <c r="BE235" s="205" t="s">
        <v>3410</v>
      </c>
      <c r="BF235" s="204">
        <v>45061</v>
      </c>
      <c r="BG235" s="204" t="s">
        <v>161</v>
      </c>
      <c r="BH235" s="204">
        <v>45476</v>
      </c>
      <c r="BI235" s="204" t="s">
        <v>148</v>
      </c>
      <c r="BJ235" s="203"/>
      <c r="BK235" s="203"/>
      <c r="BL235" s="203"/>
      <c r="BM235" s="206">
        <v>45215</v>
      </c>
      <c r="BN235" s="202" t="s">
        <v>16</v>
      </c>
      <c r="BO235" s="270">
        <f t="shared" si="73"/>
        <v>44</v>
      </c>
      <c r="BP235" s="202" t="e">
        <f t="shared" ref="BP235" si="74">DATEDIF(AX235,BM235, "M")+1</f>
        <v>#VALUE!</v>
      </c>
      <c r="BQ235" s="269" t="s">
        <v>3415</v>
      </c>
      <c r="BR235" s="202">
        <v>0</v>
      </c>
      <c r="BS235" s="202"/>
      <c r="BT235" s="202"/>
      <c r="BU235" s="202"/>
      <c r="BV235" s="202"/>
      <c r="BW235" s="202"/>
      <c r="BX235" s="202"/>
      <c r="BY235" s="202" t="s">
        <v>3416</v>
      </c>
      <c r="BZ235" s="202"/>
      <c r="CA235" s="202"/>
      <c r="CB235" s="207"/>
      <c r="CC235" s="207"/>
      <c r="CD235" s="202"/>
      <c r="CE235" s="202"/>
      <c r="CF235" s="202"/>
      <c r="CG235" s="202"/>
      <c r="CH235" s="378">
        <v>1</v>
      </c>
      <c r="CI235" s="202"/>
      <c r="CJ235" s="202"/>
      <c r="CK235" s="202" t="s">
        <v>3401</v>
      </c>
      <c r="CL235"/>
    </row>
    <row r="236" spans="1:90" s="53" customFormat="1" ht="26.15" customHeight="1" x14ac:dyDescent="0.35">
      <c r="A236" s="202">
        <v>239</v>
      </c>
      <c r="B236" s="202" t="s">
        <v>3417</v>
      </c>
      <c r="C236" s="202" t="s">
        <v>3418</v>
      </c>
      <c r="D236" s="202" t="s">
        <v>3419</v>
      </c>
      <c r="E236" s="202" t="s">
        <v>3420</v>
      </c>
      <c r="F236" s="202" t="s">
        <v>4140</v>
      </c>
      <c r="G236" s="202">
        <v>10</v>
      </c>
      <c r="H236" s="202" t="s">
        <v>52</v>
      </c>
      <c r="I236" s="202" t="s">
        <v>31</v>
      </c>
      <c r="J236" s="202" t="s">
        <v>2317</v>
      </c>
      <c r="K236" s="202" t="s">
        <v>3421</v>
      </c>
      <c r="L236" s="202" t="s">
        <v>31</v>
      </c>
      <c r="M236" s="202" t="s">
        <v>148</v>
      </c>
      <c r="N236" s="202"/>
      <c r="O236" s="202" t="s">
        <v>3422</v>
      </c>
      <c r="P236" s="202" t="s">
        <v>3423</v>
      </c>
      <c r="Q236" s="202"/>
      <c r="R236" s="392" t="s">
        <v>3424</v>
      </c>
      <c r="S236" s="392" t="s">
        <v>3425</v>
      </c>
      <c r="T236" s="354" t="s">
        <v>3426</v>
      </c>
      <c r="U236" s="203" t="s">
        <v>3427</v>
      </c>
      <c r="V236" s="203">
        <v>27485</v>
      </c>
      <c r="W236" s="269" t="s">
        <v>3428</v>
      </c>
      <c r="X236" s="269" t="s">
        <v>154</v>
      </c>
      <c r="Y236" s="269"/>
      <c r="Z236" s="269"/>
      <c r="AA236" s="202"/>
      <c r="AB236" s="203">
        <v>44182</v>
      </c>
      <c r="AC236" s="289">
        <v>43891</v>
      </c>
      <c r="AD236" s="203"/>
      <c r="AE236" s="203" t="s">
        <v>3429</v>
      </c>
      <c r="AF236" s="203" t="s">
        <v>3430</v>
      </c>
      <c r="AG236" s="203"/>
      <c r="AH236" s="202">
        <f t="shared" si="70"/>
        <v>2</v>
      </c>
      <c r="AI236" s="203"/>
      <c r="AJ236" s="203"/>
      <c r="AK236" s="203"/>
      <c r="AL236" s="203"/>
      <c r="AM236" s="203"/>
      <c r="AN236" s="203"/>
      <c r="AO236" s="203" t="s">
        <v>180</v>
      </c>
      <c r="AP236" s="203" t="s">
        <v>248</v>
      </c>
      <c r="AQ236" s="203" t="s">
        <v>248</v>
      </c>
      <c r="AR236" s="203"/>
      <c r="AS236" s="203"/>
      <c r="AT236" s="422" t="s">
        <v>326</v>
      </c>
      <c r="AU236" s="202" t="s">
        <v>3431</v>
      </c>
      <c r="AV236" s="203"/>
      <c r="AW236" s="204">
        <v>43912</v>
      </c>
      <c r="AX236" s="316" t="s">
        <v>3237</v>
      </c>
      <c r="AY236" s="204" t="s">
        <v>148</v>
      </c>
      <c r="AZ236" s="204">
        <v>44335</v>
      </c>
      <c r="BA236" s="204">
        <v>44370</v>
      </c>
      <c r="BB236" s="204"/>
      <c r="BC236" s="204"/>
      <c r="BD236" s="204"/>
      <c r="BE236" s="205" t="s">
        <v>3428</v>
      </c>
      <c r="BF236" s="204">
        <v>44872</v>
      </c>
      <c r="BG236" s="204" t="s">
        <v>148</v>
      </c>
      <c r="BH236" s="204">
        <v>45476</v>
      </c>
      <c r="BI236" s="204" t="s">
        <v>148</v>
      </c>
      <c r="BJ236" s="203"/>
      <c r="BK236" s="203">
        <v>45565</v>
      </c>
      <c r="BL236" s="203"/>
      <c r="BM236" s="206">
        <v>45568</v>
      </c>
      <c r="BN236" s="202" t="s">
        <v>16</v>
      </c>
      <c r="BO236" s="270">
        <f t="shared" si="73"/>
        <v>55</v>
      </c>
      <c r="BP236" s="204" t="e">
        <f>DATEDIF(AX236,BM236, "M")+1</f>
        <v>#VALUE!</v>
      </c>
      <c r="BQ236" s="269" t="s">
        <v>3432</v>
      </c>
      <c r="BR236" s="202">
        <v>8</v>
      </c>
      <c r="BS236" s="202">
        <v>3</v>
      </c>
      <c r="BT236" s="202"/>
      <c r="BU236" s="202"/>
      <c r="BV236" s="202"/>
      <c r="BW236" s="202"/>
      <c r="BX236" s="202"/>
      <c r="BY236" s="202" t="s">
        <v>161</v>
      </c>
      <c r="BZ236" s="202"/>
      <c r="CA236" s="202"/>
      <c r="CB236" s="207">
        <v>45413</v>
      </c>
      <c r="CC236" s="207">
        <v>45535</v>
      </c>
      <c r="CD236" s="202">
        <v>4</v>
      </c>
      <c r="CE236" s="202"/>
      <c r="CF236" s="202"/>
      <c r="CG236" s="202"/>
      <c r="CH236" s="378">
        <v>4</v>
      </c>
      <c r="CI236" s="202"/>
      <c r="CJ236" s="202"/>
      <c r="CK236" s="202" t="s">
        <v>807</v>
      </c>
      <c r="CL236"/>
    </row>
    <row r="237" spans="1:90" s="53" customFormat="1" ht="26.15" customHeight="1" x14ac:dyDescent="0.35">
      <c r="A237" s="202">
        <v>240</v>
      </c>
      <c r="B237" s="202" t="s">
        <v>3433</v>
      </c>
      <c r="C237" s="202" t="s">
        <v>3434</v>
      </c>
      <c r="D237" s="202"/>
      <c r="E237" s="202" t="s">
        <v>3435</v>
      </c>
      <c r="F237" s="202" t="s">
        <v>4140</v>
      </c>
      <c r="G237" s="202">
        <v>10</v>
      </c>
      <c r="H237" s="202" t="s">
        <v>56</v>
      </c>
      <c r="I237" s="202" t="s">
        <v>44</v>
      </c>
      <c r="J237" s="202" t="s">
        <v>3436</v>
      </c>
      <c r="K237" s="202" t="s">
        <v>3437</v>
      </c>
      <c r="L237" s="202" t="s">
        <v>44</v>
      </c>
      <c r="M237" s="202" t="s">
        <v>148</v>
      </c>
      <c r="N237" s="202"/>
      <c r="O237" s="202" t="s">
        <v>149</v>
      </c>
      <c r="P237" s="202" t="s">
        <v>149</v>
      </c>
      <c r="Q237" s="202"/>
      <c r="R237" s="202" t="s">
        <v>3438</v>
      </c>
      <c r="S237" s="209" t="s">
        <v>3439</v>
      </c>
      <c r="T237" s="354" t="s">
        <v>3440</v>
      </c>
      <c r="U237" s="203" t="s">
        <v>3441</v>
      </c>
      <c r="V237" s="203">
        <v>32413</v>
      </c>
      <c r="W237" s="269" t="s">
        <v>3442</v>
      </c>
      <c r="X237" s="269" t="s">
        <v>177</v>
      </c>
      <c r="Y237" s="269"/>
      <c r="Z237" s="269"/>
      <c r="AA237" s="202"/>
      <c r="AB237" s="203">
        <v>43678</v>
      </c>
      <c r="AC237" s="289">
        <v>43891</v>
      </c>
      <c r="AD237" s="203"/>
      <c r="AE237" s="203" t="s">
        <v>3443</v>
      </c>
      <c r="AF237" s="203" t="s">
        <v>3444</v>
      </c>
      <c r="AG237" s="203"/>
      <c r="AH237" s="202">
        <f t="shared" si="70"/>
        <v>2</v>
      </c>
      <c r="AI237" s="203"/>
      <c r="AJ237" s="203"/>
      <c r="AK237" s="203"/>
      <c r="AL237" s="203"/>
      <c r="AM237" s="203"/>
      <c r="AN237" s="203"/>
      <c r="AO237" s="203" t="s">
        <v>162</v>
      </c>
      <c r="AP237" s="203" t="s">
        <v>3445</v>
      </c>
      <c r="AQ237" s="203" t="s">
        <v>3445</v>
      </c>
      <c r="AR237" s="203"/>
      <c r="AS237" s="203"/>
      <c r="AT237" s="422" t="s">
        <v>370</v>
      </c>
      <c r="AU237" s="202" t="s">
        <v>3446</v>
      </c>
      <c r="AV237" s="203"/>
      <c r="AW237" s="204">
        <v>43913</v>
      </c>
      <c r="AX237" s="316" t="s">
        <v>3237</v>
      </c>
      <c r="AY237" s="204" t="s">
        <v>148</v>
      </c>
      <c r="AZ237" s="204">
        <v>44462</v>
      </c>
      <c r="BA237" s="204">
        <v>44505</v>
      </c>
      <c r="BB237" s="204"/>
      <c r="BC237" s="204"/>
      <c r="BD237" s="204"/>
      <c r="BE237" s="205" t="s">
        <v>3442</v>
      </c>
      <c r="BF237" s="204">
        <v>45061</v>
      </c>
      <c r="BG237" s="204" t="s">
        <v>161</v>
      </c>
      <c r="BH237" s="204">
        <v>45476</v>
      </c>
      <c r="BI237" s="204" t="s">
        <v>148</v>
      </c>
      <c r="BJ237" s="203"/>
      <c r="BK237" s="203"/>
      <c r="BL237" s="203"/>
      <c r="BM237" s="206"/>
      <c r="BN237" s="202" t="s">
        <v>17</v>
      </c>
      <c r="BO237" s="270"/>
      <c r="BP237" s="202"/>
      <c r="BQ237" s="202"/>
      <c r="BR237" s="202">
        <v>0</v>
      </c>
      <c r="BS237" s="202"/>
      <c r="BT237" s="202"/>
      <c r="BU237" s="202"/>
      <c r="BV237" s="202"/>
      <c r="BW237" s="202"/>
      <c r="BX237" s="202"/>
      <c r="BY237" s="202" t="s">
        <v>161</v>
      </c>
      <c r="BZ237" s="202"/>
      <c r="CA237" s="202"/>
      <c r="CB237" s="207"/>
      <c r="CC237" s="207"/>
      <c r="CD237" s="202"/>
      <c r="CE237" s="202"/>
      <c r="CF237" s="202"/>
      <c r="CG237" s="202"/>
      <c r="CH237" s="378">
        <v>0</v>
      </c>
      <c r="CI237" s="202"/>
      <c r="CJ237" s="202"/>
      <c r="CK237" s="202" t="s">
        <v>3401</v>
      </c>
      <c r="CL237"/>
    </row>
    <row r="238" spans="1:90" s="53" customFormat="1" ht="26.15" customHeight="1" x14ac:dyDescent="0.35">
      <c r="A238" s="202">
        <v>241</v>
      </c>
      <c r="B238" s="202" t="s">
        <v>3447</v>
      </c>
      <c r="C238" s="202" t="s">
        <v>3448</v>
      </c>
      <c r="D238" s="202" t="s">
        <v>3449</v>
      </c>
      <c r="E238" s="202" t="s">
        <v>3450</v>
      </c>
      <c r="F238" s="202" t="s">
        <v>4140</v>
      </c>
      <c r="G238" s="202">
        <v>10</v>
      </c>
      <c r="H238" s="202" t="s">
        <v>51</v>
      </c>
      <c r="I238" s="202" t="s">
        <v>4136</v>
      </c>
      <c r="J238" s="202" t="s">
        <v>3451</v>
      </c>
      <c r="K238" s="202" t="s">
        <v>2270</v>
      </c>
      <c r="L238" s="202" t="s">
        <v>44</v>
      </c>
      <c r="M238" s="202" t="s">
        <v>148</v>
      </c>
      <c r="N238" s="202"/>
      <c r="O238" s="202" t="s">
        <v>320</v>
      </c>
      <c r="P238" s="202" t="s">
        <v>320</v>
      </c>
      <c r="Q238" s="202"/>
      <c r="R238" s="392" t="s">
        <v>3452</v>
      </c>
      <c r="S238" s="392" t="s">
        <v>3453</v>
      </c>
      <c r="T238" s="354" t="s">
        <v>3454</v>
      </c>
      <c r="U238" s="203" t="s">
        <v>3455</v>
      </c>
      <c r="V238" s="203">
        <v>33810</v>
      </c>
      <c r="W238" s="269" t="s">
        <v>3456</v>
      </c>
      <c r="X238" s="269" t="s">
        <v>177</v>
      </c>
      <c r="Y238" s="269"/>
      <c r="Z238" s="269"/>
      <c r="AA238" s="202"/>
      <c r="AB238" s="203">
        <v>44479</v>
      </c>
      <c r="AC238" s="289">
        <v>43891</v>
      </c>
      <c r="AD238" s="203"/>
      <c r="AE238" s="203" t="s">
        <v>3457</v>
      </c>
      <c r="AF238" s="203" t="s">
        <v>3458</v>
      </c>
      <c r="AG238" s="203"/>
      <c r="AH238" s="202">
        <f t="shared" si="70"/>
        <v>2</v>
      </c>
      <c r="AI238" s="203"/>
      <c r="AJ238" s="203"/>
      <c r="AK238" s="203"/>
      <c r="AL238" s="203"/>
      <c r="AM238" s="203"/>
      <c r="AN238" s="203"/>
      <c r="AO238" s="203" t="s">
        <v>162</v>
      </c>
      <c r="AP238" s="203" t="s">
        <v>201</v>
      </c>
      <c r="AQ238" s="203" t="s">
        <v>201</v>
      </c>
      <c r="AR238" s="203"/>
      <c r="AS238" s="203"/>
      <c r="AT238" s="422" t="s">
        <v>296</v>
      </c>
      <c r="AU238" s="202" t="s">
        <v>3459</v>
      </c>
      <c r="AV238" s="203"/>
      <c r="AW238" s="204">
        <v>43914</v>
      </c>
      <c r="AX238" s="316" t="s">
        <v>3237</v>
      </c>
      <c r="AY238" s="204" t="s">
        <v>148</v>
      </c>
      <c r="AZ238" s="204"/>
      <c r="BA238" s="204"/>
      <c r="BB238" s="204"/>
      <c r="BC238" s="204"/>
      <c r="BD238" s="204"/>
      <c r="BE238" s="205" t="s">
        <v>3456</v>
      </c>
      <c r="BF238" s="204">
        <v>45061</v>
      </c>
      <c r="BG238" s="204" t="s">
        <v>161</v>
      </c>
      <c r="BH238" s="204">
        <v>45476</v>
      </c>
      <c r="BI238" s="204" t="s">
        <v>148</v>
      </c>
      <c r="BJ238" s="203"/>
      <c r="BK238" s="203"/>
      <c r="BL238" s="203"/>
      <c r="BM238" s="206"/>
      <c r="BN238" s="202" t="s">
        <v>17</v>
      </c>
      <c r="BO238" s="270"/>
      <c r="BP238" s="202"/>
      <c r="BQ238" s="202"/>
      <c r="BR238" s="202">
        <v>1</v>
      </c>
      <c r="BS238" s="202">
        <v>0</v>
      </c>
      <c r="BT238" s="202"/>
      <c r="BU238" s="202"/>
      <c r="BV238" s="202"/>
      <c r="BW238" s="202"/>
      <c r="BX238" s="202"/>
      <c r="BY238" s="202" t="s">
        <v>161</v>
      </c>
      <c r="BZ238" s="202"/>
      <c r="CA238" s="202"/>
      <c r="CB238" s="207"/>
      <c r="CC238" s="207"/>
      <c r="CD238" s="202"/>
      <c r="CE238" s="202"/>
      <c r="CF238" s="202"/>
      <c r="CG238" s="202"/>
      <c r="CH238" s="378">
        <v>0</v>
      </c>
      <c r="CI238" s="202"/>
      <c r="CJ238" s="202"/>
      <c r="CK238" s="202" t="s">
        <v>807</v>
      </c>
      <c r="CL238"/>
    </row>
    <row r="239" spans="1:90" s="53" customFormat="1" ht="26.15" customHeight="1" x14ac:dyDescent="0.35">
      <c r="A239" s="202">
        <v>242</v>
      </c>
      <c r="B239" s="202" t="s">
        <v>3460</v>
      </c>
      <c r="C239" s="202" t="s">
        <v>3461</v>
      </c>
      <c r="D239" s="202" t="s">
        <v>3462</v>
      </c>
      <c r="E239" s="202" t="s">
        <v>3463</v>
      </c>
      <c r="F239" s="202" t="s">
        <v>4140</v>
      </c>
      <c r="G239" s="202">
        <v>10</v>
      </c>
      <c r="H239" s="202" t="s">
        <v>52</v>
      </c>
      <c r="I239" s="202" t="s">
        <v>31</v>
      </c>
      <c r="J239" s="202" t="s">
        <v>3464</v>
      </c>
      <c r="K239" s="202" t="s">
        <v>3465</v>
      </c>
      <c r="L239" s="202" t="s">
        <v>42</v>
      </c>
      <c r="M239" s="202" t="s">
        <v>161</v>
      </c>
      <c r="N239" s="202"/>
      <c r="O239" s="202" t="s">
        <v>320</v>
      </c>
      <c r="P239" s="202" t="s">
        <v>3466</v>
      </c>
      <c r="Q239" s="202"/>
      <c r="R239" s="392" t="s">
        <v>3467</v>
      </c>
      <c r="S239" s="392" t="s">
        <v>3468</v>
      </c>
      <c r="T239" s="354" t="s">
        <v>3469</v>
      </c>
      <c r="U239" s="203" t="s">
        <v>3470</v>
      </c>
      <c r="V239" s="203">
        <v>28305</v>
      </c>
      <c r="W239" s="269" t="s">
        <v>3471</v>
      </c>
      <c r="X239" s="269" t="s">
        <v>2496</v>
      </c>
      <c r="Y239" s="269"/>
      <c r="Z239" s="269"/>
      <c r="AA239" s="202"/>
      <c r="AB239" s="203">
        <v>44432</v>
      </c>
      <c r="AC239" s="289">
        <v>43891</v>
      </c>
      <c r="AD239" s="203"/>
      <c r="AE239" s="203" t="s">
        <v>3472</v>
      </c>
      <c r="AF239" s="203" t="s">
        <v>3473</v>
      </c>
      <c r="AG239" s="203"/>
      <c r="AH239" s="202">
        <f t="shared" si="70"/>
        <v>2</v>
      </c>
      <c r="AI239" s="203"/>
      <c r="AJ239" s="203"/>
      <c r="AK239" s="203"/>
      <c r="AL239" s="203"/>
      <c r="AM239" s="203"/>
      <c r="AN239" s="203"/>
      <c r="AO239" s="203" t="s">
        <v>162</v>
      </c>
      <c r="AP239" s="203" t="s">
        <v>1438</v>
      </c>
      <c r="AQ239" s="203" t="s">
        <v>248</v>
      </c>
      <c r="AR239" s="203" t="s">
        <v>148</v>
      </c>
      <c r="AS239" s="203"/>
      <c r="AT239" s="422" t="s">
        <v>326</v>
      </c>
      <c r="AU239" s="202" t="s">
        <v>3474</v>
      </c>
      <c r="AV239" s="203"/>
      <c r="AW239" s="204">
        <v>43916</v>
      </c>
      <c r="AX239" s="316" t="s">
        <v>3237</v>
      </c>
      <c r="AY239" s="204" t="s">
        <v>148</v>
      </c>
      <c r="AZ239" s="204"/>
      <c r="BA239" s="204"/>
      <c r="BB239" s="204"/>
      <c r="BC239" s="204"/>
      <c r="BD239" s="204"/>
      <c r="BE239" s="205" t="s">
        <v>3471</v>
      </c>
      <c r="BF239" s="204">
        <v>44872</v>
      </c>
      <c r="BG239" s="204" t="s">
        <v>148</v>
      </c>
      <c r="BH239" s="204">
        <v>45476</v>
      </c>
      <c r="BI239" s="204" t="s">
        <v>148</v>
      </c>
      <c r="BJ239" s="203"/>
      <c r="BK239" s="203"/>
      <c r="BL239" s="203"/>
      <c r="BM239" s="206"/>
      <c r="BN239" s="202" t="s">
        <v>17</v>
      </c>
      <c r="BO239" s="270"/>
      <c r="BP239" s="202"/>
      <c r="BQ239" s="202"/>
      <c r="BR239" s="202">
        <v>6</v>
      </c>
      <c r="BS239" s="202">
        <v>5</v>
      </c>
      <c r="BT239" s="202"/>
      <c r="BU239" s="202"/>
      <c r="BV239" s="202"/>
      <c r="BW239" s="202"/>
      <c r="BX239" s="202"/>
      <c r="BY239" s="202" t="s">
        <v>161</v>
      </c>
      <c r="BZ239" s="202"/>
      <c r="CA239" s="202"/>
      <c r="CB239" s="207"/>
      <c r="CC239" s="207"/>
      <c r="CD239" s="202"/>
      <c r="CE239" s="202"/>
      <c r="CF239" s="202"/>
      <c r="CG239" s="202"/>
      <c r="CH239" s="378">
        <v>0</v>
      </c>
      <c r="CI239" s="202"/>
      <c r="CJ239" s="202"/>
      <c r="CK239" s="202" t="s">
        <v>807</v>
      </c>
      <c r="CL239"/>
    </row>
    <row r="240" spans="1:90" s="53" customFormat="1" ht="26.15" customHeight="1" x14ac:dyDescent="0.35">
      <c r="A240" s="202">
        <v>243</v>
      </c>
      <c r="B240" s="202" t="s">
        <v>3475</v>
      </c>
      <c r="C240" s="202" t="s">
        <v>3476</v>
      </c>
      <c r="D240" s="202" t="s">
        <v>3477</v>
      </c>
      <c r="E240" s="202" t="s">
        <v>3478</v>
      </c>
      <c r="F240" s="202" t="s">
        <v>4139</v>
      </c>
      <c r="G240" s="202">
        <v>10</v>
      </c>
      <c r="H240" s="202" t="s">
        <v>53</v>
      </c>
      <c r="I240" s="202" t="s">
        <v>43</v>
      </c>
      <c r="J240" s="202" t="s">
        <v>3479</v>
      </c>
      <c r="K240" s="202" t="s">
        <v>2786</v>
      </c>
      <c r="L240" s="202" t="s">
        <v>43</v>
      </c>
      <c r="M240" s="202" t="s">
        <v>148</v>
      </c>
      <c r="N240" s="202"/>
      <c r="O240" s="202" t="s">
        <v>149</v>
      </c>
      <c r="P240" s="202" t="s">
        <v>149</v>
      </c>
      <c r="Q240" s="202"/>
      <c r="R240" s="392" t="s">
        <v>3480</v>
      </c>
      <c r="S240" s="392" t="s">
        <v>3481</v>
      </c>
      <c r="T240" s="354" t="s">
        <v>3482</v>
      </c>
      <c r="U240" s="203" t="s">
        <v>3483</v>
      </c>
      <c r="V240" s="203">
        <v>29588</v>
      </c>
      <c r="W240" s="269" t="s">
        <v>3484</v>
      </c>
      <c r="X240" s="269" t="s">
        <v>2886</v>
      </c>
      <c r="Y240" s="269"/>
      <c r="Z240" s="269"/>
      <c r="AA240" s="202"/>
      <c r="AB240" s="203">
        <v>43840</v>
      </c>
      <c r="AC240" s="289">
        <v>43891</v>
      </c>
      <c r="AD240" s="203"/>
      <c r="AE240" s="203" t="s">
        <v>3485</v>
      </c>
      <c r="AF240" s="203" t="s">
        <v>3486</v>
      </c>
      <c r="AG240" s="203"/>
      <c r="AH240" s="202">
        <f t="shared" si="70"/>
        <v>2</v>
      </c>
      <c r="AI240" s="203"/>
      <c r="AJ240" s="203"/>
      <c r="AK240" s="203"/>
      <c r="AL240" s="203"/>
      <c r="AM240" s="203"/>
      <c r="AN240" s="203"/>
      <c r="AO240" s="203" t="s">
        <v>180</v>
      </c>
      <c r="AP240" s="203" t="s">
        <v>3487</v>
      </c>
      <c r="AQ240" s="203" t="s">
        <v>248</v>
      </c>
      <c r="AR240" s="203" t="s">
        <v>148</v>
      </c>
      <c r="AS240" s="383" t="s">
        <v>3488</v>
      </c>
      <c r="AT240" s="422" t="s">
        <v>217</v>
      </c>
      <c r="AU240" s="202" t="s">
        <v>3489</v>
      </c>
      <c r="AV240" s="203"/>
      <c r="AW240" s="204">
        <v>43894</v>
      </c>
      <c r="AX240" s="316" t="s">
        <v>3237</v>
      </c>
      <c r="AY240" s="204" t="s">
        <v>148</v>
      </c>
      <c r="AZ240" s="204">
        <v>44593</v>
      </c>
      <c r="BA240" s="204">
        <v>44602</v>
      </c>
      <c r="BB240" s="204"/>
      <c r="BC240" s="204"/>
      <c r="BD240" s="204"/>
      <c r="BE240" s="205" t="s">
        <v>3484</v>
      </c>
      <c r="BF240" s="204">
        <v>44872</v>
      </c>
      <c r="BG240" s="204" t="s">
        <v>148</v>
      </c>
      <c r="BH240" s="204">
        <v>45476</v>
      </c>
      <c r="BI240" s="204" t="s">
        <v>148</v>
      </c>
      <c r="BJ240" s="203"/>
      <c r="BK240" s="203"/>
      <c r="BL240" s="203"/>
      <c r="BM240" s="206">
        <v>45590</v>
      </c>
      <c r="BN240" s="202" t="s">
        <v>16</v>
      </c>
      <c r="BO240" s="270">
        <f>DATEDIF(AW240,BM240, "M")+1</f>
        <v>56</v>
      </c>
      <c r="BP240" s="202" t="e">
        <f>DATEDIF(AX240,BM240, "M")+1</f>
        <v>#VALUE!</v>
      </c>
      <c r="BQ240" s="202"/>
      <c r="BR240" s="202">
        <v>0</v>
      </c>
      <c r="BS240" s="202">
        <v>2</v>
      </c>
      <c r="BT240" s="202"/>
      <c r="BU240" s="202"/>
      <c r="BV240" s="202"/>
      <c r="BW240" s="202"/>
      <c r="BX240" s="202"/>
      <c r="BY240" s="202" t="s">
        <v>161</v>
      </c>
      <c r="BZ240" s="202"/>
      <c r="CA240" s="202"/>
      <c r="CB240" s="207"/>
      <c r="CC240" s="207"/>
      <c r="CD240" s="202"/>
      <c r="CE240" s="202"/>
      <c r="CF240" s="202"/>
      <c r="CG240" s="202"/>
      <c r="CH240" s="378">
        <v>2</v>
      </c>
      <c r="CI240" s="202"/>
      <c r="CJ240" s="202"/>
      <c r="CK240" s="202" t="s">
        <v>807</v>
      </c>
      <c r="CL240"/>
    </row>
    <row r="241" spans="1:90" s="53" customFormat="1" ht="26.15" customHeight="1" x14ac:dyDescent="0.35">
      <c r="A241" s="202">
        <v>244</v>
      </c>
      <c r="B241" s="202" t="s">
        <v>3490</v>
      </c>
      <c r="C241" s="202" t="s">
        <v>3491</v>
      </c>
      <c r="D241" s="202"/>
      <c r="E241" s="202" t="s">
        <v>3492</v>
      </c>
      <c r="F241" s="202" t="s">
        <v>4139</v>
      </c>
      <c r="G241" s="202">
        <v>10</v>
      </c>
      <c r="H241" s="202" t="s">
        <v>51</v>
      </c>
      <c r="I241" s="202" t="s">
        <v>4136</v>
      </c>
      <c r="J241" s="202" t="s">
        <v>3493</v>
      </c>
      <c r="K241" s="202" t="s">
        <v>515</v>
      </c>
      <c r="L241" s="202" t="s">
        <v>44</v>
      </c>
      <c r="M241" s="202" t="s">
        <v>161</v>
      </c>
      <c r="N241" s="202"/>
      <c r="O241" s="202" t="s">
        <v>320</v>
      </c>
      <c r="P241" s="202" t="s">
        <v>149</v>
      </c>
      <c r="Q241" s="202"/>
      <c r="R241" s="392" t="s">
        <v>3494</v>
      </c>
      <c r="S241" s="392" t="s">
        <v>3495</v>
      </c>
      <c r="T241" s="354" t="s">
        <v>3496</v>
      </c>
      <c r="U241" s="203" t="s">
        <v>3497</v>
      </c>
      <c r="V241" s="203">
        <v>32014</v>
      </c>
      <c r="W241" s="269" t="s">
        <v>3498</v>
      </c>
      <c r="X241" s="269" t="s">
        <v>177</v>
      </c>
      <c r="Y241" s="269"/>
      <c r="Z241" s="269"/>
      <c r="AA241" s="202"/>
      <c r="AB241" s="203">
        <v>44424</v>
      </c>
      <c r="AC241" s="289">
        <v>43891</v>
      </c>
      <c r="AD241" s="203"/>
      <c r="AE241" s="203" t="s">
        <v>3499</v>
      </c>
      <c r="AF241" s="203" t="s">
        <v>3500</v>
      </c>
      <c r="AG241" s="203"/>
      <c r="AH241" s="202">
        <f t="shared" si="70"/>
        <v>2</v>
      </c>
      <c r="AI241" s="203"/>
      <c r="AJ241" s="203"/>
      <c r="AK241" s="203"/>
      <c r="AL241" s="203"/>
      <c r="AM241" s="203"/>
      <c r="AN241" s="203"/>
      <c r="AO241" s="203" t="s">
        <v>957</v>
      </c>
      <c r="AP241" s="203" t="s">
        <v>3501</v>
      </c>
      <c r="AQ241" s="203"/>
      <c r="AR241" s="203"/>
      <c r="AS241" s="203"/>
      <c r="AT241" s="422" t="s">
        <v>296</v>
      </c>
      <c r="AU241" s="202" t="s">
        <v>3502</v>
      </c>
      <c r="AV241" s="203"/>
      <c r="AW241" s="204">
        <v>43896</v>
      </c>
      <c r="AX241" s="316" t="s">
        <v>3237</v>
      </c>
      <c r="AY241" s="204" t="s">
        <v>148</v>
      </c>
      <c r="AZ241" s="204">
        <v>44708</v>
      </c>
      <c r="BA241" s="204">
        <v>44811</v>
      </c>
      <c r="BB241" s="204"/>
      <c r="BC241" s="204"/>
      <c r="BD241" s="204"/>
      <c r="BE241" s="205" t="s">
        <v>3498</v>
      </c>
      <c r="BF241" s="204">
        <v>45061</v>
      </c>
      <c r="BG241" s="204" t="s">
        <v>161</v>
      </c>
      <c r="BH241" s="204">
        <v>45476</v>
      </c>
      <c r="BI241" s="204" t="s">
        <v>148</v>
      </c>
      <c r="BJ241" s="203">
        <v>45747</v>
      </c>
      <c r="BK241" s="203"/>
      <c r="BL241" s="203"/>
      <c r="BM241" s="206">
        <v>45950</v>
      </c>
      <c r="BN241" s="202" t="s">
        <v>16</v>
      </c>
      <c r="BO241" s="270">
        <f>DATEDIF(AW241,BM241, "M")+1</f>
        <v>68</v>
      </c>
      <c r="BP241" s="202" t="e">
        <f>DATEDIF(AX241,BM241, "M")+1</f>
        <v>#VALUE!</v>
      </c>
      <c r="BQ241" s="202"/>
      <c r="BR241" s="202">
        <v>2</v>
      </c>
      <c r="BS241" s="202"/>
      <c r="BT241" s="202"/>
      <c r="BU241" s="202"/>
      <c r="BV241" s="202"/>
      <c r="BW241" s="202"/>
      <c r="BX241" s="202"/>
      <c r="BY241" s="202" t="s">
        <v>161</v>
      </c>
      <c r="BZ241" s="202"/>
      <c r="CA241" s="202"/>
      <c r="CB241" s="207"/>
      <c r="CC241" s="207"/>
      <c r="CD241" s="202"/>
      <c r="CE241" s="202"/>
      <c r="CF241" s="202"/>
      <c r="CG241" s="202"/>
      <c r="CH241" s="378">
        <v>0</v>
      </c>
      <c r="CI241" s="202"/>
      <c r="CJ241" s="202"/>
      <c r="CK241" s="202" t="s">
        <v>807</v>
      </c>
      <c r="CL241"/>
    </row>
    <row r="242" spans="1:90" s="53" customFormat="1" ht="26.15" customHeight="1" x14ac:dyDescent="0.35">
      <c r="A242" s="202">
        <v>245</v>
      </c>
      <c r="B242" s="202" t="s">
        <v>3503</v>
      </c>
      <c r="C242" s="202" t="s">
        <v>823</v>
      </c>
      <c r="D242" s="202"/>
      <c r="E242" s="202" t="s">
        <v>3504</v>
      </c>
      <c r="F242" s="202" t="s">
        <v>4139</v>
      </c>
      <c r="G242" s="202">
        <v>10</v>
      </c>
      <c r="H242" s="202" t="s">
        <v>53</v>
      </c>
      <c r="I242" s="202" t="s">
        <v>43</v>
      </c>
      <c r="J242" s="202" t="s">
        <v>2317</v>
      </c>
      <c r="K242" s="202" t="s">
        <v>3505</v>
      </c>
      <c r="L242" s="202" t="s">
        <v>44</v>
      </c>
      <c r="M242" s="202" t="s">
        <v>161</v>
      </c>
      <c r="N242" s="202"/>
      <c r="O242" s="202" t="s">
        <v>320</v>
      </c>
      <c r="P242" s="202" t="s">
        <v>320</v>
      </c>
      <c r="Q242" s="202"/>
      <c r="R242" s="392" t="s">
        <v>3506</v>
      </c>
      <c r="S242" s="392" t="s">
        <v>3507</v>
      </c>
      <c r="T242" s="354" t="s">
        <v>3508</v>
      </c>
      <c r="U242" s="203" t="s">
        <v>3509</v>
      </c>
      <c r="V242" s="203">
        <v>33695</v>
      </c>
      <c r="W242" s="269" t="s">
        <v>3510</v>
      </c>
      <c r="X242" s="269" t="s">
        <v>177</v>
      </c>
      <c r="Y242" s="269"/>
      <c r="Z242" s="269"/>
      <c r="AA242" s="202"/>
      <c r="AB242" s="203">
        <v>43983</v>
      </c>
      <c r="AC242" s="289">
        <v>43891</v>
      </c>
      <c r="AD242" s="203"/>
      <c r="AE242" s="203" t="s">
        <v>3511</v>
      </c>
      <c r="AF242" s="203" t="s">
        <v>3512</v>
      </c>
      <c r="AG242" s="203" t="s">
        <v>3513</v>
      </c>
      <c r="AH242" s="202">
        <f t="shared" si="70"/>
        <v>3</v>
      </c>
      <c r="AI242" s="203"/>
      <c r="AJ242" s="203"/>
      <c r="AK242" s="203"/>
      <c r="AL242" s="203"/>
      <c r="AM242" s="203"/>
      <c r="AN242" s="203"/>
      <c r="AO242" s="203" t="s">
        <v>162</v>
      </c>
      <c r="AP242" s="203" t="s">
        <v>179</v>
      </c>
      <c r="AQ242" s="203" t="s">
        <v>179</v>
      </c>
      <c r="AR242" s="203" t="s">
        <v>161</v>
      </c>
      <c r="AS242" s="203"/>
      <c r="AT242" s="422" t="s">
        <v>217</v>
      </c>
      <c r="AU242" s="202" t="s">
        <v>3514</v>
      </c>
      <c r="AV242" s="203"/>
      <c r="AW242" s="204">
        <v>43900</v>
      </c>
      <c r="AX242" s="316" t="s">
        <v>3237</v>
      </c>
      <c r="AY242" s="204" t="s">
        <v>148</v>
      </c>
      <c r="AZ242" s="204">
        <v>44579</v>
      </c>
      <c r="BA242" s="204">
        <v>44617</v>
      </c>
      <c r="BB242" s="204"/>
      <c r="BC242" s="204"/>
      <c r="BD242" s="204"/>
      <c r="BE242" s="205" t="s">
        <v>3510</v>
      </c>
      <c r="BF242" s="204">
        <v>44872</v>
      </c>
      <c r="BG242" s="204" t="s">
        <v>148</v>
      </c>
      <c r="BH242" s="204">
        <v>45476</v>
      </c>
      <c r="BI242" s="204" t="s">
        <v>148</v>
      </c>
      <c r="BJ242" s="203"/>
      <c r="BK242" s="203"/>
      <c r="BL242" s="203"/>
      <c r="BM242" s="206">
        <v>45648</v>
      </c>
      <c r="BN242" s="202" t="s">
        <v>16</v>
      </c>
      <c r="BO242" s="270">
        <f>DATEDIF(AW242,BM242,"M")+1</f>
        <v>58</v>
      </c>
      <c r="BP242" s="202"/>
      <c r="BQ242" s="202" t="s">
        <v>3515</v>
      </c>
      <c r="BR242" s="202">
        <v>0</v>
      </c>
      <c r="BS242" s="202">
        <v>3</v>
      </c>
      <c r="BT242" s="202"/>
      <c r="BU242" s="202"/>
      <c r="BV242" s="202"/>
      <c r="BW242" s="202"/>
      <c r="BX242" s="202"/>
      <c r="BY242" s="202" t="s">
        <v>161</v>
      </c>
      <c r="BZ242" s="202"/>
      <c r="CA242" s="202"/>
      <c r="CB242" s="207"/>
      <c r="CC242" s="207"/>
      <c r="CD242" s="202"/>
      <c r="CE242" s="202"/>
      <c r="CF242" s="202"/>
      <c r="CG242" s="202"/>
      <c r="CH242" s="378">
        <v>0</v>
      </c>
      <c r="CI242" s="202"/>
      <c r="CJ242" s="202"/>
      <c r="CK242" s="202" t="s">
        <v>807</v>
      </c>
      <c r="CL242"/>
    </row>
    <row r="243" spans="1:90" s="53" customFormat="1" ht="26.15" customHeight="1" x14ac:dyDescent="0.35">
      <c r="A243" s="202">
        <v>246</v>
      </c>
      <c r="B243" s="202" t="s">
        <v>3516</v>
      </c>
      <c r="C243" s="202" t="s">
        <v>3376</v>
      </c>
      <c r="D243" s="202" t="s">
        <v>3517</v>
      </c>
      <c r="E243" s="202" t="s">
        <v>3518</v>
      </c>
      <c r="F243" s="202" t="s">
        <v>4139</v>
      </c>
      <c r="G243" s="202">
        <v>10</v>
      </c>
      <c r="H243" s="202" t="s">
        <v>50</v>
      </c>
      <c r="I243" s="202" t="s">
        <v>42</v>
      </c>
      <c r="J243" s="202" t="s">
        <v>2951</v>
      </c>
      <c r="K243" s="202" t="s">
        <v>3519</v>
      </c>
      <c r="L243" s="202" t="s">
        <v>42</v>
      </c>
      <c r="M243" s="202" t="s">
        <v>148</v>
      </c>
      <c r="N243" s="202"/>
      <c r="O243" s="202" t="s">
        <v>149</v>
      </c>
      <c r="P243" s="202" t="s">
        <v>149</v>
      </c>
      <c r="Q243" s="202"/>
      <c r="R243" s="392" t="s">
        <v>3520</v>
      </c>
      <c r="S243" s="392" t="s">
        <v>3521</v>
      </c>
      <c r="T243" s="354" t="s">
        <v>3522</v>
      </c>
      <c r="U243" s="203" t="s">
        <v>3523</v>
      </c>
      <c r="V243" s="203">
        <v>31757</v>
      </c>
      <c r="W243" s="269" t="s">
        <v>3524</v>
      </c>
      <c r="X243" s="269" t="s">
        <v>2377</v>
      </c>
      <c r="Y243" s="269"/>
      <c r="Z243" s="269"/>
      <c r="AA243" s="202"/>
      <c r="AB243" s="203">
        <v>44245</v>
      </c>
      <c r="AC243" s="289">
        <v>43891</v>
      </c>
      <c r="AD243" s="203"/>
      <c r="AE243" s="203" t="s">
        <v>3525</v>
      </c>
      <c r="AF243" s="203" t="s">
        <v>3526</v>
      </c>
      <c r="AG243" s="203" t="s">
        <v>3527</v>
      </c>
      <c r="AH243" s="202">
        <f t="shared" si="70"/>
        <v>3</v>
      </c>
      <c r="AI243" s="203"/>
      <c r="AJ243" s="203"/>
      <c r="AK243" s="203"/>
      <c r="AL243" s="203"/>
      <c r="AM243" s="203"/>
      <c r="AN243" s="203"/>
      <c r="AO243" s="203" t="s">
        <v>162</v>
      </c>
      <c r="AP243" s="203" t="s">
        <v>3528</v>
      </c>
      <c r="AQ243" s="203"/>
      <c r="AR243" s="203"/>
      <c r="AS243" s="203"/>
      <c r="AT243" s="422" t="s">
        <v>418</v>
      </c>
      <c r="AU243" s="202" t="s">
        <v>3529</v>
      </c>
      <c r="AV243" s="203"/>
      <c r="AW243" s="204">
        <v>43902</v>
      </c>
      <c r="AX243" s="316" t="s">
        <v>3237</v>
      </c>
      <c r="AY243" s="204" t="s">
        <v>148</v>
      </c>
      <c r="AZ243" s="204">
        <v>44214</v>
      </c>
      <c r="BA243" s="204">
        <v>44613</v>
      </c>
      <c r="BB243" s="204"/>
      <c r="BC243" s="204"/>
      <c r="BD243" s="204"/>
      <c r="BE243" s="205" t="s">
        <v>3524</v>
      </c>
      <c r="BF243" s="204">
        <v>44872</v>
      </c>
      <c r="BG243" s="204" t="s">
        <v>148</v>
      </c>
      <c r="BH243" s="204">
        <v>45476</v>
      </c>
      <c r="BI243" s="204" t="s">
        <v>148</v>
      </c>
      <c r="BJ243" s="203">
        <v>45348</v>
      </c>
      <c r="BK243" s="203"/>
      <c r="BL243" s="203"/>
      <c r="BM243" s="206">
        <v>45610</v>
      </c>
      <c r="BN243" s="202" t="s">
        <v>16</v>
      </c>
      <c r="BO243" s="270">
        <f>DATEDIF(AW243,BM243,"M")+1</f>
        <v>57</v>
      </c>
      <c r="BP243" s="202"/>
      <c r="BQ243" s="202"/>
      <c r="BR243" s="202">
        <v>2</v>
      </c>
      <c r="BS243" s="202">
        <v>1</v>
      </c>
      <c r="BT243" s="202"/>
      <c r="BU243" s="202"/>
      <c r="BV243" s="202"/>
      <c r="BW243" s="202"/>
      <c r="BX243" s="202"/>
      <c r="BY243" s="202" t="s">
        <v>161</v>
      </c>
      <c r="BZ243" s="202"/>
      <c r="CA243" s="202"/>
      <c r="CB243" s="207"/>
      <c r="CC243" s="207"/>
      <c r="CD243" s="202"/>
      <c r="CE243" s="202"/>
      <c r="CF243" s="202"/>
      <c r="CG243" s="202"/>
      <c r="CH243" s="378">
        <v>2</v>
      </c>
      <c r="CI243" s="202"/>
      <c r="CJ243" s="202"/>
      <c r="CK243" s="202" t="s">
        <v>807</v>
      </c>
      <c r="CL243"/>
    </row>
    <row r="244" spans="1:90" s="53" customFormat="1" ht="26.15" customHeight="1" x14ac:dyDescent="0.35">
      <c r="A244" s="202">
        <v>247</v>
      </c>
      <c r="B244" s="202" t="s">
        <v>3530</v>
      </c>
      <c r="C244" s="202" t="s">
        <v>3531</v>
      </c>
      <c r="D244" s="202" t="s">
        <v>20</v>
      </c>
      <c r="E244" s="202" t="s">
        <v>3532</v>
      </c>
      <c r="F244" s="202" t="s">
        <v>4139</v>
      </c>
      <c r="G244" s="202">
        <v>10</v>
      </c>
      <c r="H244" s="202" t="s">
        <v>56</v>
      </c>
      <c r="I244" s="202" t="s">
        <v>44</v>
      </c>
      <c r="J244" s="202" t="s">
        <v>3451</v>
      </c>
      <c r="K244" s="202" t="s">
        <v>3533</v>
      </c>
      <c r="L244" s="202" t="s">
        <v>44</v>
      </c>
      <c r="M244" s="202" t="s">
        <v>148</v>
      </c>
      <c r="N244" s="202">
        <v>1897532</v>
      </c>
      <c r="O244" s="202" t="s">
        <v>320</v>
      </c>
      <c r="P244" s="202" t="s">
        <v>320</v>
      </c>
      <c r="Q244" s="202"/>
      <c r="R244" s="202" t="s">
        <v>3534</v>
      </c>
      <c r="S244" s="202" t="s">
        <v>3535</v>
      </c>
      <c r="T244" s="354" t="s">
        <v>3536</v>
      </c>
      <c r="U244" s="203" t="s">
        <v>3537</v>
      </c>
      <c r="V244" s="203">
        <v>33727</v>
      </c>
      <c r="W244" s="202" t="s">
        <v>3538</v>
      </c>
      <c r="X244" s="269" t="s">
        <v>177</v>
      </c>
      <c r="Y244" s="269"/>
      <c r="Z244" s="269"/>
      <c r="AA244" s="202"/>
      <c r="AB244" s="203">
        <v>43660</v>
      </c>
      <c r="AC244" s="289">
        <v>43891</v>
      </c>
      <c r="AD244" s="203"/>
      <c r="AE244" s="203" t="s">
        <v>3539</v>
      </c>
      <c r="AF244" s="203" t="s">
        <v>3540</v>
      </c>
      <c r="AG244" s="203"/>
      <c r="AH244" s="202">
        <f t="shared" si="70"/>
        <v>2</v>
      </c>
      <c r="AI244" s="203"/>
      <c r="AJ244" s="203"/>
      <c r="AK244" s="203"/>
      <c r="AL244" s="203"/>
      <c r="AM244" s="203"/>
      <c r="AN244" s="203"/>
      <c r="AO244" s="203" t="s">
        <v>162</v>
      </c>
      <c r="AP244" s="203" t="s">
        <v>201</v>
      </c>
      <c r="AQ244" s="203" t="s">
        <v>248</v>
      </c>
      <c r="AR244" s="203" t="s">
        <v>148</v>
      </c>
      <c r="AS244" s="203"/>
      <c r="AT244" s="422" t="s">
        <v>370</v>
      </c>
      <c r="AU244" s="202" t="s">
        <v>3541</v>
      </c>
      <c r="AV244" s="203"/>
      <c r="AW244" s="204">
        <v>43904</v>
      </c>
      <c r="AX244" s="316" t="s">
        <v>3237</v>
      </c>
      <c r="AY244" s="204" t="s">
        <v>148</v>
      </c>
      <c r="AZ244" s="204">
        <v>44013</v>
      </c>
      <c r="BA244" s="204">
        <v>44249</v>
      </c>
      <c r="BB244" s="204"/>
      <c r="BC244" s="204"/>
      <c r="BD244" s="204"/>
      <c r="BE244" s="205" t="s">
        <v>3538</v>
      </c>
      <c r="BF244" s="204">
        <v>44872</v>
      </c>
      <c r="BG244" s="204" t="s">
        <v>148</v>
      </c>
      <c r="BH244" s="204">
        <v>45476</v>
      </c>
      <c r="BI244" s="204" t="s">
        <v>148</v>
      </c>
      <c r="BJ244" s="203"/>
      <c r="BK244" s="203"/>
      <c r="BL244" s="203"/>
      <c r="BM244" s="206">
        <v>45596</v>
      </c>
      <c r="BN244" s="202" t="s">
        <v>16</v>
      </c>
      <c r="BO244" s="270">
        <f>DATEDIF(AW244,BM244,"M")+1</f>
        <v>56</v>
      </c>
      <c r="BP244" s="202" t="e">
        <f>DATEDIF(AX244,BM244, "M")+1</f>
        <v>#VALUE!</v>
      </c>
      <c r="BQ244" s="202" t="s">
        <v>3542</v>
      </c>
      <c r="BR244" s="202">
        <v>1</v>
      </c>
      <c r="BS244" s="202">
        <v>0</v>
      </c>
      <c r="BT244" s="202"/>
      <c r="BU244" s="202"/>
      <c r="BV244" s="202"/>
      <c r="BW244" s="202"/>
      <c r="BX244" s="202"/>
      <c r="BY244" s="202" t="s">
        <v>161</v>
      </c>
      <c r="BZ244" s="202"/>
      <c r="CA244" s="202"/>
      <c r="CB244" s="207"/>
      <c r="CC244" s="207"/>
      <c r="CD244" s="202"/>
      <c r="CE244" s="202"/>
      <c r="CF244" s="202"/>
      <c r="CG244" s="202"/>
      <c r="CH244" s="378">
        <v>0</v>
      </c>
      <c r="CI244" s="202"/>
      <c r="CJ244" s="202"/>
      <c r="CK244" s="202" t="s">
        <v>3401</v>
      </c>
      <c r="CL244"/>
    </row>
    <row r="245" spans="1:90" s="53" customFormat="1" ht="26.15" customHeight="1" x14ac:dyDescent="0.35">
      <c r="A245" s="202">
        <v>248</v>
      </c>
      <c r="B245" s="202" t="s">
        <v>3543</v>
      </c>
      <c r="C245" s="202" t="s">
        <v>3544</v>
      </c>
      <c r="D245" s="202" t="s">
        <v>3545</v>
      </c>
      <c r="E245" s="202" t="s">
        <v>3546</v>
      </c>
      <c r="F245" s="202" t="s">
        <v>4139</v>
      </c>
      <c r="G245" s="202">
        <v>10</v>
      </c>
      <c r="H245" s="202" t="s">
        <v>52</v>
      </c>
      <c r="I245" s="202" t="s">
        <v>39</v>
      </c>
      <c r="J245" s="202" t="s">
        <v>404</v>
      </c>
      <c r="K245" s="202" t="s">
        <v>288</v>
      </c>
      <c r="L245" s="202" t="s">
        <v>31</v>
      </c>
      <c r="M245" s="202" t="s">
        <v>161</v>
      </c>
      <c r="N245" s="202"/>
      <c r="O245" s="202" t="s">
        <v>149</v>
      </c>
      <c r="P245" s="202" t="s">
        <v>149</v>
      </c>
      <c r="Q245" s="202"/>
      <c r="R245" s="392" t="s">
        <v>3547</v>
      </c>
      <c r="S245" s="392" t="s">
        <v>3548</v>
      </c>
      <c r="T245" s="354" t="s">
        <v>3549</v>
      </c>
      <c r="U245" s="203" t="s">
        <v>3550</v>
      </c>
      <c r="V245" s="203">
        <v>31740</v>
      </c>
      <c r="W245" s="269" t="s">
        <v>3551</v>
      </c>
      <c r="X245" s="269" t="s">
        <v>2496</v>
      </c>
      <c r="Y245" s="269"/>
      <c r="Z245" s="269"/>
      <c r="AA245" s="202"/>
      <c r="AB245" s="203">
        <v>44267</v>
      </c>
      <c r="AC245" s="289">
        <v>43891</v>
      </c>
      <c r="AD245" s="203"/>
      <c r="AE245" s="202" t="s">
        <v>3552</v>
      </c>
      <c r="AF245" s="203"/>
      <c r="AG245" s="203"/>
      <c r="AH245" s="202">
        <f t="shared" si="70"/>
        <v>1</v>
      </c>
      <c r="AI245" s="203"/>
      <c r="AJ245" s="203"/>
      <c r="AK245" s="203"/>
      <c r="AL245" s="203"/>
      <c r="AM245" s="203"/>
      <c r="AN245" s="203"/>
      <c r="AO245" s="203" t="s">
        <v>162</v>
      </c>
      <c r="AP245" s="203" t="s">
        <v>443</v>
      </c>
      <c r="AQ245" s="203" t="s">
        <v>443</v>
      </c>
      <c r="AR245" s="203"/>
      <c r="AS245" s="203"/>
      <c r="AT245" s="422" t="s">
        <v>283</v>
      </c>
      <c r="AU245" s="202" t="s">
        <v>3553</v>
      </c>
      <c r="AV245" s="203"/>
      <c r="AW245" s="204">
        <v>43908</v>
      </c>
      <c r="AX245" s="316" t="s">
        <v>3237</v>
      </c>
      <c r="AY245" s="204" t="s">
        <v>148</v>
      </c>
      <c r="AZ245" s="204">
        <v>44874</v>
      </c>
      <c r="BA245" s="204">
        <v>44811</v>
      </c>
      <c r="BB245" s="204"/>
      <c r="BC245" s="204"/>
      <c r="BD245" s="204"/>
      <c r="BE245" s="205" t="s">
        <v>3551</v>
      </c>
      <c r="BF245" s="204">
        <v>45061</v>
      </c>
      <c r="BG245" s="204" t="s">
        <v>161</v>
      </c>
      <c r="BH245" s="204">
        <v>45476</v>
      </c>
      <c r="BI245" s="204" t="s">
        <v>148</v>
      </c>
      <c r="BJ245" s="203"/>
      <c r="BK245" s="203"/>
      <c r="BL245" s="203"/>
      <c r="BM245" s="206">
        <v>45889</v>
      </c>
      <c r="BN245" s="202" t="s">
        <v>16</v>
      </c>
      <c r="BO245" s="270">
        <f>DATEDIF(AW245,BM245,"M")+1</f>
        <v>66</v>
      </c>
      <c r="BP245" s="202"/>
      <c r="BQ245" s="202"/>
      <c r="BR245" s="202">
        <v>2</v>
      </c>
      <c r="BS245" s="202">
        <v>1</v>
      </c>
      <c r="BT245" s="202"/>
      <c r="BU245" s="202"/>
      <c r="BV245" s="202"/>
      <c r="BW245" s="202"/>
      <c r="BX245" s="202"/>
      <c r="BY245" s="202" t="s">
        <v>161</v>
      </c>
      <c r="BZ245" s="202"/>
      <c r="CA245" s="202"/>
      <c r="CB245" s="207"/>
      <c r="CC245" s="207"/>
      <c r="CD245" s="202"/>
      <c r="CE245" s="202"/>
      <c r="CF245" s="202"/>
      <c r="CG245" s="202"/>
      <c r="CH245" s="378">
        <v>1</v>
      </c>
      <c r="CI245" s="202"/>
      <c r="CJ245" s="202"/>
      <c r="CK245" s="202" t="s">
        <v>807</v>
      </c>
      <c r="CL245"/>
    </row>
    <row r="246" spans="1:90" s="53" customFormat="1" ht="29.15" customHeight="1" x14ac:dyDescent="0.35">
      <c r="A246" s="202">
        <v>249</v>
      </c>
      <c r="B246" s="208" t="s">
        <v>3554</v>
      </c>
      <c r="C246" s="208" t="s">
        <v>3555</v>
      </c>
      <c r="D246" s="208" t="s">
        <v>3556</v>
      </c>
      <c r="E246" s="208" t="s">
        <v>931</v>
      </c>
      <c r="F246" s="208" t="s">
        <v>4139</v>
      </c>
      <c r="G246" s="208">
        <v>10</v>
      </c>
      <c r="H246" s="208" t="s">
        <v>52</v>
      </c>
      <c r="I246" s="208" t="s">
        <v>39</v>
      </c>
      <c r="J246" s="208" t="s">
        <v>3557</v>
      </c>
      <c r="K246" s="208" t="s">
        <v>288</v>
      </c>
      <c r="L246" s="202" t="s">
        <v>44</v>
      </c>
      <c r="M246" s="208" t="s">
        <v>161</v>
      </c>
      <c r="N246" s="208"/>
      <c r="O246" s="208" t="s">
        <v>149</v>
      </c>
      <c r="P246" s="208" t="s">
        <v>149</v>
      </c>
      <c r="Q246" s="208"/>
      <c r="R246" s="484" t="s">
        <v>3558</v>
      </c>
      <c r="S246" s="484" t="s">
        <v>3559</v>
      </c>
      <c r="T246" s="355" t="s">
        <v>3560</v>
      </c>
      <c r="U246" s="320" t="s">
        <v>787</v>
      </c>
      <c r="V246" s="320">
        <v>30185</v>
      </c>
      <c r="W246" s="321" t="s">
        <v>3561</v>
      </c>
      <c r="X246" s="321" t="s">
        <v>177</v>
      </c>
      <c r="Y246" s="321"/>
      <c r="Z246" s="321"/>
      <c r="AA246" s="208"/>
      <c r="AB246" s="320">
        <v>44622</v>
      </c>
      <c r="AC246" s="322">
        <v>43891</v>
      </c>
      <c r="AD246" s="320"/>
      <c r="AE246" s="320" t="s">
        <v>3562</v>
      </c>
      <c r="AF246" s="320" t="s">
        <v>3563</v>
      </c>
      <c r="AG246" s="320"/>
      <c r="AH246" s="208">
        <f t="shared" si="70"/>
        <v>2</v>
      </c>
      <c r="AI246" s="320"/>
      <c r="AJ246" s="320"/>
      <c r="AK246" s="320"/>
      <c r="AL246" s="320"/>
      <c r="AM246" s="320"/>
      <c r="AN246" s="320"/>
      <c r="AO246" s="320" t="s">
        <v>162</v>
      </c>
      <c r="AP246" s="320" t="s">
        <v>1438</v>
      </c>
      <c r="AQ246" s="320" t="s">
        <v>248</v>
      </c>
      <c r="AR246" s="320" t="s">
        <v>148</v>
      </c>
      <c r="AS246" s="320"/>
      <c r="AT246" s="423" t="s">
        <v>283</v>
      </c>
      <c r="AU246" s="208" t="s">
        <v>3564</v>
      </c>
      <c r="AV246" s="320"/>
      <c r="AW246" s="323">
        <v>43915</v>
      </c>
      <c r="AX246" s="324" t="s">
        <v>3237</v>
      </c>
      <c r="AY246" s="323" t="s">
        <v>148</v>
      </c>
      <c r="AZ246" s="323">
        <v>44797</v>
      </c>
      <c r="BA246" s="323">
        <v>44839</v>
      </c>
      <c r="BB246" s="323"/>
      <c r="BC246" s="323"/>
      <c r="BD246" s="323"/>
      <c r="BE246" s="325" t="s">
        <v>3561</v>
      </c>
      <c r="BF246" s="323">
        <v>44872</v>
      </c>
      <c r="BG246" s="323" t="s">
        <v>148</v>
      </c>
      <c r="BH246" s="323">
        <v>45476</v>
      </c>
      <c r="BI246" s="323" t="s">
        <v>148</v>
      </c>
      <c r="BJ246" s="320"/>
      <c r="BK246" s="320"/>
      <c r="BL246" s="320"/>
      <c r="BM246" s="326"/>
      <c r="BN246" s="208" t="s">
        <v>17</v>
      </c>
      <c r="BO246" s="327"/>
      <c r="BP246" s="208"/>
      <c r="BQ246" s="208"/>
      <c r="BR246" s="208">
        <v>12</v>
      </c>
      <c r="BS246" s="208">
        <v>11</v>
      </c>
      <c r="BT246" s="208"/>
      <c r="BU246" s="208"/>
      <c r="BV246" s="208"/>
      <c r="BW246" s="208"/>
      <c r="BX246" s="208"/>
      <c r="BY246" s="208" t="s">
        <v>161</v>
      </c>
      <c r="BZ246" s="208"/>
      <c r="CA246" s="208"/>
      <c r="CB246" s="328"/>
      <c r="CC246" s="328"/>
      <c r="CD246" s="208"/>
      <c r="CE246" s="208"/>
      <c r="CF246" s="208"/>
      <c r="CG246" s="208"/>
      <c r="CH246" s="379">
        <v>2</v>
      </c>
      <c r="CI246" s="202"/>
      <c r="CJ246" s="202"/>
      <c r="CK246" s="202" t="s">
        <v>807</v>
      </c>
      <c r="CL246"/>
    </row>
    <row r="247" spans="1:90" ht="29.25" customHeight="1" x14ac:dyDescent="0.35">
      <c r="A247" s="330">
        <v>250</v>
      </c>
      <c r="B247" s="330" t="s">
        <v>3565</v>
      </c>
      <c r="C247" s="330" t="s">
        <v>3566</v>
      </c>
      <c r="D247" s="330" t="s">
        <v>3555</v>
      </c>
      <c r="E247" s="330" t="s">
        <v>3567</v>
      </c>
      <c r="F247" s="330" t="s">
        <v>4140</v>
      </c>
      <c r="G247" s="329">
        <v>11</v>
      </c>
      <c r="H247" s="329" t="s">
        <v>52</v>
      </c>
      <c r="I247" s="329" t="s">
        <v>31</v>
      </c>
      <c r="J247" s="329" t="s">
        <v>3568</v>
      </c>
      <c r="K247" s="329" t="s">
        <v>3569</v>
      </c>
      <c r="L247" s="329" t="s">
        <v>31</v>
      </c>
      <c r="M247" s="329" t="s">
        <v>148</v>
      </c>
      <c r="N247" s="331"/>
      <c r="O247" s="331" t="s">
        <v>149</v>
      </c>
      <c r="P247" s="331"/>
      <c r="Q247" s="329"/>
      <c r="R247" s="330" t="s">
        <v>3570</v>
      </c>
      <c r="S247" s="330" t="s">
        <v>3571</v>
      </c>
      <c r="T247" s="356" t="s">
        <v>3572</v>
      </c>
      <c r="U247" s="330" t="s">
        <v>3573</v>
      </c>
      <c r="V247" s="332">
        <v>31207</v>
      </c>
      <c r="W247" s="391" t="s">
        <v>3574</v>
      </c>
      <c r="X247" s="333" t="s">
        <v>3575</v>
      </c>
      <c r="Y247" s="333"/>
      <c r="Z247" s="333"/>
      <c r="AA247" s="329"/>
      <c r="AB247" s="361">
        <v>45670</v>
      </c>
      <c r="AC247" s="361">
        <v>45719</v>
      </c>
      <c r="AD247" s="329"/>
      <c r="AE247" s="329" t="s">
        <v>3576</v>
      </c>
      <c r="AF247" s="329" t="s">
        <v>3577</v>
      </c>
      <c r="AG247" s="329" t="s">
        <v>3578</v>
      </c>
      <c r="AH247" s="334">
        <v>3</v>
      </c>
      <c r="AI247" s="329" t="s">
        <v>159</v>
      </c>
      <c r="AJ247" s="329" t="s">
        <v>159</v>
      </c>
      <c r="AK247" s="329" t="s">
        <v>159</v>
      </c>
      <c r="AL247" s="334"/>
      <c r="AM247" s="334"/>
      <c r="AN247" s="334"/>
      <c r="AO247" s="335"/>
      <c r="AP247" s="332"/>
      <c r="AQ247" s="335"/>
      <c r="AR247" s="334"/>
      <c r="AS247" s="329"/>
      <c r="AT247" s="424"/>
      <c r="AU247" s="329" t="s">
        <v>3579</v>
      </c>
      <c r="AV247" s="329"/>
      <c r="AW247" s="362">
        <v>45719</v>
      </c>
      <c r="AX247" s="329"/>
      <c r="AY247" s="334"/>
      <c r="AZ247" s="329"/>
      <c r="BA247" s="329"/>
      <c r="BB247" s="329"/>
      <c r="BC247" s="439"/>
      <c r="BD247" s="439"/>
      <c r="BE247" s="440" t="s">
        <v>3580</v>
      </c>
      <c r="BF247" s="329"/>
      <c r="BG247" s="329"/>
      <c r="BH247" s="329"/>
      <c r="BI247" s="329"/>
      <c r="BJ247" s="329"/>
      <c r="BK247" s="329"/>
      <c r="BL247" s="329"/>
      <c r="BM247" s="332"/>
      <c r="BN247" s="363" t="s">
        <v>17</v>
      </c>
      <c r="BO247" s="334"/>
      <c r="BP247" s="334"/>
      <c r="BQ247" s="329"/>
      <c r="BR247" s="329">
        <v>7</v>
      </c>
      <c r="BS247" s="329"/>
      <c r="BT247" s="329"/>
      <c r="BU247" s="329"/>
      <c r="BV247" s="329"/>
      <c r="BW247" s="329"/>
      <c r="BX247" s="329"/>
      <c r="BY247" s="329"/>
      <c r="BZ247" s="329"/>
      <c r="CA247" s="329"/>
      <c r="CB247" s="329"/>
      <c r="CC247" s="329"/>
      <c r="CD247" s="329"/>
      <c r="CE247" s="329"/>
      <c r="CF247" s="329"/>
      <c r="CG247" s="329"/>
      <c r="CH247" s="380">
        <v>2</v>
      </c>
      <c r="CI247" s="382"/>
      <c r="CJ247" s="382"/>
      <c r="CK247" s="382" t="s">
        <v>807</v>
      </c>
    </row>
    <row r="248" spans="1:90" ht="24" customHeight="1" x14ac:dyDescent="0.35">
      <c r="A248" s="330">
        <v>251</v>
      </c>
      <c r="B248" s="330" t="s">
        <v>3581</v>
      </c>
      <c r="C248" s="330" t="s">
        <v>3582</v>
      </c>
      <c r="D248" s="330" t="s">
        <v>3583</v>
      </c>
      <c r="E248" s="330" t="s">
        <v>1769</v>
      </c>
      <c r="F248" s="330" t="s">
        <v>4140</v>
      </c>
      <c r="G248" s="329">
        <v>11</v>
      </c>
      <c r="H248" s="329" t="s">
        <v>55</v>
      </c>
      <c r="I248" s="329" t="s">
        <v>46</v>
      </c>
      <c r="J248" s="329" t="s">
        <v>3584</v>
      </c>
      <c r="K248" s="329" t="s">
        <v>3585</v>
      </c>
      <c r="L248" s="329" t="s">
        <v>35</v>
      </c>
      <c r="M248" s="329" t="s">
        <v>148</v>
      </c>
      <c r="N248" s="331"/>
      <c r="O248" s="331" t="s">
        <v>149</v>
      </c>
      <c r="P248" s="331"/>
      <c r="Q248" s="329"/>
      <c r="R248" s="330" t="s">
        <v>3586</v>
      </c>
      <c r="S248" s="330" t="s">
        <v>3587</v>
      </c>
      <c r="T248" s="356" t="s">
        <v>3588</v>
      </c>
      <c r="U248" s="330" t="s">
        <v>3589</v>
      </c>
      <c r="V248" s="332">
        <v>33239</v>
      </c>
      <c r="W248" s="391" t="s">
        <v>3590</v>
      </c>
      <c r="X248" s="333" t="s">
        <v>3575</v>
      </c>
      <c r="Y248" s="333"/>
      <c r="Z248" s="333"/>
      <c r="AA248" s="329"/>
      <c r="AB248" s="361">
        <v>45869</v>
      </c>
      <c r="AC248" s="361">
        <v>45719</v>
      </c>
      <c r="AD248" s="329"/>
      <c r="AE248" s="329" t="s">
        <v>3591</v>
      </c>
      <c r="AF248" s="329" t="s">
        <v>3592</v>
      </c>
      <c r="AG248" s="329" t="s">
        <v>3593</v>
      </c>
      <c r="AH248" s="334">
        <v>3</v>
      </c>
      <c r="AI248" s="329" t="s">
        <v>160</v>
      </c>
      <c r="AJ248" s="329" t="s">
        <v>160</v>
      </c>
      <c r="AK248" s="329" t="s">
        <v>160</v>
      </c>
      <c r="AL248" s="334"/>
      <c r="AM248" s="334"/>
      <c r="AN248" s="334"/>
      <c r="AO248" s="335"/>
      <c r="AP248" s="335"/>
      <c r="AQ248" s="335"/>
      <c r="AR248" s="334"/>
      <c r="AS248" s="329"/>
      <c r="AT248" s="424"/>
      <c r="AU248" s="329" t="s">
        <v>3594</v>
      </c>
      <c r="AV248" s="329"/>
      <c r="AW248" s="362">
        <v>45719</v>
      </c>
      <c r="AX248" s="329"/>
      <c r="AY248" s="334"/>
      <c r="AZ248" s="329"/>
      <c r="BA248" s="329"/>
      <c r="BB248" s="329"/>
      <c r="BC248" s="329"/>
      <c r="BD248" s="329"/>
      <c r="BE248" s="441"/>
      <c r="BF248" s="329"/>
      <c r="BG248" s="329"/>
      <c r="BH248" s="329"/>
      <c r="BI248" s="329"/>
      <c r="BJ248" s="329"/>
      <c r="BK248" s="329"/>
      <c r="BL248" s="329"/>
      <c r="BM248" s="332"/>
      <c r="BN248" s="363" t="s">
        <v>17</v>
      </c>
      <c r="BO248" s="334"/>
      <c r="BP248" s="334"/>
      <c r="BQ248" s="329"/>
      <c r="BR248" s="329">
        <v>0</v>
      </c>
      <c r="BS248" s="329"/>
      <c r="BT248" s="329"/>
      <c r="BU248" s="329"/>
      <c r="BV248" s="329"/>
      <c r="BW248" s="329"/>
      <c r="BX248" s="329"/>
      <c r="BY248" s="329"/>
      <c r="BZ248" s="329"/>
      <c r="CA248" s="329"/>
      <c r="CB248" s="329"/>
      <c r="CC248" s="329"/>
      <c r="CD248" s="329"/>
      <c r="CE248" s="329"/>
      <c r="CF248" s="329"/>
      <c r="CG248" s="329"/>
      <c r="CH248" s="380">
        <v>1</v>
      </c>
      <c r="CI248" s="382"/>
      <c r="CJ248" s="382"/>
      <c r="CK248" s="382" t="s">
        <v>807</v>
      </c>
    </row>
    <row r="249" spans="1:90" ht="26.25" customHeight="1" x14ac:dyDescent="0.35">
      <c r="A249" s="330">
        <v>252</v>
      </c>
      <c r="B249" s="330" t="s">
        <v>3595</v>
      </c>
      <c r="C249" s="330" t="s">
        <v>3596</v>
      </c>
      <c r="D249" s="330"/>
      <c r="E249" s="330" t="s">
        <v>3597</v>
      </c>
      <c r="F249" s="330" t="s">
        <v>4140</v>
      </c>
      <c r="G249" s="329">
        <v>11</v>
      </c>
      <c r="H249" s="329" t="s">
        <v>58</v>
      </c>
      <c r="I249" s="329" t="s">
        <v>35</v>
      </c>
      <c r="J249" s="329" t="s">
        <v>600</v>
      </c>
      <c r="K249" s="329" t="s">
        <v>3598</v>
      </c>
      <c r="L249" s="329" t="s">
        <v>35</v>
      </c>
      <c r="M249" s="329" t="s">
        <v>148</v>
      </c>
      <c r="N249" s="331"/>
      <c r="O249" s="331" t="s">
        <v>149</v>
      </c>
      <c r="P249" s="331"/>
      <c r="Q249" s="329"/>
      <c r="R249" s="330" t="s">
        <v>3599</v>
      </c>
      <c r="S249" s="330" t="s">
        <v>3600</v>
      </c>
      <c r="T249" s="356" t="s">
        <v>3601</v>
      </c>
      <c r="U249" s="330" t="s">
        <v>3602</v>
      </c>
      <c r="V249" s="332">
        <v>34108</v>
      </c>
      <c r="W249" s="391" t="s">
        <v>3603</v>
      </c>
      <c r="X249" s="333" t="s">
        <v>3575</v>
      </c>
      <c r="Y249" s="333"/>
      <c r="Z249" s="333"/>
      <c r="AA249" s="329"/>
      <c r="AB249" s="361">
        <v>45524</v>
      </c>
      <c r="AC249" s="361">
        <v>45719</v>
      </c>
      <c r="AD249" s="329"/>
      <c r="AE249" s="329" t="s">
        <v>3604</v>
      </c>
      <c r="AF249" s="329" t="s">
        <v>3605</v>
      </c>
      <c r="AG249" s="329" t="s">
        <v>3606</v>
      </c>
      <c r="AH249" s="334">
        <v>3</v>
      </c>
      <c r="AI249" s="329" t="s">
        <v>159</v>
      </c>
      <c r="AJ249" s="329" t="s">
        <v>159</v>
      </c>
      <c r="AK249" s="329" t="s">
        <v>159</v>
      </c>
      <c r="AL249" s="334"/>
      <c r="AM249" s="334"/>
      <c r="AN249" s="334"/>
      <c r="AO249" s="335"/>
      <c r="AP249" s="335"/>
      <c r="AQ249" s="335"/>
      <c r="AR249" s="334"/>
      <c r="AS249" s="329"/>
      <c r="AT249" s="424"/>
      <c r="AU249" s="329" t="s">
        <v>3607</v>
      </c>
      <c r="AV249" s="329"/>
      <c r="AW249" s="362">
        <v>45719</v>
      </c>
      <c r="AX249" s="329"/>
      <c r="AY249" s="334"/>
      <c r="AZ249" s="329"/>
      <c r="BA249" s="329"/>
      <c r="BB249" s="329"/>
      <c r="BC249" s="439"/>
      <c r="BD249" s="439"/>
      <c r="BE249" s="440" t="s">
        <v>3608</v>
      </c>
      <c r="BF249" s="329"/>
      <c r="BG249" s="329"/>
      <c r="BH249" s="329"/>
      <c r="BI249" s="329"/>
      <c r="BJ249" s="329"/>
      <c r="BK249" s="329"/>
      <c r="BL249" s="329"/>
      <c r="BM249" s="332"/>
      <c r="BN249" s="363" t="s">
        <v>17</v>
      </c>
      <c r="BO249" s="334"/>
      <c r="BP249" s="336" t="e">
        <f>MEDIAN(BP2:BP235)</f>
        <v>#VALUE!</v>
      </c>
      <c r="BQ249" s="329"/>
      <c r="BR249" s="329">
        <v>8</v>
      </c>
      <c r="BS249" s="329"/>
      <c r="BT249" s="329"/>
      <c r="BU249" s="329"/>
      <c r="BV249" s="329"/>
      <c r="BW249" s="329"/>
      <c r="BX249" s="329"/>
      <c r="BY249" s="329"/>
      <c r="BZ249" s="329"/>
      <c r="CA249" s="329"/>
      <c r="CB249" s="329"/>
      <c r="CC249" s="329"/>
      <c r="CD249" s="329"/>
      <c r="CE249" s="329"/>
      <c r="CF249" s="329"/>
      <c r="CG249" s="329"/>
      <c r="CH249" s="380">
        <v>2</v>
      </c>
      <c r="CI249" s="382"/>
      <c r="CJ249" s="382"/>
      <c r="CK249" s="382" t="s">
        <v>807</v>
      </c>
    </row>
    <row r="250" spans="1:90" ht="23.25" customHeight="1" x14ac:dyDescent="0.35">
      <c r="A250" s="330">
        <v>253</v>
      </c>
      <c r="B250" s="330" t="s">
        <v>3609</v>
      </c>
      <c r="C250" s="330" t="s">
        <v>2994</v>
      </c>
      <c r="D250" s="330" t="s">
        <v>3610</v>
      </c>
      <c r="E250" s="330" t="s">
        <v>3611</v>
      </c>
      <c r="F250" s="330" t="s">
        <v>4139</v>
      </c>
      <c r="G250" s="329">
        <v>11</v>
      </c>
      <c r="H250" s="329" t="s">
        <v>59</v>
      </c>
      <c r="I250" s="329" t="s">
        <v>36</v>
      </c>
      <c r="J250" s="329" t="s">
        <v>3612</v>
      </c>
      <c r="K250" s="329" t="s">
        <v>3613</v>
      </c>
      <c r="L250" s="329" t="s">
        <v>44</v>
      </c>
      <c r="M250" s="329" t="s">
        <v>161</v>
      </c>
      <c r="N250" s="331"/>
      <c r="O250" s="331" t="s">
        <v>320</v>
      </c>
      <c r="P250" s="331"/>
      <c r="Q250" s="329"/>
      <c r="R250" s="330" t="s">
        <v>3614</v>
      </c>
      <c r="S250" s="330" t="s">
        <v>3615</v>
      </c>
      <c r="T250" s="356" t="s">
        <v>3616</v>
      </c>
      <c r="U250" s="330" t="s">
        <v>3617</v>
      </c>
      <c r="V250" s="332">
        <v>34467</v>
      </c>
      <c r="W250" s="391" t="s">
        <v>3618</v>
      </c>
      <c r="X250" s="333" t="s">
        <v>3575</v>
      </c>
      <c r="Y250" s="331"/>
      <c r="Z250" s="331"/>
      <c r="AA250" s="329"/>
      <c r="AB250" s="361">
        <v>45323</v>
      </c>
      <c r="AC250" s="361">
        <v>45719</v>
      </c>
      <c r="AD250" s="329"/>
      <c r="AE250" s="329" t="s">
        <v>3619</v>
      </c>
      <c r="AF250" s="329" t="s">
        <v>3620</v>
      </c>
      <c r="AG250" s="329" t="s">
        <v>3621</v>
      </c>
      <c r="AH250" s="334">
        <v>3</v>
      </c>
      <c r="AI250" s="329" t="s">
        <v>160</v>
      </c>
      <c r="AJ250" s="329" t="s">
        <v>159</v>
      </c>
      <c r="AK250" s="329" t="s">
        <v>160</v>
      </c>
      <c r="AL250" s="334"/>
      <c r="AM250" s="334"/>
      <c r="AN250" s="334"/>
      <c r="AO250" s="335"/>
      <c r="AP250" s="335"/>
      <c r="AQ250" s="335"/>
      <c r="AR250" s="334"/>
      <c r="AS250" s="329"/>
      <c r="AT250" s="424"/>
      <c r="AU250" s="329" t="s">
        <v>3622</v>
      </c>
      <c r="AV250" s="329"/>
      <c r="AW250" s="362">
        <v>45719</v>
      </c>
      <c r="AX250" s="329"/>
      <c r="AY250" s="334"/>
      <c r="AZ250" s="329"/>
      <c r="BA250" s="329"/>
      <c r="BB250" s="329"/>
      <c r="BC250" s="329"/>
      <c r="BD250" s="329"/>
      <c r="BE250" s="441"/>
      <c r="BF250" s="329"/>
      <c r="BG250" s="329"/>
      <c r="BH250" s="329"/>
      <c r="BI250" s="329"/>
      <c r="BJ250" s="329"/>
      <c r="BK250" s="329"/>
      <c r="BL250" s="329"/>
      <c r="BM250" s="332"/>
      <c r="BN250" s="363" t="s">
        <v>17</v>
      </c>
      <c r="BO250" s="334"/>
      <c r="BP250" s="334"/>
      <c r="BQ250" s="329"/>
      <c r="BR250" s="329">
        <v>2</v>
      </c>
      <c r="BS250" s="329"/>
      <c r="BT250" s="329"/>
      <c r="BU250" s="329"/>
      <c r="BV250" s="329"/>
      <c r="BW250" s="329"/>
      <c r="BX250" s="329"/>
      <c r="BY250" s="329"/>
      <c r="BZ250" s="329"/>
      <c r="CA250" s="329"/>
      <c r="CB250" s="329"/>
      <c r="CC250" s="329"/>
      <c r="CD250" s="329"/>
      <c r="CE250" s="329"/>
      <c r="CF250" s="329"/>
      <c r="CG250" s="329"/>
      <c r="CH250" s="380">
        <v>1</v>
      </c>
      <c r="CI250" s="382"/>
      <c r="CJ250" s="382"/>
      <c r="CK250" s="382" t="s">
        <v>807</v>
      </c>
    </row>
    <row r="251" spans="1:90" ht="20.25" customHeight="1" x14ac:dyDescent="0.35">
      <c r="A251" s="330">
        <v>254</v>
      </c>
      <c r="B251" s="330" t="s">
        <v>3623</v>
      </c>
      <c r="C251" s="330" t="s">
        <v>3624</v>
      </c>
      <c r="D251" s="330" t="s">
        <v>1944</v>
      </c>
      <c r="E251" s="330" t="s">
        <v>1898</v>
      </c>
      <c r="F251" s="330" t="s">
        <v>4140</v>
      </c>
      <c r="G251" s="329">
        <v>11</v>
      </c>
      <c r="H251" s="329" t="s">
        <v>52</v>
      </c>
      <c r="I251" s="329" t="s">
        <v>31</v>
      </c>
      <c r="J251" s="329" t="s">
        <v>2317</v>
      </c>
      <c r="K251" s="329" t="s">
        <v>3625</v>
      </c>
      <c r="L251" s="329" t="s">
        <v>31</v>
      </c>
      <c r="M251" s="329" t="s">
        <v>148</v>
      </c>
      <c r="N251" s="331"/>
      <c r="O251" s="331" t="s">
        <v>149</v>
      </c>
      <c r="P251" s="331"/>
      <c r="Q251" s="329"/>
      <c r="R251" s="330" t="s">
        <v>3626</v>
      </c>
      <c r="S251" s="330" t="s">
        <v>3627</v>
      </c>
      <c r="T251" s="356" t="s">
        <v>3628</v>
      </c>
      <c r="U251" s="330" t="s">
        <v>3629</v>
      </c>
      <c r="V251" s="332">
        <v>30376</v>
      </c>
      <c r="W251" s="391" t="s">
        <v>3630</v>
      </c>
      <c r="X251" s="333" t="s">
        <v>2763</v>
      </c>
      <c r="Y251" s="331"/>
      <c r="Z251" s="331"/>
      <c r="AA251" s="329"/>
      <c r="AB251" s="361">
        <v>45616</v>
      </c>
      <c r="AC251" s="361">
        <v>45719</v>
      </c>
      <c r="AD251" s="329"/>
      <c r="AE251" s="329" t="s">
        <v>3631</v>
      </c>
      <c r="AF251" s="329" t="s">
        <v>3632</v>
      </c>
      <c r="AG251" s="329"/>
      <c r="AH251" s="334">
        <v>2</v>
      </c>
      <c r="AI251" s="329" t="s">
        <v>159</v>
      </c>
      <c r="AJ251" s="329" t="s">
        <v>159</v>
      </c>
      <c r="AK251" s="329"/>
      <c r="AL251" s="334"/>
      <c r="AM251" s="334"/>
      <c r="AN251" s="334"/>
      <c r="AO251" s="335"/>
      <c r="AP251" s="335"/>
      <c r="AQ251" s="335"/>
      <c r="AR251" s="334"/>
      <c r="AS251" s="329"/>
      <c r="AT251" s="424"/>
      <c r="AU251" s="329" t="s">
        <v>3633</v>
      </c>
      <c r="AV251" s="329"/>
      <c r="AW251" s="362">
        <v>45719</v>
      </c>
      <c r="AX251" s="329"/>
      <c r="AY251" s="334"/>
      <c r="AZ251" s="329"/>
      <c r="BA251" s="329"/>
      <c r="BB251" s="329"/>
      <c r="BC251" s="439"/>
      <c r="BD251" s="439"/>
      <c r="BE251" s="440" t="s">
        <v>3634</v>
      </c>
      <c r="BF251" s="329"/>
      <c r="BG251" s="329"/>
      <c r="BH251" s="329"/>
      <c r="BI251" s="329"/>
      <c r="BJ251" s="329"/>
      <c r="BK251" s="329"/>
      <c r="BL251" s="329"/>
      <c r="BM251" s="332"/>
      <c r="BN251" s="363" t="s">
        <v>17</v>
      </c>
      <c r="BO251" s="334"/>
      <c r="BP251" s="334"/>
      <c r="BQ251" s="329"/>
      <c r="BR251" s="329">
        <v>8</v>
      </c>
      <c r="BS251" s="329"/>
      <c r="BT251" s="329"/>
      <c r="BU251" s="329"/>
      <c r="BV251" s="329"/>
      <c r="BW251" s="329"/>
      <c r="BX251" s="329"/>
      <c r="BY251" s="329"/>
      <c r="BZ251" s="329"/>
      <c r="CA251" s="329"/>
      <c r="CB251" s="329"/>
      <c r="CC251" s="329"/>
      <c r="CD251" s="329"/>
      <c r="CE251" s="329"/>
      <c r="CF251" s="329"/>
      <c r="CG251" s="329"/>
      <c r="CH251" s="380">
        <v>3</v>
      </c>
      <c r="CI251" s="382"/>
      <c r="CJ251" s="382"/>
      <c r="CK251" s="382" t="s">
        <v>807</v>
      </c>
    </row>
    <row r="252" spans="1:90" ht="22.5" customHeight="1" x14ac:dyDescent="0.35">
      <c r="A252" s="330">
        <v>255</v>
      </c>
      <c r="B252" s="330" t="s">
        <v>3635</v>
      </c>
      <c r="C252" s="330" t="s">
        <v>3636</v>
      </c>
      <c r="D252" s="330" t="s">
        <v>3637</v>
      </c>
      <c r="E252" s="330" t="s">
        <v>3638</v>
      </c>
      <c r="F252" s="330" t="s">
        <v>4139</v>
      </c>
      <c r="G252" s="329">
        <v>11</v>
      </c>
      <c r="H252" s="329" t="s">
        <v>51</v>
      </c>
      <c r="I252" s="329" t="s">
        <v>4136</v>
      </c>
      <c r="J252" s="329" t="s">
        <v>2270</v>
      </c>
      <c r="K252" s="329" t="s">
        <v>3639</v>
      </c>
      <c r="L252" s="329" t="s">
        <v>44</v>
      </c>
      <c r="M252" s="329" t="s">
        <v>161</v>
      </c>
      <c r="N252" s="331"/>
      <c r="O252" s="331" t="s">
        <v>320</v>
      </c>
      <c r="P252" s="331"/>
      <c r="Q252" s="329"/>
      <c r="R252" s="330" t="s">
        <v>3640</v>
      </c>
      <c r="S252" s="330" t="s">
        <v>3641</v>
      </c>
      <c r="T252" s="356" t="s">
        <v>3642</v>
      </c>
      <c r="U252" s="330" t="s">
        <v>3643</v>
      </c>
      <c r="V252" s="332">
        <v>33992</v>
      </c>
      <c r="W252" s="391" t="s">
        <v>3644</v>
      </c>
      <c r="X252" s="333" t="s">
        <v>3645</v>
      </c>
      <c r="Y252" s="331"/>
      <c r="Z252" s="331"/>
      <c r="AA252" s="329"/>
      <c r="AB252" s="361">
        <v>45719</v>
      </c>
      <c r="AC252" s="361">
        <v>45719</v>
      </c>
      <c r="AD252" s="329"/>
      <c r="AE252" s="329" t="s">
        <v>3646</v>
      </c>
      <c r="AF252" s="329" t="s">
        <v>3647</v>
      </c>
      <c r="AG252" s="329" t="s">
        <v>3648</v>
      </c>
      <c r="AH252" s="334">
        <v>3</v>
      </c>
      <c r="AI252" s="329" t="s">
        <v>160</v>
      </c>
      <c r="AJ252" s="329" t="s">
        <v>160</v>
      </c>
      <c r="AK252" s="329" t="s">
        <v>200</v>
      </c>
      <c r="AL252" s="334"/>
      <c r="AM252" s="334"/>
      <c r="AN252" s="334"/>
      <c r="AO252" s="335"/>
      <c r="AP252" s="335"/>
      <c r="AQ252" s="335"/>
      <c r="AR252" s="334"/>
      <c r="AS252" s="329"/>
      <c r="AT252" s="424"/>
      <c r="AU252" s="329" t="s">
        <v>3649</v>
      </c>
      <c r="AV252" s="329"/>
      <c r="AW252" s="362">
        <v>45719</v>
      </c>
      <c r="AX252" s="329"/>
      <c r="AY252" s="334"/>
      <c r="AZ252" s="329"/>
      <c r="BA252" s="329"/>
      <c r="BB252" s="329"/>
      <c r="BC252" s="439"/>
      <c r="BD252" s="439"/>
      <c r="BE252" s="440" t="s">
        <v>3650</v>
      </c>
      <c r="BF252" s="329"/>
      <c r="BG252" s="329"/>
      <c r="BH252" s="329"/>
      <c r="BI252" s="329"/>
      <c r="BJ252" s="329"/>
      <c r="BK252" s="329"/>
      <c r="BL252" s="329"/>
      <c r="BM252" s="332"/>
      <c r="BN252" s="363" t="s">
        <v>17</v>
      </c>
      <c r="BO252" s="334"/>
      <c r="BP252" s="334"/>
      <c r="BQ252" s="329"/>
      <c r="BR252" s="329">
        <v>15</v>
      </c>
      <c r="BS252" s="329"/>
      <c r="BT252" s="329"/>
      <c r="BU252" s="329"/>
      <c r="BV252" s="329"/>
      <c r="BW252" s="329"/>
      <c r="BX252" s="329"/>
      <c r="BY252" s="329"/>
      <c r="BZ252" s="329"/>
      <c r="CA252" s="329"/>
      <c r="CB252" s="329"/>
      <c r="CC252" s="329"/>
      <c r="CD252" s="329"/>
      <c r="CE252" s="329"/>
      <c r="CF252" s="329"/>
      <c r="CG252" s="329"/>
      <c r="CH252" s="380">
        <v>0</v>
      </c>
      <c r="CI252" s="382"/>
      <c r="CJ252" s="382"/>
      <c r="CK252" s="382" t="s">
        <v>807</v>
      </c>
    </row>
    <row r="253" spans="1:90" ht="25.5" customHeight="1" x14ac:dyDescent="0.35">
      <c r="A253" s="330">
        <v>256</v>
      </c>
      <c r="B253" s="330" t="s">
        <v>3651</v>
      </c>
      <c r="C253" s="330" t="s">
        <v>2329</v>
      </c>
      <c r="D253" s="330" t="s">
        <v>3652</v>
      </c>
      <c r="E253" s="330" t="s">
        <v>3653</v>
      </c>
      <c r="F253" s="330" t="s">
        <v>4140</v>
      </c>
      <c r="G253" s="329">
        <v>11</v>
      </c>
      <c r="H253" s="329" t="s">
        <v>52</v>
      </c>
      <c r="I253" s="329" t="s">
        <v>39</v>
      </c>
      <c r="J253" s="329" t="s">
        <v>3654</v>
      </c>
      <c r="K253" s="329" t="s">
        <v>2786</v>
      </c>
      <c r="L253" s="329"/>
      <c r="M253" s="329"/>
      <c r="N253" s="331"/>
      <c r="O253" s="331" t="s">
        <v>149</v>
      </c>
      <c r="P253" s="331"/>
      <c r="Q253" s="329"/>
      <c r="R253" s="330" t="s">
        <v>3655</v>
      </c>
      <c r="S253" s="330" t="s">
        <v>3656</v>
      </c>
      <c r="T253" s="356" t="s">
        <v>3657</v>
      </c>
      <c r="U253" s="330" t="s">
        <v>3658</v>
      </c>
      <c r="V253" s="332">
        <v>31085</v>
      </c>
      <c r="W253" s="391" t="s">
        <v>3659</v>
      </c>
      <c r="X253" s="333" t="s">
        <v>154</v>
      </c>
      <c r="Y253" s="331"/>
      <c r="Z253" s="331"/>
      <c r="AA253" s="329"/>
      <c r="AB253" s="361">
        <v>45902</v>
      </c>
      <c r="AC253" s="361">
        <v>45719</v>
      </c>
      <c r="AD253" s="329"/>
      <c r="AE253" s="329" t="s">
        <v>3660</v>
      </c>
      <c r="AF253" s="329" t="s">
        <v>3661</v>
      </c>
      <c r="AG253" s="329" t="s">
        <v>3662</v>
      </c>
      <c r="AH253" s="334">
        <v>3</v>
      </c>
      <c r="AI253" s="329" t="s">
        <v>160</v>
      </c>
      <c r="AJ253" s="329" t="s">
        <v>160</v>
      </c>
      <c r="AK253" s="329" t="s">
        <v>159</v>
      </c>
      <c r="AL253" s="334"/>
      <c r="AM253" s="334"/>
      <c r="AN253" s="334"/>
      <c r="AO253" s="335"/>
      <c r="AP253" s="335"/>
      <c r="AQ253" s="335"/>
      <c r="AR253" s="334"/>
      <c r="AS253" s="329"/>
      <c r="AT253" s="424"/>
      <c r="AU253" s="329" t="s">
        <v>3663</v>
      </c>
      <c r="AV253" s="329"/>
      <c r="AW253" s="362">
        <v>45719</v>
      </c>
      <c r="AX253" s="329"/>
      <c r="AY253" s="334"/>
      <c r="AZ253" s="329"/>
      <c r="BA253" s="329"/>
      <c r="BB253" s="329"/>
      <c r="BC253" s="329"/>
      <c r="BD253" s="329"/>
      <c r="BE253" s="441"/>
      <c r="BF253" s="329"/>
      <c r="BG253" s="329"/>
      <c r="BH253" s="329"/>
      <c r="BI253" s="329"/>
      <c r="BJ253" s="329"/>
      <c r="BK253" s="329"/>
      <c r="BL253" s="329"/>
      <c r="BM253" s="332"/>
      <c r="BN253" s="363" t="s">
        <v>17</v>
      </c>
      <c r="BO253" s="334"/>
      <c r="BP253" s="334"/>
      <c r="BQ253" s="329"/>
      <c r="BR253" s="329">
        <v>40</v>
      </c>
      <c r="BS253" s="329"/>
      <c r="BT253" s="329"/>
      <c r="BU253" s="329"/>
      <c r="BV253" s="329"/>
      <c r="BW253" s="329"/>
      <c r="BX253" s="329"/>
      <c r="BY253" s="329"/>
      <c r="BZ253" s="329"/>
      <c r="CA253" s="329"/>
      <c r="CB253" s="329"/>
      <c r="CC253" s="329"/>
      <c r="CD253" s="329"/>
      <c r="CE253" s="329"/>
      <c r="CF253" s="329"/>
      <c r="CG253" s="329"/>
      <c r="CH253" s="380">
        <v>1</v>
      </c>
      <c r="CI253" s="382"/>
      <c r="CJ253" s="382"/>
      <c r="CK253" s="382" t="s">
        <v>807</v>
      </c>
    </row>
    <row r="254" spans="1:90" ht="21" customHeight="1" x14ac:dyDescent="0.35">
      <c r="A254" s="330">
        <v>257</v>
      </c>
      <c r="B254" s="330" t="s">
        <v>3664</v>
      </c>
      <c r="C254" s="330" t="s">
        <v>3665</v>
      </c>
      <c r="D254" s="330" t="s">
        <v>3666</v>
      </c>
      <c r="E254" s="330" t="s">
        <v>3583</v>
      </c>
      <c r="F254" s="330" t="s">
        <v>4139</v>
      </c>
      <c r="G254" s="329">
        <v>11</v>
      </c>
      <c r="H254" s="329" t="s">
        <v>55</v>
      </c>
      <c r="I254" s="329" t="s">
        <v>46</v>
      </c>
      <c r="J254" s="329" t="s">
        <v>3293</v>
      </c>
      <c r="K254" s="329" t="s">
        <v>3667</v>
      </c>
      <c r="L254" s="329" t="s">
        <v>35</v>
      </c>
      <c r="M254" s="329" t="s">
        <v>161</v>
      </c>
      <c r="N254" s="331"/>
      <c r="O254" s="331" t="s">
        <v>149</v>
      </c>
      <c r="P254" s="331"/>
      <c r="Q254" s="329"/>
      <c r="R254" s="330" t="s">
        <v>3668</v>
      </c>
      <c r="S254" s="357"/>
      <c r="T254" s="356" t="s">
        <v>3669</v>
      </c>
      <c r="U254" s="330" t="s">
        <v>3670</v>
      </c>
      <c r="V254" s="332">
        <v>32143</v>
      </c>
      <c r="W254" s="391" t="s">
        <v>3671</v>
      </c>
      <c r="X254" s="333" t="s">
        <v>3575</v>
      </c>
      <c r="Y254" s="331"/>
      <c r="Z254" s="331"/>
      <c r="AA254" s="329"/>
      <c r="AB254" s="361">
        <v>45762</v>
      </c>
      <c r="AC254" s="361">
        <v>45719</v>
      </c>
      <c r="AD254" s="329"/>
      <c r="AE254" s="329" t="s">
        <v>3672</v>
      </c>
      <c r="AF254" s="329" t="s">
        <v>3673</v>
      </c>
      <c r="AG254" s="329" t="s">
        <v>3674</v>
      </c>
      <c r="AH254" s="334">
        <v>3</v>
      </c>
      <c r="AI254" s="329" t="s">
        <v>160</v>
      </c>
      <c r="AJ254" s="329" t="s">
        <v>160</v>
      </c>
      <c r="AK254" s="329" t="s">
        <v>159</v>
      </c>
      <c r="AL254" s="334"/>
      <c r="AM254" s="334"/>
      <c r="AN254" s="334"/>
      <c r="AO254" s="335"/>
      <c r="AP254" s="335"/>
      <c r="AQ254" s="335"/>
      <c r="AR254" s="334"/>
      <c r="AS254" s="329"/>
      <c r="AT254" s="424"/>
      <c r="AU254" s="329" t="s">
        <v>3675</v>
      </c>
      <c r="AV254" s="329"/>
      <c r="AW254" s="362">
        <v>45719</v>
      </c>
      <c r="AX254" s="329"/>
      <c r="AY254" s="334"/>
      <c r="AZ254" s="329"/>
      <c r="BA254" s="329"/>
      <c r="BB254" s="329"/>
      <c r="BC254" s="439"/>
      <c r="BD254" s="439"/>
      <c r="BE254" s="440" t="s">
        <v>3676</v>
      </c>
      <c r="BF254" s="329"/>
      <c r="BG254" s="329"/>
      <c r="BH254" s="329"/>
      <c r="BI254" s="329"/>
      <c r="BJ254" s="329"/>
      <c r="BK254" s="329"/>
      <c r="BL254" s="329"/>
      <c r="BM254" s="332"/>
      <c r="BN254" s="363" t="s">
        <v>17</v>
      </c>
      <c r="BO254" s="334"/>
      <c r="BP254" s="334"/>
      <c r="BQ254" s="329"/>
      <c r="BR254" s="329">
        <v>8</v>
      </c>
      <c r="BS254" s="329"/>
      <c r="BT254" s="329"/>
      <c r="BU254" s="329"/>
      <c r="BV254" s="329"/>
      <c r="BW254" s="329"/>
      <c r="BX254" s="329"/>
      <c r="BY254" s="329"/>
      <c r="BZ254" s="329"/>
      <c r="CA254" s="329"/>
      <c r="CB254" s="329"/>
      <c r="CC254" s="329"/>
      <c r="CD254" s="329"/>
      <c r="CE254" s="329"/>
      <c r="CF254" s="329"/>
      <c r="CG254" s="329"/>
      <c r="CH254" s="380">
        <v>1</v>
      </c>
      <c r="CI254" s="382"/>
      <c r="CJ254" s="382"/>
      <c r="CK254" s="382" t="s">
        <v>807</v>
      </c>
    </row>
    <row r="255" spans="1:90" ht="24.75" customHeight="1" x14ac:dyDescent="0.35">
      <c r="A255" s="330">
        <v>258</v>
      </c>
      <c r="B255" s="330" t="s">
        <v>3677</v>
      </c>
      <c r="C255" s="330" t="s">
        <v>3678</v>
      </c>
      <c r="D255" s="330"/>
      <c r="E255" s="330" t="s">
        <v>3679</v>
      </c>
      <c r="F255" s="330" t="s">
        <v>4139</v>
      </c>
      <c r="G255" s="329">
        <v>11</v>
      </c>
      <c r="H255" s="329" t="s">
        <v>58</v>
      </c>
      <c r="I255" s="329" t="s">
        <v>35</v>
      </c>
      <c r="J255" s="329" t="s">
        <v>3680</v>
      </c>
      <c r="K255" s="329" t="s">
        <v>3681</v>
      </c>
      <c r="L255" s="329" t="s">
        <v>35</v>
      </c>
      <c r="M255" s="329" t="s">
        <v>148</v>
      </c>
      <c r="N255" s="331"/>
      <c r="O255" s="331" t="s">
        <v>320</v>
      </c>
      <c r="P255" s="331"/>
      <c r="Q255" s="329"/>
      <c r="R255" s="330" t="s">
        <v>3682</v>
      </c>
      <c r="S255" s="330" t="s">
        <v>3683</v>
      </c>
      <c r="T255" s="356" t="s">
        <v>3684</v>
      </c>
      <c r="U255" s="330" t="s">
        <v>3685</v>
      </c>
      <c r="V255" s="332">
        <v>35384</v>
      </c>
      <c r="W255" s="391" t="s">
        <v>3686</v>
      </c>
      <c r="X255" s="333" t="s">
        <v>3687</v>
      </c>
      <c r="Y255" s="331"/>
      <c r="Z255" s="331"/>
      <c r="AA255" s="329"/>
      <c r="AB255" s="361">
        <v>45762</v>
      </c>
      <c r="AC255" s="361">
        <v>45719</v>
      </c>
      <c r="AD255" s="329"/>
      <c r="AE255" s="329" t="s">
        <v>3688</v>
      </c>
      <c r="AF255" s="329" t="s">
        <v>3689</v>
      </c>
      <c r="AG255" s="329" t="s">
        <v>3690</v>
      </c>
      <c r="AH255" s="334">
        <v>3</v>
      </c>
      <c r="AI255" s="329" t="s">
        <v>159</v>
      </c>
      <c r="AJ255" s="329" t="s">
        <v>159</v>
      </c>
      <c r="AK255" s="329" t="s">
        <v>200</v>
      </c>
      <c r="AL255" s="334"/>
      <c r="AM255" s="334"/>
      <c r="AN255" s="334"/>
      <c r="AO255" s="335"/>
      <c r="AP255" s="335"/>
      <c r="AQ255" s="335"/>
      <c r="AR255" s="334"/>
      <c r="AS255" s="329"/>
      <c r="AT255" s="424"/>
      <c r="AU255" s="329" t="s">
        <v>3691</v>
      </c>
      <c r="AV255" s="329"/>
      <c r="AW255" s="362">
        <v>45719</v>
      </c>
      <c r="AX255" s="329"/>
      <c r="AY255" s="334"/>
      <c r="AZ255" s="329"/>
      <c r="BA255" s="329"/>
      <c r="BB255" s="329"/>
      <c r="BC255" s="329"/>
      <c r="BD255" s="329"/>
      <c r="BE255" s="441"/>
      <c r="BF255" s="329"/>
      <c r="BG255" s="329"/>
      <c r="BH255" s="329"/>
      <c r="BI255" s="329"/>
      <c r="BJ255" s="329"/>
      <c r="BK255" s="329"/>
      <c r="BL255" s="329"/>
      <c r="BM255" s="332"/>
      <c r="BN255" s="363" t="s">
        <v>17</v>
      </c>
      <c r="BO255" s="334"/>
      <c r="BP255" s="334"/>
      <c r="BQ255" s="329"/>
      <c r="BR255" s="329">
        <v>10</v>
      </c>
      <c r="BS255" s="329"/>
      <c r="BT255" s="329"/>
      <c r="BU255" s="329"/>
      <c r="BV255" s="329"/>
      <c r="BW255" s="329"/>
      <c r="BX255" s="329"/>
      <c r="BY255" s="329"/>
      <c r="BZ255" s="329"/>
      <c r="CA255" s="329"/>
      <c r="CB255" s="329"/>
      <c r="CC255" s="329"/>
      <c r="CD255" s="329"/>
      <c r="CE255" s="329"/>
      <c r="CF255" s="329"/>
      <c r="CG255" s="329"/>
      <c r="CH255" s="380">
        <v>0</v>
      </c>
      <c r="CI255" s="382"/>
      <c r="CJ255" s="382"/>
      <c r="CK255" s="382" t="s">
        <v>807</v>
      </c>
    </row>
    <row r="256" spans="1:90" ht="24.75" customHeight="1" x14ac:dyDescent="0.35">
      <c r="A256" s="330">
        <v>259</v>
      </c>
      <c r="B256" s="330" t="s">
        <v>3692</v>
      </c>
      <c r="C256" s="330" t="s">
        <v>3693</v>
      </c>
      <c r="D256" s="330" t="s">
        <v>3115</v>
      </c>
      <c r="E256" s="330" t="s">
        <v>3694</v>
      </c>
      <c r="F256" s="330" t="s">
        <v>4140</v>
      </c>
      <c r="G256" s="329">
        <v>11</v>
      </c>
      <c r="H256" s="329" t="s">
        <v>50</v>
      </c>
      <c r="I256" s="329" t="s">
        <v>42</v>
      </c>
      <c r="J256" s="329" t="s">
        <v>3695</v>
      </c>
      <c r="K256" s="329" t="s">
        <v>3696</v>
      </c>
      <c r="L256" s="329" t="s">
        <v>42</v>
      </c>
      <c r="M256" s="329" t="s">
        <v>148</v>
      </c>
      <c r="N256" s="331"/>
      <c r="O256" s="331" t="s">
        <v>320</v>
      </c>
      <c r="P256" s="331"/>
      <c r="Q256" s="329"/>
      <c r="R256" s="330" t="s">
        <v>3697</v>
      </c>
      <c r="S256" s="330" t="s">
        <v>3698</v>
      </c>
      <c r="T256" s="356" t="s">
        <v>3699</v>
      </c>
      <c r="U256" s="330" t="s">
        <v>3700</v>
      </c>
      <c r="V256" s="332">
        <v>33077</v>
      </c>
      <c r="W256" s="391" t="s">
        <v>3701</v>
      </c>
      <c r="X256" s="333" t="s">
        <v>3702</v>
      </c>
      <c r="Y256" s="331"/>
      <c r="Z256" s="331"/>
      <c r="AA256" s="329"/>
      <c r="AB256" s="361">
        <v>44991</v>
      </c>
      <c r="AC256" s="361">
        <v>45719</v>
      </c>
      <c r="AD256" s="329"/>
      <c r="AE256" s="329" t="s">
        <v>3703</v>
      </c>
      <c r="AF256" s="329" t="s">
        <v>3704</v>
      </c>
      <c r="AG256" s="329" t="s">
        <v>3705</v>
      </c>
      <c r="AH256" s="334">
        <v>3</v>
      </c>
      <c r="AI256" s="329" t="s">
        <v>159</v>
      </c>
      <c r="AJ256" s="329" t="s">
        <v>159</v>
      </c>
      <c r="AK256" s="329" t="s">
        <v>159</v>
      </c>
      <c r="AL256" s="334"/>
      <c r="AM256" s="334"/>
      <c r="AN256" s="334"/>
      <c r="AO256" s="335"/>
      <c r="AP256" s="335"/>
      <c r="AQ256" s="335"/>
      <c r="AR256" s="334"/>
      <c r="AS256" s="329"/>
      <c r="AT256" s="424"/>
      <c r="AU256" s="329" t="s">
        <v>3706</v>
      </c>
      <c r="AV256" s="329"/>
      <c r="AW256" s="362">
        <v>45719</v>
      </c>
      <c r="AX256" s="329"/>
      <c r="AY256" s="334"/>
      <c r="AZ256" s="329"/>
      <c r="BA256" s="329"/>
      <c r="BB256" s="329"/>
      <c r="BC256" s="329"/>
      <c r="BD256" s="329"/>
      <c r="BE256" s="441"/>
      <c r="BF256" s="329"/>
      <c r="BG256" s="329"/>
      <c r="BH256" s="329"/>
      <c r="BI256" s="329"/>
      <c r="BJ256" s="329"/>
      <c r="BK256" s="329"/>
      <c r="BL256" s="329"/>
      <c r="BM256" s="332"/>
      <c r="BN256" s="363" t="s">
        <v>17</v>
      </c>
      <c r="BO256" s="334"/>
      <c r="BP256" s="334"/>
      <c r="BQ256" s="329"/>
      <c r="BR256" s="329">
        <v>1</v>
      </c>
      <c r="BS256" s="329"/>
      <c r="BT256" s="329"/>
      <c r="BU256" s="329"/>
      <c r="BV256" s="329"/>
      <c r="BW256" s="329"/>
      <c r="BX256" s="329"/>
      <c r="BY256" s="329"/>
      <c r="BZ256" s="329"/>
      <c r="CA256" s="329"/>
      <c r="CB256" s="329"/>
      <c r="CC256" s="329"/>
      <c r="CD256" s="329"/>
      <c r="CE256" s="329"/>
      <c r="CF256" s="329"/>
      <c r="CG256" s="329"/>
      <c r="CH256" s="380">
        <v>1</v>
      </c>
      <c r="CI256" s="382"/>
      <c r="CJ256" s="382"/>
      <c r="CK256" s="382" t="s">
        <v>807</v>
      </c>
    </row>
    <row r="257" spans="1:89" ht="23.25" customHeight="1" x14ac:dyDescent="0.35">
      <c r="A257" s="330">
        <v>260</v>
      </c>
      <c r="B257" s="330" t="s">
        <v>3707</v>
      </c>
      <c r="C257" s="330" t="s">
        <v>627</v>
      </c>
      <c r="D257" s="330" t="s">
        <v>3708</v>
      </c>
      <c r="E257" s="330" t="s">
        <v>3709</v>
      </c>
      <c r="F257" s="330" t="s">
        <v>4140</v>
      </c>
      <c r="G257" s="329">
        <v>11</v>
      </c>
      <c r="H257" s="329" t="s">
        <v>50</v>
      </c>
      <c r="I257" s="329" t="s">
        <v>42</v>
      </c>
      <c r="J257" s="329" t="s">
        <v>2287</v>
      </c>
      <c r="K257" s="329" t="s">
        <v>3710</v>
      </c>
      <c r="L257" s="329" t="s">
        <v>42</v>
      </c>
      <c r="M257" s="329" t="s">
        <v>148</v>
      </c>
      <c r="N257" s="331"/>
      <c r="O257" s="331" t="s">
        <v>149</v>
      </c>
      <c r="P257" s="331"/>
      <c r="Q257" s="329"/>
      <c r="R257" s="330" t="s">
        <v>3711</v>
      </c>
      <c r="S257" s="330" t="s">
        <v>3712</v>
      </c>
      <c r="T257" s="356" t="s">
        <v>3713</v>
      </c>
      <c r="U257" s="330" t="s">
        <v>3714</v>
      </c>
      <c r="V257" s="332">
        <v>30619</v>
      </c>
      <c r="W257" s="391" t="s">
        <v>3715</v>
      </c>
      <c r="X257" s="333" t="s">
        <v>154</v>
      </c>
      <c r="Y257" s="331"/>
      <c r="Z257" s="331"/>
      <c r="AA257" s="329"/>
      <c r="AB257" s="361">
        <v>45901</v>
      </c>
      <c r="AC257" s="361">
        <v>45719</v>
      </c>
      <c r="AD257" s="329"/>
      <c r="AE257" s="329" t="s">
        <v>3716</v>
      </c>
      <c r="AF257" s="329" t="s">
        <v>3717</v>
      </c>
      <c r="AG257" s="329"/>
      <c r="AH257" s="334">
        <v>2</v>
      </c>
      <c r="AI257" s="329" t="s">
        <v>159</v>
      </c>
      <c r="AJ257" s="329" t="s">
        <v>159</v>
      </c>
      <c r="AK257" s="329"/>
      <c r="AL257" s="334"/>
      <c r="AM257" s="334"/>
      <c r="AN257" s="334"/>
      <c r="AO257" s="335"/>
      <c r="AP257" s="335"/>
      <c r="AQ257" s="335"/>
      <c r="AR257" s="334"/>
      <c r="AS257" s="329"/>
      <c r="AT257" s="424"/>
      <c r="AU257" s="329" t="s">
        <v>3718</v>
      </c>
      <c r="AV257" s="329"/>
      <c r="AW257" s="362">
        <v>45719</v>
      </c>
      <c r="AX257" s="329"/>
      <c r="AY257" s="334"/>
      <c r="AZ257" s="329"/>
      <c r="BA257" s="329"/>
      <c r="BB257" s="329"/>
      <c r="BC257" s="329"/>
      <c r="BD257" s="329"/>
      <c r="BE257" s="441"/>
      <c r="BF257" s="329"/>
      <c r="BG257" s="329"/>
      <c r="BH257" s="329"/>
      <c r="BI257" s="329"/>
      <c r="BJ257" s="329"/>
      <c r="BK257" s="329"/>
      <c r="BL257" s="329"/>
      <c r="BM257" s="332"/>
      <c r="BN257" s="363" t="s">
        <v>17</v>
      </c>
      <c r="BO257" s="334"/>
      <c r="BP257" s="334"/>
      <c r="BQ257" s="329"/>
      <c r="BR257" s="329">
        <v>10</v>
      </c>
      <c r="BS257" s="329"/>
      <c r="BT257" s="329"/>
      <c r="BU257" s="329"/>
      <c r="BV257" s="329"/>
      <c r="BW257" s="329"/>
      <c r="BX257" s="329"/>
      <c r="BY257" s="329"/>
      <c r="BZ257" s="329"/>
      <c r="CA257" s="329"/>
      <c r="CB257" s="329"/>
      <c r="CC257" s="329"/>
      <c r="CD257" s="329"/>
      <c r="CE257" s="329"/>
      <c r="CF257" s="329"/>
      <c r="CG257" s="329"/>
      <c r="CH257" s="380">
        <v>2</v>
      </c>
      <c r="CI257" s="382"/>
      <c r="CJ257" s="382"/>
      <c r="CK257" s="382" t="s">
        <v>807</v>
      </c>
    </row>
    <row r="258" spans="1:89" ht="25.5" customHeight="1" x14ac:dyDescent="0.35">
      <c r="A258" s="330">
        <v>261</v>
      </c>
      <c r="B258" s="330" t="s">
        <v>3719</v>
      </c>
      <c r="C258" s="330" t="s">
        <v>3720</v>
      </c>
      <c r="D258" s="330" t="s">
        <v>3721</v>
      </c>
      <c r="E258" s="330" t="s">
        <v>3722</v>
      </c>
      <c r="F258" s="330" t="s">
        <v>4139</v>
      </c>
      <c r="G258" s="329">
        <v>11</v>
      </c>
      <c r="H258" s="329" t="s">
        <v>52</v>
      </c>
      <c r="I258" s="329" t="s">
        <v>31</v>
      </c>
      <c r="J258" s="329" t="s">
        <v>3723</v>
      </c>
      <c r="K258" s="329" t="s">
        <v>1559</v>
      </c>
      <c r="L258" s="329" t="s">
        <v>31</v>
      </c>
      <c r="M258" s="329" t="s">
        <v>148</v>
      </c>
      <c r="N258" s="331"/>
      <c r="O258" s="331" t="s">
        <v>149</v>
      </c>
      <c r="P258" s="331"/>
      <c r="Q258" s="329"/>
      <c r="R258" s="330" t="s">
        <v>3724</v>
      </c>
      <c r="S258" s="359" t="s">
        <v>3725</v>
      </c>
      <c r="T258" s="360" t="s">
        <v>3726</v>
      </c>
      <c r="U258" s="330" t="s">
        <v>3727</v>
      </c>
      <c r="V258" s="332">
        <v>31080</v>
      </c>
      <c r="W258" s="391" t="s">
        <v>3728</v>
      </c>
      <c r="X258" s="333" t="s">
        <v>3687</v>
      </c>
      <c r="Y258" s="331"/>
      <c r="Z258" s="331"/>
      <c r="AA258" s="329"/>
      <c r="AB258" s="361">
        <v>43647</v>
      </c>
      <c r="AC258" s="361">
        <v>45719</v>
      </c>
      <c r="AD258" s="329"/>
      <c r="AE258" s="329" t="s">
        <v>3729</v>
      </c>
      <c r="AF258" s="329" t="s">
        <v>3730</v>
      </c>
      <c r="AG258" s="329"/>
      <c r="AH258" s="334">
        <v>2</v>
      </c>
      <c r="AI258" s="329" t="s">
        <v>159</v>
      </c>
      <c r="AJ258" s="329" t="s">
        <v>159</v>
      </c>
      <c r="AK258" s="329"/>
      <c r="AL258" s="334"/>
      <c r="AM258" s="334"/>
      <c r="AN258" s="334"/>
      <c r="AO258" s="335"/>
      <c r="AP258" s="335"/>
      <c r="AQ258" s="335"/>
      <c r="AR258" s="334"/>
      <c r="AS258" s="329"/>
      <c r="AT258" s="424"/>
      <c r="AU258" s="329" t="s">
        <v>3731</v>
      </c>
      <c r="AV258" s="329"/>
      <c r="AW258" s="362">
        <v>45719</v>
      </c>
      <c r="AX258" s="329"/>
      <c r="AY258" s="334"/>
      <c r="AZ258" s="329"/>
      <c r="BA258" s="329"/>
      <c r="BB258" s="329"/>
      <c r="BC258" s="329"/>
      <c r="BD258" s="329"/>
      <c r="BE258" s="441"/>
      <c r="BF258" s="329"/>
      <c r="BG258" s="329"/>
      <c r="BH258" s="329"/>
      <c r="BI258" s="329"/>
      <c r="BJ258" s="329"/>
      <c r="BK258" s="329"/>
      <c r="BL258" s="329"/>
      <c r="BM258" s="332"/>
      <c r="BN258" s="363" t="s">
        <v>17</v>
      </c>
      <c r="BO258" s="334"/>
      <c r="BP258" s="334"/>
      <c r="BQ258" s="329"/>
      <c r="BR258" s="329">
        <v>2</v>
      </c>
      <c r="BS258" s="329"/>
      <c r="BT258" s="329"/>
      <c r="BU258" s="329"/>
      <c r="BV258" s="329"/>
      <c r="BW258" s="329"/>
      <c r="BX258" s="329"/>
      <c r="BY258" s="329"/>
      <c r="BZ258" s="329"/>
      <c r="CA258" s="329"/>
      <c r="CB258" s="329"/>
      <c r="CC258" s="329"/>
      <c r="CD258" s="329"/>
      <c r="CE258" s="329"/>
      <c r="CF258" s="329"/>
      <c r="CG258" s="329"/>
      <c r="CH258" s="380">
        <v>2</v>
      </c>
      <c r="CI258" s="382"/>
      <c r="CJ258" s="382"/>
      <c r="CK258" s="382" t="s">
        <v>807</v>
      </c>
    </row>
    <row r="259" spans="1:89" ht="27.75" customHeight="1" x14ac:dyDescent="0.35">
      <c r="A259" s="330">
        <v>262</v>
      </c>
      <c r="B259" s="330" t="s">
        <v>3732</v>
      </c>
      <c r="C259" s="330" t="s">
        <v>3733</v>
      </c>
      <c r="D259" s="330" t="s">
        <v>3734</v>
      </c>
      <c r="E259" s="330" t="s">
        <v>3735</v>
      </c>
      <c r="F259" s="330" t="s">
        <v>4140</v>
      </c>
      <c r="G259" s="329">
        <v>11</v>
      </c>
      <c r="H259" s="329" t="s">
        <v>50</v>
      </c>
      <c r="I259" s="329" t="s">
        <v>37</v>
      </c>
      <c r="J259" s="329" t="s">
        <v>3736</v>
      </c>
      <c r="K259" s="329" t="s">
        <v>3737</v>
      </c>
      <c r="L259" s="329" t="s">
        <v>37</v>
      </c>
      <c r="M259" s="329" t="s">
        <v>148</v>
      </c>
      <c r="N259" s="331"/>
      <c r="O259" s="331" t="s">
        <v>149</v>
      </c>
      <c r="P259" s="331"/>
      <c r="Q259" s="329"/>
      <c r="R259" s="330" t="s">
        <v>3738</v>
      </c>
      <c r="S259" s="330" t="s">
        <v>3739</v>
      </c>
      <c r="T259" s="356" t="s">
        <v>3740</v>
      </c>
      <c r="U259" s="330" t="s">
        <v>3741</v>
      </c>
      <c r="V259" s="332">
        <v>34463</v>
      </c>
      <c r="W259" s="391" t="s">
        <v>3742</v>
      </c>
      <c r="X259" s="333" t="s">
        <v>3575</v>
      </c>
      <c r="Y259" s="331"/>
      <c r="Z259" s="331"/>
      <c r="AA259" s="329"/>
      <c r="AB259" s="361">
        <v>45537</v>
      </c>
      <c r="AC259" s="361">
        <v>45719</v>
      </c>
      <c r="AD259" s="329"/>
      <c r="AE259" s="329" t="s">
        <v>3743</v>
      </c>
      <c r="AF259" s="329" t="s">
        <v>3744</v>
      </c>
      <c r="AG259" s="329" t="s">
        <v>3745</v>
      </c>
      <c r="AH259" s="334">
        <v>3</v>
      </c>
      <c r="AI259" s="329" t="s">
        <v>159</v>
      </c>
      <c r="AJ259" s="329" t="s">
        <v>159</v>
      </c>
      <c r="AK259" s="329" t="s">
        <v>159</v>
      </c>
      <c r="AL259" s="334"/>
      <c r="AM259" s="334"/>
      <c r="AN259" s="334"/>
      <c r="AO259" s="335"/>
      <c r="AP259" s="335"/>
      <c r="AQ259" s="335"/>
      <c r="AR259" s="334"/>
      <c r="AS259" s="329"/>
      <c r="AT259" s="424"/>
      <c r="AU259" s="329" t="s">
        <v>3746</v>
      </c>
      <c r="AV259" s="329"/>
      <c r="AW259" s="362">
        <v>45719</v>
      </c>
      <c r="AX259" s="329"/>
      <c r="AY259" s="334"/>
      <c r="AZ259" s="329"/>
      <c r="BA259" s="329"/>
      <c r="BB259" s="329"/>
      <c r="BC259" s="439"/>
      <c r="BD259" s="439"/>
      <c r="BE259" s="440" t="s">
        <v>3747</v>
      </c>
      <c r="BF259" s="329"/>
      <c r="BG259" s="329"/>
      <c r="BH259" s="329"/>
      <c r="BI259" s="329"/>
      <c r="BJ259" s="329"/>
      <c r="BK259" s="329"/>
      <c r="BL259" s="329"/>
      <c r="BM259" s="332"/>
      <c r="BN259" s="363" t="s">
        <v>17</v>
      </c>
      <c r="BO259" s="334"/>
      <c r="BP259" s="334"/>
      <c r="BQ259" s="329"/>
      <c r="BR259" s="329">
        <v>1</v>
      </c>
      <c r="BS259" s="329"/>
      <c r="BT259" s="329"/>
      <c r="BU259" s="329"/>
      <c r="BV259" s="329"/>
      <c r="BW259" s="329"/>
      <c r="BX259" s="329"/>
      <c r="BY259" s="329"/>
      <c r="BZ259" s="329"/>
      <c r="CA259" s="329"/>
      <c r="CB259" s="329"/>
      <c r="CC259" s="329"/>
      <c r="CD259" s="329"/>
      <c r="CE259" s="329"/>
      <c r="CF259" s="329"/>
      <c r="CG259" s="329"/>
      <c r="CH259" s="380">
        <v>1</v>
      </c>
      <c r="CI259" s="382"/>
      <c r="CJ259" s="382"/>
      <c r="CK259" s="382" t="s">
        <v>3748</v>
      </c>
    </row>
    <row r="260" spans="1:89" ht="21" customHeight="1" x14ac:dyDescent="0.35">
      <c r="A260" s="330">
        <v>263</v>
      </c>
      <c r="B260" s="330" t="s">
        <v>3749</v>
      </c>
      <c r="C260" s="330" t="s">
        <v>3750</v>
      </c>
      <c r="D260" s="330" t="s">
        <v>3751</v>
      </c>
      <c r="E260" s="330" t="s">
        <v>3752</v>
      </c>
      <c r="F260" s="330" t="s">
        <v>4139</v>
      </c>
      <c r="G260" s="329">
        <v>11</v>
      </c>
      <c r="H260" s="329" t="s">
        <v>51</v>
      </c>
      <c r="I260" s="329" t="s">
        <v>4136</v>
      </c>
      <c r="J260" s="329" t="s">
        <v>3753</v>
      </c>
      <c r="K260" s="329" t="s">
        <v>3754</v>
      </c>
      <c r="L260" s="329" t="s">
        <v>4136</v>
      </c>
      <c r="M260" s="329" t="s">
        <v>148</v>
      </c>
      <c r="N260" s="331"/>
      <c r="O260" s="331" t="s">
        <v>320</v>
      </c>
      <c r="P260" s="331"/>
      <c r="Q260" s="329"/>
      <c r="R260" s="330" t="s">
        <v>3755</v>
      </c>
      <c r="S260" s="330" t="s">
        <v>3756</v>
      </c>
      <c r="T260" s="356" t="s">
        <v>3757</v>
      </c>
      <c r="U260" s="330" t="s">
        <v>3758</v>
      </c>
      <c r="V260" s="332">
        <v>33558</v>
      </c>
      <c r="W260" s="391" t="s">
        <v>3759</v>
      </c>
      <c r="X260" s="333" t="s">
        <v>3575</v>
      </c>
      <c r="Y260" s="331"/>
      <c r="Z260" s="331"/>
      <c r="AA260" s="329"/>
      <c r="AB260" s="361">
        <v>45719</v>
      </c>
      <c r="AC260" s="361">
        <v>45719</v>
      </c>
      <c r="AD260" s="329"/>
      <c r="AE260" s="329" t="s">
        <v>3760</v>
      </c>
      <c r="AF260" s="329" t="s">
        <v>3761</v>
      </c>
      <c r="AG260" s="329"/>
      <c r="AH260" s="334">
        <v>2</v>
      </c>
      <c r="AI260" s="329" t="s">
        <v>159</v>
      </c>
      <c r="AJ260" s="329" t="s">
        <v>160</v>
      </c>
      <c r="AK260" s="329"/>
      <c r="AL260" s="334"/>
      <c r="AM260" s="334"/>
      <c r="AN260" s="334"/>
      <c r="AO260" s="335"/>
      <c r="AP260" s="335"/>
      <c r="AQ260" s="335"/>
      <c r="AR260" s="334"/>
      <c r="AS260" s="329"/>
      <c r="AT260" s="424"/>
      <c r="AU260" s="329" t="s">
        <v>3762</v>
      </c>
      <c r="AV260" s="329"/>
      <c r="AW260" s="362">
        <v>45719</v>
      </c>
      <c r="AX260" s="329"/>
      <c r="AY260" s="334"/>
      <c r="AZ260" s="329"/>
      <c r="BA260" s="329"/>
      <c r="BB260" s="329"/>
      <c r="BC260" s="329"/>
      <c r="BD260" s="329"/>
      <c r="BE260" s="441"/>
      <c r="BF260" s="329"/>
      <c r="BG260" s="329"/>
      <c r="BH260" s="329"/>
      <c r="BI260" s="329"/>
      <c r="BJ260" s="329"/>
      <c r="BK260" s="329"/>
      <c r="BL260" s="329"/>
      <c r="BM260" s="332"/>
      <c r="BN260" s="363" t="s">
        <v>17</v>
      </c>
      <c r="BO260" s="334"/>
      <c r="BP260" s="334"/>
      <c r="BQ260" s="329"/>
      <c r="BR260" s="329">
        <v>0</v>
      </c>
      <c r="BS260" s="329"/>
      <c r="BT260" s="329"/>
      <c r="BU260" s="329"/>
      <c r="BV260" s="329"/>
      <c r="BW260" s="329"/>
      <c r="BX260" s="329"/>
      <c r="BY260" s="329"/>
      <c r="BZ260" s="329"/>
      <c r="CA260" s="329"/>
      <c r="CB260" s="329"/>
      <c r="CC260" s="329"/>
      <c r="CD260" s="329"/>
      <c r="CE260" s="329"/>
      <c r="CF260" s="329"/>
      <c r="CG260" s="329"/>
      <c r="CH260" s="380">
        <v>1</v>
      </c>
      <c r="CI260" s="382"/>
      <c r="CJ260" s="382"/>
      <c r="CK260" s="382" t="s">
        <v>3748</v>
      </c>
    </row>
    <row r="261" spans="1:89" ht="20.25" customHeight="1" x14ac:dyDescent="0.35">
      <c r="A261" s="330">
        <v>264</v>
      </c>
      <c r="B261" s="330" t="s">
        <v>3763</v>
      </c>
      <c r="C261" s="330" t="s">
        <v>3764</v>
      </c>
      <c r="D261" s="330" t="s">
        <v>3765</v>
      </c>
      <c r="E261" s="330" t="s">
        <v>3766</v>
      </c>
      <c r="F261" s="330" t="s">
        <v>4139</v>
      </c>
      <c r="G261" s="329">
        <v>11</v>
      </c>
      <c r="H261" s="329" t="s">
        <v>50</v>
      </c>
      <c r="I261" s="329" t="s">
        <v>42</v>
      </c>
      <c r="J261" s="329" t="s">
        <v>3767</v>
      </c>
      <c r="K261" s="329" t="s">
        <v>3696</v>
      </c>
      <c r="L261" s="329" t="s">
        <v>42</v>
      </c>
      <c r="M261" s="329" t="s">
        <v>148</v>
      </c>
      <c r="N261" s="331"/>
      <c r="O261" s="331" t="s">
        <v>149</v>
      </c>
      <c r="P261" s="331"/>
      <c r="Q261" s="329"/>
      <c r="R261" s="330" t="s">
        <v>3768</v>
      </c>
      <c r="S261" s="330" t="s">
        <v>3769</v>
      </c>
      <c r="T261" s="356" t="s">
        <v>3770</v>
      </c>
      <c r="U261" s="330" t="s">
        <v>3771</v>
      </c>
      <c r="V261" s="332">
        <v>34034</v>
      </c>
      <c r="W261" s="391" t="s">
        <v>3772</v>
      </c>
      <c r="X261" s="333" t="s">
        <v>3773</v>
      </c>
      <c r="Y261" s="331"/>
      <c r="Z261" s="331"/>
      <c r="AA261" s="329"/>
      <c r="AB261" s="361">
        <v>45180</v>
      </c>
      <c r="AC261" s="361">
        <v>45719</v>
      </c>
      <c r="AD261" s="329"/>
      <c r="AE261" s="329" t="s">
        <v>3774</v>
      </c>
      <c r="AF261" s="329" t="s">
        <v>3775</v>
      </c>
      <c r="AG261" s="329" t="s">
        <v>3776</v>
      </c>
      <c r="AH261" s="334">
        <v>3</v>
      </c>
      <c r="AI261" s="329" t="s">
        <v>159</v>
      </c>
      <c r="AJ261" s="329" t="s">
        <v>159</v>
      </c>
      <c r="AK261" s="329" t="s">
        <v>159</v>
      </c>
      <c r="AL261" s="334"/>
      <c r="AM261" s="334"/>
      <c r="AN261" s="334"/>
      <c r="AO261" s="335"/>
      <c r="AP261" s="335"/>
      <c r="AQ261" s="335"/>
      <c r="AR261" s="334"/>
      <c r="AS261" s="329"/>
      <c r="AT261" s="424"/>
      <c r="AU261" s="329" t="s">
        <v>3777</v>
      </c>
      <c r="AV261" s="329"/>
      <c r="AW261" s="362">
        <v>45719</v>
      </c>
      <c r="AX261" s="329"/>
      <c r="AY261" s="334"/>
      <c r="AZ261" s="329"/>
      <c r="BA261" s="329"/>
      <c r="BB261" s="329"/>
      <c r="BC261" s="439"/>
      <c r="BD261" s="439"/>
      <c r="BE261" s="440" t="s">
        <v>3778</v>
      </c>
      <c r="BF261" s="329"/>
      <c r="BG261" s="329"/>
      <c r="BH261" s="329"/>
      <c r="BI261" s="329"/>
      <c r="BJ261" s="329"/>
      <c r="BK261" s="329"/>
      <c r="BL261" s="329"/>
      <c r="BM261" s="332"/>
      <c r="BN261" s="363" t="s">
        <v>17</v>
      </c>
      <c r="BO261" s="334"/>
      <c r="BP261" s="334"/>
      <c r="BQ261" s="329"/>
      <c r="BR261" s="329">
        <v>2</v>
      </c>
      <c r="BS261" s="329"/>
      <c r="BT261" s="329"/>
      <c r="BU261" s="329"/>
      <c r="BV261" s="329"/>
      <c r="BW261" s="329"/>
      <c r="BX261" s="329"/>
      <c r="BY261" s="329"/>
      <c r="BZ261" s="329"/>
      <c r="CA261" s="329"/>
      <c r="CB261" s="329"/>
      <c r="CC261" s="329"/>
      <c r="CD261" s="329"/>
      <c r="CE261" s="329"/>
      <c r="CF261" s="329"/>
      <c r="CG261" s="329"/>
      <c r="CH261" s="380">
        <v>1</v>
      </c>
      <c r="CI261" s="382"/>
      <c r="CJ261" s="382"/>
      <c r="CK261" s="382" t="s">
        <v>807</v>
      </c>
    </row>
    <row r="262" spans="1:89" ht="21" customHeight="1" x14ac:dyDescent="0.35">
      <c r="A262" s="330">
        <v>265</v>
      </c>
      <c r="B262" s="330" t="s">
        <v>3779</v>
      </c>
      <c r="C262" s="330" t="s">
        <v>3780</v>
      </c>
      <c r="D262" s="330" t="s">
        <v>3277</v>
      </c>
      <c r="E262" s="330" t="s">
        <v>3781</v>
      </c>
      <c r="F262" s="330" t="s">
        <v>4140</v>
      </c>
      <c r="G262" s="329">
        <v>11</v>
      </c>
      <c r="H262" s="329" t="s">
        <v>52</v>
      </c>
      <c r="I262" s="329" t="s">
        <v>39</v>
      </c>
      <c r="J262" s="329" t="s">
        <v>3782</v>
      </c>
      <c r="K262" s="329" t="s">
        <v>3783</v>
      </c>
      <c r="L262" s="329" t="s">
        <v>39</v>
      </c>
      <c r="M262" s="329" t="s">
        <v>148</v>
      </c>
      <c r="N262" s="331"/>
      <c r="O262" s="331" t="s">
        <v>320</v>
      </c>
      <c r="P262" s="331"/>
      <c r="Q262" s="329"/>
      <c r="R262" s="330" t="s">
        <v>3784</v>
      </c>
      <c r="S262" s="330" t="s">
        <v>3785</v>
      </c>
      <c r="T262" s="356" t="s">
        <v>3786</v>
      </c>
      <c r="U262" s="330" t="s">
        <v>3787</v>
      </c>
      <c r="V262" s="332">
        <v>32059</v>
      </c>
      <c r="W262" s="391" t="s">
        <v>3788</v>
      </c>
      <c r="X262" s="333" t="s">
        <v>154</v>
      </c>
      <c r="Y262" s="331"/>
      <c r="Z262" s="331"/>
      <c r="AA262" s="329"/>
      <c r="AB262" s="361">
        <v>45611</v>
      </c>
      <c r="AC262" s="361">
        <v>45719</v>
      </c>
      <c r="AD262" s="329"/>
      <c r="AE262" s="329" t="s">
        <v>3789</v>
      </c>
      <c r="AF262" s="329" t="s">
        <v>3790</v>
      </c>
      <c r="AG262" s="329"/>
      <c r="AH262" s="334">
        <v>2</v>
      </c>
      <c r="AI262" s="329" t="s">
        <v>159</v>
      </c>
      <c r="AJ262" s="329" t="s">
        <v>159</v>
      </c>
      <c r="AK262" s="329"/>
      <c r="AL262" s="334"/>
      <c r="AM262" s="334"/>
      <c r="AN262" s="334"/>
      <c r="AO262" s="335"/>
      <c r="AP262" s="335"/>
      <c r="AQ262" s="335"/>
      <c r="AR262" s="334"/>
      <c r="AS262" s="329"/>
      <c r="AT262" s="424"/>
      <c r="AU262" s="329" t="s">
        <v>3791</v>
      </c>
      <c r="AV262" s="329"/>
      <c r="AW262" s="362">
        <v>45719</v>
      </c>
      <c r="AX262" s="329"/>
      <c r="AY262" s="334"/>
      <c r="AZ262" s="329"/>
      <c r="BA262" s="329"/>
      <c r="BB262" s="329"/>
      <c r="BC262" s="439"/>
      <c r="BD262" s="439"/>
      <c r="BE262" s="440" t="s">
        <v>3792</v>
      </c>
      <c r="BF262" s="329"/>
      <c r="BG262" s="329"/>
      <c r="BH262" s="329"/>
      <c r="BI262" s="329"/>
      <c r="BJ262" s="329"/>
      <c r="BK262" s="329"/>
      <c r="BL262" s="329"/>
      <c r="BM262" s="332"/>
      <c r="BN262" s="363" t="s">
        <v>17</v>
      </c>
      <c r="BO262" s="334"/>
      <c r="BP262" s="334"/>
      <c r="BQ262" s="329"/>
      <c r="BR262" s="329">
        <v>6</v>
      </c>
      <c r="BS262" s="329"/>
      <c r="BT262" s="329"/>
      <c r="BU262" s="329"/>
      <c r="BV262" s="329"/>
      <c r="BW262" s="329"/>
      <c r="BX262" s="329"/>
      <c r="BY262" s="329"/>
      <c r="BZ262" s="329"/>
      <c r="CA262" s="329"/>
      <c r="CB262" s="329"/>
      <c r="CC262" s="329"/>
      <c r="CD262" s="329"/>
      <c r="CE262" s="329"/>
      <c r="CF262" s="329"/>
      <c r="CG262" s="329"/>
      <c r="CH262" s="380">
        <v>0</v>
      </c>
      <c r="CI262" s="382"/>
      <c r="CJ262" s="382"/>
      <c r="CK262" s="382" t="s">
        <v>807</v>
      </c>
    </row>
    <row r="263" spans="1:89" ht="25.5" customHeight="1" x14ac:dyDescent="0.35">
      <c r="A263" s="330">
        <v>266</v>
      </c>
      <c r="B263" s="330" t="s">
        <v>3793</v>
      </c>
      <c r="C263" s="330" t="s">
        <v>3794</v>
      </c>
      <c r="D263" s="330" t="s">
        <v>3795</v>
      </c>
      <c r="E263" s="330" t="s">
        <v>3796</v>
      </c>
      <c r="F263" s="330" t="s">
        <v>4139</v>
      </c>
      <c r="G263" s="329">
        <v>11</v>
      </c>
      <c r="H263" s="329" t="s">
        <v>51</v>
      </c>
      <c r="I263" s="329" t="s">
        <v>4136</v>
      </c>
      <c r="J263" s="329" t="s">
        <v>600</v>
      </c>
      <c r="K263" s="329" t="s">
        <v>3797</v>
      </c>
      <c r="L263" s="329" t="s">
        <v>44</v>
      </c>
      <c r="M263" s="329" t="s">
        <v>161</v>
      </c>
      <c r="N263" s="331"/>
      <c r="O263" s="331" t="s">
        <v>149</v>
      </c>
      <c r="P263" s="331"/>
      <c r="Q263" s="329"/>
      <c r="R263" s="330" t="s">
        <v>3798</v>
      </c>
      <c r="S263" s="330" t="s">
        <v>3799</v>
      </c>
      <c r="T263" s="356" t="s">
        <v>3800</v>
      </c>
      <c r="U263" s="330" t="s">
        <v>3801</v>
      </c>
      <c r="V263" s="332">
        <v>31592</v>
      </c>
      <c r="W263" s="391" t="s">
        <v>3802</v>
      </c>
      <c r="X263" s="333" t="s">
        <v>3575</v>
      </c>
      <c r="Y263" s="331"/>
      <c r="Z263" s="331"/>
      <c r="AA263" s="329"/>
      <c r="AB263" s="361">
        <v>45839</v>
      </c>
      <c r="AC263" s="361">
        <v>45719</v>
      </c>
      <c r="AD263" s="329"/>
      <c r="AE263" s="329" t="s">
        <v>3803</v>
      </c>
      <c r="AF263" s="329" t="s">
        <v>3804</v>
      </c>
      <c r="AG263" s="329" t="s">
        <v>3805</v>
      </c>
      <c r="AH263" s="334">
        <v>3</v>
      </c>
      <c r="AI263" s="329" t="s">
        <v>160</v>
      </c>
      <c r="AJ263" s="329" t="s">
        <v>159</v>
      </c>
      <c r="AK263" s="329" t="s">
        <v>200</v>
      </c>
      <c r="AL263" s="334"/>
      <c r="AM263" s="334"/>
      <c r="AN263" s="334"/>
      <c r="AO263" s="335"/>
      <c r="AP263" s="335"/>
      <c r="AQ263" s="335"/>
      <c r="AR263" s="334"/>
      <c r="AS263" s="329"/>
      <c r="AT263" s="424"/>
      <c r="AU263" s="329" t="s">
        <v>3806</v>
      </c>
      <c r="AV263" s="329"/>
      <c r="AW263" s="362">
        <v>45719</v>
      </c>
      <c r="AX263" s="329"/>
      <c r="AY263" s="334"/>
      <c r="AZ263" s="329"/>
      <c r="BA263" s="329"/>
      <c r="BB263" s="329"/>
      <c r="BC263" s="329"/>
      <c r="BD263" s="329"/>
      <c r="BE263" s="441"/>
      <c r="BF263" s="329"/>
      <c r="BG263" s="329"/>
      <c r="BH263" s="329"/>
      <c r="BI263" s="329"/>
      <c r="BJ263" s="329"/>
      <c r="BK263" s="329"/>
      <c r="BL263" s="329"/>
      <c r="BM263" s="332"/>
      <c r="BN263" s="363" t="s">
        <v>17</v>
      </c>
      <c r="BO263" s="334"/>
      <c r="BP263" s="334"/>
      <c r="BQ263" s="329"/>
      <c r="BR263" s="329">
        <v>8</v>
      </c>
      <c r="BS263" s="329"/>
      <c r="BT263" s="329"/>
      <c r="BU263" s="329"/>
      <c r="BV263" s="329"/>
      <c r="BW263" s="329"/>
      <c r="BX263" s="329"/>
      <c r="BY263" s="329"/>
      <c r="BZ263" s="329"/>
      <c r="CA263" s="329"/>
      <c r="CB263" s="329"/>
      <c r="CC263" s="329"/>
      <c r="CD263" s="329"/>
      <c r="CE263" s="329"/>
      <c r="CF263" s="329"/>
      <c r="CG263" s="329"/>
      <c r="CH263" s="380">
        <v>2</v>
      </c>
      <c r="CI263" s="382"/>
      <c r="CJ263" s="382"/>
      <c r="CK263" s="382" t="s">
        <v>807</v>
      </c>
    </row>
    <row r="264" spans="1:89" ht="21.75" customHeight="1" x14ac:dyDescent="0.35">
      <c r="A264" s="357">
        <v>267</v>
      </c>
      <c r="B264" s="357" t="s">
        <v>3807</v>
      </c>
      <c r="C264" s="357" t="s">
        <v>3808</v>
      </c>
      <c r="D264" s="357"/>
      <c r="E264" s="357" t="s">
        <v>3809</v>
      </c>
      <c r="F264" s="357" t="s">
        <v>4139</v>
      </c>
      <c r="G264" s="337">
        <v>11</v>
      </c>
      <c r="H264" s="337" t="s">
        <v>53</v>
      </c>
      <c r="I264" s="337" t="s">
        <v>43</v>
      </c>
      <c r="J264" s="337" t="s">
        <v>3810</v>
      </c>
      <c r="K264" s="337" t="s">
        <v>3811</v>
      </c>
      <c r="L264" s="337"/>
      <c r="M264" s="337"/>
      <c r="N264" s="428"/>
      <c r="O264" s="428" t="s">
        <v>320</v>
      </c>
      <c r="P264" s="428"/>
      <c r="Q264" s="337"/>
      <c r="R264" s="357" t="s">
        <v>3812</v>
      </c>
      <c r="S264" s="357" t="s">
        <v>3813</v>
      </c>
      <c r="T264" s="358" t="s">
        <v>3814</v>
      </c>
      <c r="U264" s="357" t="s">
        <v>3815</v>
      </c>
      <c r="V264" s="429">
        <v>31315</v>
      </c>
      <c r="W264" s="430" t="s">
        <v>3816</v>
      </c>
      <c r="X264" s="431" t="s">
        <v>3687</v>
      </c>
      <c r="Y264" s="428"/>
      <c r="Z264" s="428"/>
      <c r="AA264" s="337"/>
      <c r="AB264" s="432">
        <v>45930</v>
      </c>
      <c r="AC264" s="432">
        <v>45719</v>
      </c>
      <c r="AD264" s="337" t="s">
        <v>3817</v>
      </c>
      <c r="AE264" s="337"/>
      <c r="AF264" s="337"/>
      <c r="AG264" s="337"/>
      <c r="AH264" s="433"/>
      <c r="AI264" s="337"/>
      <c r="AJ264" s="337"/>
      <c r="AK264" s="337"/>
      <c r="AL264" s="433"/>
      <c r="AM264" s="433"/>
      <c r="AN264" s="433"/>
      <c r="AO264" s="434"/>
      <c r="AP264" s="434"/>
      <c r="AQ264" s="434"/>
      <c r="AR264" s="433"/>
      <c r="AS264" s="337"/>
      <c r="AT264" s="435"/>
      <c r="AU264" s="337" t="s">
        <v>3818</v>
      </c>
      <c r="AV264" s="337"/>
      <c r="AW264" s="436">
        <v>45719</v>
      </c>
      <c r="AX264" s="337"/>
      <c r="AY264" s="433"/>
      <c r="AZ264" s="337"/>
      <c r="BA264" s="337"/>
      <c r="BB264" s="337"/>
      <c r="BC264" s="337"/>
      <c r="BD264" s="337"/>
      <c r="BE264" s="442"/>
      <c r="BF264" s="337"/>
      <c r="BG264" s="337"/>
      <c r="BH264" s="337"/>
      <c r="BI264" s="337"/>
      <c r="BJ264" s="337"/>
      <c r="BK264" s="337"/>
      <c r="BL264" s="337"/>
      <c r="BM264" s="429"/>
      <c r="BN264" s="115" t="s">
        <v>18</v>
      </c>
      <c r="BO264" s="433"/>
      <c r="BP264" s="433"/>
      <c r="BQ264" s="337"/>
      <c r="BR264" s="337">
        <v>8</v>
      </c>
      <c r="BS264" s="337"/>
      <c r="BT264" s="337"/>
      <c r="BU264" s="337"/>
      <c r="BV264" s="337"/>
      <c r="BW264" s="337"/>
      <c r="BX264" s="337"/>
      <c r="BY264" s="337"/>
      <c r="BZ264" s="337"/>
      <c r="CA264" s="337"/>
      <c r="CB264" s="337"/>
      <c r="CC264" s="337"/>
      <c r="CD264" s="337"/>
      <c r="CE264" s="337"/>
      <c r="CF264" s="337"/>
      <c r="CG264" s="337"/>
      <c r="CH264" s="437">
        <v>0</v>
      </c>
      <c r="CI264" s="91"/>
      <c r="CJ264" s="91"/>
      <c r="CK264" s="91" t="s">
        <v>807</v>
      </c>
    </row>
    <row r="265" spans="1:89" ht="21.75" customHeight="1" x14ac:dyDescent="0.35">
      <c r="A265" s="330">
        <v>268</v>
      </c>
      <c r="B265" s="330" t="s">
        <v>3819</v>
      </c>
      <c r="C265" s="330" t="s">
        <v>3820</v>
      </c>
      <c r="D265" s="330"/>
      <c r="E265" s="330" t="s">
        <v>3821</v>
      </c>
      <c r="F265" s="330" t="s">
        <v>4140</v>
      </c>
      <c r="G265" s="329">
        <v>11</v>
      </c>
      <c r="H265" s="329" t="s">
        <v>53</v>
      </c>
      <c r="I265" s="329" t="s">
        <v>43</v>
      </c>
      <c r="J265" s="329" t="s">
        <v>600</v>
      </c>
      <c r="K265" s="329" t="s">
        <v>3822</v>
      </c>
      <c r="L265" s="486" t="s">
        <v>43</v>
      </c>
      <c r="M265" s="329" t="s">
        <v>148</v>
      </c>
      <c r="N265" s="331"/>
      <c r="O265" s="331" t="s">
        <v>149</v>
      </c>
      <c r="P265" s="331"/>
      <c r="Q265" s="329"/>
      <c r="R265" s="330" t="s">
        <v>3823</v>
      </c>
      <c r="S265" s="330" t="s">
        <v>3824</v>
      </c>
      <c r="T265" s="356" t="s">
        <v>3825</v>
      </c>
      <c r="U265" s="330" t="s">
        <v>3826</v>
      </c>
      <c r="V265" s="332">
        <v>32091</v>
      </c>
      <c r="W265" s="391" t="s">
        <v>3827</v>
      </c>
      <c r="X265" s="333"/>
      <c r="Y265" s="331"/>
      <c r="Z265" s="331"/>
      <c r="AA265" s="329"/>
      <c r="AB265" s="361"/>
      <c r="AC265" s="361">
        <v>45719</v>
      </c>
      <c r="AD265" s="329"/>
      <c r="AE265" s="329" t="s">
        <v>3828</v>
      </c>
      <c r="AF265" s="329" t="s">
        <v>3829</v>
      </c>
      <c r="AG265" s="329"/>
      <c r="AH265" s="334">
        <v>2</v>
      </c>
      <c r="AI265" s="329" t="s">
        <v>159</v>
      </c>
      <c r="AJ265" s="329" t="s">
        <v>159</v>
      </c>
      <c r="AK265" s="329"/>
      <c r="AL265" s="334"/>
      <c r="AM265" s="334"/>
      <c r="AN265" s="334"/>
      <c r="AO265" s="335"/>
      <c r="AP265" s="335"/>
      <c r="AQ265" s="335"/>
      <c r="AR265" s="334"/>
      <c r="AS265" s="329"/>
      <c r="AT265" s="424"/>
      <c r="AU265" s="329" t="s">
        <v>3830</v>
      </c>
      <c r="AV265" s="329"/>
      <c r="AW265" s="362">
        <v>45719</v>
      </c>
      <c r="AX265" s="329"/>
      <c r="AY265" s="334"/>
      <c r="AZ265" s="329"/>
      <c r="BA265" s="329"/>
      <c r="BB265" s="329"/>
      <c r="BC265" s="329"/>
      <c r="BD265" s="329"/>
      <c r="BE265" s="441"/>
      <c r="BF265" s="329"/>
      <c r="BG265" s="329"/>
      <c r="BH265" s="329"/>
      <c r="BI265" s="329"/>
      <c r="BJ265" s="329"/>
      <c r="BK265" s="329"/>
      <c r="BL265" s="329"/>
      <c r="BM265" s="332"/>
      <c r="BN265" s="363" t="s">
        <v>17</v>
      </c>
      <c r="BO265" s="334"/>
      <c r="BP265" s="334"/>
      <c r="BQ265" s="329"/>
      <c r="BR265" s="444">
        <v>3</v>
      </c>
      <c r="BS265" s="329"/>
      <c r="BT265" s="329"/>
      <c r="BU265" s="329"/>
      <c r="BV265" s="329"/>
      <c r="BW265" s="329"/>
      <c r="BX265" s="329"/>
      <c r="BY265" s="329"/>
      <c r="BZ265" s="329"/>
      <c r="CA265" s="329"/>
      <c r="CB265" s="329"/>
      <c r="CC265" s="329"/>
      <c r="CD265" s="329"/>
      <c r="CE265" s="329"/>
      <c r="CF265" s="329"/>
      <c r="CG265" s="329"/>
      <c r="CH265" s="380">
        <v>1</v>
      </c>
      <c r="CI265" s="382"/>
      <c r="CJ265" s="382"/>
      <c r="CK265" s="382" t="s">
        <v>3748</v>
      </c>
    </row>
    <row r="266" spans="1:89" ht="23.25" customHeight="1" x14ac:dyDescent="0.35">
      <c r="A266" s="443">
        <v>269</v>
      </c>
      <c r="B266" s="443" t="s">
        <v>3831</v>
      </c>
      <c r="C266" s="443" t="s">
        <v>3832</v>
      </c>
      <c r="D266" s="443" t="s">
        <v>3833</v>
      </c>
      <c r="E266" s="443" t="s">
        <v>3834</v>
      </c>
      <c r="F266" s="443" t="s">
        <v>4140</v>
      </c>
      <c r="G266" s="444">
        <v>11</v>
      </c>
      <c r="H266" s="444" t="s">
        <v>57</v>
      </c>
      <c r="I266" s="444" t="s">
        <v>40</v>
      </c>
      <c r="J266" s="444" t="s">
        <v>3835</v>
      </c>
      <c r="K266" s="444" t="s">
        <v>3836</v>
      </c>
      <c r="L266" s="329" t="s">
        <v>44</v>
      </c>
      <c r="M266" s="329" t="s">
        <v>161</v>
      </c>
      <c r="N266" s="445"/>
      <c r="O266" s="445" t="s">
        <v>149</v>
      </c>
      <c r="P266" s="445"/>
      <c r="Q266" s="444"/>
      <c r="R266" s="443" t="s">
        <v>3837</v>
      </c>
      <c r="S266" s="443" t="s">
        <v>3838</v>
      </c>
      <c r="T266" s="446" t="s">
        <v>3839</v>
      </c>
      <c r="U266" s="443" t="s">
        <v>3840</v>
      </c>
      <c r="V266" s="447">
        <v>30939</v>
      </c>
      <c r="W266" s="448" t="s">
        <v>3841</v>
      </c>
      <c r="X266" s="449" t="s">
        <v>3575</v>
      </c>
      <c r="Y266" s="445"/>
      <c r="Z266" s="445"/>
      <c r="AA266" s="444"/>
      <c r="AB266" s="450">
        <v>45777</v>
      </c>
      <c r="AC266" s="361">
        <v>45719</v>
      </c>
      <c r="AD266" s="444"/>
      <c r="AE266" s="444" t="s">
        <v>3803</v>
      </c>
      <c r="AF266" s="444" t="s">
        <v>3842</v>
      </c>
      <c r="AG266" s="444" t="s">
        <v>3843</v>
      </c>
      <c r="AH266" s="451">
        <v>3</v>
      </c>
      <c r="AI266" s="444" t="s">
        <v>160</v>
      </c>
      <c r="AJ266" s="444" t="s">
        <v>159</v>
      </c>
      <c r="AK266" s="444" t="s">
        <v>200</v>
      </c>
      <c r="AL266" s="451"/>
      <c r="AM266" s="451"/>
      <c r="AN266" s="451"/>
      <c r="AO266" s="452"/>
      <c r="AP266" s="452"/>
      <c r="AQ266" s="452"/>
      <c r="AR266" s="451"/>
      <c r="AS266" s="444"/>
      <c r="AT266" s="453"/>
      <c r="AU266" s="444" t="s">
        <v>3844</v>
      </c>
      <c r="AV266" s="444"/>
      <c r="AW266" s="454">
        <v>45719</v>
      </c>
      <c r="AX266" s="444"/>
      <c r="AY266" s="451"/>
      <c r="AZ266" s="444"/>
      <c r="BA266" s="444"/>
      <c r="BB266" s="444"/>
      <c r="BC266" s="439"/>
      <c r="BD266" s="439"/>
      <c r="BE266" s="440" t="s">
        <v>3845</v>
      </c>
      <c r="BF266" s="444"/>
      <c r="BG266" s="444"/>
      <c r="BH266" s="444"/>
      <c r="BI266" s="444"/>
      <c r="BJ266" s="444"/>
      <c r="BK266" s="444"/>
      <c r="BL266" s="444"/>
      <c r="BM266" s="447"/>
      <c r="BN266" s="455" t="s">
        <v>17</v>
      </c>
      <c r="BO266" s="451"/>
      <c r="BP266" s="451"/>
      <c r="BQ266" s="456"/>
      <c r="BR266" s="329">
        <v>16</v>
      </c>
      <c r="BS266" s="471"/>
      <c r="BT266" s="444"/>
      <c r="BU266" s="444"/>
      <c r="BV266" s="444"/>
      <c r="BW266" s="444"/>
      <c r="BX266" s="444"/>
      <c r="BY266" s="444"/>
      <c r="BZ266" s="444"/>
      <c r="CA266" s="444"/>
      <c r="CB266" s="444"/>
      <c r="CC266" s="444"/>
      <c r="CD266" s="444"/>
      <c r="CE266" s="444"/>
      <c r="CF266" s="444"/>
      <c r="CG266" s="444"/>
      <c r="CH266" s="456">
        <v>3</v>
      </c>
      <c r="CI266" s="457"/>
      <c r="CJ266" s="457"/>
      <c r="CK266" s="457" t="s">
        <v>807</v>
      </c>
    </row>
    <row r="267" spans="1:89" ht="20.25" customHeight="1" x14ac:dyDescent="0.35">
      <c r="A267" s="473">
        <v>270</v>
      </c>
      <c r="B267" s="459" t="s">
        <v>3846</v>
      </c>
      <c r="C267" s="459" t="s">
        <v>3847</v>
      </c>
      <c r="D267" s="459"/>
      <c r="E267" s="459" t="s">
        <v>3848</v>
      </c>
      <c r="F267" s="459" t="s">
        <v>4139</v>
      </c>
      <c r="G267" s="458">
        <v>12</v>
      </c>
      <c r="H267" s="459" t="s">
        <v>57</v>
      </c>
      <c r="I267" s="459" t="s">
        <v>40</v>
      </c>
      <c r="J267" s="482" t="s">
        <v>1126</v>
      </c>
      <c r="K267" s="459"/>
      <c r="L267" s="487" t="s">
        <v>44</v>
      </c>
      <c r="M267" s="458" t="s">
        <v>161</v>
      </c>
      <c r="N267" s="462"/>
      <c r="O267" s="474" t="s">
        <v>149</v>
      </c>
      <c r="P267" s="462"/>
      <c r="Q267" s="458"/>
      <c r="R267" s="475" t="s">
        <v>3849</v>
      </c>
      <c r="S267" s="476" t="s">
        <v>3850</v>
      </c>
      <c r="T267" s="489" t="s">
        <v>3851</v>
      </c>
      <c r="U267" s="459" t="s">
        <v>3852</v>
      </c>
      <c r="V267" s="460">
        <v>34635</v>
      </c>
      <c r="W267" s="461" t="s">
        <v>3853</v>
      </c>
      <c r="X267" s="470" t="s">
        <v>154</v>
      </c>
      <c r="Y267" s="462"/>
      <c r="Z267" s="462"/>
      <c r="AA267" s="458"/>
      <c r="AB267" s="458"/>
      <c r="AC267" s="483">
        <v>46083</v>
      </c>
      <c r="AD267" s="463"/>
      <c r="AE267" s="458"/>
      <c r="AF267" s="458"/>
      <c r="AG267" s="458"/>
      <c r="AH267" s="464"/>
      <c r="AI267" s="463"/>
      <c r="AJ267" s="458"/>
      <c r="AK267" s="458"/>
      <c r="AL267" s="464"/>
      <c r="AM267" s="464"/>
      <c r="AN267" s="464"/>
      <c r="AO267" s="465"/>
      <c r="AP267" s="466" t="s">
        <v>3854</v>
      </c>
      <c r="AQ267" s="465"/>
      <c r="AR267" s="464"/>
      <c r="AS267" s="458"/>
      <c r="AT267" s="467"/>
      <c r="AU267" s="477" t="s">
        <v>3855</v>
      </c>
      <c r="AV267" s="458"/>
      <c r="AW267" s="478">
        <v>46083</v>
      </c>
      <c r="AX267" s="458"/>
      <c r="AY267" s="464"/>
      <c r="AZ267" s="458"/>
      <c r="BA267" s="458"/>
      <c r="BB267" s="458"/>
      <c r="BC267" s="458"/>
      <c r="BD267" s="458"/>
      <c r="BE267" s="458"/>
      <c r="BF267" s="458"/>
      <c r="BG267" s="463"/>
      <c r="BH267" s="458"/>
      <c r="BI267" s="458"/>
      <c r="BJ267" s="458"/>
      <c r="BK267" s="458"/>
      <c r="BL267" s="458"/>
      <c r="BM267" s="468"/>
      <c r="BN267" s="477" t="s">
        <v>17</v>
      </c>
      <c r="BO267" s="469"/>
      <c r="BP267" s="464"/>
      <c r="BQ267" s="463"/>
      <c r="BR267" s="459">
        <v>10</v>
      </c>
      <c r="BS267" s="472"/>
      <c r="BT267" s="458"/>
      <c r="BU267" s="458"/>
      <c r="BV267" s="458"/>
      <c r="BW267" s="463"/>
      <c r="BX267" s="458"/>
      <c r="BY267" s="458"/>
      <c r="BZ267" s="458"/>
      <c r="CA267" s="458"/>
      <c r="CB267" s="458"/>
      <c r="CC267" s="463"/>
      <c r="CD267" s="458"/>
      <c r="CE267" s="458"/>
      <c r="CF267" s="458"/>
      <c r="CG267" s="458"/>
      <c r="CH267" s="458"/>
      <c r="CI267" s="463"/>
      <c r="CJ267" s="458"/>
      <c r="CK267" s="458"/>
    </row>
    <row r="268" spans="1:89" ht="20.25" customHeight="1" x14ac:dyDescent="0.35">
      <c r="A268" s="479">
        <v>271</v>
      </c>
      <c r="B268" s="459" t="s">
        <v>3856</v>
      </c>
      <c r="C268" s="459" t="s">
        <v>3857</v>
      </c>
      <c r="D268" s="459"/>
      <c r="E268" s="459" t="s">
        <v>3858</v>
      </c>
      <c r="F268" s="459" t="s">
        <v>4140</v>
      </c>
      <c r="G268" s="458">
        <v>12</v>
      </c>
      <c r="H268" s="459" t="s">
        <v>56</v>
      </c>
      <c r="I268" s="459" t="s">
        <v>44</v>
      </c>
      <c r="J268" s="482" t="s">
        <v>600</v>
      </c>
      <c r="K268" s="459" t="s">
        <v>3293</v>
      </c>
      <c r="L268" s="488" t="s">
        <v>44</v>
      </c>
      <c r="M268" s="458" t="s">
        <v>148</v>
      </c>
      <c r="N268" s="462"/>
      <c r="O268" s="474" t="s">
        <v>149</v>
      </c>
      <c r="P268" s="462"/>
      <c r="Q268" s="458"/>
      <c r="R268" s="475" t="s">
        <v>3859</v>
      </c>
      <c r="S268" s="476" t="s">
        <v>3860</v>
      </c>
      <c r="T268" s="489" t="s">
        <v>3861</v>
      </c>
      <c r="U268" s="480" t="s">
        <v>3862</v>
      </c>
      <c r="V268" s="460">
        <v>33459</v>
      </c>
      <c r="W268" s="461" t="s">
        <v>3863</v>
      </c>
      <c r="X268" s="470" t="s">
        <v>3575</v>
      </c>
      <c r="Y268" s="462"/>
      <c r="Z268" s="462"/>
      <c r="AA268" s="458"/>
      <c r="AB268" s="458"/>
      <c r="AC268" s="483">
        <v>46083</v>
      </c>
      <c r="AD268" s="463"/>
      <c r="AE268" s="458"/>
      <c r="AF268" s="458"/>
      <c r="AG268" s="458"/>
      <c r="AH268" s="464"/>
      <c r="AI268" s="463"/>
      <c r="AJ268" s="458"/>
      <c r="AK268" s="458"/>
      <c r="AL268" s="464"/>
      <c r="AM268" s="464"/>
      <c r="AN268" s="464"/>
      <c r="AO268" s="465"/>
      <c r="AP268" s="466" t="s">
        <v>201</v>
      </c>
      <c r="AQ268" s="465"/>
      <c r="AR268" s="464"/>
      <c r="AS268" s="458"/>
      <c r="AT268" s="467"/>
      <c r="AU268" s="481" t="s">
        <v>3864</v>
      </c>
      <c r="AV268" s="458"/>
      <c r="AW268" s="478">
        <v>46083</v>
      </c>
      <c r="AX268" s="458"/>
      <c r="AY268" s="464"/>
      <c r="AZ268" s="458"/>
      <c r="BA268" s="458"/>
      <c r="BB268" s="458"/>
      <c r="BC268" s="458"/>
      <c r="BD268" s="458"/>
      <c r="BE268" s="458"/>
      <c r="BF268" s="458"/>
      <c r="BG268" s="463"/>
      <c r="BH268" s="458"/>
      <c r="BI268" s="458"/>
      <c r="BJ268" s="458"/>
      <c r="BK268" s="458"/>
      <c r="BL268" s="458"/>
      <c r="BM268" s="468"/>
      <c r="BN268" s="477" t="s">
        <v>17</v>
      </c>
      <c r="BO268" s="469"/>
      <c r="BP268" s="464"/>
      <c r="BQ268" s="463"/>
      <c r="BR268" s="459">
        <v>6</v>
      </c>
      <c r="BS268" s="472"/>
      <c r="BT268" s="458"/>
      <c r="BU268" s="458"/>
      <c r="BV268" s="458"/>
      <c r="BW268" s="463"/>
      <c r="BX268" s="458"/>
      <c r="BY268" s="458"/>
      <c r="BZ268" s="458"/>
      <c r="CA268" s="458"/>
      <c r="CB268" s="458"/>
      <c r="CC268" s="463"/>
      <c r="CD268" s="458"/>
      <c r="CE268" s="458"/>
      <c r="CF268" s="458"/>
      <c r="CG268" s="458"/>
      <c r="CH268" s="458"/>
      <c r="CI268" s="463"/>
      <c r="CJ268" s="458"/>
      <c r="CK268" s="458"/>
    </row>
    <row r="269" spans="1:89" ht="20.25" customHeight="1" x14ac:dyDescent="0.35">
      <c r="A269" s="473">
        <v>272</v>
      </c>
      <c r="B269" s="459" t="s">
        <v>3865</v>
      </c>
      <c r="C269" s="459" t="s">
        <v>3866</v>
      </c>
      <c r="D269" s="459" t="s">
        <v>3867</v>
      </c>
      <c r="E269" s="459" t="s">
        <v>3868</v>
      </c>
      <c r="F269" s="459" t="s">
        <v>4139</v>
      </c>
      <c r="G269" s="458">
        <v>12</v>
      </c>
      <c r="H269" s="459" t="s">
        <v>52</v>
      </c>
      <c r="I269" s="459" t="s">
        <v>31</v>
      </c>
      <c r="J269" s="482" t="s">
        <v>934</v>
      </c>
      <c r="K269" s="459" t="s">
        <v>3869</v>
      </c>
      <c r="L269" s="488" t="s">
        <v>31</v>
      </c>
      <c r="M269" s="458" t="s">
        <v>148</v>
      </c>
      <c r="N269" s="462"/>
      <c r="O269" s="474" t="s">
        <v>320</v>
      </c>
      <c r="P269" s="462"/>
      <c r="Q269" s="458"/>
      <c r="R269" s="475" t="s">
        <v>3870</v>
      </c>
      <c r="S269" s="476" t="s">
        <v>3871</v>
      </c>
      <c r="T269" s="489" t="s">
        <v>3872</v>
      </c>
      <c r="U269" s="459" t="s">
        <v>3873</v>
      </c>
      <c r="V269" s="460">
        <v>35044</v>
      </c>
      <c r="W269" s="461" t="s">
        <v>3874</v>
      </c>
      <c r="X269" s="470" t="s">
        <v>3575</v>
      </c>
      <c r="Y269" s="462"/>
      <c r="Z269" s="462"/>
      <c r="AA269" s="458"/>
      <c r="AB269" s="458"/>
      <c r="AC269" s="483">
        <v>46083</v>
      </c>
      <c r="AD269" s="463"/>
      <c r="AE269" s="458"/>
      <c r="AF269" s="458"/>
      <c r="AG269" s="458"/>
      <c r="AH269" s="464"/>
      <c r="AI269" s="463"/>
      <c r="AJ269" s="458"/>
      <c r="AK269" s="458"/>
      <c r="AL269" s="464"/>
      <c r="AM269" s="464"/>
      <c r="AN269" s="464"/>
      <c r="AO269" s="465"/>
      <c r="AP269" s="466" t="s">
        <v>179</v>
      </c>
      <c r="AQ269" s="465"/>
      <c r="AR269" s="464"/>
      <c r="AS269" s="458"/>
      <c r="AT269" s="467"/>
      <c r="AU269" s="477" t="s">
        <v>3875</v>
      </c>
      <c r="AV269" s="458"/>
      <c r="AW269" s="478">
        <v>46083</v>
      </c>
      <c r="AX269" s="458"/>
      <c r="AY269" s="464"/>
      <c r="AZ269" s="458"/>
      <c r="BA269" s="458"/>
      <c r="BB269" s="458"/>
      <c r="BC269" s="458"/>
      <c r="BD269" s="458"/>
      <c r="BE269" s="458"/>
      <c r="BF269" s="458"/>
      <c r="BG269" s="463"/>
      <c r="BH269" s="458"/>
      <c r="BI269" s="458"/>
      <c r="BJ269" s="458"/>
      <c r="BK269" s="458"/>
      <c r="BL269" s="458"/>
      <c r="BM269" s="468"/>
      <c r="BN269" s="477" t="s">
        <v>17</v>
      </c>
      <c r="BO269" s="469"/>
      <c r="BP269" s="464"/>
      <c r="BQ269" s="463"/>
      <c r="BR269" s="459">
        <v>1</v>
      </c>
      <c r="BS269" s="472"/>
      <c r="BT269" s="458"/>
      <c r="BU269" s="458"/>
      <c r="BV269" s="458"/>
      <c r="BW269" s="463"/>
      <c r="BX269" s="458"/>
      <c r="BY269" s="458"/>
      <c r="BZ269" s="458"/>
      <c r="CA269" s="458"/>
      <c r="CB269" s="458"/>
      <c r="CC269" s="463"/>
      <c r="CD269" s="458"/>
      <c r="CE269" s="458"/>
      <c r="CF269" s="458"/>
      <c r="CG269" s="458"/>
      <c r="CH269" s="458"/>
      <c r="CI269" s="463"/>
      <c r="CJ269" s="458"/>
      <c r="CK269" s="458"/>
    </row>
    <row r="270" spans="1:89" ht="20.25" customHeight="1" x14ac:dyDescent="0.35">
      <c r="A270" s="479">
        <v>273</v>
      </c>
      <c r="B270" s="459" t="s">
        <v>3876</v>
      </c>
      <c r="C270" s="459" t="s">
        <v>3877</v>
      </c>
      <c r="D270" s="459"/>
      <c r="E270" s="459" t="s">
        <v>3878</v>
      </c>
      <c r="F270" s="459" t="s">
        <v>4140</v>
      </c>
      <c r="G270" s="458">
        <v>12</v>
      </c>
      <c r="H270" s="459" t="s">
        <v>53</v>
      </c>
      <c r="I270" s="459" t="s">
        <v>43</v>
      </c>
      <c r="J270" s="482" t="s">
        <v>3879</v>
      </c>
      <c r="K270" s="459" t="s">
        <v>3880</v>
      </c>
      <c r="L270" s="488" t="s">
        <v>43</v>
      </c>
      <c r="M270" s="458" t="s">
        <v>148</v>
      </c>
      <c r="N270" s="462"/>
      <c r="O270" s="474" t="s">
        <v>149</v>
      </c>
      <c r="P270" s="462"/>
      <c r="Q270" s="458"/>
      <c r="R270" s="475" t="s">
        <v>3881</v>
      </c>
      <c r="S270" s="476" t="s">
        <v>3882</v>
      </c>
      <c r="T270" s="489" t="s">
        <v>3883</v>
      </c>
      <c r="U270" s="459">
        <v>2017</v>
      </c>
      <c r="V270" s="460">
        <v>31413</v>
      </c>
      <c r="W270" s="461" t="s">
        <v>3884</v>
      </c>
      <c r="X270" s="470" t="s">
        <v>3575</v>
      </c>
      <c r="Y270" s="462"/>
      <c r="Z270" s="462"/>
      <c r="AA270" s="458"/>
      <c r="AB270" s="458"/>
      <c r="AC270" s="483">
        <v>46083</v>
      </c>
      <c r="AD270" s="463"/>
      <c r="AE270" s="458"/>
      <c r="AF270" s="458"/>
      <c r="AG270" s="458"/>
      <c r="AH270" s="464"/>
      <c r="AI270" s="463"/>
      <c r="AJ270" s="458"/>
      <c r="AK270" s="458"/>
      <c r="AL270" s="464"/>
      <c r="AM270" s="464"/>
      <c r="AN270" s="464"/>
      <c r="AO270" s="465"/>
      <c r="AP270" s="466" t="s">
        <v>179</v>
      </c>
      <c r="AQ270" s="465"/>
      <c r="AR270" s="464"/>
      <c r="AS270" s="458"/>
      <c r="AT270" s="467"/>
      <c r="AU270" s="481" t="s">
        <v>3885</v>
      </c>
      <c r="AV270" s="458"/>
      <c r="AW270" s="478">
        <v>46083</v>
      </c>
      <c r="AX270" s="458"/>
      <c r="AY270" s="464"/>
      <c r="AZ270" s="458"/>
      <c r="BA270" s="458"/>
      <c r="BB270" s="458"/>
      <c r="BC270" s="458"/>
      <c r="BD270" s="458"/>
      <c r="BE270" s="458"/>
      <c r="BF270" s="458"/>
      <c r="BG270" s="463"/>
      <c r="BH270" s="458"/>
      <c r="BI270" s="458"/>
      <c r="BJ270" s="458"/>
      <c r="BK270" s="458"/>
      <c r="BL270" s="458"/>
      <c r="BM270" s="468"/>
      <c r="BN270" s="477" t="s">
        <v>17</v>
      </c>
      <c r="BO270" s="469"/>
      <c r="BP270" s="464"/>
      <c r="BQ270" s="463"/>
      <c r="BR270" s="459">
        <v>4</v>
      </c>
      <c r="BS270" s="472"/>
      <c r="BT270" s="458"/>
      <c r="BU270" s="458"/>
      <c r="BV270" s="458"/>
      <c r="BW270" s="463"/>
      <c r="BX270" s="458"/>
      <c r="BY270" s="458"/>
      <c r="BZ270" s="458"/>
      <c r="CA270" s="458"/>
      <c r="CB270" s="458"/>
      <c r="CC270" s="463"/>
      <c r="CD270" s="458"/>
      <c r="CE270" s="458"/>
      <c r="CF270" s="458"/>
      <c r="CG270" s="458"/>
      <c r="CH270" s="458"/>
      <c r="CI270" s="463"/>
      <c r="CJ270" s="458"/>
      <c r="CK270" s="458"/>
    </row>
    <row r="271" spans="1:89" ht="20.25" customHeight="1" x14ac:dyDescent="0.35">
      <c r="A271" s="473">
        <v>274</v>
      </c>
      <c r="B271" s="459" t="s">
        <v>3886</v>
      </c>
      <c r="C271" s="459" t="s">
        <v>2284</v>
      </c>
      <c r="D271" s="459"/>
      <c r="E271" s="459" t="s">
        <v>3887</v>
      </c>
      <c r="F271" s="459" t="s">
        <v>4140</v>
      </c>
      <c r="G271" s="458">
        <v>12</v>
      </c>
      <c r="H271" s="459" t="s">
        <v>51</v>
      </c>
      <c r="I271" s="488" t="s">
        <v>4136</v>
      </c>
      <c r="J271" s="482" t="s">
        <v>1419</v>
      </c>
      <c r="K271" s="459"/>
      <c r="L271" s="488" t="s">
        <v>4136</v>
      </c>
      <c r="M271" s="458" t="s">
        <v>148</v>
      </c>
      <c r="N271" s="462"/>
      <c r="O271" s="474" t="s">
        <v>320</v>
      </c>
      <c r="P271" s="462"/>
      <c r="Q271" s="458"/>
      <c r="R271" s="475" t="s">
        <v>3888</v>
      </c>
      <c r="S271" s="476" t="s">
        <v>3889</v>
      </c>
      <c r="T271" s="489" t="s">
        <v>3890</v>
      </c>
      <c r="U271" s="459" t="s">
        <v>3891</v>
      </c>
      <c r="V271" s="460">
        <v>31905</v>
      </c>
      <c r="W271" s="461" t="s">
        <v>3892</v>
      </c>
      <c r="X271" s="470" t="s">
        <v>3575</v>
      </c>
      <c r="Y271" s="462"/>
      <c r="Z271" s="462"/>
      <c r="AA271" s="458"/>
      <c r="AB271" s="458"/>
      <c r="AC271" s="483">
        <v>46083</v>
      </c>
      <c r="AD271" s="463"/>
      <c r="AE271" s="458"/>
      <c r="AF271" s="458"/>
      <c r="AG271" s="458"/>
      <c r="AH271" s="464"/>
      <c r="AI271" s="463"/>
      <c r="AJ271" s="458"/>
      <c r="AK271" s="458"/>
      <c r="AL271" s="464"/>
      <c r="AM271" s="464"/>
      <c r="AN271" s="464"/>
      <c r="AO271" s="465"/>
      <c r="AP271" s="466" t="s">
        <v>201</v>
      </c>
      <c r="AQ271" s="465"/>
      <c r="AR271" s="464"/>
      <c r="AS271" s="458"/>
      <c r="AT271" s="467"/>
      <c r="AU271" s="477" t="s">
        <v>3893</v>
      </c>
      <c r="AV271" s="458"/>
      <c r="AW271" s="478">
        <v>46083</v>
      </c>
      <c r="AX271" s="458"/>
      <c r="AY271" s="464"/>
      <c r="AZ271" s="458"/>
      <c r="BA271" s="458"/>
      <c r="BB271" s="458"/>
      <c r="BC271" s="458"/>
      <c r="BD271" s="458"/>
      <c r="BE271" s="458"/>
      <c r="BF271" s="458"/>
      <c r="BG271" s="463"/>
      <c r="BH271" s="458"/>
      <c r="BI271" s="458"/>
      <c r="BJ271" s="458"/>
      <c r="BK271" s="458"/>
      <c r="BL271" s="458"/>
      <c r="BM271" s="468"/>
      <c r="BN271" s="477" t="s">
        <v>17</v>
      </c>
      <c r="BO271" s="469"/>
      <c r="BP271" s="464"/>
      <c r="BQ271" s="463"/>
      <c r="BR271" s="459">
        <v>4</v>
      </c>
      <c r="BS271" s="472"/>
      <c r="BT271" s="458"/>
      <c r="BU271" s="458"/>
      <c r="BV271" s="458"/>
      <c r="BW271" s="463"/>
      <c r="BX271" s="458"/>
      <c r="BY271" s="458"/>
      <c r="BZ271" s="458"/>
      <c r="CA271" s="458"/>
      <c r="CB271" s="458"/>
      <c r="CC271" s="463"/>
      <c r="CD271" s="458"/>
      <c r="CE271" s="458"/>
      <c r="CF271" s="458"/>
      <c r="CG271" s="458"/>
      <c r="CH271" s="458"/>
      <c r="CI271" s="463"/>
      <c r="CJ271" s="458"/>
      <c r="CK271" s="458"/>
    </row>
    <row r="272" spans="1:89" ht="20.25" customHeight="1" x14ac:dyDescent="0.35">
      <c r="A272" s="479">
        <v>275</v>
      </c>
      <c r="B272" s="459" t="s">
        <v>3894</v>
      </c>
      <c r="C272" s="459" t="s">
        <v>1597</v>
      </c>
      <c r="D272" s="459"/>
      <c r="E272" s="459" t="s">
        <v>3895</v>
      </c>
      <c r="F272" s="459" t="s">
        <v>4140</v>
      </c>
      <c r="G272" s="458">
        <v>12</v>
      </c>
      <c r="H272" s="459" t="s">
        <v>58</v>
      </c>
      <c r="I272" s="459" t="s">
        <v>35</v>
      </c>
      <c r="J272" s="482" t="s">
        <v>3896</v>
      </c>
      <c r="K272" s="459" t="s">
        <v>3897</v>
      </c>
      <c r="L272" s="488" t="s">
        <v>35</v>
      </c>
      <c r="M272" s="458" t="s">
        <v>148</v>
      </c>
      <c r="N272" s="462"/>
      <c r="O272" s="474" t="s">
        <v>320</v>
      </c>
      <c r="P272" s="462"/>
      <c r="Q272" s="458"/>
      <c r="R272" s="475" t="s">
        <v>3898</v>
      </c>
      <c r="S272" s="476" t="s">
        <v>3899</v>
      </c>
      <c r="T272" s="489" t="s">
        <v>3900</v>
      </c>
      <c r="U272" s="480" t="s">
        <v>3901</v>
      </c>
      <c r="V272" s="460">
        <v>30496</v>
      </c>
      <c r="W272" s="461" t="s">
        <v>3902</v>
      </c>
      <c r="X272" s="470" t="s">
        <v>3687</v>
      </c>
      <c r="Y272" s="462"/>
      <c r="Z272" s="462"/>
      <c r="AA272" s="458"/>
      <c r="AB272" s="458"/>
      <c r="AC272" s="483">
        <v>46083</v>
      </c>
      <c r="AD272" s="463"/>
      <c r="AE272" s="458"/>
      <c r="AF272" s="458"/>
      <c r="AG272" s="458"/>
      <c r="AH272" s="464"/>
      <c r="AI272" s="463"/>
      <c r="AJ272" s="458"/>
      <c r="AK272" s="458"/>
      <c r="AL272" s="464"/>
      <c r="AM272" s="464"/>
      <c r="AN272" s="464"/>
      <c r="AO272" s="465"/>
      <c r="AP272" s="466" t="s">
        <v>179</v>
      </c>
      <c r="AQ272" s="465"/>
      <c r="AR272" s="464"/>
      <c r="AS272" s="458"/>
      <c r="AT272" s="467"/>
      <c r="AU272" s="477" t="s">
        <v>3903</v>
      </c>
      <c r="AV272" s="458"/>
      <c r="AW272" s="478">
        <v>46083</v>
      </c>
      <c r="AX272" s="458"/>
      <c r="AY272" s="464"/>
      <c r="AZ272" s="458"/>
      <c r="BA272" s="458"/>
      <c r="BB272" s="458"/>
      <c r="BC272" s="458"/>
      <c r="BD272" s="458"/>
      <c r="BE272" s="458"/>
      <c r="BF272" s="458"/>
      <c r="BG272" s="463"/>
      <c r="BH272" s="458"/>
      <c r="BI272" s="458"/>
      <c r="BJ272" s="458"/>
      <c r="BK272" s="458"/>
      <c r="BL272" s="458"/>
      <c r="BM272" s="468"/>
      <c r="BN272" s="477" t="s">
        <v>17</v>
      </c>
      <c r="BO272" s="469"/>
      <c r="BP272" s="464"/>
      <c r="BQ272" s="463"/>
      <c r="BR272" s="459">
        <v>5</v>
      </c>
      <c r="BS272" s="472"/>
      <c r="BT272" s="458"/>
      <c r="BU272" s="458"/>
      <c r="BV272" s="458"/>
      <c r="BW272" s="463"/>
      <c r="BX272" s="458"/>
      <c r="BY272" s="458"/>
      <c r="BZ272" s="458"/>
      <c r="CA272" s="458"/>
      <c r="CB272" s="458"/>
      <c r="CC272" s="463"/>
      <c r="CD272" s="458"/>
      <c r="CE272" s="458"/>
      <c r="CF272" s="458"/>
      <c r="CG272" s="458"/>
      <c r="CH272" s="458"/>
      <c r="CI272" s="463"/>
      <c r="CJ272" s="458"/>
      <c r="CK272" s="458"/>
    </row>
    <row r="273" spans="1:89" ht="20.25" customHeight="1" x14ac:dyDescent="0.35">
      <c r="A273" s="473">
        <v>276</v>
      </c>
      <c r="B273" s="459" t="s">
        <v>3904</v>
      </c>
      <c r="C273" s="459" t="s">
        <v>3905</v>
      </c>
      <c r="D273" s="459"/>
      <c r="E273" s="459" t="s">
        <v>3906</v>
      </c>
      <c r="F273" s="459" t="s">
        <v>4139</v>
      </c>
      <c r="G273" s="458">
        <v>12</v>
      </c>
      <c r="H273" s="459" t="s">
        <v>53</v>
      </c>
      <c r="I273" s="459" t="s">
        <v>43</v>
      </c>
      <c r="J273" s="482" t="s">
        <v>3907</v>
      </c>
      <c r="K273" s="459" t="s">
        <v>2011</v>
      </c>
      <c r="L273" s="488" t="s">
        <v>43</v>
      </c>
      <c r="M273" s="458" t="s">
        <v>148</v>
      </c>
      <c r="N273" s="462"/>
      <c r="O273" s="474" t="s">
        <v>149</v>
      </c>
      <c r="P273" s="462"/>
      <c r="Q273" s="458"/>
      <c r="R273" s="475" t="s">
        <v>3908</v>
      </c>
      <c r="S273" s="476" t="s">
        <v>3909</v>
      </c>
      <c r="T273" s="489" t="s">
        <v>3910</v>
      </c>
      <c r="U273" s="459">
        <v>2022</v>
      </c>
      <c r="V273" s="460">
        <v>32173</v>
      </c>
      <c r="W273" s="461" t="s">
        <v>3911</v>
      </c>
      <c r="X273" s="470" t="s">
        <v>3575</v>
      </c>
      <c r="Y273" s="462"/>
      <c r="Z273" s="462"/>
      <c r="AA273" s="458"/>
      <c r="AB273" s="458"/>
      <c r="AC273" s="483">
        <v>46083</v>
      </c>
      <c r="AD273" s="463"/>
      <c r="AE273" s="458"/>
      <c r="AF273" s="458"/>
      <c r="AG273" s="458"/>
      <c r="AH273" s="464"/>
      <c r="AI273" s="463"/>
      <c r="AJ273" s="458"/>
      <c r="AK273" s="458"/>
      <c r="AL273" s="464"/>
      <c r="AM273" s="464"/>
      <c r="AN273" s="464"/>
      <c r="AO273" s="465"/>
      <c r="AP273" s="466" t="s">
        <v>2168</v>
      </c>
      <c r="AQ273" s="465"/>
      <c r="AR273" s="464"/>
      <c r="AS273" s="458"/>
      <c r="AT273" s="467"/>
      <c r="AU273" s="477" t="s">
        <v>3912</v>
      </c>
      <c r="AV273" s="458"/>
      <c r="AW273" s="478">
        <v>46083</v>
      </c>
      <c r="AX273" s="458"/>
      <c r="AY273" s="464"/>
      <c r="AZ273" s="458"/>
      <c r="BA273" s="458"/>
      <c r="BB273" s="458"/>
      <c r="BC273" s="458"/>
      <c r="BD273" s="458"/>
      <c r="BE273" s="458"/>
      <c r="BF273" s="458"/>
      <c r="BG273" s="463"/>
      <c r="BH273" s="458"/>
      <c r="BI273" s="458"/>
      <c r="BJ273" s="458"/>
      <c r="BK273" s="458"/>
      <c r="BL273" s="458"/>
      <c r="BM273" s="468"/>
      <c r="BN273" s="477" t="s">
        <v>17</v>
      </c>
      <c r="BO273" s="469"/>
      <c r="BP273" s="464"/>
      <c r="BQ273" s="463"/>
      <c r="BR273" s="459">
        <v>15</v>
      </c>
      <c r="BS273" s="472"/>
      <c r="BT273" s="458"/>
      <c r="BU273" s="458"/>
      <c r="BV273" s="458"/>
      <c r="BW273" s="463"/>
      <c r="BX273" s="458"/>
      <c r="BY273" s="458"/>
      <c r="BZ273" s="458"/>
      <c r="CA273" s="458"/>
      <c r="CB273" s="458"/>
      <c r="CC273" s="463"/>
      <c r="CD273" s="458"/>
      <c r="CE273" s="458"/>
      <c r="CF273" s="458"/>
      <c r="CG273" s="458"/>
      <c r="CH273" s="458"/>
      <c r="CI273" s="463"/>
      <c r="CJ273" s="458"/>
      <c r="CK273" s="458"/>
    </row>
    <row r="274" spans="1:89" ht="20.25" customHeight="1" x14ac:dyDescent="0.35">
      <c r="A274" s="479">
        <v>277</v>
      </c>
      <c r="B274" s="459" t="s">
        <v>3913</v>
      </c>
      <c r="C274" s="459" t="s">
        <v>3914</v>
      </c>
      <c r="D274" s="459"/>
      <c r="E274" s="459" t="s">
        <v>2556</v>
      </c>
      <c r="F274" s="459" t="s">
        <v>4139</v>
      </c>
      <c r="G274" s="458">
        <v>12</v>
      </c>
      <c r="H274" s="459" t="s">
        <v>53</v>
      </c>
      <c r="I274" s="459" t="s">
        <v>43</v>
      </c>
      <c r="J274" s="482" t="s">
        <v>3915</v>
      </c>
      <c r="K274" s="459" t="s">
        <v>3916</v>
      </c>
      <c r="L274" s="488" t="s">
        <v>43</v>
      </c>
      <c r="M274" s="458" t="s">
        <v>148</v>
      </c>
      <c r="N274" s="462"/>
      <c r="O274" s="474" t="s">
        <v>320</v>
      </c>
      <c r="P274" s="462"/>
      <c r="Q274" s="458"/>
      <c r="R274" s="475" t="s">
        <v>3917</v>
      </c>
      <c r="S274" s="476" t="s">
        <v>3918</v>
      </c>
      <c r="T274" s="489" t="s">
        <v>3919</v>
      </c>
      <c r="U274" s="459" t="s">
        <v>3920</v>
      </c>
      <c r="V274" s="460">
        <v>32197</v>
      </c>
      <c r="W274" s="461" t="s">
        <v>3921</v>
      </c>
      <c r="X274" s="470" t="s">
        <v>3922</v>
      </c>
      <c r="Y274" s="462"/>
      <c r="Z274" s="462"/>
      <c r="AA274" s="458"/>
      <c r="AB274" s="458"/>
      <c r="AC274" s="483">
        <v>46083</v>
      </c>
      <c r="AD274" s="463"/>
      <c r="AE274" s="458"/>
      <c r="AF274" s="458"/>
      <c r="AG274" s="458"/>
      <c r="AH274" s="464"/>
      <c r="AI274" s="463"/>
      <c r="AJ274" s="458"/>
      <c r="AK274" s="458"/>
      <c r="AL274" s="464"/>
      <c r="AM274" s="464"/>
      <c r="AN274" s="464"/>
      <c r="AO274" s="465"/>
      <c r="AP274" s="466" t="s">
        <v>247</v>
      </c>
      <c r="AQ274" s="465"/>
      <c r="AR274" s="464"/>
      <c r="AS274" s="458"/>
      <c r="AT274" s="467"/>
      <c r="AU274" s="477" t="s">
        <v>3923</v>
      </c>
      <c r="AV274" s="458"/>
      <c r="AW274" s="478">
        <v>46083</v>
      </c>
      <c r="AX274" s="458"/>
      <c r="AY274" s="464"/>
      <c r="AZ274" s="458"/>
      <c r="BA274" s="458"/>
      <c r="BB274" s="458"/>
      <c r="BC274" s="458"/>
      <c r="BD274" s="458"/>
      <c r="BE274" s="458"/>
      <c r="BF274" s="458"/>
      <c r="BG274" s="463"/>
      <c r="BH274" s="458"/>
      <c r="BI274" s="458"/>
      <c r="BJ274" s="458"/>
      <c r="BK274" s="458"/>
      <c r="BL274" s="458"/>
      <c r="BM274" s="468"/>
      <c r="BN274" s="477" t="s">
        <v>17</v>
      </c>
      <c r="BO274" s="469"/>
      <c r="BP274" s="464"/>
      <c r="BQ274" s="463"/>
      <c r="BR274" s="459">
        <v>3</v>
      </c>
      <c r="BS274" s="472"/>
      <c r="BT274" s="458"/>
      <c r="BU274" s="458"/>
      <c r="BV274" s="458"/>
      <c r="BW274" s="463"/>
      <c r="BX274" s="458"/>
      <c r="BY274" s="458"/>
      <c r="BZ274" s="458"/>
      <c r="CA274" s="458"/>
      <c r="CB274" s="458"/>
      <c r="CC274" s="463"/>
      <c r="CD274" s="458"/>
      <c r="CE274" s="458"/>
      <c r="CF274" s="458"/>
      <c r="CG274" s="458"/>
      <c r="CH274" s="458"/>
      <c r="CI274" s="463"/>
      <c r="CJ274" s="458"/>
      <c r="CK274" s="458"/>
    </row>
    <row r="275" spans="1:89" ht="20.25" customHeight="1" x14ac:dyDescent="0.35">
      <c r="A275" s="473">
        <v>278</v>
      </c>
      <c r="B275" s="459" t="s">
        <v>3924</v>
      </c>
      <c r="C275" s="459" t="s">
        <v>3925</v>
      </c>
      <c r="D275" s="459"/>
      <c r="E275" s="459" t="s">
        <v>3926</v>
      </c>
      <c r="F275" s="459" t="s">
        <v>4139</v>
      </c>
      <c r="G275" s="458">
        <v>12</v>
      </c>
      <c r="H275" s="459" t="s">
        <v>51</v>
      </c>
      <c r="I275" s="459" t="s">
        <v>36</v>
      </c>
      <c r="J275" s="482" t="s">
        <v>600</v>
      </c>
      <c r="K275" s="459"/>
      <c r="L275" s="488" t="s">
        <v>44</v>
      </c>
      <c r="M275" s="458"/>
      <c r="N275" s="462"/>
      <c r="O275" s="474" t="s">
        <v>149</v>
      </c>
      <c r="P275" s="462"/>
      <c r="Q275" s="458"/>
      <c r="R275" s="475" t="s">
        <v>3927</v>
      </c>
      <c r="S275" s="476" t="s">
        <v>3928</v>
      </c>
      <c r="T275" s="489" t="s">
        <v>3929</v>
      </c>
      <c r="U275" s="459" t="s">
        <v>3930</v>
      </c>
      <c r="V275" s="460">
        <v>34209</v>
      </c>
      <c r="W275" s="461" t="s">
        <v>3931</v>
      </c>
      <c r="X275" s="470" t="s">
        <v>3575</v>
      </c>
      <c r="Y275" s="462"/>
      <c r="Z275" s="462"/>
      <c r="AA275" s="458"/>
      <c r="AB275" s="458"/>
      <c r="AC275" s="483">
        <v>46083</v>
      </c>
      <c r="AD275" s="463"/>
      <c r="AE275" s="458"/>
      <c r="AF275" s="458"/>
      <c r="AG275" s="458"/>
      <c r="AH275" s="464"/>
      <c r="AI275" s="463"/>
      <c r="AJ275" s="458"/>
      <c r="AK275" s="458"/>
      <c r="AL275" s="464"/>
      <c r="AM275" s="464"/>
      <c r="AN275" s="464"/>
      <c r="AO275" s="465"/>
      <c r="AP275" s="466" t="s">
        <v>3932</v>
      </c>
      <c r="AQ275" s="465"/>
      <c r="AR275" s="464"/>
      <c r="AS275" s="458"/>
      <c r="AT275" s="467"/>
      <c r="AU275" s="477" t="s">
        <v>3933</v>
      </c>
      <c r="AV275" s="458"/>
      <c r="AW275" s="478">
        <v>46083</v>
      </c>
      <c r="AX275" s="458"/>
      <c r="AY275" s="464"/>
      <c r="AZ275" s="458"/>
      <c r="BA275" s="458"/>
      <c r="BB275" s="458"/>
      <c r="BC275" s="458"/>
      <c r="BD275" s="458"/>
      <c r="BE275" s="458"/>
      <c r="BF275" s="458"/>
      <c r="BG275" s="463"/>
      <c r="BH275" s="458"/>
      <c r="BI275" s="458"/>
      <c r="BJ275" s="458"/>
      <c r="BK275" s="458"/>
      <c r="BL275" s="458"/>
      <c r="BM275" s="468"/>
      <c r="BN275" s="477" t="s">
        <v>17</v>
      </c>
      <c r="BO275" s="469"/>
      <c r="BP275" s="464"/>
      <c r="BQ275" s="463"/>
      <c r="BR275" s="459">
        <v>4</v>
      </c>
      <c r="BS275" s="472"/>
      <c r="BT275" s="458"/>
      <c r="BU275" s="458"/>
      <c r="BV275" s="458"/>
      <c r="BW275" s="463"/>
      <c r="BX275" s="458"/>
      <c r="BY275" s="458"/>
      <c r="BZ275" s="458"/>
      <c r="CA275" s="458"/>
      <c r="CB275" s="458"/>
      <c r="CC275" s="463"/>
      <c r="CD275" s="458"/>
      <c r="CE275" s="458"/>
      <c r="CF275" s="458"/>
      <c r="CG275" s="458"/>
      <c r="CH275" s="458"/>
      <c r="CI275" s="463"/>
      <c r="CJ275" s="458"/>
      <c r="CK275" s="458"/>
    </row>
    <row r="276" spans="1:89" ht="20.25" customHeight="1" x14ac:dyDescent="0.35">
      <c r="A276" s="479">
        <v>279</v>
      </c>
      <c r="B276" s="459" t="s">
        <v>3934</v>
      </c>
      <c r="C276" s="459" t="s">
        <v>330</v>
      </c>
      <c r="D276" s="459" t="s">
        <v>3935</v>
      </c>
      <c r="E276" s="459" t="s">
        <v>3936</v>
      </c>
      <c r="F276" s="459" t="s">
        <v>4139</v>
      </c>
      <c r="G276" s="458">
        <v>12</v>
      </c>
      <c r="H276" s="459" t="s">
        <v>51</v>
      </c>
      <c r="I276" s="488" t="s">
        <v>4136</v>
      </c>
      <c r="J276" s="482" t="s">
        <v>3937</v>
      </c>
      <c r="K276" s="480" t="s">
        <v>3938</v>
      </c>
      <c r="L276" s="488" t="s">
        <v>4136</v>
      </c>
      <c r="M276" s="458" t="s">
        <v>148</v>
      </c>
      <c r="N276" s="462"/>
      <c r="O276" s="474" t="s">
        <v>149</v>
      </c>
      <c r="P276" s="462"/>
      <c r="Q276" s="458"/>
      <c r="R276" s="475" t="s">
        <v>3939</v>
      </c>
      <c r="S276" s="476" t="s">
        <v>3940</v>
      </c>
      <c r="T276" s="489" t="s">
        <v>3941</v>
      </c>
      <c r="U276" s="459" t="s">
        <v>3942</v>
      </c>
      <c r="V276" s="460">
        <v>33814</v>
      </c>
      <c r="W276" s="461" t="s">
        <v>3943</v>
      </c>
      <c r="X276" s="470" t="s">
        <v>154</v>
      </c>
      <c r="Y276" s="462"/>
      <c r="Z276" s="462"/>
      <c r="AA276" s="458"/>
      <c r="AB276" s="458"/>
      <c r="AC276" s="483">
        <v>46083</v>
      </c>
      <c r="AD276" s="463"/>
      <c r="AE276" s="458"/>
      <c r="AF276" s="458"/>
      <c r="AG276" s="458"/>
      <c r="AH276" s="464"/>
      <c r="AI276" s="463"/>
      <c r="AJ276" s="458"/>
      <c r="AK276" s="458"/>
      <c r="AL276" s="464"/>
      <c r="AM276" s="464"/>
      <c r="AN276" s="464"/>
      <c r="AO276" s="465"/>
      <c r="AP276" s="466" t="s">
        <v>3944</v>
      </c>
      <c r="AQ276" s="465"/>
      <c r="AR276" s="464"/>
      <c r="AS276" s="458"/>
      <c r="AT276" s="467"/>
      <c r="AU276" s="477" t="s">
        <v>3945</v>
      </c>
      <c r="AV276" s="458"/>
      <c r="AW276" s="478">
        <v>46083</v>
      </c>
      <c r="AX276" s="458"/>
      <c r="AY276" s="464"/>
      <c r="AZ276" s="458"/>
      <c r="BA276" s="458"/>
      <c r="BB276" s="458"/>
      <c r="BC276" s="458"/>
      <c r="BD276" s="458"/>
      <c r="BE276" s="458"/>
      <c r="BF276" s="458"/>
      <c r="BG276" s="463"/>
      <c r="BH276" s="458"/>
      <c r="BI276" s="458"/>
      <c r="BJ276" s="458"/>
      <c r="BK276" s="458"/>
      <c r="BL276" s="458"/>
      <c r="BM276" s="468"/>
      <c r="BN276" s="477" t="s">
        <v>17</v>
      </c>
      <c r="BO276" s="469"/>
      <c r="BP276" s="464"/>
      <c r="BQ276" s="463"/>
      <c r="BR276" s="459">
        <v>2</v>
      </c>
      <c r="BS276" s="472"/>
      <c r="BT276" s="458"/>
      <c r="BU276" s="458"/>
      <c r="BV276" s="458"/>
      <c r="BW276" s="463"/>
      <c r="BX276" s="458"/>
      <c r="BY276" s="458"/>
      <c r="BZ276" s="458"/>
      <c r="CA276" s="458"/>
      <c r="CB276" s="458"/>
      <c r="CC276" s="463"/>
      <c r="CD276" s="458"/>
      <c r="CE276" s="458"/>
      <c r="CF276" s="458"/>
      <c r="CG276" s="458"/>
      <c r="CH276" s="458"/>
      <c r="CI276" s="463"/>
      <c r="CJ276" s="458"/>
      <c r="CK276" s="458"/>
    </row>
    <row r="277" spans="1:89" ht="20.25" customHeight="1" x14ac:dyDescent="0.35">
      <c r="A277" s="473">
        <v>280</v>
      </c>
      <c r="B277" s="459" t="s">
        <v>3946</v>
      </c>
      <c r="C277" s="459" t="s">
        <v>2394</v>
      </c>
      <c r="D277" s="459"/>
      <c r="E277" s="459" t="s">
        <v>2814</v>
      </c>
      <c r="F277" s="459" t="s">
        <v>4140</v>
      </c>
      <c r="G277" s="458">
        <v>12</v>
      </c>
      <c r="H277" s="459" t="s">
        <v>51</v>
      </c>
      <c r="I277" s="459" t="s">
        <v>4136</v>
      </c>
      <c r="J277" s="482" t="s">
        <v>3947</v>
      </c>
      <c r="K277" s="459"/>
      <c r="L277" s="459" t="s">
        <v>4136</v>
      </c>
      <c r="M277" s="458"/>
      <c r="N277" s="462"/>
      <c r="O277" s="474" t="s">
        <v>149</v>
      </c>
      <c r="P277" s="462"/>
      <c r="Q277" s="458"/>
      <c r="R277" s="475" t="s">
        <v>3948</v>
      </c>
      <c r="S277" s="476" t="s">
        <v>3949</v>
      </c>
      <c r="T277" s="489" t="s">
        <v>3950</v>
      </c>
      <c r="U277" s="459">
        <v>2016</v>
      </c>
      <c r="V277" s="460">
        <v>30578</v>
      </c>
      <c r="W277" s="461" t="s">
        <v>3951</v>
      </c>
      <c r="X277" s="470" t="s">
        <v>154</v>
      </c>
      <c r="Y277" s="462"/>
      <c r="Z277" s="462"/>
      <c r="AA277" s="458"/>
      <c r="AB277" s="458"/>
      <c r="AC277" s="483">
        <v>46083</v>
      </c>
      <c r="AD277" s="463"/>
      <c r="AE277" s="458"/>
      <c r="AF277" s="458"/>
      <c r="AG277" s="458"/>
      <c r="AH277" s="464"/>
      <c r="AI277" s="463"/>
      <c r="AJ277" s="458"/>
      <c r="AK277" s="458"/>
      <c r="AL277" s="464"/>
      <c r="AM277" s="464"/>
      <c r="AN277" s="464"/>
      <c r="AO277" s="465"/>
      <c r="AP277" s="466" t="s">
        <v>3952</v>
      </c>
      <c r="AQ277" s="465"/>
      <c r="AR277" s="464"/>
      <c r="AS277" s="458"/>
      <c r="AT277" s="467"/>
      <c r="AU277" s="477" t="s">
        <v>3953</v>
      </c>
      <c r="AV277" s="458"/>
      <c r="AW277" s="478">
        <v>46083</v>
      </c>
      <c r="AX277" s="458"/>
      <c r="AY277" s="464"/>
      <c r="AZ277" s="458"/>
      <c r="BA277" s="458"/>
      <c r="BB277" s="458"/>
      <c r="BC277" s="458"/>
      <c r="BD277" s="458"/>
      <c r="BE277" s="458"/>
      <c r="BF277" s="458"/>
      <c r="BG277" s="463"/>
      <c r="BH277" s="458"/>
      <c r="BI277" s="458"/>
      <c r="BJ277" s="458"/>
      <c r="BK277" s="458"/>
      <c r="BL277" s="458"/>
      <c r="BM277" s="468"/>
      <c r="BN277" s="477" t="s">
        <v>17</v>
      </c>
      <c r="BO277" s="469"/>
      <c r="BP277" s="464"/>
      <c r="BQ277" s="463"/>
      <c r="BR277" s="459">
        <v>8</v>
      </c>
      <c r="BS277" s="472"/>
      <c r="BT277" s="458"/>
      <c r="BU277" s="458"/>
      <c r="BV277" s="458"/>
      <c r="BW277" s="463"/>
      <c r="BX277" s="458"/>
      <c r="BY277" s="458"/>
      <c r="BZ277" s="458"/>
      <c r="CA277" s="458"/>
      <c r="CB277" s="458"/>
      <c r="CC277" s="463"/>
      <c r="CD277" s="458"/>
      <c r="CE277" s="458"/>
      <c r="CF277" s="458"/>
      <c r="CG277" s="458"/>
      <c r="CH277" s="458"/>
      <c r="CI277" s="463"/>
      <c r="CJ277" s="458"/>
      <c r="CK277" s="458"/>
    </row>
    <row r="278" spans="1:89" ht="20.25" customHeight="1" x14ac:dyDescent="0.35">
      <c r="A278" s="479">
        <v>281</v>
      </c>
      <c r="B278" s="459" t="s">
        <v>3954</v>
      </c>
      <c r="C278" s="459" t="s">
        <v>2394</v>
      </c>
      <c r="D278" s="459" t="s">
        <v>3955</v>
      </c>
      <c r="E278" s="459" t="s">
        <v>3956</v>
      </c>
      <c r="F278" s="459" t="s">
        <v>4140</v>
      </c>
      <c r="G278" s="458">
        <v>12</v>
      </c>
      <c r="H278" s="459" t="s">
        <v>58</v>
      </c>
      <c r="I278" s="459" t="s">
        <v>35</v>
      </c>
      <c r="J278" s="482" t="s">
        <v>600</v>
      </c>
      <c r="K278" s="459" t="s">
        <v>3957</v>
      </c>
      <c r="L278" s="488" t="s">
        <v>35</v>
      </c>
      <c r="M278" s="458" t="s">
        <v>148</v>
      </c>
      <c r="N278" s="462"/>
      <c r="O278" s="474" t="s">
        <v>320</v>
      </c>
      <c r="P278" s="462"/>
      <c r="Q278" s="458"/>
      <c r="R278" s="475" t="s">
        <v>3958</v>
      </c>
      <c r="S278" s="476" t="s">
        <v>3959</v>
      </c>
      <c r="T278" s="489" t="s">
        <v>3960</v>
      </c>
      <c r="U278" s="459" t="s">
        <v>3961</v>
      </c>
      <c r="V278" s="460">
        <v>33274</v>
      </c>
      <c r="W278" s="461" t="s">
        <v>3962</v>
      </c>
      <c r="X278" s="470" t="s">
        <v>3922</v>
      </c>
      <c r="Y278" s="462"/>
      <c r="Z278" s="462"/>
      <c r="AA278" s="458"/>
      <c r="AB278" s="458"/>
      <c r="AC278" s="483">
        <v>46083</v>
      </c>
      <c r="AD278" s="463"/>
      <c r="AE278" s="458"/>
      <c r="AF278" s="458"/>
      <c r="AG278" s="458"/>
      <c r="AH278" s="464"/>
      <c r="AI278" s="463"/>
      <c r="AJ278" s="458"/>
      <c r="AK278" s="458"/>
      <c r="AL278" s="464"/>
      <c r="AM278" s="464"/>
      <c r="AN278" s="464"/>
      <c r="AO278" s="465"/>
      <c r="AP278" s="466" t="s">
        <v>179</v>
      </c>
      <c r="AQ278" s="465"/>
      <c r="AR278" s="464"/>
      <c r="AS278" s="458"/>
      <c r="AT278" s="467"/>
      <c r="AU278" s="477" t="s">
        <v>3963</v>
      </c>
      <c r="AV278" s="458"/>
      <c r="AW278" s="478">
        <v>46083</v>
      </c>
      <c r="AX278" s="458"/>
      <c r="AY278" s="464"/>
      <c r="AZ278" s="458"/>
      <c r="BA278" s="458"/>
      <c r="BB278" s="458"/>
      <c r="BC278" s="458"/>
      <c r="BD278" s="458"/>
      <c r="BE278" s="458"/>
      <c r="BF278" s="458"/>
      <c r="BG278" s="463"/>
      <c r="BH278" s="458"/>
      <c r="BI278" s="458"/>
      <c r="BJ278" s="458"/>
      <c r="BK278" s="458"/>
      <c r="BL278" s="458"/>
      <c r="BM278" s="468"/>
      <c r="BN278" s="477" t="s">
        <v>17</v>
      </c>
      <c r="BO278" s="469"/>
      <c r="BP278" s="464"/>
      <c r="BQ278" s="463"/>
      <c r="BR278" s="459">
        <v>0</v>
      </c>
      <c r="BS278" s="472"/>
      <c r="BT278" s="458"/>
      <c r="BU278" s="458"/>
      <c r="BV278" s="458"/>
      <c r="BW278" s="463"/>
      <c r="BX278" s="458"/>
      <c r="BY278" s="458"/>
      <c r="BZ278" s="458"/>
      <c r="CA278" s="458"/>
      <c r="CB278" s="458"/>
      <c r="CC278" s="463"/>
      <c r="CD278" s="458"/>
      <c r="CE278" s="458"/>
      <c r="CF278" s="458"/>
      <c r="CG278" s="458"/>
      <c r="CH278" s="458"/>
      <c r="CI278" s="463"/>
      <c r="CJ278" s="458"/>
      <c r="CK278" s="458"/>
    </row>
    <row r="279" spans="1:89" ht="20.25" customHeight="1" x14ac:dyDescent="0.35">
      <c r="A279" s="473">
        <v>282</v>
      </c>
      <c r="B279" s="459" t="s">
        <v>3964</v>
      </c>
      <c r="C279" s="459" t="s">
        <v>3965</v>
      </c>
      <c r="D279" s="459" t="s">
        <v>3966</v>
      </c>
      <c r="E279" s="459" t="s">
        <v>2603</v>
      </c>
      <c r="F279" s="459" t="s">
        <v>4140</v>
      </c>
      <c r="G279" s="458">
        <v>12</v>
      </c>
      <c r="H279" s="459" t="s">
        <v>50</v>
      </c>
      <c r="I279" s="459" t="s">
        <v>42</v>
      </c>
      <c r="J279" s="482" t="s">
        <v>3967</v>
      </c>
      <c r="K279" s="459" t="s">
        <v>1158</v>
      </c>
      <c r="L279" s="488" t="s">
        <v>42</v>
      </c>
      <c r="M279" s="458" t="s">
        <v>148</v>
      </c>
      <c r="N279" s="462"/>
      <c r="O279" s="474" t="s">
        <v>320</v>
      </c>
      <c r="P279" s="462"/>
      <c r="Q279" s="458"/>
      <c r="R279" s="475" t="s">
        <v>3968</v>
      </c>
      <c r="S279" s="476" t="s">
        <v>3969</v>
      </c>
      <c r="T279" s="489" t="s">
        <v>3970</v>
      </c>
      <c r="U279" s="459" t="s">
        <v>3971</v>
      </c>
      <c r="V279" s="460">
        <v>32423</v>
      </c>
      <c r="W279" s="461" t="s">
        <v>3972</v>
      </c>
      <c r="X279" s="470" t="s">
        <v>3922</v>
      </c>
      <c r="Y279" s="462"/>
      <c r="Z279" s="462"/>
      <c r="AA279" s="458"/>
      <c r="AB279" s="458"/>
      <c r="AC279" s="483">
        <v>46083</v>
      </c>
      <c r="AD279" s="463"/>
      <c r="AE279" s="458"/>
      <c r="AF279" s="458"/>
      <c r="AG279" s="458"/>
      <c r="AH279" s="464"/>
      <c r="AI279" s="463"/>
      <c r="AJ279" s="458"/>
      <c r="AK279" s="458"/>
      <c r="AL279" s="464"/>
      <c r="AM279" s="464"/>
      <c r="AN279" s="464"/>
      <c r="AO279" s="465"/>
      <c r="AP279" s="466" t="s">
        <v>1181</v>
      </c>
      <c r="AQ279" s="465"/>
      <c r="AR279" s="464"/>
      <c r="AS279" s="458"/>
      <c r="AT279" s="467"/>
      <c r="AU279" s="477" t="s">
        <v>3973</v>
      </c>
      <c r="AV279" s="458"/>
      <c r="AW279" s="478">
        <v>46083</v>
      </c>
      <c r="AX279" s="458"/>
      <c r="AY279" s="464"/>
      <c r="AZ279" s="458"/>
      <c r="BA279" s="458"/>
      <c r="BB279" s="458"/>
      <c r="BC279" s="458"/>
      <c r="BD279" s="458"/>
      <c r="BE279" s="458"/>
      <c r="BF279" s="458"/>
      <c r="BG279" s="463"/>
      <c r="BH279" s="458"/>
      <c r="BI279" s="458"/>
      <c r="BJ279" s="458"/>
      <c r="BK279" s="458"/>
      <c r="BL279" s="458"/>
      <c r="BM279" s="468"/>
      <c r="BN279" s="477" t="s">
        <v>17</v>
      </c>
      <c r="BO279" s="469"/>
      <c r="BP279" s="464"/>
      <c r="BQ279" s="463"/>
      <c r="BR279" s="459">
        <v>1</v>
      </c>
      <c r="BS279" s="472"/>
      <c r="BT279" s="458"/>
      <c r="BU279" s="458"/>
      <c r="BV279" s="458"/>
      <c r="BW279" s="463"/>
      <c r="BX279" s="458"/>
      <c r="BY279" s="458"/>
      <c r="BZ279" s="458"/>
      <c r="CA279" s="458"/>
      <c r="CB279" s="458"/>
      <c r="CC279" s="463"/>
      <c r="CD279" s="458"/>
      <c r="CE279" s="458"/>
      <c r="CF279" s="458"/>
      <c r="CG279" s="458"/>
      <c r="CH279" s="458"/>
      <c r="CI279" s="463"/>
      <c r="CJ279" s="458"/>
      <c r="CK279" s="458"/>
    </row>
    <row r="280" spans="1:89" ht="20.25" customHeight="1" x14ac:dyDescent="0.35">
      <c r="A280" s="479">
        <v>283</v>
      </c>
      <c r="B280" s="459" t="s">
        <v>3974</v>
      </c>
      <c r="C280" s="459" t="s">
        <v>3975</v>
      </c>
      <c r="D280" s="459" t="s">
        <v>569</v>
      </c>
      <c r="E280" s="459" t="s">
        <v>3976</v>
      </c>
      <c r="F280" s="459" t="s">
        <v>4139</v>
      </c>
      <c r="G280" s="458">
        <v>12</v>
      </c>
      <c r="H280" s="459" t="s">
        <v>52</v>
      </c>
      <c r="I280" s="459" t="s">
        <v>31</v>
      </c>
      <c r="J280" s="482" t="s">
        <v>2690</v>
      </c>
      <c r="K280" s="459" t="s">
        <v>2690</v>
      </c>
      <c r="L280" s="488" t="s">
        <v>31</v>
      </c>
      <c r="M280" s="458" t="s">
        <v>148</v>
      </c>
      <c r="N280" s="462"/>
      <c r="O280" s="474" t="s">
        <v>149</v>
      </c>
      <c r="P280" s="462"/>
      <c r="Q280" s="458"/>
      <c r="R280" s="475" t="s">
        <v>3977</v>
      </c>
      <c r="S280" s="476" t="s">
        <v>3978</v>
      </c>
      <c r="T280" s="489" t="s">
        <v>3979</v>
      </c>
      <c r="U280" s="459" t="s">
        <v>3980</v>
      </c>
      <c r="V280" s="460">
        <v>32371</v>
      </c>
      <c r="W280" s="461" t="s">
        <v>3981</v>
      </c>
      <c r="X280" s="470" t="s">
        <v>3687</v>
      </c>
      <c r="Y280" s="462"/>
      <c r="Z280" s="462"/>
      <c r="AA280" s="458"/>
      <c r="AB280" s="458"/>
      <c r="AC280" s="483">
        <v>46083</v>
      </c>
      <c r="AD280" s="463"/>
      <c r="AE280" s="458"/>
      <c r="AF280" s="458"/>
      <c r="AG280" s="458"/>
      <c r="AH280" s="464"/>
      <c r="AI280" s="463"/>
      <c r="AJ280" s="458"/>
      <c r="AK280" s="458"/>
      <c r="AL280" s="464"/>
      <c r="AM280" s="464"/>
      <c r="AN280" s="464"/>
      <c r="AO280" s="465"/>
      <c r="AP280" s="466" t="s">
        <v>201</v>
      </c>
      <c r="AQ280" s="465"/>
      <c r="AR280" s="464"/>
      <c r="AS280" s="458"/>
      <c r="AT280" s="467"/>
      <c r="AU280" s="477" t="s">
        <v>3982</v>
      </c>
      <c r="AV280" s="458"/>
      <c r="AW280" s="478">
        <v>46083</v>
      </c>
      <c r="AX280" s="458"/>
      <c r="AY280" s="464"/>
      <c r="AZ280" s="458"/>
      <c r="BA280" s="458"/>
      <c r="BB280" s="458"/>
      <c r="BC280" s="458"/>
      <c r="BD280" s="458"/>
      <c r="BE280" s="458"/>
      <c r="BF280" s="458"/>
      <c r="BG280" s="463"/>
      <c r="BH280" s="458"/>
      <c r="BI280" s="458"/>
      <c r="BJ280" s="458"/>
      <c r="BK280" s="458"/>
      <c r="BL280" s="458"/>
      <c r="BM280" s="468"/>
      <c r="BN280" s="477" t="s">
        <v>17</v>
      </c>
      <c r="BO280" s="469"/>
      <c r="BP280" s="464"/>
      <c r="BQ280" s="463"/>
      <c r="BR280" s="459">
        <v>43</v>
      </c>
      <c r="BS280" s="472"/>
      <c r="BT280" s="458"/>
      <c r="BU280" s="458"/>
      <c r="BV280" s="458"/>
      <c r="BW280" s="463"/>
      <c r="BX280" s="458"/>
      <c r="BY280" s="458"/>
      <c r="BZ280" s="458"/>
      <c r="CA280" s="458"/>
      <c r="CB280" s="458"/>
      <c r="CC280" s="463"/>
      <c r="CD280" s="458"/>
      <c r="CE280" s="458"/>
      <c r="CF280" s="458"/>
      <c r="CG280" s="458"/>
      <c r="CH280" s="458"/>
      <c r="CI280" s="463"/>
      <c r="CJ280" s="458"/>
      <c r="CK280" s="458"/>
    </row>
    <row r="281" spans="1:89" ht="20.25" customHeight="1" x14ac:dyDescent="0.35">
      <c r="A281" s="473">
        <v>284</v>
      </c>
      <c r="B281" s="459" t="s">
        <v>3983</v>
      </c>
      <c r="C281" s="459" t="s">
        <v>3556</v>
      </c>
      <c r="D281" s="459" t="s">
        <v>3984</v>
      </c>
      <c r="E281" s="459" t="s">
        <v>3985</v>
      </c>
      <c r="F281" s="459" t="s">
        <v>4139</v>
      </c>
      <c r="G281" s="458">
        <v>12</v>
      </c>
      <c r="H281" s="459" t="s">
        <v>52</v>
      </c>
      <c r="I281" s="459" t="s">
        <v>31</v>
      </c>
      <c r="J281" s="482" t="s">
        <v>3338</v>
      </c>
      <c r="K281" s="459"/>
      <c r="L281" s="459" t="s">
        <v>31</v>
      </c>
      <c r="M281" s="458"/>
      <c r="N281" s="462"/>
      <c r="O281" s="474" t="s">
        <v>149</v>
      </c>
      <c r="P281" s="462"/>
      <c r="Q281" s="458"/>
      <c r="R281" s="475" t="s">
        <v>3986</v>
      </c>
      <c r="S281" s="476" t="s">
        <v>3987</v>
      </c>
      <c r="T281" s="489" t="s">
        <v>3988</v>
      </c>
      <c r="U281" s="459" t="s">
        <v>3989</v>
      </c>
      <c r="V281" s="460"/>
      <c r="W281" s="461" t="s">
        <v>3990</v>
      </c>
      <c r="X281" s="470" t="s">
        <v>154</v>
      </c>
      <c r="Y281" s="462"/>
      <c r="Z281" s="462"/>
      <c r="AA281" s="458"/>
      <c r="AB281" s="458"/>
      <c r="AC281" s="483">
        <v>46083</v>
      </c>
      <c r="AD281" s="463"/>
      <c r="AE281" s="458"/>
      <c r="AF281" s="458"/>
      <c r="AG281" s="458"/>
      <c r="AH281" s="464"/>
      <c r="AI281" s="463"/>
      <c r="AJ281" s="458"/>
      <c r="AK281" s="458"/>
      <c r="AL281" s="464"/>
      <c r="AM281" s="464"/>
      <c r="AN281" s="464"/>
      <c r="AO281" s="465"/>
      <c r="AP281" s="466" t="s">
        <v>2200</v>
      </c>
      <c r="AQ281" s="465"/>
      <c r="AR281" s="464"/>
      <c r="AS281" s="458"/>
      <c r="AT281" s="467"/>
      <c r="AU281" s="477" t="s">
        <v>3991</v>
      </c>
      <c r="AV281" s="458"/>
      <c r="AW281" s="478">
        <v>46083</v>
      </c>
      <c r="AX281" s="458"/>
      <c r="AY281" s="464"/>
      <c r="AZ281" s="458"/>
      <c r="BA281" s="458"/>
      <c r="BB281" s="458"/>
      <c r="BC281" s="458"/>
      <c r="BD281" s="458"/>
      <c r="BE281" s="458"/>
      <c r="BF281" s="458"/>
      <c r="BG281" s="463"/>
      <c r="BH281" s="458"/>
      <c r="BI281" s="458"/>
      <c r="BJ281" s="458"/>
      <c r="BK281" s="458"/>
      <c r="BL281" s="458"/>
      <c r="BM281" s="468"/>
      <c r="BN281" s="477" t="s">
        <v>17</v>
      </c>
      <c r="BO281" s="469"/>
      <c r="BP281" s="464"/>
      <c r="BQ281" s="463"/>
      <c r="BR281" s="459">
        <v>15</v>
      </c>
      <c r="BS281" s="472"/>
      <c r="BT281" s="458"/>
      <c r="BU281" s="458"/>
      <c r="BV281" s="458"/>
      <c r="BW281" s="463"/>
      <c r="BX281" s="458"/>
      <c r="BY281" s="458"/>
      <c r="BZ281" s="458"/>
      <c r="CA281" s="458"/>
      <c r="CB281" s="458"/>
      <c r="CC281" s="463"/>
      <c r="CD281" s="458"/>
      <c r="CE281" s="458"/>
      <c r="CF281" s="458"/>
      <c r="CG281" s="458"/>
      <c r="CH281" s="458"/>
      <c r="CI281" s="463"/>
      <c r="CJ281" s="458"/>
      <c r="CK281" s="458"/>
    </row>
    <row r="282" spans="1:89" ht="20.25" customHeight="1" x14ac:dyDescent="0.35">
      <c r="A282" s="479">
        <v>285</v>
      </c>
      <c r="B282" s="459" t="s">
        <v>3992</v>
      </c>
      <c r="C282" s="459" t="s">
        <v>3993</v>
      </c>
      <c r="D282" s="459" t="s">
        <v>3994</v>
      </c>
      <c r="E282" s="459" t="s">
        <v>3995</v>
      </c>
      <c r="F282" s="459" t="s">
        <v>4139</v>
      </c>
      <c r="G282" s="458">
        <v>12</v>
      </c>
      <c r="H282" s="459" t="s">
        <v>52</v>
      </c>
      <c r="I282" s="459" t="s">
        <v>31</v>
      </c>
      <c r="J282" s="482" t="s">
        <v>3996</v>
      </c>
      <c r="K282" s="459" t="s">
        <v>3996</v>
      </c>
      <c r="L282" s="459" t="s">
        <v>31</v>
      </c>
      <c r="M282" s="458"/>
      <c r="N282" s="462"/>
      <c r="O282" s="474" t="s">
        <v>149</v>
      </c>
      <c r="P282" s="462"/>
      <c r="Q282" s="458"/>
      <c r="R282" s="475" t="s">
        <v>3997</v>
      </c>
      <c r="S282" s="476" t="s">
        <v>3998</v>
      </c>
      <c r="T282" s="489" t="s">
        <v>3999</v>
      </c>
      <c r="U282" s="480" t="s">
        <v>4000</v>
      </c>
      <c r="V282" s="460">
        <v>33414</v>
      </c>
      <c r="W282" s="461" t="s">
        <v>4001</v>
      </c>
      <c r="X282" s="470" t="s">
        <v>3922</v>
      </c>
      <c r="Y282" s="462"/>
      <c r="Z282" s="462"/>
      <c r="AA282" s="458"/>
      <c r="AB282" s="458"/>
      <c r="AC282" s="483">
        <v>46083</v>
      </c>
      <c r="AD282" s="463"/>
      <c r="AE282" s="458"/>
      <c r="AF282" s="458"/>
      <c r="AG282" s="458"/>
      <c r="AH282" s="464"/>
      <c r="AI282" s="463"/>
      <c r="AJ282" s="458"/>
      <c r="AK282" s="458"/>
      <c r="AL282" s="464"/>
      <c r="AM282" s="464"/>
      <c r="AN282" s="464"/>
      <c r="AO282" s="465"/>
      <c r="AP282" s="466" t="s">
        <v>179</v>
      </c>
      <c r="AQ282" s="465"/>
      <c r="AR282" s="464"/>
      <c r="AS282" s="458"/>
      <c r="AT282" s="467"/>
      <c r="AU282" s="477" t="s">
        <v>4002</v>
      </c>
      <c r="AV282" s="458"/>
      <c r="AW282" s="478">
        <v>46083</v>
      </c>
      <c r="AX282" s="458"/>
      <c r="AY282" s="464"/>
      <c r="AZ282" s="458"/>
      <c r="BA282" s="458"/>
      <c r="BB282" s="458"/>
      <c r="BC282" s="458"/>
      <c r="BD282" s="458"/>
      <c r="BE282" s="458"/>
      <c r="BF282" s="458"/>
      <c r="BG282" s="463"/>
      <c r="BH282" s="458"/>
      <c r="BI282" s="458"/>
      <c r="BJ282" s="458"/>
      <c r="BK282" s="458"/>
      <c r="BL282" s="458"/>
      <c r="BM282" s="468"/>
      <c r="BN282" s="477" t="s">
        <v>17</v>
      </c>
      <c r="BO282" s="469"/>
      <c r="BP282" s="464"/>
      <c r="BQ282" s="463"/>
      <c r="BR282" s="459">
        <v>16</v>
      </c>
      <c r="BS282" s="472"/>
      <c r="BT282" s="458"/>
      <c r="BU282" s="458"/>
      <c r="BV282" s="458"/>
      <c r="BW282" s="463"/>
      <c r="BX282" s="458"/>
      <c r="BY282" s="458"/>
      <c r="BZ282" s="458"/>
      <c r="CA282" s="458"/>
      <c r="CB282" s="458"/>
      <c r="CC282" s="463"/>
      <c r="CD282" s="458"/>
      <c r="CE282" s="458"/>
      <c r="CF282" s="458"/>
      <c r="CG282" s="458"/>
      <c r="CH282" s="458"/>
      <c r="CI282" s="463"/>
      <c r="CJ282" s="458"/>
      <c r="CK282" s="458"/>
    </row>
    <row r="283" spans="1:89" ht="20.25" customHeight="1" x14ac:dyDescent="0.35">
      <c r="A283" s="473">
        <v>286</v>
      </c>
      <c r="B283" s="459" t="s">
        <v>4003</v>
      </c>
      <c r="C283" s="459" t="s">
        <v>4004</v>
      </c>
      <c r="D283" s="459"/>
      <c r="E283" s="459" t="s">
        <v>4005</v>
      </c>
      <c r="F283" s="459" t="s">
        <v>4139</v>
      </c>
      <c r="G283" s="458">
        <v>12</v>
      </c>
      <c r="H283" s="459" t="s">
        <v>50</v>
      </c>
      <c r="I283" s="459" t="s">
        <v>38</v>
      </c>
      <c r="J283" s="482" t="s">
        <v>600</v>
      </c>
      <c r="K283" s="459"/>
      <c r="L283" s="488" t="s">
        <v>44</v>
      </c>
      <c r="M283" s="458"/>
      <c r="N283" s="462"/>
      <c r="O283" s="474" t="s">
        <v>320</v>
      </c>
      <c r="P283" s="462"/>
      <c r="Q283" s="458"/>
      <c r="R283" s="475" t="s">
        <v>4006</v>
      </c>
      <c r="S283" s="476" t="s">
        <v>4007</v>
      </c>
      <c r="T283" s="489" t="s">
        <v>4008</v>
      </c>
      <c r="U283" s="459" t="s">
        <v>4009</v>
      </c>
      <c r="V283" s="460">
        <v>33824</v>
      </c>
      <c r="W283" s="461" t="s">
        <v>4010</v>
      </c>
      <c r="X283" s="470" t="s">
        <v>3575</v>
      </c>
      <c r="Y283" s="462"/>
      <c r="Z283" s="462"/>
      <c r="AA283" s="458"/>
      <c r="AB283" s="458"/>
      <c r="AC283" s="483">
        <v>46083</v>
      </c>
      <c r="AD283" s="463"/>
      <c r="AE283" s="458"/>
      <c r="AF283" s="458"/>
      <c r="AG283" s="458"/>
      <c r="AH283" s="464"/>
      <c r="AI283" s="463"/>
      <c r="AJ283" s="458"/>
      <c r="AK283" s="458"/>
      <c r="AL283" s="464"/>
      <c r="AM283" s="464"/>
      <c r="AN283" s="464"/>
      <c r="AO283" s="465"/>
      <c r="AP283" s="466" t="s">
        <v>4011</v>
      </c>
      <c r="AQ283" s="465"/>
      <c r="AR283" s="464"/>
      <c r="AS283" s="458"/>
      <c r="AT283" s="467"/>
      <c r="AU283" s="477" t="s">
        <v>4012</v>
      </c>
      <c r="AV283" s="458"/>
      <c r="AW283" s="478">
        <v>46083</v>
      </c>
      <c r="AX283" s="458"/>
      <c r="AY283" s="464"/>
      <c r="AZ283" s="458"/>
      <c r="BA283" s="458"/>
      <c r="BB283" s="458"/>
      <c r="BC283" s="458"/>
      <c r="BD283" s="458"/>
      <c r="BE283" s="458"/>
      <c r="BF283" s="458"/>
      <c r="BG283" s="463"/>
      <c r="BH283" s="458"/>
      <c r="BI283" s="458"/>
      <c r="BJ283" s="458"/>
      <c r="BK283" s="458"/>
      <c r="BL283" s="458"/>
      <c r="BM283" s="468"/>
      <c r="BN283" s="477" t="s">
        <v>17</v>
      </c>
      <c r="BO283" s="469"/>
      <c r="BP283" s="464"/>
      <c r="BQ283" s="463"/>
      <c r="BR283" s="459">
        <v>12</v>
      </c>
      <c r="BS283" s="472"/>
      <c r="BT283" s="458"/>
      <c r="BU283" s="458"/>
      <c r="BV283" s="458"/>
      <c r="BW283" s="463"/>
      <c r="BX283" s="458"/>
      <c r="BY283" s="458"/>
      <c r="BZ283" s="458"/>
      <c r="CA283" s="458"/>
      <c r="CB283" s="458"/>
      <c r="CC283" s="463"/>
      <c r="CD283" s="458"/>
      <c r="CE283" s="458"/>
      <c r="CF283" s="458"/>
      <c r="CG283" s="458"/>
      <c r="CH283" s="458"/>
      <c r="CI283" s="463"/>
      <c r="CJ283" s="458"/>
      <c r="CK283" s="458"/>
    </row>
    <row r="284" spans="1:89" ht="20.25" customHeight="1" x14ac:dyDescent="0.35">
      <c r="A284" s="479">
        <v>287</v>
      </c>
      <c r="B284" s="459" t="s">
        <v>4013</v>
      </c>
      <c r="C284" s="459" t="s">
        <v>4014</v>
      </c>
      <c r="D284" s="459"/>
      <c r="E284" s="459" t="s">
        <v>4015</v>
      </c>
      <c r="F284" s="459" t="s">
        <v>4140</v>
      </c>
      <c r="G284" s="458">
        <v>12</v>
      </c>
      <c r="H284" s="459" t="s">
        <v>58</v>
      </c>
      <c r="I284" s="459" t="s">
        <v>35</v>
      </c>
      <c r="J284" s="482" t="s">
        <v>3268</v>
      </c>
      <c r="K284" s="459" t="s">
        <v>4016</v>
      </c>
      <c r="L284" s="488" t="s">
        <v>35</v>
      </c>
      <c r="M284" s="458" t="s">
        <v>148</v>
      </c>
      <c r="N284" s="462"/>
      <c r="O284" s="474" t="s">
        <v>149</v>
      </c>
      <c r="P284" s="462"/>
      <c r="Q284" s="458"/>
      <c r="R284" s="475" t="s">
        <v>4017</v>
      </c>
      <c r="S284" s="476" t="s">
        <v>4018</v>
      </c>
      <c r="T284" s="489" t="s">
        <v>4019</v>
      </c>
      <c r="U284" s="459">
        <v>2018</v>
      </c>
      <c r="V284" s="460">
        <v>31835</v>
      </c>
      <c r="W284" s="461" t="s">
        <v>4020</v>
      </c>
      <c r="X284" s="470" t="s">
        <v>154</v>
      </c>
      <c r="Y284" s="462"/>
      <c r="Z284" s="462"/>
      <c r="AA284" s="458"/>
      <c r="AB284" s="458"/>
      <c r="AC284" s="483">
        <v>46083</v>
      </c>
      <c r="AD284" s="463"/>
      <c r="AE284" s="458"/>
      <c r="AF284" s="458"/>
      <c r="AG284" s="458"/>
      <c r="AH284" s="464"/>
      <c r="AI284" s="463"/>
      <c r="AJ284" s="458"/>
      <c r="AK284" s="458"/>
      <c r="AL284" s="464"/>
      <c r="AM284" s="464"/>
      <c r="AN284" s="464"/>
      <c r="AO284" s="465"/>
      <c r="AP284" s="466" t="s">
        <v>4021</v>
      </c>
      <c r="AQ284" s="465"/>
      <c r="AR284" s="464"/>
      <c r="AS284" s="458"/>
      <c r="AT284" s="467"/>
      <c r="AU284" s="477" t="s">
        <v>4022</v>
      </c>
      <c r="AV284" s="458"/>
      <c r="AW284" s="478">
        <v>46083</v>
      </c>
      <c r="AX284" s="458"/>
      <c r="AY284" s="464"/>
      <c r="AZ284" s="458"/>
      <c r="BA284" s="458"/>
      <c r="BB284" s="458"/>
      <c r="BC284" s="458"/>
      <c r="BD284" s="458"/>
      <c r="BE284" s="458"/>
      <c r="BF284" s="458"/>
      <c r="BG284" s="463"/>
      <c r="BH284" s="458"/>
      <c r="BI284" s="458"/>
      <c r="BJ284" s="458"/>
      <c r="BK284" s="458"/>
      <c r="BL284" s="458"/>
      <c r="BM284" s="468"/>
      <c r="BN284" s="477" t="s">
        <v>17</v>
      </c>
      <c r="BO284" s="469"/>
      <c r="BP284" s="464"/>
      <c r="BQ284" s="463"/>
      <c r="BR284" s="459">
        <v>18</v>
      </c>
      <c r="BS284" s="472"/>
      <c r="BT284" s="458"/>
      <c r="BU284" s="458"/>
      <c r="BV284" s="458"/>
      <c r="BW284" s="463"/>
      <c r="BX284" s="458"/>
      <c r="BY284" s="458"/>
      <c r="BZ284" s="458"/>
      <c r="CA284" s="458"/>
      <c r="CB284" s="458"/>
      <c r="CC284" s="463"/>
      <c r="CD284" s="458"/>
      <c r="CE284" s="458"/>
      <c r="CF284" s="458"/>
      <c r="CG284" s="458"/>
      <c r="CH284" s="458"/>
      <c r="CI284" s="463"/>
      <c r="CJ284" s="458"/>
      <c r="CK284" s="458"/>
    </row>
    <row r="285" spans="1:89" ht="20.25" customHeight="1" x14ac:dyDescent="0.35">
      <c r="A285" s="473">
        <v>288</v>
      </c>
      <c r="B285" s="459" t="s">
        <v>4023</v>
      </c>
      <c r="C285" s="459" t="s">
        <v>4024</v>
      </c>
      <c r="D285" s="459" t="s">
        <v>4025</v>
      </c>
      <c r="E285" s="459" t="s">
        <v>4026</v>
      </c>
      <c r="F285" s="459" t="s">
        <v>4140</v>
      </c>
      <c r="G285" s="458">
        <v>12</v>
      </c>
      <c r="H285" s="459" t="s">
        <v>51</v>
      </c>
      <c r="I285" s="459" t="s">
        <v>4136</v>
      </c>
      <c r="J285" s="482" t="s">
        <v>600</v>
      </c>
      <c r="K285" s="459"/>
      <c r="L285" s="459" t="s">
        <v>4136</v>
      </c>
      <c r="M285" s="458"/>
      <c r="N285" s="462"/>
      <c r="O285" s="474" t="s">
        <v>149</v>
      </c>
      <c r="P285" s="462"/>
      <c r="Q285" s="458"/>
      <c r="R285" s="475" t="s">
        <v>4027</v>
      </c>
      <c r="S285" s="476" t="s">
        <v>4028</v>
      </c>
      <c r="T285" s="489" t="s">
        <v>4029</v>
      </c>
      <c r="U285" s="459" t="s">
        <v>4030</v>
      </c>
      <c r="V285" s="460">
        <v>33563</v>
      </c>
      <c r="W285" s="461" t="s">
        <v>4031</v>
      </c>
      <c r="X285" s="470" t="s">
        <v>154</v>
      </c>
      <c r="Y285" s="462"/>
      <c r="Z285" s="462"/>
      <c r="AA285" s="458"/>
      <c r="AB285" s="458"/>
      <c r="AC285" s="483">
        <v>46083</v>
      </c>
      <c r="AD285" s="463"/>
      <c r="AE285" s="458"/>
      <c r="AF285" s="458"/>
      <c r="AG285" s="458"/>
      <c r="AH285" s="464"/>
      <c r="AI285" s="463"/>
      <c r="AJ285" s="458"/>
      <c r="AK285" s="458"/>
      <c r="AL285" s="464"/>
      <c r="AM285" s="464"/>
      <c r="AN285" s="464"/>
      <c r="AO285" s="465"/>
      <c r="AP285" s="466" t="s">
        <v>4032</v>
      </c>
      <c r="AQ285" s="465"/>
      <c r="AR285" s="464"/>
      <c r="AS285" s="458"/>
      <c r="AT285" s="467"/>
      <c r="AU285" s="477" t="s">
        <v>4033</v>
      </c>
      <c r="AV285" s="458"/>
      <c r="AW285" s="478">
        <v>46083</v>
      </c>
      <c r="AX285" s="458"/>
      <c r="AY285" s="464"/>
      <c r="AZ285" s="458"/>
      <c r="BA285" s="458"/>
      <c r="BB285" s="458"/>
      <c r="BC285" s="458"/>
      <c r="BD285" s="458"/>
      <c r="BE285" s="458"/>
      <c r="BF285" s="458"/>
      <c r="BG285" s="463"/>
      <c r="BH285" s="458"/>
      <c r="BI285" s="458"/>
      <c r="BJ285" s="458"/>
      <c r="BK285" s="458"/>
      <c r="BL285" s="458"/>
      <c r="BM285" s="468"/>
      <c r="BN285" s="477" t="s">
        <v>17</v>
      </c>
      <c r="BO285" s="469"/>
      <c r="BP285" s="464"/>
      <c r="BQ285" s="463"/>
      <c r="BR285" s="459">
        <v>10</v>
      </c>
      <c r="BS285" s="472"/>
      <c r="BT285" s="458"/>
      <c r="BU285" s="458"/>
      <c r="BV285" s="458"/>
      <c r="BW285" s="463"/>
      <c r="BX285" s="458"/>
      <c r="BY285" s="458"/>
      <c r="BZ285" s="458"/>
      <c r="CA285" s="458"/>
      <c r="CB285" s="458"/>
      <c r="CC285" s="463"/>
      <c r="CD285" s="458"/>
      <c r="CE285" s="458"/>
      <c r="CF285" s="458"/>
      <c r="CG285" s="458"/>
      <c r="CH285" s="458"/>
      <c r="CI285" s="463"/>
      <c r="CJ285" s="458"/>
      <c r="CK285" s="458"/>
    </row>
    <row r="286" spans="1:89" ht="20.25" customHeight="1" x14ac:dyDescent="0.35">
      <c r="A286" s="479">
        <v>289</v>
      </c>
      <c r="B286" s="459" t="s">
        <v>4034</v>
      </c>
      <c r="C286" s="459" t="s">
        <v>4035</v>
      </c>
      <c r="D286" s="459"/>
      <c r="E286" s="459" t="s">
        <v>4036</v>
      </c>
      <c r="F286" s="459" t="s">
        <v>4139</v>
      </c>
      <c r="G286" s="458">
        <v>12</v>
      </c>
      <c r="H286" s="459" t="s">
        <v>53</v>
      </c>
      <c r="I286" s="459" t="s">
        <v>43</v>
      </c>
      <c r="J286" s="482" t="s">
        <v>4037</v>
      </c>
      <c r="K286" s="459" t="s">
        <v>4038</v>
      </c>
      <c r="L286" s="488" t="s">
        <v>43</v>
      </c>
      <c r="M286" s="458" t="s">
        <v>148</v>
      </c>
      <c r="N286" s="462"/>
      <c r="O286" s="474" t="s">
        <v>149</v>
      </c>
      <c r="P286" s="462"/>
      <c r="Q286" s="458"/>
      <c r="R286" s="475" t="s">
        <v>4039</v>
      </c>
      <c r="S286" s="476" t="s">
        <v>4040</v>
      </c>
      <c r="T286" s="489" t="s">
        <v>4041</v>
      </c>
      <c r="U286" s="459" t="s">
        <v>4042</v>
      </c>
      <c r="V286" s="460">
        <v>32156</v>
      </c>
      <c r="W286" s="461" t="s">
        <v>4043</v>
      </c>
      <c r="X286" s="470" t="s">
        <v>3687</v>
      </c>
      <c r="Y286" s="462"/>
      <c r="Z286" s="462"/>
      <c r="AA286" s="458"/>
      <c r="AB286" s="458"/>
      <c r="AC286" s="483">
        <v>46083</v>
      </c>
      <c r="AD286" s="463"/>
      <c r="AE286" s="458"/>
      <c r="AF286" s="458"/>
      <c r="AG286" s="458"/>
      <c r="AH286" s="464"/>
      <c r="AI286" s="463"/>
      <c r="AJ286" s="458"/>
      <c r="AK286" s="458"/>
      <c r="AL286" s="464"/>
      <c r="AM286" s="464"/>
      <c r="AN286" s="464"/>
      <c r="AO286" s="465"/>
      <c r="AP286" s="466" t="s">
        <v>4044</v>
      </c>
      <c r="AQ286" s="465"/>
      <c r="AR286" s="464"/>
      <c r="AS286" s="458"/>
      <c r="AT286" s="467"/>
      <c r="AU286" s="477" t="s">
        <v>4045</v>
      </c>
      <c r="AV286" s="458"/>
      <c r="AW286" s="478">
        <v>46083</v>
      </c>
      <c r="AX286" s="458"/>
      <c r="AY286" s="464"/>
      <c r="AZ286" s="458"/>
      <c r="BA286" s="458"/>
      <c r="BB286" s="458"/>
      <c r="BC286" s="458"/>
      <c r="BD286" s="458"/>
      <c r="BE286" s="458"/>
      <c r="BF286" s="458"/>
      <c r="BG286" s="463"/>
      <c r="BH286" s="458"/>
      <c r="BI286" s="458"/>
      <c r="BJ286" s="458"/>
      <c r="BK286" s="458"/>
      <c r="BL286" s="458"/>
      <c r="BM286" s="468"/>
      <c r="BN286" s="477" t="s">
        <v>17</v>
      </c>
      <c r="BO286" s="469"/>
      <c r="BP286" s="464"/>
      <c r="BQ286" s="463"/>
      <c r="BR286" s="459">
        <v>10</v>
      </c>
      <c r="BS286" s="472"/>
      <c r="BT286" s="458"/>
      <c r="BU286" s="458"/>
      <c r="BV286" s="458"/>
      <c r="BW286" s="463"/>
      <c r="BX286" s="458"/>
      <c r="BY286" s="458"/>
      <c r="BZ286" s="458"/>
      <c r="CA286" s="458"/>
      <c r="CB286" s="458"/>
      <c r="CC286" s="463"/>
      <c r="CD286" s="458"/>
      <c r="CE286" s="458"/>
      <c r="CF286" s="458"/>
      <c r="CG286" s="458"/>
      <c r="CH286" s="458"/>
      <c r="CI286" s="463"/>
      <c r="CJ286" s="458"/>
      <c r="CK286" s="458"/>
    </row>
    <row r="287" spans="1:89" ht="20.25" customHeight="1" x14ac:dyDescent="0.35">
      <c r="A287" s="473">
        <v>290</v>
      </c>
      <c r="B287" s="459" t="s">
        <v>4046</v>
      </c>
      <c r="C287" s="459" t="s">
        <v>4047</v>
      </c>
      <c r="D287" s="459" t="s">
        <v>4048</v>
      </c>
      <c r="E287" s="459" t="s">
        <v>4049</v>
      </c>
      <c r="F287" s="459" t="s">
        <v>4140</v>
      </c>
      <c r="G287" s="458">
        <v>12</v>
      </c>
      <c r="H287" s="459" t="s">
        <v>50</v>
      </c>
      <c r="I287" s="459" t="s">
        <v>37</v>
      </c>
      <c r="J287" s="482" t="s">
        <v>4050</v>
      </c>
      <c r="K287" s="480" t="s">
        <v>600</v>
      </c>
      <c r="L287" s="488" t="s">
        <v>37</v>
      </c>
      <c r="M287" s="458" t="s">
        <v>148</v>
      </c>
      <c r="N287" s="462"/>
      <c r="O287" s="474" t="s">
        <v>149</v>
      </c>
      <c r="P287" s="462"/>
      <c r="Q287" s="458"/>
      <c r="R287" s="475" t="s">
        <v>4051</v>
      </c>
      <c r="S287" s="476" t="s">
        <v>4052</v>
      </c>
      <c r="T287" s="489" t="s">
        <v>4053</v>
      </c>
      <c r="U287" s="459" t="s">
        <v>4054</v>
      </c>
      <c r="V287" s="460">
        <v>32625</v>
      </c>
      <c r="W287" s="461" t="s">
        <v>4055</v>
      </c>
      <c r="X287" s="470" t="s">
        <v>3922</v>
      </c>
      <c r="Y287" s="462"/>
      <c r="Z287" s="462"/>
      <c r="AA287" s="458"/>
      <c r="AB287" s="458"/>
      <c r="AC287" s="483">
        <v>46083</v>
      </c>
      <c r="AD287" s="463"/>
      <c r="AE287" s="458"/>
      <c r="AF287" s="458"/>
      <c r="AG287" s="458"/>
      <c r="AH287" s="464"/>
      <c r="AI287" s="463"/>
      <c r="AJ287" s="458"/>
      <c r="AK287" s="458"/>
      <c r="AL287" s="464"/>
      <c r="AM287" s="464"/>
      <c r="AN287" s="464"/>
      <c r="AO287" s="465"/>
      <c r="AP287" s="466" t="s">
        <v>2260</v>
      </c>
      <c r="AQ287" s="465"/>
      <c r="AR287" s="464"/>
      <c r="AS287" s="458"/>
      <c r="AT287" s="467"/>
      <c r="AU287" s="477" t="s">
        <v>4056</v>
      </c>
      <c r="AV287" s="458"/>
      <c r="AW287" s="478">
        <v>46083</v>
      </c>
      <c r="AX287" s="458"/>
      <c r="AY287" s="464"/>
      <c r="AZ287" s="458"/>
      <c r="BA287" s="458"/>
      <c r="BB287" s="458"/>
      <c r="BC287" s="458"/>
      <c r="BD287" s="458"/>
      <c r="BE287" s="458"/>
      <c r="BF287" s="458"/>
      <c r="BG287" s="463"/>
      <c r="BH287" s="458"/>
      <c r="BI287" s="458"/>
      <c r="BJ287" s="458"/>
      <c r="BK287" s="458"/>
      <c r="BL287" s="458"/>
      <c r="BM287" s="468"/>
      <c r="BN287" s="477" t="s">
        <v>17</v>
      </c>
      <c r="BO287" s="469"/>
      <c r="BP287" s="464"/>
      <c r="BQ287" s="463"/>
      <c r="BR287" s="459">
        <v>15</v>
      </c>
      <c r="BS287" s="472"/>
      <c r="BT287" s="458"/>
      <c r="BU287" s="458"/>
      <c r="BV287" s="458"/>
      <c r="BW287" s="463"/>
      <c r="BX287" s="458"/>
      <c r="BY287" s="458"/>
      <c r="BZ287" s="458"/>
      <c r="CA287" s="458"/>
      <c r="CB287" s="458"/>
      <c r="CC287" s="463"/>
      <c r="CD287" s="458"/>
      <c r="CE287" s="458"/>
      <c r="CF287" s="458"/>
      <c r="CG287" s="458"/>
      <c r="CH287" s="458"/>
      <c r="CI287" s="463"/>
      <c r="CJ287" s="458"/>
      <c r="CK287" s="458"/>
    </row>
    <row r="288" spans="1:89" ht="20.25" customHeight="1" x14ac:dyDescent="0.35">
      <c r="A288" s="479">
        <v>291</v>
      </c>
      <c r="B288" s="459" t="s">
        <v>4057</v>
      </c>
      <c r="C288" s="459" t="s">
        <v>4058</v>
      </c>
      <c r="D288" s="459"/>
      <c r="E288" s="459" t="s">
        <v>4059</v>
      </c>
      <c r="F288" s="459" t="s">
        <v>4139</v>
      </c>
      <c r="G288" s="458">
        <v>12</v>
      </c>
      <c r="H288" s="459" t="s">
        <v>58</v>
      </c>
      <c r="I288" s="459" t="s">
        <v>35</v>
      </c>
      <c r="J288" s="482" t="s">
        <v>4060</v>
      </c>
      <c r="K288" s="459" t="s">
        <v>2664</v>
      </c>
      <c r="L288" s="488" t="s">
        <v>35</v>
      </c>
      <c r="M288" s="458" t="s">
        <v>148</v>
      </c>
      <c r="N288" s="462"/>
      <c r="O288" s="474" t="s">
        <v>149</v>
      </c>
      <c r="P288" s="462"/>
      <c r="Q288" s="458"/>
      <c r="R288" s="475" t="s">
        <v>4061</v>
      </c>
      <c r="S288" s="476" t="s">
        <v>4062</v>
      </c>
      <c r="T288" s="489" t="s">
        <v>4063</v>
      </c>
      <c r="U288" s="459" t="s">
        <v>4064</v>
      </c>
      <c r="V288" s="460">
        <v>34820</v>
      </c>
      <c r="W288" s="461" t="s">
        <v>4065</v>
      </c>
      <c r="X288" s="470" t="s">
        <v>3922</v>
      </c>
      <c r="Y288" s="462"/>
      <c r="Z288" s="462"/>
      <c r="AA288" s="458"/>
      <c r="AB288" s="458"/>
      <c r="AC288" s="483">
        <v>46083</v>
      </c>
      <c r="AD288" s="463"/>
      <c r="AE288" s="458"/>
      <c r="AF288" s="458"/>
      <c r="AG288" s="458"/>
      <c r="AH288" s="464"/>
      <c r="AI288" s="463"/>
      <c r="AJ288" s="458"/>
      <c r="AK288" s="458"/>
      <c r="AL288" s="464"/>
      <c r="AM288" s="464"/>
      <c r="AN288" s="464"/>
      <c r="AO288" s="465"/>
      <c r="AP288" s="466" t="s">
        <v>4066</v>
      </c>
      <c r="AQ288" s="465"/>
      <c r="AR288" s="464"/>
      <c r="AS288" s="458"/>
      <c r="AT288" s="467"/>
      <c r="AU288" s="477" t="s">
        <v>4067</v>
      </c>
      <c r="AV288" s="458"/>
      <c r="AW288" s="478">
        <v>46083</v>
      </c>
      <c r="AX288" s="458"/>
      <c r="AY288" s="464"/>
      <c r="AZ288" s="458"/>
      <c r="BA288" s="458"/>
      <c r="BB288" s="458"/>
      <c r="BC288" s="458"/>
      <c r="BD288" s="458"/>
      <c r="BE288" s="458"/>
      <c r="BF288" s="458"/>
      <c r="BG288" s="463"/>
      <c r="BH288" s="458"/>
      <c r="BI288" s="458"/>
      <c r="BJ288" s="458"/>
      <c r="BK288" s="458"/>
      <c r="BL288" s="458"/>
      <c r="BM288" s="468"/>
      <c r="BN288" s="477" t="s">
        <v>17</v>
      </c>
      <c r="BO288" s="469"/>
      <c r="BP288" s="464"/>
      <c r="BQ288" s="463"/>
      <c r="BR288" s="459">
        <v>2</v>
      </c>
      <c r="BS288" s="472"/>
      <c r="BT288" s="458"/>
      <c r="BU288" s="458"/>
      <c r="BV288" s="458"/>
      <c r="BW288" s="463"/>
      <c r="BX288" s="458"/>
      <c r="BY288" s="458"/>
      <c r="BZ288" s="458"/>
      <c r="CA288" s="458"/>
      <c r="CB288" s="458"/>
      <c r="CC288" s="463"/>
      <c r="CD288" s="458"/>
      <c r="CE288" s="458"/>
      <c r="CF288" s="458"/>
      <c r="CG288" s="458"/>
      <c r="CH288" s="458"/>
      <c r="CI288" s="463"/>
      <c r="CJ288" s="458"/>
      <c r="CK288" s="458"/>
    </row>
    <row r="296" spans="1:2" ht="15" customHeight="1" x14ac:dyDescent="0.35">
      <c r="A296" s="46" t="s">
        <v>4068</v>
      </c>
      <c r="B296" s="46" t="s">
        <v>15</v>
      </c>
    </row>
    <row r="297" spans="1:2" ht="15" customHeight="1" x14ac:dyDescent="0.35">
      <c r="A297" s="1"/>
      <c r="B297" s="24">
        <v>1</v>
      </c>
    </row>
    <row r="298" spans="1:2" ht="15" customHeight="1" x14ac:dyDescent="0.35">
      <c r="A298" s="11"/>
      <c r="B298" s="24">
        <v>2</v>
      </c>
    </row>
    <row r="299" spans="1:2" ht="15" customHeight="1" x14ac:dyDescent="0.35">
      <c r="A299" s="17"/>
      <c r="B299" s="24">
        <v>3</v>
      </c>
    </row>
    <row r="300" spans="1:2" ht="15" customHeight="1" x14ac:dyDescent="0.35">
      <c r="A300" s="26"/>
      <c r="B300" s="24">
        <v>4</v>
      </c>
    </row>
    <row r="301" spans="1:2" ht="15" customHeight="1" x14ac:dyDescent="0.35">
      <c r="A301" s="30"/>
      <c r="B301" s="24">
        <v>5</v>
      </c>
    </row>
    <row r="302" spans="1:2" ht="15" customHeight="1" x14ac:dyDescent="0.35">
      <c r="A302" s="36"/>
      <c r="B302" s="24">
        <v>6</v>
      </c>
    </row>
    <row r="303" spans="1:2" ht="15" customHeight="1" x14ac:dyDescent="0.35">
      <c r="A303" s="39"/>
      <c r="B303" s="24">
        <v>7</v>
      </c>
    </row>
    <row r="304" spans="1:2" ht="15" customHeight="1" x14ac:dyDescent="0.35">
      <c r="A304" s="26"/>
      <c r="B304" s="24">
        <v>8</v>
      </c>
    </row>
    <row r="305" spans="1:2" ht="15" customHeight="1" x14ac:dyDescent="0.35">
      <c r="A305" s="11"/>
      <c r="B305" s="24">
        <v>9</v>
      </c>
    </row>
    <row r="306" spans="1:2" ht="15" customHeight="1" x14ac:dyDescent="0.35">
      <c r="A306" s="40"/>
      <c r="B306" s="24">
        <v>10</v>
      </c>
    </row>
    <row r="307" spans="1:2" ht="15" customHeight="1" x14ac:dyDescent="0.35">
      <c r="A307" s="40"/>
      <c r="B307" s="24">
        <v>11</v>
      </c>
    </row>
    <row r="308" spans="1:2" ht="15" customHeight="1" x14ac:dyDescent="0.35">
      <c r="A308" s="10"/>
      <c r="B308" s="47" t="s">
        <v>18</v>
      </c>
    </row>
    <row r="309" spans="1:2" ht="15" customHeight="1" x14ac:dyDescent="0.35">
      <c r="A309" s="55"/>
      <c r="B309" s="47" t="s">
        <v>4069</v>
      </c>
    </row>
    <row r="310" spans="1:2" ht="15" customHeight="1" x14ac:dyDescent="0.35">
      <c r="A310" s="24" t="s">
        <v>166</v>
      </c>
      <c r="B310" s="47" t="s">
        <v>4070</v>
      </c>
    </row>
    <row r="311" spans="1:2" ht="15" customHeight="1" x14ac:dyDescent="0.35">
      <c r="A311" s="292"/>
      <c r="B311" s="393" t="s">
        <v>4071</v>
      </c>
    </row>
  </sheetData>
  <autoFilter ref="A1:CX288" xr:uid="{00000000-0001-0000-0200-000000000000}"/>
  <sortState xmlns:xlrd2="http://schemas.microsoft.com/office/spreadsheetml/2017/richdata2" ref="A2:CL246">
    <sortCondition ref="F2:F246"/>
  </sortState>
  <hyperlinks>
    <hyperlink ref="R85" r:id="rId1" xr:uid="{00000000-0004-0000-0200-000000000000}"/>
    <hyperlink ref="S146" r:id="rId2" xr:uid="{00000000-0004-0000-0200-000001000000}"/>
    <hyperlink ref="S172" r:id="rId3" xr:uid="{00000000-0004-0000-0200-000002000000}"/>
    <hyperlink ref="S37" r:id="rId4" xr:uid="{00000000-0004-0000-0200-000003000000}"/>
    <hyperlink ref="S80" r:id="rId5" xr:uid="{00000000-0004-0000-0200-000004000000}"/>
    <hyperlink ref="R89" r:id="rId6" xr:uid="{00000000-0004-0000-0200-000005000000}"/>
    <hyperlink ref="S88" r:id="rId7" xr:uid="{00000000-0004-0000-0200-000006000000}"/>
    <hyperlink ref="S90" r:id="rId8" xr:uid="{00000000-0004-0000-0200-000007000000}"/>
    <hyperlink ref="S107" r:id="rId9" xr:uid="{00000000-0004-0000-0200-000008000000}"/>
    <hyperlink ref="S93" r:id="rId10" xr:uid="{00000000-0004-0000-0200-000009000000}"/>
    <hyperlink ref="S68" r:id="rId11" xr:uid="{00000000-0004-0000-0200-00000A000000}"/>
    <hyperlink ref="S115" r:id="rId12" xr:uid="{00000000-0004-0000-0200-00000B000000}"/>
    <hyperlink ref="S99" r:id="rId13" xr:uid="{00000000-0004-0000-0200-00000C000000}"/>
    <hyperlink ref="S81" r:id="rId14" xr:uid="{00000000-0004-0000-0200-00000D000000}"/>
    <hyperlink ref="S78" r:id="rId15" xr:uid="{00000000-0004-0000-0200-00000E000000}"/>
    <hyperlink ref="S70" r:id="rId16" xr:uid="{00000000-0004-0000-0200-00000F000000}"/>
    <hyperlink ref="S132" r:id="rId17" xr:uid="{00000000-0004-0000-0200-000010000000}"/>
    <hyperlink ref="S141" r:id="rId18" xr:uid="{00000000-0004-0000-0200-000011000000}"/>
    <hyperlink ref="S168" r:id="rId19" xr:uid="{00000000-0004-0000-0200-000012000000}"/>
    <hyperlink ref="S123" r:id="rId20" xr:uid="{00000000-0004-0000-0200-000013000000}"/>
    <hyperlink ref="R158" r:id="rId21" xr:uid="{00000000-0004-0000-0200-000014000000}"/>
    <hyperlink ref="S221" r:id="rId22" xr:uid="{00000000-0004-0000-0200-000015000000}"/>
    <hyperlink ref="S158" r:id="rId23" display="musasiahjustus@yahoo.com" xr:uid="{00000000-0004-0000-0200-000016000000}"/>
    <hyperlink ref="R183" r:id="rId24" xr:uid="{00000000-0004-0000-0200-000017000000}"/>
    <hyperlink ref="S237" r:id="rId25" xr:uid="{00000000-0004-0000-0200-000018000000}"/>
    <hyperlink ref="AU146" r:id="rId26" display="http://orcid.org/0000-0002-7787-8597" xr:uid="{00000000-0004-0000-0200-000019000000}"/>
    <hyperlink ref="AU96" r:id="rId27" display="https://orcid.org/0000-0002-5726-6921" xr:uid="{00000000-0004-0000-0200-00001A000000}"/>
    <hyperlink ref="S197" r:id="rId28" xr:uid="{00000000-0004-0000-0200-00001C000000}"/>
    <hyperlink ref="R190" r:id="rId29" xr:uid="{00000000-0004-0000-0200-00001D000000}"/>
    <hyperlink ref="R152" r:id="rId30" xr:uid="{00000000-0004-0000-0200-00001E000000}"/>
    <hyperlink ref="S54" r:id="rId31" xr:uid="{00000000-0004-0000-0200-00001F000000}"/>
    <hyperlink ref="R84" r:id="rId32" xr:uid="{00000000-0004-0000-0200-000020000000}"/>
    <hyperlink ref="R98" r:id="rId33" xr:uid="{00000000-0004-0000-0200-000021000000}"/>
    <hyperlink ref="R108" r:id="rId34" xr:uid="{00000000-0004-0000-0200-000022000000}"/>
    <hyperlink ref="R142" r:id="rId35" xr:uid="{00000000-0004-0000-0200-000023000000}"/>
    <hyperlink ref="R66" r:id="rId36" xr:uid="{00000000-0004-0000-0200-000024000000}"/>
    <hyperlink ref="S87" r:id="rId37" display="mutua_mike@yahoo.com;_x000a_" xr:uid="{6B09AE7E-F6A4-4A34-8852-613E8CD82C32}"/>
    <hyperlink ref="R41" r:id="rId38" xr:uid="{F01F596E-3472-428A-9126-44A1F9ED4967}"/>
    <hyperlink ref="R97" r:id="rId39" xr:uid="{BED300F1-4F06-43B8-A31D-851CC0306C88}"/>
    <hyperlink ref="S258" r:id="rId40" xr:uid="{B4864E4F-F0F7-4C6C-9B66-85A2A2344B8D}"/>
    <hyperlink ref="S153" r:id="rId41" xr:uid="{62EF75FC-17D2-4CAC-B4EF-82AA9460E74B}"/>
    <hyperlink ref="S151" r:id="rId42" xr:uid="{F6C15C21-FC5F-4C79-92C3-37E1355E31E9}"/>
    <hyperlink ref="S36" r:id="rId43" xr:uid="{FF3EDF7C-7EE0-4249-8D43-11F676368418}"/>
    <hyperlink ref="S148" r:id="rId44" xr:uid="{08B3AFEE-B755-442A-88B5-C1053F990460}"/>
    <hyperlink ref="R16" r:id="rId45" xr:uid="{0D58A5AC-77F5-4BBC-A8A1-47512EC5DE92}"/>
    <hyperlink ref="R131" r:id="rId46" xr:uid="{424A726B-8519-4F14-8906-737CFAD607BD}"/>
    <hyperlink ref="S184" r:id="rId47" xr:uid="{9C9A25D1-2EC0-4D3A-A907-3231E68EE6AB}"/>
    <hyperlink ref="R62" r:id="rId48" xr:uid="{17DAE074-EB75-43E4-BB4C-4B85719CA954}"/>
    <hyperlink ref="R26" r:id="rId49" xr:uid="{B854027C-249B-4876-8BCD-EA7712F08DCA}"/>
    <hyperlink ref="R20" r:id="rId50" xr:uid="{EE4D878F-E759-4315-913D-FB2CAF9B05E5}"/>
    <hyperlink ref="R12" r:id="rId51" xr:uid="{63AE225F-88DC-43FC-B855-249AF126FEBB}"/>
    <hyperlink ref="R52" r:id="rId52" xr:uid="{4D51492E-D96E-4378-BED8-F3786F4D7D1D}"/>
    <hyperlink ref="R31" r:id="rId53" xr:uid="{6538C65A-36DA-443C-AE0F-99F3DDBBF7CF}"/>
    <hyperlink ref="R4" r:id="rId54" xr:uid="{19C2366E-9E33-4A44-A6AB-B84A6A0A16B6}"/>
    <hyperlink ref="R36" r:id="rId55" xr:uid="{2F34AC3C-CD7D-4569-9653-C107D11577AC}"/>
    <hyperlink ref="R49" r:id="rId56" xr:uid="{95C26CE2-2F59-4FE2-A9DA-82047D264551}"/>
    <hyperlink ref="R30" r:id="rId57" xr:uid="{26AFD150-82E1-453A-93EF-5E8A48A071FA}"/>
    <hyperlink ref="R42" r:id="rId58" xr:uid="{3EE32177-945B-46BD-AEA1-C42F671DE2AB}"/>
    <hyperlink ref="R9" r:id="rId59" xr:uid="{2BF5BA89-2C8C-4A7A-AF5D-05D67D3DB3BF}"/>
    <hyperlink ref="R58" r:id="rId60" xr:uid="{CABB3F21-2DAC-4C19-8114-EC15AF40E377}"/>
    <hyperlink ref="R57" r:id="rId61" xr:uid="{10F3D82D-C324-41A9-BE00-1E948C71FBC1}"/>
    <hyperlink ref="R59" r:id="rId62" xr:uid="{1D43DF32-46DE-44B5-9B4B-4EE9346716CA}"/>
    <hyperlink ref="R47" r:id="rId63" xr:uid="{27820F10-9615-40E4-9F71-B71A85D3A4B7}"/>
    <hyperlink ref="R5" r:id="rId64" xr:uid="{E6D38007-9086-4ABA-8D1F-8F3568BE6BCA}"/>
    <hyperlink ref="R51" r:id="rId65" xr:uid="{C03DC3AF-A2EF-41D8-A908-A8C519CBD85F}"/>
    <hyperlink ref="R15" r:id="rId66" xr:uid="{C3353C49-9232-4D82-8433-6C7C0449734B}"/>
    <hyperlink ref="R18" r:id="rId67" xr:uid="{6433788E-AFEE-4733-8539-B5F2481FDBE0}"/>
    <hyperlink ref="R48" r:id="rId68" xr:uid="{093672BB-DCFE-49FF-B787-A4569EE8C8D2}"/>
    <hyperlink ref="R40" r:id="rId69" xr:uid="{78D28CAB-9E9C-47DB-91A1-CA7B73A34CFA}"/>
    <hyperlink ref="R79" r:id="rId70" xr:uid="{9779C2B4-A305-4F48-B1A2-F15BAF44D1A0}"/>
    <hyperlink ref="R28" r:id="rId71" xr:uid="{B4A0050F-E40E-4A6D-A029-461D8D8EF9BA}"/>
    <hyperlink ref="R126" r:id="rId72" xr:uid="{71E5BA8F-C590-4E29-95E3-31FC957A69C4}"/>
    <hyperlink ref="R80" r:id="rId73" xr:uid="{1898C726-643E-412B-BBF7-64A9F9A5ACC1}"/>
    <hyperlink ref="R86" r:id="rId74" xr:uid="{458F9408-6DFD-4DBB-9525-3FBC171B8141}"/>
    <hyperlink ref="R100" r:id="rId75" xr:uid="{08D3999A-13D5-4BEF-98D5-FE7883F775B8}"/>
    <hyperlink ref="R11" r:id="rId76" xr:uid="{35C21B62-B668-4CE1-BEBE-9568BCF67682}"/>
    <hyperlink ref="R103" r:id="rId77" xr:uid="{B5EA70BB-6057-4777-B292-B8E6937674EA}"/>
    <hyperlink ref="R13" r:id="rId78" xr:uid="{9BA64370-F1B7-43A9-8679-B3536A42C3C3}"/>
    <hyperlink ref="R92" r:id="rId79" xr:uid="{79E4664A-DDAF-4D06-8FF3-F707011797C0}"/>
    <hyperlink ref="S161" r:id="rId80" xr:uid="{BF9A2BFC-1ADB-4B17-ADDF-9DE397F113EF}"/>
    <hyperlink ref="S126" r:id="rId81" xr:uid="{74C49840-8A7C-4F13-BA6D-2266546B5342}"/>
    <hyperlink ref="S218" r:id="rId82" xr:uid="{C4BAD285-94BE-4F89-B9E0-51F4046DD017}"/>
    <hyperlink ref="S210" r:id="rId83" xr:uid="{BD1C2116-EFCB-4F31-8456-0BF148004CFB}"/>
    <hyperlink ref="R195" r:id="rId84" xr:uid="{2390D6DE-56AD-4250-9F54-1DF5C7E51908}"/>
    <hyperlink ref="R204" r:id="rId85" xr:uid="{6D80A28E-65E9-496A-B9B2-984957020D2D}"/>
    <hyperlink ref="S147" r:id="rId86" xr:uid="{C7E369D5-60A8-48D9-810B-6718685E9252}"/>
    <hyperlink ref="R72" r:id="rId87" xr:uid="{017CF4E7-E9EE-4FA7-89AD-D92C6BC71FD5}"/>
    <hyperlink ref="S149" r:id="rId88" xr:uid="{4115AE8B-83D8-4924-82FC-2A4DE0B8D994}"/>
    <hyperlink ref="S230" r:id="rId89" xr:uid="{E5C0F08E-71B7-4C6B-985C-E71C0CACB89D}"/>
    <hyperlink ref="R145" r:id="rId90" xr:uid="{8A876F0B-D2B5-408D-AAD5-103502F5A5F8}"/>
    <hyperlink ref="R172" r:id="rId91" xr:uid="{BED36B3C-2A7F-43A6-B667-7D5CDB3BA7DB}"/>
    <hyperlink ref="R196" r:id="rId92" xr:uid="{C8B3A223-5AB9-4750-B5BE-0D94D52242AD}"/>
    <hyperlink ref="R104" r:id="rId93" xr:uid="{C669164E-12BD-41C2-9F47-0B3BB2F9CAEB}"/>
    <hyperlink ref="S104" r:id="rId94" xr:uid="{B7BC676A-B25E-4F72-A345-114ABF9E9706}"/>
    <hyperlink ref="S190" r:id="rId95" xr:uid="{477A30D1-3FC3-4D7B-A578-F8AA24E2DE47}"/>
    <hyperlink ref="R270" r:id="rId96" xr:uid="{FD0F526D-6853-4452-8747-B7AC6B17CF55}"/>
    <hyperlink ref="S270" r:id="rId97" xr:uid="{4A9625E5-3F5A-43BA-B4A9-2EC7E1CE365E}"/>
    <hyperlink ref="R271" r:id="rId98" xr:uid="{24BD03C9-514B-4F9F-A733-F84B2AB21C8B}"/>
    <hyperlink ref="S271" r:id="rId99" xr:uid="{114116F3-7B3F-4C0C-828E-9EEDAB59E115}"/>
    <hyperlink ref="R272" r:id="rId100" xr:uid="{FE46736C-772E-4CFC-AF52-3B0118DEC864}"/>
    <hyperlink ref="S272" r:id="rId101" xr:uid="{727C713F-268F-46DF-A07B-6A6A4DB375B9}"/>
    <hyperlink ref="S273" r:id="rId102" xr:uid="{C35DEAB0-81F0-45D4-B5C9-73D779EF33A1}"/>
    <hyperlink ref="R274" r:id="rId103" xr:uid="{3014D5F3-507F-4D37-8313-8A1FF852BA1A}"/>
    <hyperlink ref="S274" r:id="rId104" xr:uid="{70E20DFD-64E1-41D9-A780-997A9705C687}"/>
    <hyperlink ref="R275" r:id="rId105" xr:uid="{511BA56A-3FDA-4124-9B0B-EE9B4D23B9AF}"/>
    <hyperlink ref="S275" r:id="rId106" xr:uid="{E4EAB517-F7A2-409D-91AA-A6FA7A86BA8E}"/>
    <hyperlink ref="R276" r:id="rId107" xr:uid="{ADE1ACF1-C671-4BCE-B3B0-85134791C49A}"/>
    <hyperlink ref="S276" r:id="rId108" xr:uid="{9FDF68DE-AB51-4189-9F79-E087845E8398}"/>
    <hyperlink ref="R279" r:id="rId109" xr:uid="{E53380C7-369F-4770-9C7A-34CDF9AA4860}"/>
    <hyperlink ref="S279" r:id="rId110" xr:uid="{9155F77A-D5A8-44FE-8FE8-A212392A3EB8}"/>
    <hyperlink ref="R280" r:id="rId111" xr:uid="{981DD11B-6E73-43FD-8716-211C4ED55B36}"/>
    <hyperlink ref="S280" r:id="rId112" xr:uid="{D34B0FF3-DA93-4080-B33E-1135FDA0CD46}"/>
    <hyperlink ref="R281" r:id="rId113" xr:uid="{BA95F896-9C71-4D90-85E8-387ABF2752ED}"/>
    <hyperlink ref="S281" r:id="rId114" xr:uid="{D3779908-084B-4E55-8F83-312584B18019}"/>
    <hyperlink ref="R282" r:id="rId115" xr:uid="{B02FE159-58F5-4439-A2CD-46869142C577}"/>
    <hyperlink ref="S282" r:id="rId116" xr:uid="{FA0A8A1F-248C-4B0F-83A6-0649DDE144DB}"/>
    <hyperlink ref="R284" r:id="rId117" xr:uid="{5BCB7DA1-38DD-46FB-9FB3-4369F7FCC729}"/>
    <hyperlink ref="S284" r:id="rId118" xr:uid="{063321F6-E5D2-4777-A647-1EE7E8D7B6EC}"/>
    <hyperlink ref="R283" r:id="rId119" xr:uid="{6F52426A-E26B-4208-8BDB-8F7566545A34}"/>
    <hyperlink ref="S283" r:id="rId120" xr:uid="{19093AC7-18B3-4918-939E-CEC23DCF738A}"/>
    <hyperlink ref="R285" r:id="rId121" xr:uid="{DB5450B0-1356-4EE4-B4CB-7FE413D5C237}"/>
    <hyperlink ref="S285" r:id="rId122" xr:uid="{704299DC-9D87-413A-984E-0A76B4E3EF52}"/>
    <hyperlink ref="R286" r:id="rId123" xr:uid="{38335258-BE2D-4424-9C1D-CBCF2ED091FF}"/>
    <hyperlink ref="S286" r:id="rId124" xr:uid="{E233C847-52A5-459F-9A2C-A295FEBC9E07}"/>
    <hyperlink ref="R287" r:id="rId125" xr:uid="{1B88AFE5-2650-42B0-9BAD-B85A97DA8B94}"/>
    <hyperlink ref="S287" r:id="rId126" xr:uid="{F273E237-E6C0-4161-804F-D73FD4F85219}"/>
    <hyperlink ref="R288" r:id="rId127" xr:uid="{9167076E-0D6E-4E3C-AD0B-457C81E4A38F}"/>
    <hyperlink ref="S288" r:id="rId128" xr:uid="{67737C07-0C3E-40F1-B086-457AD15DC547}"/>
    <hyperlink ref="R277" r:id="rId129" xr:uid="{86E5450E-E33A-4BCD-9FD5-559F87019DC1}"/>
    <hyperlink ref="S277" r:id="rId130" xr:uid="{B5A7EF04-1F02-4D8B-9E8D-F0D981628937}"/>
    <hyperlink ref="R278" r:id="rId131" xr:uid="{1320EC64-EBA5-495A-9B20-CD21747A897D}"/>
    <hyperlink ref="S278" r:id="rId132" xr:uid="{208665C0-4854-4DAD-9648-7B201EE47411}"/>
    <hyperlink ref="AU268" r:id="rId133" display="https://orcid.org/0000-0001-5509-9659" xr:uid="{7A7857EE-ABCC-4240-B2C6-5D1B00639957}"/>
    <hyperlink ref="AU270" r:id="rId134" display="https://orcid.org/0000-0002-5601-0326" xr:uid="{3C650EF0-198F-4788-BCAA-961AB8B2CB8F}"/>
    <hyperlink ref="AU272" r:id="rId135" display="http://orcid.org/0000-0002-1330-1545" xr:uid="{AF4762C4-67E4-4DC9-A1D1-E453D32EAD5A}"/>
    <hyperlink ref="AU276" r:id="rId136" display="https://orcid.org/0009-0003-7896-3659" xr:uid="{5CF40187-D207-4D3C-8D82-E8A3EBC767D0}"/>
    <hyperlink ref="AU277" r:id="rId137" display="https://orcid.org/0009-0006-2504-803" xr:uid="{8E67EF7F-E39B-4A4B-981E-7C7553A1EF9C}"/>
    <hyperlink ref="AU278" r:id="rId138" display="https://orcid.org/0009-0008-4921-4356?lang=en" xr:uid="{98768AEE-A10F-4C0F-B1F4-A673E50775C7}"/>
    <hyperlink ref="AU280" r:id="rId139" display="https://orcid.org/0000-0002-0686-1544" xr:uid="{273529C1-82BC-44D2-B860-5C4E3F2B029D}"/>
    <hyperlink ref="AU283" r:id="rId140" display="https://orcid.org/0000-0003-4295-3515" xr:uid="{595BFF5B-9626-4567-B150-D1BF2DB5A8FE}"/>
    <hyperlink ref="AU285" r:id="rId141" display="https://orcid.org/0000-0001-9368-5456" xr:uid="{A995A3C6-68F6-490D-91B6-FE0FC50D40E7}"/>
    <hyperlink ref="AU288" r:id="rId142" display="https://orcid.org/0000-0002-7621-4844" xr:uid="{245F3DDE-12B7-4792-BE77-170C5D89EAE3}"/>
    <hyperlink ref="R19" r:id="rId143" xr:uid="{CF1253FA-57F0-437D-BA51-E649625C35CE}"/>
    <hyperlink ref="S222" r:id="rId144" xr:uid="{10BD8932-2CA9-4DEC-8625-12B6DC14C5A5}"/>
    <hyperlink ref="R223" r:id="rId145" xr:uid="{F39AC910-C692-4B55-82F9-B4A723A0015D}"/>
    <hyperlink ref="S223" r:id="rId146" xr:uid="{FD6ADB42-4D82-462C-B289-AA409FFF2D02}"/>
    <hyperlink ref="R240" r:id="rId147" xr:uid="{6A6E866E-360D-45D4-A735-D18EC79FAEE2}"/>
    <hyperlink ref="S240" r:id="rId148" xr:uid="{D9FD686A-CA81-4936-8919-627BE98579BE}"/>
    <hyperlink ref="R224" r:id="rId149" xr:uid="{90DD1C9A-F4EE-4FD7-9A80-F2261FF44498}"/>
    <hyperlink ref="S224" r:id="rId150" xr:uid="{A3E6EA10-1E8C-4417-A30A-6456C3A038E8}"/>
    <hyperlink ref="R241" r:id="rId151" xr:uid="{FEC5253E-713F-4B7E-B294-641991932137}"/>
    <hyperlink ref="S241" r:id="rId152" xr:uid="{08B66626-2C01-480B-9431-FC89D8E6A30D}"/>
    <hyperlink ref="R227" r:id="rId153" xr:uid="{7AFA67BB-9D16-4CFB-8395-A938F5A52761}"/>
    <hyperlink ref="S227" r:id="rId154" xr:uid="{A3EB2C8A-E080-4ACD-A993-36D11447F1E4}"/>
    <hyperlink ref="R242" r:id="rId155" xr:uid="{C99CF1DF-8237-4DAE-9A42-EC0023FDD005}"/>
    <hyperlink ref="S242" r:id="rId156" xr:uid="{E9B9D84F-D05E-4405-A734-2159D6DA2349}"/>
    <hyperlink ref="R231" r:id="rId157" xr:uid="{0D434868-5899-4B13-9B90-E1F2AB870635}"/>
    <hyperlink ref="S231" r:id="rId158" xr:uid="{0BFC912E-D6F2-4728-AE41-0BC1C83CA311}"/>
    <hyperlink ref="R243" r:id="rId159" xr:uid="{76613357-4A82-4B3D-9C83-58881FFF5F94}"/>
    <hyperlink ref="S243" r:id="rId160" xr:uid="{1F83C9AE-7EE7-4899-9BBF-42C2DC2FDDC8}"/>
    <hyperlink ref="R233" r:id="rId161" xr:uid="{505A5511-1EA0-4330-88C4-C34342BC3D32}"/>
    <hyperlink ref="S233" r:id="rId162" xr:uid="{F36B3450-9D8C-4148-81B8-7A4189E99C18}"/>
    <hyperlink ref="R225" r:id="rId163" xr:uid="{28F54C11-B9F9-4002-AF46-D6C0374B1E8F}"/>
    <hyperlink ref="S225" r:id="rId164" xr:uid="{7E5D34B8-090C-49DA-AD74-01CB891F9A5A}"/>
    <hyperlink ref="R226" r:id="rId165" xr:uid="{AFB04B4A-3076-4C0F-A822-C15528A99422}"/>
    <hyperlink ref="S226" r:id="rId166" xr:uid="{959688F6-61AE-4CE3-8A33-ACA468018611}"/>
    <hyperlink ref="R245" r:id="rId167" xr:uid="{17C09E69-EF47-44B0-B6B6-D269B58F1C1E}"/>
    <hyperlink ref="S245" r:id="rId168" xr:uid="{CB18194E-0CBB-4205-BE01-7E66EDB5E3C5}"/>
    <hyperlink ref="R230" r:id="rId169" xr:uid="{02FBC1BB-4557-471F-A052-C07823008B4B}"/>
    <hyperlink ref="R232" r:id="rId170" xr:uid="{F692E06B-C5E9-4CE4-93B2-61748A51B266}"/>
    <hyperlink ref="S232" r:id="rId171" xr:uid="{5A346E5C-032C-4ED2-8724-84B990846C92}"/>
    <hyperlink ref="R236" r:id="rId172" xr:uid="{CF5D3C11-FB44-4DB9-8C60-EAE05CE8A2C4}"/>
    <hyperlink ref="S236" r:id="rId173" xr:uid="{E837CDB9-8C7C-4D92-A5AA-849F1670D4D9}"/>
    <hyperlink ref="R238" r:id="rId174" xr:uid="{9428321E-525C-4A89-BAD9-E4F9E87CA37D}"/>
    <hyperlink ref="S238" r:id="rId175" xr:uid="{F0D54536-D084-496A-AFF4-9C84801AEA5A}"/>
    <hyperlink ref="R246" r:id="rId176" xr:uid="{DE48C891-8C23-490A-909F-945453431552}"/>
    <hyperlink ref="S246" r:id="rId177" xr:uid="{4BD25894-5E03-4AAC-8D25-15A399C5A777}"/>
    <hyperlink ref="R239" r:id="rId178" xr:uid="{04FCCF80-4382-4AEE-96D7-C487165204A4}"/>
    <hyperlink ref="S239" r:id="rId179" xr:uid="{7A2AF499-44CF-4B80-BF30-C1E0C7EFC724}"/>
    <hyperlink ref="R151" r:id="rId180" xr:uid="{9A43CB39-148B-4834-A7EE-FE63EB49AB55}"/>
    <hyperlink ref="R218" r:id="rId181" xr:uid="{0E5AD8ED-B83C-4361-A4C9-5C376ABC41CD}"/>
    <hyperlink ref="R202" r:id="rId182" xr:uid="{8BCB03A9-E200-4997-B50B-991B347DF6FC}"/>
    <hyperlink ref="S202" r:id="rId183" xr:uid="{517F9C62-2C93-4578-8242-F9BD5E84561F}"/>
    <hyperlink ref="R150" r:id="rId184" xr:uid="{0A22C7F4-AD3B-44F7-8F1E-7450675ED581}"/>
    <hyperlink ref="S150" r:id="rId185" xr:uid="{63755387-BFBA-4A32-9E01-4D362EC0D380}"/>
    <hyperlink ref="R179" r:id="rId186" xr:uid="{1866841B-6C57-473C-81A4-0F7D91217B15}"/>
    <hyperlink ref="S179" r:id="rId187" xr:uid="{C33ACA53-0849-4DA9-BEA3-20AD4324F63D}"/>
    <hyperlink ref="R200" r:id="rId188" xr:uid="{0AAB5AFE-68B0-48F3-9614-B93C5B3BA709}"/>
    <hyperlink ref="S200" r:id="rId189" xr:uid="{85DD8AC0-E71E-41B2-B000-C89A5EA8C340}"/>
    <hyperlink ref="R45" r:id="rId190" xr:uid="{7468F332-6992-441F-B629-6BF93B5877D7}"/>
    <hyperlink ref="S45" r:id="rId191" xr:uid="{5721A6EE-1471-4F59-96C7-3BBCDDC0A927}"/>
    <hyperlink ref="R148" r:id="rId192" xr:uid="{6CA9FBBD-3A1A-4B84-AA31-D56C0AACA648}"/>
    <hyperlink ref="R212" r:id="rId193" xr:uid="{CB3C7732-F9D8-4A0E-B2D8-9FA79CA7FD3B}"/>
    <hyperlink ref="S212" r:id="rId194" xr:uid="{06E70407-58F6-4A96-9FA5-E872F62271FE}"/>
    <hyperlink ref="R149" r:id="rId195" xr:uid="{E4153D20-04D7-455A-8CB5-C05E7B340F57}"/>
    <hyperlink ref="S82" r:id="rId196" xr:uid="{D7CF5CAC-A60A-4987-B43F-0CF41CC22E43}"/>
    <hyperlink ref="R82" r:id="rId197" xr:uid="{35959672-08ED-4ED4-86D0-2E2668149AAC}"/>
  </hyperlinks>
  <pageMargins left="0.7" right="0.7" top="0.75" bottom="0.75" header="0.3" footer="0.3"/>
  <pageSetup orientation="portrait" r:id="rId198"/>
  <legacyDrawing r:id="rId199"/>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J27"/>
  <sheetViews>
    <sheetView workbookViewId="0">
      <pane ySplit="1" topLeftCell="A12" activePane="bottomLeft" state="frozen"/>
      <selection pane="bottomLeft" activeCell="F40" sqref="F40"/>
    </sheetView>
  </sheetViews>
  <sheetFormatPr defaultRowHeight="14.5" x14ac:dyDescent="0.35"/>
  <cols>
    <col min="1" max="1" width="4.54296875" customWidth="1"/>
    <col min="2" max="2" width="24.453125" customWidth="1"/>
    <col min="3" max="3" width="27.1796875" customWidth="1"/>
    <col min="4" max="4" width="9.26953125" customWidth="1"/>
    <col min="5" max="5" width="10.7265625" customWidth="1"/>
    <col min="6" max="6" width="19.7265625" customWidth="1"/>
    <col min="7" max="7" width="19.54296875" customWidth="1"/>
    <col min="8" max="8" width="11.453125" customWidth="1"/>
    <col min="9" max="9" width="28.7265625" customWidth="1"/>
    <col min="10" max="10" width="51.1796875" customWidth="1"/>
    <col min="11" max="11" width="61.1796875" customWidth="1"/>
  </cols>
  <sheetData>
    <row r="1" spans="1:10" ht="28.5" customHeight="1" x14ac:dyDescent="0.35">
      <c r="A1" s="61" t="s">
        <v>4072</v>
      </c>
      <c r="B1" s="62" t="s">
        <v>4073</v>
      </c>
      <c r="C1" s="62" t="s">
        <v>4074</v>
      </c>
      <c r="D1" s="62" t="s">
        <v>29</v>
      </c>
      <c r="E1" s="63" t="s">
        <v>15</v>
      </c>
      <c r="F1" s="63" t="s">
        <v>4075</v>
      </c>
      <c r="G1" s="64" t="s">
        <v>4076</v>
      </c>
      <c r="H1" s="64" t="s">
        <v>4077</v>
      </c>
      <c r="I1" s="65" t="s">
        <v>4078</v>
      </c>
      <c r="J1" s="66" t="s">
        <v>4079</v>
      </c>
    </row>
    <row r="2" spans="1:10" ht="25" customHeight="1" x14ac:dyDescent="0.35">
      <c r="A2" s="24">
        <v>1</v>
      </c>
      <c r="B2" s="24" t="s">
        <v>4080</v>
      </c>
      <c r="C2" s="24" t="s">
        <v>4081</v>
      </c>
      <c r="D2" s="24" t="s">
        <v>25</v>
      </c>
      <c r="E2" s="67">
        <v>3</v>
      </c>
      <c r="F2" s="67"/>
      <c r="G2" s="67">
        <v>2014</v>
      </c>
      <c r="H2" s="67">
        <v>2014</v>
      </c>
      <c r="I2" s="24" t="s">
        <v>4082</v>
      </c>
      <c r="J2" s="24"/>
    </row>
    <row r="3" spans="1:10" ht="25" customHeight="1" x14ac:dyDescent="0.35">
      <c r="A3" s="24">
        <v>2</v>
      </c>
      <c r="B3" s="24" t="s">
        <v>4083</v>
      </c>
      <c r="C3" s="24" t="s">
        <v>40</v>
      </c>
      <c r="D3" s="24" t="s">
        <v>25</v>
      </c>
      <c r="E3" s="67">
        <v>3</v>
      </c>
      <c r="F3" s="67"/>
      <c r="G3" s="67">
        <v>2016</v>
      </c>
      <c r="H3" s="67">
        <v>2016</v>
      </c>
      <c r="I3" s="24" t="s">
        <v>4082</v>
      </c>
      <c r="J3" s="24"/>
    </row>
    <row r="4" spans="1:10" ht="25" customHeight="1" x14ac:dyDescent="0.35">
      <c r="A4" s="24">
        <v>3</v>
      </c>
      <c r="B4" s="24" t="s">
        <v>4084</v>
      </c>
      <c r="C4" s="24" t="s">
        <v>42</v>
      </c>
      <c r="D4" s="24" t="s">
        <v>25</v>
      </c>
      <c r="E4" s="67">
        <v>1</v>
      </c>
      <c r="F4" s="67" t="s">
        <v>148</v>
      </c>
      <c r="G4" s="68">
        <v>42583</v>
      </c>
      <c r="H4" s="67">
        <v>2016</v>
      </c>
      <c r="I4" s="24" t="s">
        <v>4082</v>
      </c>
      <c r="J4" s="24"/>
    </row>
    <row r="5" spans="1:10" ht="25" customHeight="1" x14ac:dyDescent="0.35">
      <c r="A5" s="24">
        <v>4</v>
      </c>
      <c r="B5" s="24" t="s">
        <v>4085</v>
      </c>
      <c r="C5" s="24" t="s">
        <v>42</v>
      </c>
      <c r="D5" s="24" t="s">
        <v>24</v>
      </c>
      <c r="E5" s="67">
        <v>2</v>
      </c>
      <c r="F5" s="67" t="s">
        <v>4086</v>
      </c>
      <c r="G5" s="67" t="s">
        <v>4087</v>
      </c>
      <c r="H5" s="67">
        <v>2016</v>
      </c>
      <c r="I5" s="24" t="s">
        <v>4088</v>
      </c>
      <c r="J5" s="24"/>
    </row>
    <row r="6" spans="1:10" ht="25" customHeight="1" x14ac:dyDescent="0.35">
      <c r="A6" s="24">
        <v>5</v>
      </c>
      <c r="B6" s="24" t="s">
        <v>4089</v>
      </c>
      <c r="C6" s="24" t="s">
        <v>43</v>
      </c>
      <c r="D6" s="24" t="s">
        <v>25</v>
      </c>
      <c r="E6" s="67">
        <v>7</v>
      </c>
      <c r="F6" s="67" t="s">
        <v>4090</v>
      </c>
      <c r="G6" s="67">
        <v>2017</v>
      </c>
      <c r="H6" s="67">
        <v>2017</v>
      </c>
      <c r="I6" s="24" t="s">
        <v>4082</v>
      </c>
      <c r="J6" s="24"/>
    </row>
    <row r="7" spans="1:10" ht="25" customHeight="1" x14ac:dyDescent="0.35">
      <c r="A7" s="24">
        <v>6</v>
      </c>
      <c r="B7" s="24" t="s">
        <v>4091</v>
      </c>
      <c r="C7" s="24" t="s">
        <v>45</v>
      </c>
      <c r="D7" s="24" t="s">
        <v>25</v>
      </c>
      <c r="E7" s="67">
        <v>5</v>
      </c>
      <c r="F7" s="67" t="s">
        <v>4092</v>
      </c>
      <c r="G7" s="67">
        <v>2017</v>
      </c>
      <c r="H7" s="67">
        <v>2017</v>
      </c>
      <c r="I7" s="24" t="s">
        <v>4093</v>
      </c>
      <c r="J7" s="24"/>
    </row>
    <row r="8" spans="1:10" ht="25" customHeight="1" x14ac:dyDescent="0.35">
      <c r="A8" s="24">
        <v>7</v>
      </c>
      <c r="B8" s="24" t="s">
        <v>4094</v>
      </c>
      <c r="C8" s="24" t="s">
        <v>42</v>
      </c>
      <c r="D8" s="24" t="s">
        <v>24</v>
      </c>
      <c r="E8" s="67">
        <v>5</v>
      </c>
      <c r="F8" s="67" t="s">
        <v>4092</v>
      </c>
      <c r="G8" s="67">
        <v>2018</v>
      </c>
      <c r="H8" s="67">
        <v>2018</v>
      </c>
      <c r="I8" s="24" t="s">
        <v>4082</v>
      </c>
      <c r="J8" s="24"/>
    </row>
    <row r="9" spans="1:10" ht="25" customHeight="1" x14ac:dyDescent="0.35">
      <c r="A9" s="24">
        <v>8</v>
      </c>
      <c r="B9" s="24" t="s">
        <v>4095</v>
      </c>
      <c r="C9" s="24" t="s">
        <v>37</v>
      </c>
      <c r="D9" s="24" t="s">
        <v>25</v>
      </c>
      <c r="E9" s="67">
        <v>6</v>
      </c>
      <c r="F9" s="67"/>
      <c r="G9" s="67">
        <v>2018</v>
      </c>
      <c r="H9" s="67">
        <v>2018</v>
      </c>
      <c r="I9" s="24" t="s">
        <v>4082</v>
      </c>
      <c r="J9" s="24"/>
    </row>
    <row r="10" spans="1:10" ht="25" customHeight="1" x14ac:dyDescent="0.35">
      <c r="A10" s="24">
        <v>9</v>
      </c>
      <c r="B10" s="24" t="s">
        <v>4096</v>
      </c>
      <c r="C10" s="24" t="s">
        <v>41</v>
      </c>
      <c r="D10" s="24" t="s">
        <v>25</v>
      </c>
      <c r="E10" s="67">
        <v>5</v>
      </c>
      <c r="F10" s="67" t="s">
        <v>155</v>
      </c>
      <c r="G10" s="67">
        <v>2018</v>
      </c>
      <c r="H10" s="67">
        <v>2018</v>
      </c>
      <c r="I10" s="24" t="s">
        <v>4082</v>
      </c>
      <c r="J10" s="24"/>
    </row>
    <row r="11" spans="1:10" ht="25" customHeight="1" x14ac:dyDescent="0.35">
      <c r="A11" s="24">
        <v>10</v>
      </c>
      <c r="B11" s="24" t="s">
        <v>4097</v>
      </c>
      <c r="C11" s="24" t="s">
        <v>42</v>
      </c>
      <c r="D11" s="24" t="s">
        <v>24</v>
      </c>
      <c r="E11" s="67">
        <v>1</v>
      </c>
      <c r="F11" s="67" t="s">
        <v>4098</v>
      </c>
      <c r="G11" s="67" t="s">
        <v>4099</v>
      </c>
      <c r="H11" s="67"/>
      <c r="I11" s="24" t="s">
        <v>4082</v>
      </c>
      <c r="J11" s="24"/>
    </row>
    <row r="12" spans="1:10" ht="25" customHeight="1" x14ac:dyDescent="0.35">
      <c r="A12" s="24">
        <v>11</v>
      </c>
      <c r="B12" s="24" t="s">
        <v>4100</v>
      </c>
      <c r="C12" s="24" t="s">
        <v>41</v>
      </c>
      <c r="D12" s="24" t="s">
        <v>24</v>
      </c>
      <c r="E12" s="67">
        <v>1</v>
      </c>
      <c r="F12" s="67" t="s">
        <v>4101</v>
      </c>
      <c r="G12" s="67" t="s">
        <v>4099</v>
      </c>
      <c r="H12" s="67"/>
      <c r="I12" s="24" t="s">
        <v>4082</v>
      </c>
      <c r="J12" s="24"/>
    </row>
    <row r="13" spans="1:10" ht="25" customHeight="1" x14ac:dyDescent="0.35">
      <c r="A13" s="24">
        <v>12</v>
      </c>
      <c r="B13" s="24" t="s">
        <v>4102</v>
      </c>
      <c r="C13" s="24" t="s">
        <v>45</v>
      </c>
      <c r="D13" s="24" t="s">
        <v>25</v>
      </c>
      <c r="E13" s="67">
        <v>4</v>
      </c>
      <c r="F13" s="67"/>
      <c r="G13" s="69">
        <v>43867</v>
      </c>
      <c r="H13" s="67">
        <v>2020</v>
      </c>
      <c r="I13" s="24" t="s">
        <v>4082</v>
      </c>
      <c r="J13" s="24"/>
    </row>
    <row r="14" spans="1:10" ht="25" customHeight="1" x14ac:dyDescent="0.35">
      <c r="A14" s="24">
        <v>13</v>
      </c>
      <c r="B14" s="24" t="s">
        <v>4103</v>
      </c>
      <c r="C14" s="24" t="s">
        <v>35</v>
      </c>
      <c r="D14" s="24" t="s">
        <v>24</v>
      </c>
      <c r="E14" s="67">
        <v>8</v>
      </c>
      <c r="F14" s="67"/>
      <c r="G14" s="69">
        <v>43867</v>
      </c>
      <c r="H14" s="67">
        <v>2020</v>
      </c>
      <c r="I14" s="24" t="s">
        <v>4104</v>
      </c>
      <c r="J14" s="70" t="s">
        <v>4105</v>
      </c>
    </row>
    <row r="15" spans="1:10" ht="25" customHeight="1" x14ac:dyDescent="0.35">
      <c r="A15" s="24">
        <v>14</v>
      </c>
      <c r="B15" s="24" t="s">
        <v>4106</v>
      </c>
      <c r="C15" s="24" t="s">
        <v>35</v>
      </c>
      <c r="D15" s="24" t="s">
        <v>25</v>
      </c>
      <c r="E15" s="67">
        <v>5</v>
      </c>
      <c r="F15" s="67"/>
      <c r="G15" s="69">
        <v>43930</v>
      </c>
      <c r="H15" s="67">
        <v>2020</v>
      </c>
      <c r="I15" s="24" t="s">
        <v>4082</v>
      </c>
      <c r="J15" s="70"/>
    </row>
    <row r="16" spans="1:10" ht="25" customHeight="1" x14ac:dyDescent="0.35">
      <c r="A16" s="24">
        <v>15</v>
      </c>
      <c r="B16" s="24" t="s">
        <v>4107</v>
      </c>
      <c r="C16" s="24" t="s">
        <v>38</v>
      </c>
      <c r="D16" s="24" t="s">
        <v>25</v>
      </c>
      <c r="E16" s="67">
        <v>7</v>
      </c>
      <c r="F16" s="67"/>
      <c r="G16" s="69">
        <v>43930</v>
      </c>
      <c r="H16" s="67">
        <v>2020</v>
      </c>
      <c r="I16" s="24" t="s">
        <v>4082</v>
      </c>
      <c r="J16" s="70" t="s">
        <v>4108</v>
      </c>
    </row>
    <row r="17" spans="1:10" ht="25" customHeight="1" x14ac:dyDescent="0.35">
      <c r="A17" s="24">
        <v>16</v>
      </c>
      <c r="B17" s="24" t="s">
        <v>4109</v>
      </c>
      <c r="C17" s="24" t="s">
        <v>42</v>
      </c>
      <c r="D17" s="24" t="s">
        <v>24</v>
      </c>
      <c r="E17" s="67">
        <v>7</v>
      </c>
      <c r="F17" s="67"/>
      <c r="G17" s="69">
        <v>44214</v>
      </c>
      <c r="H17" s="67">
        <v>2021</v>
      </c>
      <c r="I17" s="24" t="s">
        <v>4110</v>
      </c>
      <c r="J17" s="70" t="s">
        <v>4111</v>
      </c>
    </row>
    <row r="18" spans="1:10" ht="25" customHeight="1" x14ac:dyDescent="0.35">
      <c r="A18" s="24">
        <v>17</v>
      </c>
      <c r="B18" s="24" t="s">
        <v>4112</v>
      </c>
      <c r="C18" s="24" t="s">
        <v>45</v>
      </c>
      <c r="D18" s="24" t="s">
        <v>25</v>
      </c>
      <c r="E18" s="67">
        <v>8</v>
      </c>
      <c r="F18" s="67"/>
      <c r="G18" s="69">
        <v>44400</v>
      </c>
      <c r="H18" s="67">
        <v>2021</v>
      </c>
      <c r="I18" s="24" t="s">
        <v>4082</v>
      </c>
      <c r="J18" s="70" t="s">
        <v>4113</v>
      </c>
    </row>
    <row r="19" spans="1:10" ht="25" customHeight="1" x14ac:dyDescent="0.35">
      <c r="A19" s="24">
        <v>18</v>
      </c>
      <c r="B19" s="24" t="s">
        <v>4114</v>
      </c>
      <c r="C19" s="24" t="s">
        <v>35</v>
      </c>
      <c r="D19" s="24" t="s">
        <v>25</v>
      </c>
      <c r="E19" s="67">
        <v>8</v>
      </c>
      <c r="F19" s="67"/>
      <c r="G19" s="69">
        <v>44651</v>
      </c>
      <c r="H19" s="67">
        <v>2022</v>
      </c>
      <c r="I19" s="24" t="s">
        <v>4115</v>
      </c>
      <c r="J19" s="70" t="s">
        <v>4116</v>
      </c>
    </row>
    <row r="20" spans="1:10" ht="25" customHeight="1" x14ac:dyDescent="0.35">
      <c r="A20" s="24">
        <v>19</v>
      </c>
      <c r="B20" s="24" t="s">
        <v>4117</v>
      </c>
      <c r="C20" s="24" t="s">
        <v>42</v>
      </c>
      <c r="D20" s="24" t="s">
        <v>24</v>
      </c>
      <c r="E20" s="67">
        <v>9</v>
      </c>
      <c r="F20" s="67"/>
      <c r="G20" s="69">
        <v>44818</v>
      </c>
      <c r="H20" s="67">
        <v>2022</v>
      </c>
      <c r="I20" s="24" t="s">
        <v>4110</v>
      </c>
      <c r="J20" s="70" t="s">
        <v>4118</v>
      </c>
    </row>
    <row r="21" spans="1:10" ht="25" customHeight="1" x14ac:dyDescent="0.35">
      <c r="A21" s="24">
        <v>20</v>
      </c>
      <c r="B21" s="24" t="s">
        <v>4119</v>
      </c>
      <c r="C21" s="24" t="s">
        <v>35</v>
      </c>
      <c r="D21" s="24" t="s">
        <v>24</v>
      </c>
      <c r="E21" s="67">
        <v>9</v>
      </c>
      <c r="F21" s="67"/>
      <c r="G21" s="69">
        <v>44818</v>
      </c>
      <c r="H21" s="67">
        <v>2022</v>
      </c>
      <c r="I21" s="24" t="s">
        <v>4082</v>
      </c>
      <c r="J21" s="70" t="s">
        <v>4120</v>
      </c>
    </row>
    <row r="22" spans="1:10" ht="25" customHeight="1" x14ac:dyDescent="0.35">
      <c r="A22" s="24">
        <v>21</v>
      </c>
      <c r="B22" s="24" t="s">
        <v>4121</v>
      </c>
      <c r="C22" s="24" t="s">
        <v>35</v>
      </c>
      <c r="D22" s="24" t="s">
        <v>25</v>
      </c>
      <c r="E22" s="67">
        <v>10</v>
      </c>
      <c r="F22" s="67"/>
      <c r="G22" s="69">
        <v>45107</v>
      </c>
      <c r="H22" s="67">
        <v>2023</v>
      </c>
      <c r="I22" s="24" t="s">
        <v>4082</v>
      </c>
      <c r="J22" s="70" t="s">
        <v>4122</v>
      </c>
    </row>
    <row r="23" spans="1:10" ht="25" customHeight="1" x14ac:dyDescent="0.35">
      <c r="A23" s="24">
        <v>22</v>
      </c>
      <c r="B23" s="24" t="s">
        <v>4123</v>
      </c>
      <c r="C23" s="24" t="s">
        <v>4081</v>
      </c>
      <c r="D23" s="24"/>
      <c r="E23" s="67">
        <v>2</v>
      </c>
      <c r="F23" s="67"/>
      <c r="G23" s="69">
        <v>45741</v>
      </c>
      <c r="H23" s="67">
        <v>2025</v>
      </c>
      <c r="I23" s="70" t="s">
        <v>4124</v>
      </c>
      <c r="J23" s="70"/>
    </row>
    <row r="24" spans="1:10" ht="25" customHeight="1" x14ac:dyDescent="0.35">
      <c r="A24" s="24">
        <v>23</v>
      </c>
      <c r="B24" s="24" t="s">
        <v>4125</v>
      </c>
      <c r="C24" s="24" t="s">
        <v>4081</v>
      </c>
      <c r="D24" s="24"/>
      <c r="E24" s="67">
        <v>2</v>
      </c>
      <c r="F24" s="67"/>
      <c r="G24" s="69">
        <v>45741</v>
      </c>
      <c r="H24" s="67">
        <v>2025</v>
      </c>
      <c r="I24" s="70" t="s">
        <v>4126</v>
      </c>
      <c r="J24" s="70"/>
    </row>
    <row r="25" spans="1:10" ht="25" customHeight="1" x14ac:dyDescent="0.35">
      <c r="A25" s="24">
        <v>24</v>
      </c>
      <c r="B25" s="24" t="s">
        <v>4127</v>
      </c>
      <c r="C25" s="24" t="s">
        <v>4081</v>
      </c>
      <c r="D25" s="24"/>
      <c r="E25" s="67">
        <v>3</v>
      </c>
      <c r="F25" s="67"/>
      <c r="G25" s="69">
        <v>45741</v>
      </c>
      <c r="H25" s="67">
        <v>2025</v>
      </c>
      <c r="I25" s="70" t="s">
        <v>4128</v>
      </c>
      <c r="J25" s="70"/>
    </row>
    <row r="26" spans="1:10" ht="25" customHeight="1" x14ac:dyDescent="0.35">
      <c r="A26" s="24">
        <v>25</v>
      </c>
      <c r="B26" s="24" t="s">
        <v>4129</v>
      </c>
      <c r="C26" s="24" t="s">
        <v>4081</v>
      </c>
      <c r="D26" s="24"/>
      <c r="E26" s="67">
        <v>5</v>
      </c>
      <c r="F26" s="67"/>
      <c r="G26" s="69">
        <v>45741</v>
      </c>
      <c r="H26" s="67">
        <v>2025</v>
      </c>
      <c r="I26" s="70" t="s">
        <v>4130</v>
      </c>
      <c r="J26" s="70"/>
    </row>
    <row r="27" spans="1:10" x14ac:dyDescent="0.35">
      <c r="A27" s="24">
        <v>26</v>
      </c>
      <c r="B27" s="24" t="s">
        <v>4131</v>
      </c>
      <c r="C27" s="24" t="s">
        <v>43</v>
      </c>
      <c r="D27" s="24" t="s">
        <v>25</v>
      </c>
      <c r="E27" s="67">
        <v>11</v>
      </c>
      <c r="F27" s="67"/>
      <c r="G27" s="69" t="s">
        <v>3817</v>
      </c>
      <c r="H27" s="67">
        <v>2025</v>
      </c>
      <c r="I27" s="24" t="s">
        <v>4132</v>
      </c>
      <c r="J27" s="24" t="s">
        <v>4133</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C7AB9-FD37-4087-A082-C8E27824440D}">
  <dimension ref="E2:H63"/>
  <sheetViews>
    <sheetView topLeftCell="H24" workbookViewId="0">
      <selection activeCell="G31" sqref="G31"/>
    </sheetView>
  </sheetViews>
  <sheetFormatPr defaultRowHeight="14.5" x14ac:dyDescent="0.35"/>
  <cols>
    <col min="5" max="5" width="38.08984375" bestFit="1" customWidth="1"/>
    <col min="6" max="7" width="9.26953125" bestFit="1" customWidth="1"/>
    <col min="8" max="8" width="10.7265625" bestFit="1" customWidth="1"/>
    <col min="9" max="9" width="9.26953125" bestFit="1" customWidth="1"/>
    <col min="10" max="10" width="10.7265625" bestFit="1" customWidth="1"/>
  </cols>
  <sheetData>
    <row r="2" spans="5:8" x14ac:dyDescent="0.35">
      <c r="E2" s="54" t="s">
        <v>118</v>
      </c>
      <c r="F2" t="s">
        <v>4134</v>
      </c>
    </row>
    <row r="4" spans="5:8" x14ac:dyDescent="0.35">
      <c r="E4" s="54" t="s">
        <v>13</v>
      </c>
      <c r="F4" s="54" t="s">
        <v>29</v>
      </c>
      <c r="G4" s="54" t="s">
        <v>14</v>
      </c>
    </row>
    <row r="5" spans="5:8" x14ac:dyDescent="0.35">
      <c r="F5" t="s">
        <v>24</v>
      </c>
      <c r="G5" t="s">
        <v>4135</v>
      </c>
      <c r="H5" t="s">
        <v>19</v>
      </c>
    </row>
    <row r="6" spans="5:8" x14ac:dyDescent="0.35">
      <c r="E6" s="54" t="s">
        <v>34</v>
      </c>
      <c r="F6" t="s">
        <v>16</v>
      </c>
    </row>
    <row r="7" spans="5:8" x14ac:dyDescent="0.35">
      <c r="E7" t="s">
        <v>37</v>
      </c>
      <c r="F7" s="490">
        <v>1</v>
      </c>
      <c r="G7" s="490">
        <v>1</v>
      </c>
      <c r="H7" s="490">
        <v>1</v>
      </c>
    </row>
    <row r="8" spans="5:8" x14ac:dyDescent="0.35">
      <c r="E8" t="s">
        <v>39</v>
      </c>
      <c r="F8" s="490">
        <v>1</v>
      </c>
      <c r="G8" s="490">
        <v>1</v>
      </c>
      <c r="H8" s="490">
        <v>1</v>
      </c>
    </row>
    <row r="9" spans="5:8" x14ac:dyDescent="0.35">
      <c r="E9" t="s">
        <v>31</v>
      </c>
      <c r="F9" s="490">
        <v>1</v>
      </c>
      <c r="G9" s="490">
        <v>1</v>
      </c>
      <c r="H9" s="490">
        <v>1</v>
      </c>
    </row>
    <row r="10" spans="5:8" x14ac:dyDescent="0.35">
      <c r="E10" t="s">
        <v>42</v>
      </c>
      <c r="F10" s="490">
        <v>1</v>
      </c>
      <c r="G10" s="490">
        <v>1</v>
      </c>
      <c r="H10" s="490">
        <v>1</v>
      </c>
    </row>
    <row r="11" spans="5:8" x14ac:dyDescent="0.35">
      <c r="E11" t="s">
        <v>44</v>
      </c>
      <c r="F11" s="490">
        <v>2</v>
      </c>
      <c r="G11" s="490">
        <v>2</v>
      </c>
      <c r="H11" s="490">
        <v>2</v>
      </c>
    </row>
    <row r="12" spans="5:8" x14ac:dyDescent="0.35">
      <c r="E12" t="s">
        <v>19</v>
      </c>
      <c r="F12" s="490">
        <v>6</v>
      </c>
      <c r="G12" s="490">
        <v>6</v>
      </c>
      <c r="H12" s="490">
        <v>6</v>
      </c>
    </row>
    <row r="24" spans="5:8" x14ac:dyDescent="0.35">
      <c r="E24" s="54" t="s">
        <v>14</v>
      </c>
      <c r="F24" t="s">
        <v>30</v>
      </c>
    </row>
    <row r="26" spans="5:8" x14ac:dyDescent="0.35">
      <c r="E26" s="54" t="s">
        <v>21</v>
      </c>
      <c r="F26" s="54" t="s">
        <v>29</v>
      </c>
    </row>
    <row r="27" spans="5:8" x14ac:dyDescent="0.35">
      <c r="E27" s="54" t="s">
        <v>34</v>
      </c>
      <c r="F27" t="s">
        <v>4138</v>
      </c>
      <c r="G27" t="s">
        <v>4137</v>
      </c>
      <c r="H27" t="s">
        <v>19</v>
      </c>
    </row>
    <row r="28" spans="5:8" x14ac:dyDescent="0.35">
      <c r="E28" t="s">
        <v>36</v>
      </c>
      <c r="F28" s="490">
        <v>3</v>
      </c>
      <c r="G28" s="490"/>
      <c r="H28" s="490">
        <v>3</v>
      </c>
    </row>
    <row r="29" spans="5:8" x14ac:dyDescent="0.35">
      <c r="E29" t="s">
        <v>38</v>
      </c>
      <c r="F29" s="490">
        <v>5</v>
      </c>
      <c r="G29" s="490">
        <v>1</v>
      </c>
      <c r="H29" s="490">
        <v>6</v>
      </c>
    </row>
    <row r="30" spans="5:8" x14ac:dyDescent="0.35">
      <c r="E30" t="s">
        <v>40</v>
      </c>
      <c r="F30" s="490">
        <v>4</v>
      </c>
      <c r="G30" s="490">
        <v>6</v>
      </c>
      <c r="H30" s="490">
        <v>10</v>
      </c>
    </row>
    <row r="31" spans="5:8" x14ac:dyDescent="0.35">
      <c r="E31" t="s">
        <v>35</v>
      </c>
      <c r="F31" s="490">
        <v>17</v>
      </c>
      <c r="G31" s="490">
        <v>14</v>
      </c>
      <c r="H31" s="490">
        <v>31</v>
      </c>
    </row>
    <row r="32" spans="5:8" x14ac:dyDescent="0.35">
      <c r="E32" t="s">
        <v>37</v>
      </c>
      <c r="F32" s="490">
        <v>5</v>
      </c>
      <c r="G32" s="490">
        <v>17</v>
      </c>
      <c r="H32" s="490">
        <v>22</v>
      </c>
    </row>
    <row r="33" spans="5:8" x14ac:dyDescent="0.35">
      <c r="E33" t="s">
        <v>39</v>
      </c>
      <c r="F33" s="490">
        <v>15</v>
      </c>
      <c r="G33" s="490">
        <v>18</v>
      </c>
      <c r="H33" s="490">
        <v>33</v>
      </c>
    </row>
    <row r="34" spans="5:8" x14ac:dyDescent="0.35">
      <c r="E34" t="s">
        <v>41</v>
      </c>
      <c r="F34" s="490">
        <v>3</v>
      </c>
      <c r="G34" s="490">
        <v>3</v>
      </c>
      <c r="H34" s="490">
        <v>6</v>
      </c>
    </row>
    <row r="35" spans="5:8" x14ac:dyDescent="0.35">
      <c r="E35" t="s">
        <v>31</v>
      </c>
      <c r="F35" s="490">
        <v>20</v>
      </c>
      <c r="G35" s="490">
        <v>23</v>
      </c>
      <c r="H35" s="490">
        <v>43</v>
      </c>
    </row>
    <row r="36" spans="5:8" x14ac:dyDescent="0.35">
      <c r="E36" t="s">
        <v>42</v>
      </c>
      <c r="F36" s="490">
        <v>7</v>
      </c>
      <c r="G36" s="490">
        <v>24</v>
      </c>
      <c r="H36" s="490">
        <v>31</v>
      </c>
    </row>
    <row r="37" spans="5:8" x14ac:dyDescent="0.35">
      <c r="E37" t="s">
        <v>43</v>
      </c>
      <c r="F37" s="490">
        <v>19</v>
      </c>
      <c r="G37" s="490">
        <v>12</v>
      </c>
      <c r="H37" s="490">
        <v>31</v>
      </c>
    </row>
    <row r="38" spans="5:8" x14ac:dyDescent="0.35">
      <c r="E38" t="s">
        <v>44</v>
      </c>
      <c r="F38" s="490">
        <v>9</v>
      </c>
      <c r="G38" s="490">
        <v>23</v>
      </c>
      <c r="H38" s="490">
        <v>32</v>
      </c>
    </row>
    <row r="39" spans="5:8" x14ac:dyDescent="0.35">
      <c r="E39" t="s">
        <v>46</v>
      </c>
      <c r="F39" s="490">
        <v>1</v>
      </c>
      <c r="G39" s="490">
        <v>1</v>
      </c>
      <c r="H39" s="490">
        <v>2</v>
      </c>
    </row>
    <row r="40" spans="5:8" x14ac:dyDescent="0.35">
      <c r="E40" t="s">
        <v>4136</v>
      </c>
      <c r="F40" s="490">
        <v>22</v>
      </c>
      <c r="G40" s="490">
        <v>15</v>
      </c>
      <c r="H40" s="490">
        <v>37</v>
      </c>
    </row>
    <row r="41" spans="5:8" x14ac:dyDescent="0.35">
      <c r="E41" t="s">
        <v>19</v>
      </c>
      <c r="F41" s="490">
        <v>130</v>
      </c>
      <c r="G41" s="490">
        <v>157</v>
      </c>
      <c r="H41" s="490">
        <v>287</v>
      </c>
    </row>
    <row r="46" spans="5:8" x14ac:dyDescent="0.35">
      <c r="E46" s="54" t="s">
        <v>97</v>
      </c>
      <c r="F46" t="s">
        <v>30</v>
      </c>
    </row>
    <row r="48" spans="5:8" x14ac:dyDescent="0.35">
      <c r="E48" s="54" t="s">
        <v>21</v>
      </c>
      <c r="F48" s="54" t="s">
        <v>29</v>
      </c>
    </row>
    <row r="49" spans="5:8" x14ac:dyDescent="0.35">
      <c r="E49" s="54" t="s">
        <v>34</v>
      </c>
      <c r="F49" t="s">
        <v>24</v>
      </c>
      <c r="G49" t="s">
        <v>25</v>
      </c>
      <c r="H49" t="s">
        <v>19</v>
      </c>
    </row>
    <row r="50" spans="5:8" x14ac:dyDescent="0.35">
      <c r="E50" t="s">
        <v>36</v>
      </c>
      <c r="F50" s="490"/>
      <c r="G50" s="490">
        <v>2</v>
      </c>
      <c r="H50" s="490">
        <v>2</v>
      </c>
    </row>
    <row r="51" spans="5:8" x14ac:dyDescent="0.35">
      <c r="E51" t="s">
        <v>38</v>
      </c>
      <c r="F51" s="490">
        <v>1</v>
      </c>
      <c r="G51" s="490">
        <v>4</v>
      </c>
      <c r="H51" s="490">
        <v>5</v>
      </c>
    </row>
    <row r="52" spans="5:8" x14ac:dyDescent="0.35">
      <c r="E52" t="s">
        <v>40</v>
      </c>
      <c r="F52" s="490">
        <v>6</v>
      </c>
      <c r="G52" s="490">
        <v>3</v>
      </c>
      <c r="H52" s="490">
        <v>9</v>
      </c>
    </row>
    <row r="53" spans="5:8" x14ac:dyDescent="0.35">
      <c r="E53" t="s">
        <v>35</v>
      </c>
      <c r="F53" s="490">
        <v>11</v>
      </c>
      <c r="G53" s="490">
        <v>16</v>
      </c>
      <c r="H53" s="490">
        <v>27</v>
      </c>
    </row>
    <row r="54" spans="5:8" x14ac:dyDescent="0.35">
      <c r="E54" t="s">
        <v>37</v>
      </c>
      <c r="F54" s="490">
        <v>16</v>
      </c>
      <c r="G54" s="490">
        <v>5</v>
      </c>
      <c r="H54" s="490">
        <v>21</v>
      </c>
    </row>
    <row r="55" spans="5:8" x14ac:dyDescent="0.35">
      <c r="E55" t="s">
        <v>39</v>
      </c>
      <c r="F55" s="490">
        <v>18</v>
      </c>
      <c r="G55" s="490">
        <v>15</v>
      </c>
      <c r="H55" s="490">
        <v>33</v>
      </c>
    </row>
    <row r="56" spans="5:8" x14ac:dyDescent="0.35">
      <c r="E56" t="s">
        <v>46</v>
      </c>
      <c r="F56" s="490">
        <v>1</v>
      </c>
      <c r="G56" s="490">
        <v>1</v>
      </c>
      <c r="H56" s="490">
        <v>2</v>
      </c>
    </row>
    <row r="57" spans="5:8" x14ac:dyDescent="0.35">
      <c r="E57" t="s">
        <v>41</v>
      </c>
      <c r="F57" s="490">
        <v>3</v>
      </c>
      <c r="G57" s="490">
        <v>3</v>
      </c>
      <c r="H57" s="490">
        <v>6</v>
      </c>
    </row>
    <row r="58" spans="5:8" x14ac:dyDescent="0.35">
      <c r="E58" t="s">
        <v>31</v>
      </c>
      <c r="F58" s="490">
        <v>23</v>
      </c>
      <c r="G58" s="490">
        <v>16</v>
      </c>
      <c r="H58" s="490">
        <v>39</v>
      </c>
    </row>
    <row r="59" spans="5:8" x14ac:dyDescent="0.35">
      <c r="E59" t="s">
        <v>42</v>
      </c>
      <c r="F59" s="490">
        <v>23</v>
      </c>
      <c r="G59" s="490">
        <v>7</v>
      </c>
      <c r="H59" s="490">
        <v>30</v>
      </c>
    </row>
    <row r="60" spans="5:8" x14ac:dyDescent="0.35">
      <c r="E60" t="s">
        <v>43</v>
      </c>
      <c r="F60" s="490">
        <v>11</v>
      </c>
      <c r="G60" s="490">
        <v>16</v>
      </c>
      <c r="H60" s="490">
        <v>27</v>
      </c>
    </row>
    <row r="61" spans="5:8" x14ac:dyDescent="0.35">
      <c r="E61" t="s">
        <v>44</v>
      </c>
      <c r="F61" s="490">
        <v>22</v>
      </c>
      <c r="G61" s="490">
        <v>9</v>
      </c>
      <c r="H61" s="490">
        <v>31</v>
      </c>
    </row>
    <row r="62" spans="5:8" x14ac:dyDescent="0.35">
      <c r="E62" t="s">
        <v>4136</v>
      </c>
      <c r="F62" s="490">
        <v>12</v>
      </c>
      <c r="G62" s="490">
        <v>21</v>
      </c>
      <c r="H62" s="490">
        <v>33</v>
      </c>
    </row>
    <row r="63" spans="5:8" x14ac:dyDescent="0.35">
      <c r="E63" t="s">
        <v>19</v>
      </c>
      <c r="F63" s="490">
        <v>147</v>
      </c>
      <c r="G63" s="490">
        <v>118</v>
      </c>
      <c r="H63" s="490">
        <v>265</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33BC4-137D-452D-8F38-62E315CD0A55}">
  <dimension ref="A1:B28"/>
  <sheetViews>
    <sheetView topLeftCell="A10" workbookViewId="0">
      <selection activeCell="D20" sqref="D20"/>
    </sheetView>
  </sheetViews>
  <sheetFormatPr defaultRowHeight="14.5" x14ac:dyDescent="0.35"/>
  <cols>
    <col min="1" max="1" width="36.453125" bestFit="1" customWidth="1"/>
    <col min="2" max="2" width="13" bestFit="1" customWidth="1"/>
    <col min="3" max="3" width="14.1796875" bestFit="1" customWidth="1"/>
    <col min="4" max="5" width="11.7265625" bestFit="1" customWidth="1"/>
  </cols>
  <sheetData>
    <row r="1" spans="1:2" x14ac:dyDescent="0.35">
      <c r="A1" s="54" t="s">
        <v>118</v>
      </c>
      <c r="B1" t="s">
        <v>30</v>
      </c>
    </row>
    <row r="3" spans="1:2" x14ac:dyDescent="0.35">
      <c r="A3" s="54" t="s">
        <v>14</v>
      </c>
      <c r="B3" t="s">
        <v>21</v>
      </c>
    </row>
    <row r="4" spans="1:2" x14ac:dyDescent="0.35">
      <c r="A4" t="s">
        <v>16</v>
      </c>
      <c r="B4" s="490">
        <v>197</v>
      </c>
    </row>
    <row r="5" spans="1:2" x14ac:dyDescent="0.35">
      <c r="A5" t="s">
        <v>17</v>
      </c>
      <c r="B5" s="490">
        <v>42</v>
      </c>
    </row>
    <row r="6" spans="1:2" x14ac:dyDescent="0.35">
      <c r="A6" t="s">
        <v>18</v>
      </c>
      <c r="B6" s="490">
        <v>26</v>
      </c>
    </row>
    <row r="7" spans="1:2" x14ac:dyDescent="0.35">
      <c r="A7" t="s">
        <v>19</v>
      </c>
      <c r="B7" s="490">
        <v>265</v>
      </c>
    </row>
    <row r="14" spans="1:2" x14ac:dyDescent="0.35">
      <c r="A14" s="54" t="s">
        <v>118</v>
      </c>
      <c r="B14" t="s">
        <v>30</v>
      </c>
    </row>
    <row r="15" spans="1:2" x14ac:dyDescent="0.35">
      <c r="A15" s="54" t="s">
        <v>15</v>
      </c>
      <c r="B15" t="s">
        <v>30</v>
      </c>
    </row>
    <row r="17" spans="1:2" x14ac:dyDescent="0.35">
      <c r="A17" s="54" t="s">
        <v>48</v>
      </c>
      <c r="B17" t="s">
        <v>21</v>
      </c>
    </row>
    <row r="18" spans="1:2" x14ac:dyDescent="0.35">
      <c r="A18" t="s">
        <v>50</v>
      </c>
      <c r="B18" s="490">
        <v>58</v>
      </c>
    </row>
    <row r="19" spans="1:2" x14ac:dyDescent="0.35">
      <c r="A19" t="s">
        <v>51</v>
      </c>
      <c r="B19" s="490">
        <v>39</v>
      </c>
    </row>
    <row r="20" spans="1:2" x14ac:dyDescent="0.35">
      <c r="A20" t="s">
        <v>52</v>
      </c>
      <c r="B20" s="490">
        <v>78</v>
      </c>
    </row>
    <row r="21" spans="1:2" x14ac:dyDescent="0.35">
      <c r="A21" t="s">
        <v>53</v>
      </c>
      <c r="B21" s="490">
        <v>31</v>
      </c>
    </row>
    <row r="22" spans="1:2" x14ac:dyDescent="0.35">
      <c r="A22" t="s">
        <v>54</v>
      </c>
      <c r="B22" s="490">
        <v>1</v>
      </c>
    </row>
    <row r="23" spans="1:2" x14ac:dyDescent="0.35">
      <c r="A23" t="s">
        <v>55</v>
      </c>
      <c r="B23" s="490">
        <v>2</v>
      </c>
    </row>
    <row r="24" spans="1:2" x14ac:dyDescent="0.35">
      <c r="A24" t="s">
        <v>56</v>
      </c>
      <c r="B24" s="490">
        <v>28</v>
      </c>
    </row>
    <row r="25" spans="1:2" x14ac:dyDescent="0.35">
      <c r="A25" t="s">
        <v>57</v>
      </c>
      <c r="B25" s="490">
        <v>16</v>
      </c>
    </row>
    <row r="26" spans="1:2" x14ac:dyDescent="0.35">
      <c r="A26" t="s">
        <v>58</v>
      </c>
      <c r="B26" s="490">
        <v>31</v>
      </c>
    </row>
    <row r="27" spans="1:2" x14ac:dyDescent="0.35">
      <c r="A27" t="s">
        <v>59</v>
      </c>
      <c r="B27" s="490">
        <v>3</v>
      </c>
    </row>
    <row r="28" spans="1:2" x14ac:dyDescent="0.35">
      <c r="A28" t="s">
        <v>19</v>
      </c>
      <c r="B28" s="490">
        <v>287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Sheet2</vt:lpstr>
      <vt:lpstr>Pivot Analysis</vt:lpstr>
      <vt:lpstr>Fellows</vt:lpstr>
      <vt:lpstr>Terminations</vt:lpstr>
      <vt:lpstr>Promotions</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Naomi Njenga</cp:lastModifiedBy>
  <cp:revision/>
  <dcterms:created xsi:type="dcterms:W3CDTF">2020-03-27T09:58:40Z</dcterms:created>
  <dcterms:modified xsi:type="dcterms:W3CDTF">2026-07-28T09:47:41Z</dcterms:modified>
  <cp:category/>
  <cp:contentStatus/>
</cp:coreProperties>
</file>
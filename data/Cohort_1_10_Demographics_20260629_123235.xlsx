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187" documentId="13_ncr:1_{4D0E5611-347A-4675-B69B-D50AC6A875FD}" xr6:coauthVersionLast="47" xr6:coauthVersionMax="47" xr10:uidLastSave="{441B027D-CFFE-4D0A-A074-082D2D3F1946}"/>
  <bookViews>
    <workbookView xWindow="-110" yWindow="-110" windowWidth="19420" windowHeight="10300" firstSheet="2" activeTab="2"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Fellows!$A$1:$CX$288</definedName>
  </definedNames>
  <calcPr calcId="191028"/>
  <pivotCaches>
    <pivotCache cacheId="0" r:id="rId8"/>
    <pivotCache cacheId="1" r:id="rId9"/>
    <pivotCache cacheId="9" r:id="rId10"/>
    <pivotCache cacheId="18"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<sst xmlns="http://schemas.openxmlformats.org/spreadsheetml/2006/main" count="10667" uniqueCount="4114">
  <si>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</si>
  <si>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</si>
  <si>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</si>
  <si>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</si>
  <si>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</si>
  <si>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</si>
  <si>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</si>
  <si>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</si>
  <si>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</si>
  <si>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</si>
  <si>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</si>
  <si>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</si>
  <si>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</si>
  <si>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</si>
  <si>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</si>
  <si>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</si>
  <si>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</si>
  <si>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</si>
  <si>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</si>
  <si>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</si>
  <si>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</si>
  <si>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</si>
  <si>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</si>
  <si>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</si>
  <si>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</si>
  <si>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</si>
  <si>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</si>
  <si>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</si>
  <si>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</si>
  <si>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</si>
  <si>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</si>
  <si>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</si>
  <si>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</si>
  <si>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</si>
  <si>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</si>
  <si>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</si>
  <si>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</si>
  <si>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</si>
  <si>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</si>
  <si>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</si>
  <si>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</si>
  <si>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</si>
  <si>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</si>
  <si>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</si>
  <si>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</si>
  <si>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</si>
  <si>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</si>
  <si>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Somali National University</t>
  </si>
  <si>
    <t>Kamuzu University of Health Sciences (formerly University of Malawi)</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</si>
  <si>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</si>
  <si>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</si>
  <si>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</si>
  <si>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</si>
  <si>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</si>
  <si>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</si>
  <si>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</si>
  <si>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</si>
  <si>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</si>
  <si>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</si>
  <si>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</si>
  <si>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</si>
  <si>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</si>
  <si>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</si>
  <si>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</si>
  <si>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</si>
  <si>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</si>
  <si>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</si>
  <si>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</si>
  <si>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</si>
  <si>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</si>
  <si>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</si>
  <si>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</si>
  <si>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</si>
  <si>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</si>
  <si>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</si>
  <si>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</si>
  <si>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</si>
  <si>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</si>
  <si>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</si>
  <si>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</si>
  <si>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</si>
  <si>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</si>
  <si>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</si>
  <si>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</si>
  <si>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</si>
  <si>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</si>
  <si>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</si>
  <si>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</si>
  <si>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</si>
  <si>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</si>
  <si>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</si>
  <si>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</si>
  <si>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</si>
  <si>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</si>
  <si>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</si>
  <si>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</si>
  <si>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</si>
  <si>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</si>
  <si>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</si>
  <si>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</si>
  <si>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</si>
  <si>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</si>
  <si>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</si>
  <si>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</si>
  <si>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</si>
  <si>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</si>
  <si>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</si>
  <si>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</si>
  <si>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</si>
  <si>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</si>
  <si>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</si>
  <si>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</si>
  <si>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</si>
  <si>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</si>
  <si>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</si>
  <si>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</si>
  <si>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</si>
  <si>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</si>
  <si>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</si>
  <si>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</si>
  <si>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</si>
  <si>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</si>
  <si>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</si>
  <si>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</si>
  <si>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</si>
  <si>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</si>
  <si>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</si>
  <si>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</si>
  <si>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</si>
  <si>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</si>
  <si>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</si>
  <si>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</si>
  <si>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</si>
  <si>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</si>
  <si>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</si>
  <si>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</si>
  <si>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</si>
  <si>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</si>
  <si>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</si>
  <si>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</si>
  <si>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</si>
  <si>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</si>
  <si>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</si>
  <si>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</si>
  <si>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</si>
  <si>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</si>
  <si>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</si>
  <si>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</si>
  <si>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</si>
  <si>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</si>
  <si>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</si>
  <si>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</si>
  <si>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</si>
  <si>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</si>
  <si>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</si>
  <si>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</si>
  <si>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</si>
  <si>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</si>
  <si>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</si>
  <si>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</si>
  <si>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</si>
  <si>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</si>
  <si>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</si>
  <si>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</si>
  <si>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</si>
  <si>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</si>
  <si>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</si>
  <si>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</si>
  <si>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</si>
  <si>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</si>
  <si>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</si>
  <si>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</si>
  <si>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</si>
  <si>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</si>
  <si>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</si>
  <si>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</si>
  <si>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</si>
  <si>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</si>
  <si>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</si>
  <si>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</si>
  <si>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</si>
  <si>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</si>
  <si>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</si>
  <si>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</si>
  <si>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</si>
  <si>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</si>
  <si>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</si>
  <si>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</si>
  <si>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</si>
  <si>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</si>
  <si>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</si>
  <si>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</si>
  <si>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</si>
  <si>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</si>
  <si>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</si>
  <si>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</si>
  <si>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</si>
  <si>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</si>
  <si>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</si>
  <si>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</si>
  <si>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</si>
  <si>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</si>
  <si>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</si>
  <si>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</si>
  <si>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</si>
  <si>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</si>
  <si>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</si>
  <si>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</si>
  <si>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</si>
  <si>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</si>
  <si>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</si>
  <si>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</si>
  <si>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</si>
  <si>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</si>
  <si>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</si>
  <si>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</si>
  <si>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</si>
  <si>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</si>
  <si>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</si>
  <si>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</si>
  <si>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</si>
  <si>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</si>
  <si>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</si>
  <si>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</si>
  <si>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</si>
  <si>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</si>
  <si>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</si>
  <si>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</si>
  <si>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</si>
  <si>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</si>
  <si>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</si>
  <si>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</si>
  <si>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</si>
  <si>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</si>
  <si>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</si>
  <si>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</si>
  <si>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</si>
  <si>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</si>
  <si>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</si>
  <si>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</si>
  <si>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</si>
  <si>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</si>
  <si>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</si>
  <si>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</si>
  <si>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</si>
  <si>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</si>
  <si>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</si>
  <si>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</si>
  <si>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</si>
  <si>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</si>
  <si>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</si>
  <si>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</si>
  <si>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</si>
  <si>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</si>
  <si>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</si>
  <si>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</si>
  <si>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</si>
  <si>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</si>
  <si>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</si>
  <si>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</si>
  <si>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</si>
  <si>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</si>
  <si>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</si>
  <si>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</si>
  <si>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</si>
  <si>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</si>
  <si>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</si>
  <si>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</si>
  <si>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</si>
  <si>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</si>
  <si>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</si>
  <si>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</si>
  <si>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</si>
  <si>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</si>
  <si>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</si>
  <si>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</si>
  <si>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</si>
  <si>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</si>
  <si>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</si>
  <si>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</si>
  <si>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</si>
  <si>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</si>
  <si>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</si>
  <si>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</si>
  <si>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</si>
  <si>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</si>
  <si>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</si>
  <si>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</si>
  <si>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</si>
  <si>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</si>
  <si>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</si>
  <si>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</si>
  <si>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</si>
  <si>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</si>
  <si>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</si>
  <si>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</si>
  <si>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</si>
  <si>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</si>
  <si>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</si>
  <si>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</si>
  <si>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</si>
  <si>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</si>
  <si>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</si>
  <si>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</si>
  <si>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</si>
  <si>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</si>
  <si>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</si>
  <si>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</si>
  <si>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</si>
  <si>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</si>
  <si>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</si>
  <si>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</si>
  <si>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</si>
  <si>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</si>
  <si>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</si>
  <si>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</si>
  <si>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</si>
  <si>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</si>
  <si>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</si>
  <si>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</si>
  <si>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</si>
  <si>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</si>
  <si>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</si>
  <si>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</si>
  <si>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</si>
  <si>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</si>
  <si>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</si>
  <si>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</si>
  <si>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</si>
  <si>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</si>
  <si>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</si>
  <si>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</si>
  <si>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</si>
  <si>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</si>
  <si>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</si>
  <si>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</si>
  <si>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</si>
  <si>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</si>
  <si>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</si>
  <si>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</si>
  <si>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</si>
  <si>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</si>
  <si>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</si>
  <si>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</si>
  <si>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</si>
  <si>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</si>
  <si>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</si>
  <si>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</si>
  <si>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</si>
  <si>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</si>
  <si>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</si>
  <si>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</si>
  <si>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</si>
  <si>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</si>
  <si>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</si>
  <si>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</si>
  <si>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</si>
  <si>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</si>
  <si>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</si>
  <si>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</si>
  <si>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</si>
  <si>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</si>
  <si>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</si>
  <si>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</si>
  <si>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</si>
  <si>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</si>
  <si>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</si>
  <si>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</si>
  <si>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</si>
  <si>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</si>
  <si>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</si>
  <si>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</si>
  <si>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</si>
  <si>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</si>
  <si>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</si>
  <si>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</si>
  <si>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</si>
  <si>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</si>
  <si>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</si>
  <si>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</si>
  <si>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</si>
  <si>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</si>
  <si>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</si>
  <si>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</si>
  <si>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</si>
  <si>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</si>
  <si>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</si>
  <si>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</si>
  <si>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</si>
  <si>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</si>
  <si>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</si>
  <si>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</si>
  <si>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</si>
  <si>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</si>
  <si>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</si>
  <si>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</si>
  <si>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</si>
  <si>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</si>
  <si>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</si>
  <si>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</si>
  <si>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</si>
  <si>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</si>
  <si>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</si>
  <si>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</si>
  <si>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</si>
  <si>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</si>
  <si>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</si>
  <si>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</si>
  <si>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</si>
  <si>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</si>
  <si>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</si>
  <si>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</si>
  <si>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</si>
  <si>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</si>
  <si>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</si>
  <si>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</si>
  <si>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</si>
  <si>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</si>
  <si>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</si>
  <si>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</si>
  <si>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</si>
  <si>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</si>
  <si>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</si>
  <si>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</si>
  <si>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</si>
  <si>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</si>
  <si>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</si>
  <si>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</si>
  <si>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</si>
  <si>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</si>
  <si>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</si>
  <si>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</si>
  <si>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</si>
  <si>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</si>
  <si>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</si>
  <si>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</si>
  <si>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</si>
  <si>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</si>
  <si>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</si>
  <si>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</si>
  <si>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</si>
  <si>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</si>
  <si>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</si>
  <si>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</si>
  <si>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</si>
  <si>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</si>
  <si>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</si>
  <si>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</si>
  <si>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</si>
  <si>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</si>
  <si>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</si>
  <si>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</si>
  <si>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</si>
  <si>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</si>
  <si>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</si>
  <si>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</si>
  <si>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</si>
  <si>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</si>
  <si>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</si>
  <si>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</si>
  <si>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</si>
  <si>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</si>
  <si>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</si>
  <si>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</si>
  <si>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</si>
  <si>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</si>
  <si>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</si>
  <si>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</si>
  <si>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</si>
  <si>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</si>
  <si>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</si>
  <si>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</si>
  <si>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</si>
  <si>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</si>
  <si>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</si>
  <si>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</si>
  <si>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</si>
  <si>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</si>
  <si>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</si>
  <si>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</si>
  <si>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</si>
  <si>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</si>
  <si>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</si>
  <si>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</si>
  <si>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</si>
  <si>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</si>
  <si>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</si>
  <si>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</si>
  <si>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</si>
  <si>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</si>
  <si>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</si>
  <si>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</si>
  <si>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</si>
  <si>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</si>
  <si>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</si>
  <si>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</si>
  <si>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</si>
  <si>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</si>
  <si>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</si>
  <si>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</si>
  <si>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</si>
  <si>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</si>
  <si>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</si>
  <si>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</si>
  <si>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</si>
  <si>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</si>
  <si>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</si>
  <si>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</si>
  <si>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</si>
  <si>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</si>
  <si>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</si>
  <si>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</si>
  <si>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</si>
  <si>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</si>
  <si>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</si>
  <si>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</si>
  <si>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</si>
  <si>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</si>
  <si>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</si>
  <si>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</si>
  <si>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</si>
  <si>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</si>
  <si>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</si>
  <si>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</si>
  <si>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</si>
  <si>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</si>
  <si>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</si>
  <si>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</si>
  <si>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</si>
  <si>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</si>
  <si>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</si>
  <si>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</si>
  <si>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</si>
  <si>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</si>
  <si>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</si>
  <si>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</si>
  <si>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</si>
  <si>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</si>
  <si>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</si>
  <si>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</si>
  <si>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</si>
  <si>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</si>
  <si>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</si>
  <si>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</si>
  <si>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</si>
  <si>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</si>
  <si>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</si>
  <si>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</si>
  <si>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</si>
  <si>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</si>
  <si>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</si>
  <si>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</si>
  <si>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</si>
  <si>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</si>
  <si>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</si>
  <si>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</si>
  <si>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</si>
  <si>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</si>
  <si>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</si>
  <si>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</si>
  <si>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</si>
  <si>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</si>
  <si>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</si>
  <si>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</si>
  <si>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</si>
  <si>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</si>
  <si>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</si>
  <si>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</si>
  <si>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</si>
  <si>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</si>
  <si>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</si>
  <si>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</si>
  <si>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</si>
  <si>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</si>
  <si>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</si>
  <si>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</si>
  <si>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</si>
  <si>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</si>
  <si>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</si>
  <si>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</si>
  <si>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</si>
  <si>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</si>
  <si>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</si>
  <si>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</si>
  <si>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</si>
  <si>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</si>
  <si>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</si>
  <si>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</si>
  <si>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</si>
  <si>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</si>
  <si>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</si>
  <si>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</si>
  <si>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</si>
  <si>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</si>
  <si>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</si>
  <si>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</si>
  <si>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</si>
  <si>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</si>
  <si>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</si>
  <si>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</si>
  <si>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</si>
  <si>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</si>
  <si>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</si>
  <si>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</si>
  <si>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</si>
  <si>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</si>
  <si>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</si>
  <si>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</si>
  <si>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</si>
  <si>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</si>
  <si>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</si>
  <si>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</si>
  <si>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</si>
  <si>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</si>
  <si>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</si>
  <si>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</si>
  <si>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</si>
  <si>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</si>
  <si>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</si>
  <si>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</si>
  <si>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</si>
  <si>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</si>
  <si>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</si>
  <si>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</si>
  <si>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</si>
  <si>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</si>
  <si>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</si>
  <si>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</si>
  <si>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</si>
  <si>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</si>
  <si>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</si>
  <si>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</si>
  <si>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</si>
  <si>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</si>
  <si>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</si>
  <si>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</si>
  <si>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</si>
  <si>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</si>
  <si>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</si>
  <si>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</si>
  <si>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</si>
  <si>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</si>
  <si>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</si>
  <si>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</si>
  <si>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</si>
  <si>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</si>
  <si>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</si>
  <si>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</si>
  <si>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</si>
  <si>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</si>
  <si>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</si>
  <si>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</si>
  <si>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</si>
  <si>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</si>
  <si>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</si>
  <si>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</si>
  <si>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</si>
  <si>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</si>
  <si>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</si>
  <si>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</si>
  <si>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</si>
  <si>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</si>
  <si>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</si>
  <si>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</si>
  <si>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</si>
  <si>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</si>
  <si>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</si>
  <si>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</si>
  <si>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</si>
  <si>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</si>
  <si>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</si>
  <si>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</si>
  <si>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</si>
  <si>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</si>
  <si>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</si>
  <si>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</si>
  <si>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</si>
  <si>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</si>
  <si>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</si>
  <si>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</si>
  <si>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</si>
  <si>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</si>
  <si>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</si>
  <si>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</si>
  <si>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</si>
  <si>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</si>
  <si>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</si>
  <si>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</si>
  <si>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</si>
  <si>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</si>
  <si>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</si>
  <si>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</si>
  <si>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</si>
  <si>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</si>
  <si>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</si>
  <si>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</si>
  <si>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</si>
  <si>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</si>
  <si>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</si>
  <si>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</si>
  <si>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</si>
  <si>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</si>
  <si>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</si>
  <si>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</si>
  <si>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</si>
  <si>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</si>
  <si>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</si>
  <si>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</si>
  <si>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</si>
  <si>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</si>
  <si>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</si>
  <si>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</si>
  <si>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</si>
  <si>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</si>
  <si>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</si>
  <si>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</si>
  <si>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</si>
  <si>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</si>
  <si>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</si>
  <si>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</si>
  <si>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</si>
  <si>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</si>
  <si>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</si>
  <si>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</si>
  <si>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</si>
  <si>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</si>
  <si>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</si>
  <si>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</si>
  <si>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</si>
  <si>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</si>
  <si>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</si>
  <si>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</si>
  <si>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</si>
  <si>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</si>
  <si>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</si>
  <si>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</si>
  <si>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</si>
  <si>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</si>
  <si>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</si>
  <si>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</si>
  <si>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</si>
  <si>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</si>
  <si>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</si>
  <si>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</si>
  <si>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</si>
  <si>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</si>
  <si>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</si>
  <si>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</si>
  <si>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</si>
  <si>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</si>
  <si>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</si>
  <si>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</si>
  <si>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</si>
  <si>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</si>
  <si>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</si>
  <si>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</si>
  <si>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</si>
  <si>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</si>
  <si>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</si>
  <si>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</si>
  <si>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</si>
  <si>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</si>
  <si>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</si>
  <si>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</si>
  <si>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</si>
  <si>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</si>
  <si>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</si>
  <si>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</si>
  <si>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</si>
  <si>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</si>
  <si>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</si>
  <si>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</si>
  <si>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</si>
  <si>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</si>
  <si>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</si>
  <si>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</si>
  <si>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</si>
  <si>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</si>
  <si>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</si>
  <si>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</si>
  <si>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</si>
  <si>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</si>
  <si>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</si>
  <si>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</si>
  <si>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</si>
  <si>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</si>
  <si>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</si>
  <si>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</si>
  <si>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</si>
  <si>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</si>
  <si>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</si>
  <si>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</si>
  <si>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</si>
  <si>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</si>
  <si>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</si>
  <si>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</si>
  <si>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</si>
  <si>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</si>
  <si>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</si>
  <si>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</si>
  <si>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</si>
  <si>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</si>
  <si>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</si>
  <si>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</si>
  <si>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</si>
  <si>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</si>
  <si>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</si>
  <si>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</si>
  <si>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</si>
  <si>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</si>
  <si>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</si>
  <si>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</si>
  <si>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</si>
  <si>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</si>
  <si>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</si>
  <si>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</si>
  <si>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</si>
  <si>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</si>
  <si>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</si>
  <si>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</si>
  <si>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</si>
  <si>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</si>
  <si>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</si>
  <si>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</si>
  <si>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</si>
  <si>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</si>
  <si>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</si>
  <si>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</si>
  <si>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</si>
  <si>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</si>
  <si>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</si>
  <si>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</si>
  <si>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</si>
  <si>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</si>
  <si>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</si>
  <si>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</si>
  <si>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</si>
  <si>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</si>
  <si>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</si>
  <si>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</si>
  <si>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</si>
  <si>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</si>
  <si>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</si>
  <si>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</si>
  <si>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</si>
  <si>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</si>
  <si>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</si>
  <si>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</si>
  <si>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</si>
  <si>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</si>
  <si>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</si>
  <si>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</si>
  <si>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</si>
  <si>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</si>
  <si>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</si>
  <si>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</si>
  <si>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</si>
  <si>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</si>
  <si>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</si>
  <si>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</si>
  <si>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</si>
  <si>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</si>
  <si>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</si>
  <si>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</si>
  <si>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</si>
  <si>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</si>
  <si>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</si>
  <si>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</si>
  <si>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</si>
  <si>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</si>
  <si>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</si>
  <si>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</si>
  <si>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</si>
  <si>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</si>
  <si>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</si>
  <si>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</si>
  <si>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</si>
  <si>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</si>
  <si>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</si>
  <si>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</si>
  <si>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</si>
  <si>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</si>
  <si>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</si>
  <si>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</si>
  <si>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</si>
  <si>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</si>
  <si>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</si>
  <si>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</si>
  <si>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</si>
  <si>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</si>
  <si>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</si>
  <si>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</si>
  <si>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</si>
  <si>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</si>
  <si>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</si>
  <si>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</si>
  <si>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</si>
  <si>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</si>
  <si>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</si>
  <si>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</si>
  <si>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</si>
  <si>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</si>
  <si>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</si>
  <si>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</si>
  <si>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</si>
  <si>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</si>
  <si>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</si>
  <si>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</si>
  <si>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</si>
  <si>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</si>
  <si>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</si>
  <si>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</si>
  <si>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</si>
  <si>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</si>
  <si>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</si>
  <si>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</si>
  <si>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</si>
  <si>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</si>
  <si>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</si>
  <si>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</si>
  <si>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</si>
  <si>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</si>
  <si>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</si>
  <si>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</si>
  <si>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</si>
  <si>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</si>
  <si>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</si>
  <si>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</si>
  <si>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</si>
  <si>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</si>
  <si>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</si>
  <si>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</si>
  <si>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</si>
  <si>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</si>
  <si>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</si>
  <si>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</si>
  <si>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</si>
  <si>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</si>
  <si>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</si>
  <si>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</si>
  <si>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</si>
  <si>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</si>
  <si>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</si>
  <si>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</si>
  <si>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</si>
  <si>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</si>
  <si>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</si>
  <si>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</si>
  <si>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</si>
  <si>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</si>
  <si>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</si>
  <si>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</si>
  <si>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</si>
  <si>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</si>
  <si>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</si>
  <si>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</si>
  <si>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</si>
  <si>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</si>
  <si>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</si>
  <si>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</si>
  <si>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</si>
  <si>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</si>
  <si>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</si>
  <si>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</si>
  <si>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</si>
  <si>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</si>
  <si>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</si>
  <si>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</si>
  <si>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</si>
  <si>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</si>
  <si>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</si>
  <si>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</si>
  <si>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</si>
  <si>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</si>
  <si>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</si>
  <si>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</si>
  <si>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</si>
  <si>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</si>
  <si>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</si>
  <si>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</si>
  <si>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</si>
  <si>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</si>
  <si>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</si>
  <si>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</si>
  <si>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</si>
  <si>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</si>
  <si>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</si>
  <si>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</si>
  <si>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</si>
  <si>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</si>
  <si>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</si>
  <si>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</si>
  <si>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</si>
  <si>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</si>
  <si>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</si>
  <si>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</si>
  <si>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</si>
  <si>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</si>
  <si>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</si>
  <si>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</si>
  <si>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</si>
  <si>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</si>
  <si>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</si>
  <si>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</si>
  <si>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</si>
  <si>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</si>
  <si>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</si>
  <si>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</si>
  <si>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</si>
  <si>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</si>
  <si>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</si>
  <si>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</si>
  <si>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</si>
  <si>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</si>
  <si>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</si>
  <si>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</si>
  <si>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</si>
  <si>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</si>
  <si>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</si>
  <si>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</si>
  <si>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</si>
  <si>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</si>
  <si>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</si>
  <si>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</si>
  <si>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</si>
  <si>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</si>
  <si>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</si>
  <si>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</si>
  <si>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</si>
  <si>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</si>
  <si>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</si>
  <si>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</si>
  <si>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</si>
  <si>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</si>
  <si>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</si>
  <si>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</si>
  <si>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</si>
  <si>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</si>
  <si>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</si>
  <si>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</si>
  <si>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</si>
  <si>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</si>
  <si>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</si>
  <si>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</si>
  <si>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</si>
  <si>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</si>
  <si>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</si>
  <si>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</si>
  <si>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</si>
  <si>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</si>
  <si>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</si>
  <si>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</si>
  <si>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</si>
  <si>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</si>
  <si>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</si>
  <si>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</si>
  <si>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</si>
  <si>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</si>
  <si>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</si>
  <si>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</si>
  <si>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</si>
  <si>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</si>
  <si>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</si>
  <si>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</si>
  <si>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</si>
  <si>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</si>
  <si>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</si>
  <si>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</si>
  <si>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</si>
  <si>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</si>
  <si>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</si>
  <si>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</si>
  <si>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</si>
  <si>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</si>
  <si>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</si>
  <si>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</si>
  <si>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</si>
  <si>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</si>
  <si>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</si>
  <si>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</si>
  <si>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</si>
  <si>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</si>
  <si>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</si>
  <si>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</si>
  <si>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</si>
  <si>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</si>
  <si>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</si>
  <si>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</si>
  <si>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</si>
  <si>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</si>
  <si>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</si>
  <si>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</si>
  <si>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</si>
  <si>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</si>
  <si>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</si>
  <si>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</si>
  <si>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</si>
  <si>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</si>
  <si>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</si>
  <si>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</si>
  <si>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</si>
  <si>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</si>
  <si>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</si>
  <si>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</si>
  <si>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</si>
  <si>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</si>
  <si>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</si>
  <si>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</si>
  <si>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</si>
  <si>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</si>
  <si>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</si>
  <si>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</si>
  <si>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</si>
  <si>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</si>
  <si>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</si>
  <si>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</si>
  <si>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</si>
  <si>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</si>
  <si>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</si>
  <si>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</si>
  <si>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</si>
  <si>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</si>
  <si>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</si>
  <si>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</si>
  <si>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</si>
  <si>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</si>
  <si>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</si>
  <si>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</si>
  <si>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</si>
  <si>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</si>
  <si>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</si>
  <si>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</si>
  <si>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</si>
  <si>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</si>
  <si>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</si>
  <si>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</si>
  <si>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</si>
  <si>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</si>
  <si>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</si>
  <si>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</si>
  <si>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</si>
  <si>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</si>
  <si>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</si>
  <si>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</si>
  <si>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</si>
  <si>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</si>
  <si>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</si>
  <si>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</si>
  <si>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</si>
  <si>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</si>
  <si>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</si>
  <si>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</si>
  <si>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</si>
  <si>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</si>
  <si>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</si>
  <si>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</si>
  <si>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</si>
  <si>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</si>
  <si>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</si>
  <si>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</si>
  <si>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</si>
  <si>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</si>
  <si>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</si>
  <si>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</si>
  <si>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</si>
  <si>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</si>
  <si>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</si>
  <si>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</si>
  <si>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</si>
  <si>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</si>
  <si>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</si>
  <si>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</si>
  <si>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</si>
  <si>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</si>
  <si>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</si>
  <si>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</si>
  <si>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</si>
  <si>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</si>
  <si>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</si>
  <si>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</si>
  <si>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</si>
  <si>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</si>
  <si>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</si>
  <si>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</si>
  <si>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</si>
  <si>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</si>
  <si>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</si>
  <si>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</si>
  <si>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</si>
  <si>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</si>
  <si>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</si>
  <si>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</si>
  <si>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</si>
  <si>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</si>
  <si>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</si>
  <si>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</si>
  <si>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</si>
  <si>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</si>
  <si>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</si>
  <si>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</si>
  <si>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</si>
  <si>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</si>
  <si>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</si>
  <si>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</si>
  <si>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</si>
  <si>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</si>
  <si>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</si>
  <si>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</si>
  <si>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</si>
  <si>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</si>
  <si>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</si>
  <si>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</si>
  <si>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</si>
  <si>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</si>
  <si>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</si>
  <si>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</si>
  <si>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</si>
  <si>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</si>
  <si>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</si>
  <si>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</si>
  <si>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</si>
  <si>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</si>
  <si>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</si>
  <si>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</si>
  <si>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</si>
  <si>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</si>
  <si>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</si>
  <si>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</si>
  <si>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</si>
  <si>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</si>
  <si>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</si>
  <si>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</si>
  <si>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</si>
  <si>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</si>
  <si>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</si>
  <si>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</si>
  <si>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</si>
  <si>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</si>
  <si>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</si>
  <si>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</si>
  <si>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</si>
  <si>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</si>
  <si>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</si>
  <si>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</si>
  <si>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</si>
  <si>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</si>
  <si>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</si>
  <si>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</si>
  <si>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</si>
  <si>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</si>
  <si>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</si>
  <si>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</si>
  <si>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</si>
  <si>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</si>
  <si>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</si>
  <si>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</si>
  <si>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</si>
  <si>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</si>
  <si>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</si>
  <si>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</si>
  <si>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</si>
  <si>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</si>
  <si>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</si>
  <si>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</si>
  <si>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</si>
  <si>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</si>
  <si>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</si>
  <si>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</si>
  <si>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</si>
  <si>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</si>
  <si>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</si>
  <si>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</si>
  <si>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</si>
  <si>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</si>
  <si>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</si>
  <si>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</si>
  <si>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</si>
  <si>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</si>
  <si>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</si>
  <si>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</si>
  <si>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</si>
  <si>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</si>
  <si>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</si>
  <si>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</si>
  <si>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</si>
  <si>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</si>
  <si>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</si>
  <si>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</si>
  <si>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</si>
  <si>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</si>
  <si>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</si>
  <si>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</si>
  <si>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</si>
  <si>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</si>
  <si>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</si>
  <si>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</si>
  <si>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</si>
  <si>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</si>
  <si>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</si>
  <si>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</si>
  <si>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</si>
  <si>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</si>
  <si>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</si>
  <si>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</si>
  <si>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</si>
  <si>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</si>
  <si>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</si>
  <si>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</si>
  <si>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</si>
  <si>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</si>
  <si>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</si>
  <si>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</si>
  <si>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</si>
  <si>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</si>
  <si>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</si>
  <si>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</si>
  <si>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</si>
  <si>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</si>
  <si>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</si>
  <si>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</si>
  <si>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</si>
  <si>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</si>
  <si>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</si>
  <si>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</si>
  <si>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</si>
  <si>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</si>
  <si>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</si>
  <si>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</si>
  <si>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</si>
  <si>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</si>
  <si>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</si>
  <si>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</si>
  <si>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</si>
  <si>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</si>
  <si>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</si>
  <si>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</si>
  <si>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</si>
  <si>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</si>
  <si>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</si>
  <si>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</si>
  <si>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</si>
  <si>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</si>
  <si>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</si>
  <si>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</si>
  <si>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</si>
  <si>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</si>
  <si>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</si>
  <si>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</si>
  <si>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</si>
  <si>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</si>
  <si>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</si>
  <si>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</si>
  <si>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</si>
  <si>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</si>
  <si>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</si>
  <si>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</si>
  <si>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</si>
  <si>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</si>
  <si>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</si>
  <si>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</si>
  <si>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</si>
  <si>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</si>
  <si>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</si>
  <si>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</si>
  <si>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</si>
  <si>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</si>
  <si>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</si>
  <si>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</si>
  <si>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</si>
  <si>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</si>
  <si>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</si>
  <si>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</si>
  <si>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</si>
  <si>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</si>
  <si>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</si>
  <si>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</si>
  <si>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</si>
  <si>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</si>
  <si>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</si>
  <si>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</si>
  <si>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</si>
  <si>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</si>
  <si>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</si>
  <si>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</si>
  <si>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</si>
  <si>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</si>
  <si>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</si>
  <si>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</si>
  <si>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</si>
  <si>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</si>
  <si>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</si>
  <si>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</si>
  <si>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</si>
  <si>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</si>
  <si>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</si>
  <si>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</si>
  <si>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</si>
  <si>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</si>
  <si>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</si>
  <si>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</si>
  <si>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</si>
  <si>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</si>
  <si>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</si>
  <si>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</si>
  <si>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</si>
  <si>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</si>
  <si>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</si>
  <si>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</si>
  <si>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</si>
  <si>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</si>
  <si>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</si>
  <si>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</si>
  <si>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</si>
  <si>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</si>
  <si>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</si>
  <si>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</si>
  <si>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</si>
  <si>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</si>
  <si>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</si>
  <si>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</si>
  <si>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</si>
  <si>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</si>
  <si>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</si>
  <si>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</si>
  <si>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</si>
  <si>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</si>
  <si>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</si>
  <si>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</si>
  <si>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</si>
  <si>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</si>
  <si>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</si>
  <si>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</si>
  <si>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</si>
  <si>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</si>
  <si>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</si>
  <si>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</si>
  <si>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</si>
  <si>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</si>
  <si>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</si>
  <si>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</si>
  <si>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</si>
  <si>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</si>
  <si>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</si>
  <si>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</si>
  <si>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</si>
  <si>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</si>
  <si>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</si>
  <si>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</si>
  <si>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</si>
  <si>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</si>
  <si>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</si>
  <si>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</si>
  <si>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</si>
  <si>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</si>
  <si>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</si>
  <si>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</si>
  <si>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</si>
  <si>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</si>
  <si>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</si>
  <si>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</si>
  <si>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</si>
  <si>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</si>
  <si>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</si>
  <si>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</si>
  <si>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</si>
  <si>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</si>
  <si>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</si>
  <si>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</si>
  <si>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</si>
  <si>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</si>
  <si>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</si>
  <si>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</si>
  <si>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</si>
  <si>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</si>
  <si>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</si>
  <si>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</si>
  <si>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</si>
  <si>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</si>
  <si>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</si>
  <si>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</si>
  <si>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</si>
  <si>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</si>
  <si>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</si>
  <si>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</si>
  <si>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</si>
  <si>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</si>
  <si>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</si>
  <si>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</si>
  <si>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</si>
  <si>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</si>
  <si>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</si>
  <si>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</si>
  <si>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</si>
  <si>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</si>
  <si>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</si>
  <si>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</si>
  <si>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</si>
  <si>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</si>
  <si>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</si>
  <si>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</si>
  <si>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</si>
  <si>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</si>
  <si>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</si>
  <si>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</si>
  <si>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</si>
  <si>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</si>
  <si>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</si>
  <si>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</si>
  <si>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</si>
  <si>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</si>
  <si>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</si>
  <si>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</si>
  <si>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</si>
  <si>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</si>
  <si>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</si>
  <si>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</si>
  <si>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</si>
  <si>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</si>
  <si>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</si>
  <si>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</si>
  <si>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</si>
  <si>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</si>
  <si>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</si>
  <si>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</si>
  <si>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</si>
  <si>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</si>
  <si>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</si>
  <si>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</si>
  <si>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</si>
  <si>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</si>
  <si>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</si>
  <si>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</si>
  <si>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</si>
  <si>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</si>
  <si>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</si>
  <si>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</si>
  <si>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</si>
  <si>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</si>
  <si>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</si>
  <si>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</si>
  <si>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</si>
  <si>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</si>
  <si>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</si>
  <si>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</si>
  <si>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</si>
  <si>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</si>
  <si>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</si>
  <si>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</si>
  <si>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</si>
  <si>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</si>
  <si>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</si>
  <si>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</si>
  <si>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</si>
  <si>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</si>
  <si>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</si>
  <si>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</si>
  <si>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</si>
  <si>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</si>
  <si>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</si>
  <si>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</si>
  <si>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</si>
  <si>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</si>
  <si>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</si>
  <si>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</si>
  <si>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</si>
  <si>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</si>
  <si>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</si>
  <si>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</si>
  <si>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</si>
  <si>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</si>
  <si>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</si>
  <si>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</si>
  <si>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</si>
  <si>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</si>
  <si>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</si>
  <si>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</si>
  <si>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</si>
  <si>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</si>
  <si>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</si>
  <si>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</si>
  <si>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</si>
  <si>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</si>
  <si>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</si>
  <si>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</si>
  <si>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</si>
  <si>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</si>
  <si>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</si>
  <si>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</si>
  <si>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</si>
  <si>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</si>
  <si>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</si>
  <si>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</si>
  <si>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</si>
  <si>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</si>
  <si>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</si>
  <si>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</si>
  <si>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</si>
  <si>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</si>
  <si>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</si>
  <si>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</si>
  <si>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</si>
  <si>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</si>
  <si>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</si>
  <si>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</si>
  <si>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</si>
  <si>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</si>
  <si>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</si>
  <si>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</si>
  <si>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</si>
  <si>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</si>
  <si>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</si>
  <si>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</si>
  <si>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</si>
  <si>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</si>
  <si>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</si>
  <si>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</si>
  <si>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</si>
  <si>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</si>
  <si>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</si>
  <si>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</si>
  <si>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</si>
  <si>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</si>
  <si>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</si>
  <si>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</si>
  <si>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</si>
  <si>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</si>
  <si>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</si>
  <si>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</si>
  <si>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</si>
  <si>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</si>
  <si>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</si>
  <si>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</si>
  <si>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</si>
  <si>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</si>
  <si>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</si>
  <si>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</si>
  <si>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</si>
  <si>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</si>
  <si>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</si>
  <si>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</si>
  <si>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</si>
  <si>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</si>
  <si>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</si>
  <si>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</si>
  <si>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</si>
  <si>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</si>
  <si>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</si>
  <si>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</si>
  <si>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</si>
  <si>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</si>
  <si>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</si>
  <si>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</si>
  <si>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</si>
  <si>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</si>
  <si>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</si>
  <si>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</si>
  <si>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</si>
  <si>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</si>
  <si>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</si>
  <si>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</si>
  <si>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</si>
  <si>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</si>
  <si>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</si>
  <si>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</si>
  <si>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</si>
  <si>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</si>
  <si>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</si>
  <si>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</si>
  <si>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</si>
  <si>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</si>
  <si>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</si>
  <si>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</si>
  <si>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</si>
  <si>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</si>
  <si>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</si>
  <si>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</si>
  <si>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</si>
  <si>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</si>
  <si>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</si>
  <si>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</si>
  <si>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</si>
  <si>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</si>
  <si>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</si>
  <si>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</si>
  <si>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</si>
  <si>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</si>
  <si>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</si>
  <si>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</si>
  <si>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</si>
  <si>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</si>
  <si>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</si>
  <si>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</si>
  <si>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</si>
  <si>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</si>
  <si>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</si>
  <si>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</si>
  <si>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</si>
  <si>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</si>
  <si>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</si>
  <si>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</si>
  <si>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</si>
  <si>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</si>
  <si>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</si>
  <si>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</si>
  <si>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</si>
  <si>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</si>
  <si>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</si>
  <si>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</si>
  <si>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</si>
  <si>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</si>
  <si>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</si>
  <si>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</si>
  <si>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</si>
  <si>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</si>
  <si>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</si>
  <si>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</si>
  <si>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</si>
  <si>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</si>
  <si>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</si>
  <si>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</si>
  <si>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</si>
  <si>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</si>
  <si>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</si>
  <si>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</si>
  <si>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</si>
  <si>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</si>
  <si>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</si>
  <si>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</si>
  <si>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</si>
  <si>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</si>
  <si>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</si>
  <si>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</si>
  <si>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</si>
  <si>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</si>
  <si>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</si>
  <si>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</si>
  <si>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</si>
  <si>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</si>
  <si>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</si>
  <si>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</si>
  <si>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</si>
  <si>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</si>
  <si>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</si>
  <si>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</si>
  <si>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</si>
  <si>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</si>
  <si>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</si>
  <si>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</si>
  <si>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</si>
  <si>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</si>
  <si>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</si>
  <si>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</si>
  <si>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</si>
  <si>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</si>
  <si>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</si>
  <si>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</si>
  <si>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</si>
  <si>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</si>
  <si>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</si>
  <si>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</si>
  <si>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</si>
  <si>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</si>
  <si>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</si>
  <si>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</si>
  <si>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</si>
  <si>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</si>
  <si>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</si>
  <si>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</si>
  <si>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</si>
  <si>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</si>
  <si>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</si>
  <si>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</si>
  <si>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</si>
  <si>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</si>
  <si>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</si>
  <si>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</si>
  <si>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</si>
  <si>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</si>
  <si>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</si>
  <si>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</si>
  <si>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</si>
  <si>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</si>
  <si>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</si>
  <si>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</si>
  <si>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</si>
  <si>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</si>
  <si>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</si>
  <si>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</si>
  <si>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</si>
  <si>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</si>
  <si>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</si>
  <si>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</si>
  <si>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</si>
  <si>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</si>
  <si>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</si>
  <si>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</si>
  <si>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</si>
  <si>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</si>
  <si>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</si>
  <si>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</si>
  <si>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</si>
  <si>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</si>
  <si>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</si>
  <si>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</si>
  <si>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</si>
  <si>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</si>
  <si>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</si>
  <si>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</si>
  <si>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</si>
  <si>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</si>
  <si>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</si>
  <si>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</si>
  <si>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</si>
  <si>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</si>
  <si>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</si>
  <si>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</si>
  <si>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</si>
  <si>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</si>
  <si>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</si>
  <si>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</si>
  <si>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</si>
  <si>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</si>
  <si>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</si>
  <si>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</si>
  <si>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</si>
  <si>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</si>
  <si>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</si>
  <si>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</si>
  <si>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</si>
  <si>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</si>
  <si>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</si>
  <si>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</si>
  <si>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</si>
  <si>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</si>
  <si>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</si>
  <si>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</si>
  <si>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</si>
  <si>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</si>
  <si>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</si>
  <si>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</si>
  <si>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</si>
  <si>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</si>
  <si>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</si>
  <si>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</si>
  <si>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</si>
  <si>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</si>
  <si>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</si>
  <si>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</si>
  <si>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</si>
  <si>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</si>
  <si>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</si>
  <si>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</si>
  <si>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</si>
  <si>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</si>
  <si>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</si>
  <si>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</si>
  <si>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</si>
  <si>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</si>
  <si>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</si>
  <si>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</si>
  <si>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</si>
  <si>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</si>
  <si>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</si>
  <si>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</si>
  <si>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</si>
  <si>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</si>
  <si>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</si>
  <si>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</si>
  <si>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</si>
  <si>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</si>
  <si>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</si>
  <si>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</si>
  <si>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</si>
  <si>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</si>
  <si>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</si>
  <si>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</si>
  <si>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</si>
  <si>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</si>
  <si>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</si>
  <si>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</si>
  <si>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</si>
  <si>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</si>
  <si>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</si>
  <si>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</si>
  <si>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</si>
  <si>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</si>
  <si>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</si>
  <si>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</si>
  <si>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</si>
  <si>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</si>
  <si>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</si>
  <si>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</si>
  <si>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</si>
  <si>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</si>
  <si>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</si>
  <si>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</si>
  <si>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</si>
  <si>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</si>
  <si>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</si>
  <si>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</si>
  <si>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</si>
  <si>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</si>
  <si>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</si>
  <si>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</si>
  <si>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</si>
  <si>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</si>
  <si>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</si>
  <si>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</si>
  <si>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</si>
  <si>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</si>
  <si>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</si>
  <si>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</si>
  <si>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</si>
  <si>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</si>
  <si>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</si>
  <si>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</si>
  <si>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</si>
  <si>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</si>
  <si>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</si>
  <si>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</si>
  <si>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</si>
  <si>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</si>
  <si>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</si>
  <si>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</si>
  <si>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</si>
  <si>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</si>
  <si>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</si>
  <si>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</si>
  <si>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</si>
  <si>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</si>
  <si>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</si>
  <si>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</si>
  <si>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</si>
  <si>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</si>
  <si>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</si>
  <si>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</si>
  <si>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</si>
  <si>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</si>
  <si>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</si>
  <si>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</si>
  <si>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</si>
  <si>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</si>
  <si>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</si>
  <si>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</si>
  <si>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</si>
  <si>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</si>
  <si>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</si>
  <si>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</si>
  <si>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</si>
  <si>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</si>
  <si>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</si>
  <si>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</si>
  <si>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</si>
  <si>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</si>
  <si>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</si>
  <si>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</si>
  <si>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</si>
  <si>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</si>
  <si>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</si>
  <si>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</si>
  <si>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</si>
  <si>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</si>
  <si>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</si>
  <si>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</si>
  <si>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</si>
  <si>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</si>
  <si>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</si>
  <si>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</si>
  <si>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</si>
  <si>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</si>
  <si>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</si>
  <si>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</si>
  <si>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</si>
  <si>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</si>
  <si>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</si>
  <si>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</si>
  <si>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</si>
  <si>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</si>
  <si>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</si>
  <si>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</si>
  <si>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</si>
  <si>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</si>
  <si>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</si>
  <si>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</si>
  <si>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</si>
  <si>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</si>
  <si>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</si>
  <si>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</si>
  <si>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</si>
  <si>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</si>
  <si>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</si>
  <si>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</si>
  <si>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</si>
  <si>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</si>
  <si>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</si>
  <si>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</si>
  <si>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</si>
  <si>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</si>
  <si>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</si>
  <si>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</si>
  <si>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</si>
  <si>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</si>
  <si>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</si>
  <si>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</si>
  <si>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</si>
  <si>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</si>
  <si>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</si>
  <si>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</si>
  <si>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</si>
  <si>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</si>
  <si>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</si>
  <si>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</si>
  <si>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</si>
  <si>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</si>
  <si>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</si>
  <si>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</si>
  <si>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</si>
  <si>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</si>
  <si>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</si>
  <si>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</si>
  <si>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</si>
  <si>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</si>
  <si>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</si>
  <si>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</si>
  <si>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</si>
  <si>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</si>
  <si>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</si>
  <si>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</si>
  <si>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</si>
  <si>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</si>
  <si>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</si>
  <si>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</si>
  <si>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</si>
  <si>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</si>
  <si>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</si>
  <si>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</si>
  <si>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</si>
  <si>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</si>
  <si>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</si>
  <si>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</si>
  <si>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</si>
  <si>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</si>
  <si>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</si>
  <si>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</si>
  <si>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</si>
  <si>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</si>
  <si>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</si>
  <si>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</si>
  <si>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</si>
  <si>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</si>
  <si>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</si>
  <si>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</si>
  <si>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</si>
  <si>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</si>
  <si>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</si>
  <si>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</si>
  <si>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</si>
  <si>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</si>
  <si>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</si>
  <si>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</si>
  <si>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</si>
  <si>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</si>
  <si>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</si>
  <si>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</si>
  <si>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</si>
  <si>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</si>
  <si>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</si>
  <si>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</si>
  <si>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</si>
  <si>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</si>
  <si>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</si>
  <si>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</si>
  <si>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</si>
  <si>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</si>
  <si>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</si>
  <si>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</si>
  <si>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</si>
  <si>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</si>
  <si>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</si>
  <si>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</si>
  <si>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</si>
  <si>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</si>
  <si>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</si>
  <si>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</si>
  <si>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</si>
  <si>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</si>
  <si>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</si>
  <si>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</si>
  <si>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</si>
  <si>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</si>
  <si>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</si>
  <si>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</si>
  <si>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</si>
  <si>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</si>
  <si>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</si>
  <si>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</si>
  <si>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</si>
  <si>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</si>
  <si>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</si>
  <si>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</si>
  <si>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</si>
  <si>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</si>
  <si>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</si>
  <si>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</si>
  <si>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</si>
  <si>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</si>
  <si>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</si>
  <si>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</si>
  <si>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</si>
  <si>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</si>
  <si>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</si>
  <si>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</si>
  <si>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</si>
  <si>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</si>
  <si>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</si>
  <si>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</si>
  <si>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</si>
  <si>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</si>
  <si>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</si>
  <si>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</si>
  <si>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</si>
  <si>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</si>
  <si>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</si>
  <si>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</si>
  <si>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</si>
  <si>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</si>
  <si>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</si>
  <si>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</si>
  <si>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</si>
  <si>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</si>
  <si>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</si>
  <si>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</si>
  <si>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</si>
  <si>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</si>
  <si>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</si>
  <si>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</si>
  <si>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</si>
  <si>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</si>
  <si>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</si>
  <si>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</si>
  <si>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</si>
  <si>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</si>
  <si>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</si>
  <si>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</si>
  <si>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</si>
  <si>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</si>
  <si>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</si>
  <si>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</si>
  <si>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</si>
  <si>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</si>
  <si>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</si>
  <si>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</si>
  <si>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</si>
  <si>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</si>
  <si>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</si>
  <si>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</si>
  <si>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</si>
  <si>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</si>
  <si>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</si>
  <si>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</si>
  <si>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</si>
  <si>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</si>
  <si>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</si>
  <si>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</si>
  <si>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</si>
  <si>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</si>
  <si>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</si>
  <si>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</si>
  <si>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</si>
  <si>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</si>
  <si>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</si>
  <si>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</si>
  <si>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</si>
  <si>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</si>
  <si>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</si>
  <si>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</si>
  <si>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</si>
  <si>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</si>
  <si>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</si>
  <si>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</si>
  <si>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</si>
  <si>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</si>
  <si>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</si>
  <si>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</si>
  <si>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</si>
  <si>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</si>
  <si>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</si>
  <si>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</si>
  <si>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</si>
  <si>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</si>
  <si>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</si>
  <si>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</si>
  <si>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</si>
  <si>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</si>
  <si>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</si>
  <si>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</si>
  <si>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</si>
  <si>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</si>
  <si>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</si>
  <si>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</si>
  <si>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</si>
  <si>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</si>
  <si>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</si>
  <si>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</si>
  <si>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</si>
  <si>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</si>
  <si>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</si>
  <si>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</si>
  <si>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</si>
  <si>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</si>
  <si>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</si>
  <si>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</si>
  <si>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</si>
  <si>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</si>
  <si>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</si>
  <si>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</si>
  <si>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</si>
  <si>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</si>
  <si>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</si>
  <si>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</si>
  <si>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</si>
  <si>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</si>
  <si>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</si>
  <si>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</si>
  <si>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</si>
  <si>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</si>
  <si>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</si>
  <si>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</si>
  <si>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</si>
  <si>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</si>
  <si>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</si>
  <si>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</si>
  <si>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</si>
  <si>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</si>
  <si>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</si>
  <si>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</si>
  <si>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</si>
  <si>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</si>
  <si>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</si>
  <si>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</si>
  <si>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</si>
  <si>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</si>
  <si>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</si>
  <si>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</si>
  <si>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</si>
  <si>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</si>
  <si>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</si>
  <si>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</si>
  <si>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</si>
  <si>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</si>
  <si>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</si>
  <si>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</si>
  <si>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</si>
  <si>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</si>
  <si>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</si>
  <si>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</si>
  <si>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</si>
  <si>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</si>
  <si>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</si>
  <si>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</si>
  <si>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</si>
  <si>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</si>
  <si>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</si>
  <si>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</si>
  <si>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</si>
  <si>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</si>
  <si>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</si>
  <si>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</si>
  <si>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</si>
  <si>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</si>
  <si>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</si>
  <si>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</si>
  <si>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</si>
  <si>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</si>
  <si>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</si>
  <si>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</si>
  <si>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</si>
  <si>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</si>
  <si>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</si>
  <si>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</si>
  <si>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</si>
  <si>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</si>
  <si>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</si>
  <si>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</si>
  <si>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</si>
  <si>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</si>
  <si>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</si>
  <si>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</si>
  <si>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</si>
  <si>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</si>
  <si>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</si>
  <si>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</si>
  <si>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</si>
  <si>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</si>
  <si>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</si>
  <si>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</si>
  <si>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</si>
  <si>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</si>
  <si>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</si>
  <si>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</si>
  <si>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</si>
  <si>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</si>
  <si>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</si>
  <si>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</si>
  <si>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</si>
  <si>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</si>
  <si>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</si>
  <si>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</si>
  <si>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</si>
  <si>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</si>
  <si>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</si>
  <si>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</si>
  <si>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</si>
  <si>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</si>
  <si>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</si>
  <si>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</si>
  <si>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</si>
  <si>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</si>
  <si>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</si>
  <si>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</si>
  <si>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</si>
  <si>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</si>
  <si>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</si>
  <si>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</si>
  <si>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</si>
  <si>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</si>
  <si>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</si>
  <si>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</si>
  <si>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</si>
  <si>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</si>
  <si>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</si>
  <si>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</si>
  <si>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</si>
  <si>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</si>
  <si>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</si>
  <si>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</si>
  <si>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</si>
  <si>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</si>
  <si>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</si>
  <si>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</si>
  <si>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</si>
  <si>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</si>
  <si>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</si>
  <si>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</si>
  <si>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</si>
  <si>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</si>
  <si>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</si>
  <si>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</si>
  <si>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</si>
  <si>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</si>
  <si>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</si>
  <si>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</si>
  <si>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</si>
  <si>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</si>
  <si>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</si>
  <si>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</si>
  <si>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</si>
  <si>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</si>
  <si>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</si>
  <si>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</si>
  <si>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</si>
  <si>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</si>
  <si>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</si>
  <si>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</si>
  <si>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</si>
  <si>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</si>
  <si>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</si>
  <si>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</si>
  <si>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</si>
  <si>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</si>
  <si>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</si>
  <si>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</si>
  <si>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</si>
  <si>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</si>
  <si>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</si>
  <si>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</si>
  <si>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</si>
  <si>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</si>
  <si>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</si>
  <si>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</si>
  <si>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</si>
  <si>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</si>
  <si>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</si>
  <si>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</si>
  <si>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</si>
  <si>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</si>
  <si>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</si>
  <si>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</si>
  <si>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</si>
  <si>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</si>
  <si>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</si>
  <si>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</si>
  <si>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</si>
  <si>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</si>
  <si>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</si>
  <si>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</si>
  <si>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</si>
  <si>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</si>
  <si>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</si>
  <si>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</si>
  <si>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</si>
  <si>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</si>
  <si>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</si>
  <si>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</si>
  <si>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</si>
  <si>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</si>
  <si>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</si>
  <si>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</si>
  <si>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</si>
  <si>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</si>
  <si>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</si>
  <si>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</si>
  <si>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</si>
  <si>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</si>
  <si>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</si>
  <si>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</si>
  <si>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</si>
  <si>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</si>
  <si>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</si>
  <si>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</si>
  <si>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</si>
  <si>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</si>
  <si>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</si>
  <si>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</si>
  <si>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</si>
  <si>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</si>
  <si>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</si>
  <si>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</si>
  <si>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</si>
  <si>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</si>
  <si>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</si>
  <si>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</si>
  <si>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</si>
  <si>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</si>
  <si>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</si>
  <si>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</si>
  <si>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</si>
  <si>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</si>
  <si>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</si>
  <si>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</si>
  <si>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</si>
  <si>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</si>
  <si>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</si>
  <si>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</si>
  <si>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</si>
  <si>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</si>
  <si>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</si>
  <si>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</si>
  <si>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</si>
  <si>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</si>
  <si>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</si>
  <si>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</si>
  <si>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</si>
  <si>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</si>
  <si>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</si>
  <si>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</si>
  <si>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</si>
  <si>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</si>
  <si>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</si>
  <si>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</si>
  <si>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</si>
  <si>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</si>
  <si>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</si>
  <si>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</si>
  <si>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</si>
  <si>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</si>
  <si>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</si>
  <si>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</si>
  <si>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</si>
  <si>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</si>
  <si>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</si>
  <si>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</si>
  <si>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</si>
  <si>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</si>
  <si>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</si>
  <si>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</si>
  <si>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</si>
  <si>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</si>
  <si>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</si>
  <si>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</si>
  <si>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</si>
  <si>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</si>
  <si>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</si>
  <si>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</si>
  <si>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</si>
  <si>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</si>
  <si>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</si>
  <si>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</si>
  <si>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</si>
  <si>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</si>
  <si>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</si>
  <si>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</si>
  <si>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</si>
  <si>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</si>
  <si>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</si>
  <si>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</si>
  <si>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</si>
  <si>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</si>
  <si>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</si>
  <si>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</si>
  <si>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</si>
  <si>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</si>
  <si>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</si>
  <si>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</si>
  <si>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</si>
  <si>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</si>
  <si>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</si>
  <si>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</si>
  <si>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</si>
  <si>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</si>
  <si>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</si>
  <si>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</si>
  <si>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</si>
  <si>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</si>
  <si>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</si>
  <si>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</si>
  <si>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</si>
  <si>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</si>
  <si>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</si>
  <si>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</si>
  <si>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</si>
  <si>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</si>
  <si>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</si>
  <si>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</si>
  <si>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</si>
  <si>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</si>
  <si>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</si>
  <si>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</si>
  <si>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</si>
  <si>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</si>
  <si>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</si>
  <si>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</si>
  <si>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</si>
  <si>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</si>
  <si>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</si>
  <si>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</si>
  <si>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</si>
  <si>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</si>
  <si>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</si>
  <si>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</si>
  <si>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</si>
  <si>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</si>
  <si>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</si>
  <si>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</si>
  <si>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</si>
  <si>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</si>
  <si>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</si>
  <si>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</si>
  <si>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</si>
  <si>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</si>
  <si>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</si>
  <si>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</si>
  <si>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</si>
  <si>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</si>
  <si>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</si>
  <si>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</si>
  <si>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</si>
  <si>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</si>
  <si>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</si>
  <si>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</si>
  <si>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</si>
  <si>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</si>
  <si>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</si>
  <si>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</si>
  <si>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</si>
  <si>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</si>
  <si>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</si>
  <si>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</si>
  <si>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</si>
  <si>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</si>
  <si>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</si>
  <si>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</si>
  <si>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</si>
  <si>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</si>
  <si>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</si>
  <si>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</si>
  <si>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</si>
  <si>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</si>
  <si>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</si>
  <si>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</si>
  <si>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</si>
  <si>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</si>
  <si>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</si>
  <si>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</si>
  <si>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</si>
  <si>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</si>
  <si>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</si>
  <si>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</si>
  <si>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</si>
  <si>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</si>
  <si>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</si>
  <si>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</si>
  <si>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</si>
  <si>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</si>
  <si>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</si>
  <si>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</si>
  <si>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</si>
  <si>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</si>
  <si>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</si>
  <si>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</si>
  <si>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</si>
  <si>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</si>
  <si>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</si>
  <si>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</si>
  <si>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</si>
  <si>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</si>
  <si>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</si>
  <si>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</si>
  <si>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</si>
  <si>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</si>
  <si>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</si>
  <si>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</si>
  <si>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</si>
  <si>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</si>
  <si>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</si>
  <si>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</si>
  <si>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</si>
  <si>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</si>
  <si>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</si>
  <si>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</si>
  <si>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</si>
  <si>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</si>
  <si>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</si>
  <si>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</si>
  <si>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</si>
  <si>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</si>
  <si>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</si>
  <si>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</si>
  <si>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</si>
  <si>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</si>
  <si>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</si>
  <si>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</si>
  <si>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</si>
  <si>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</si>
  <si>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</si>
  <si>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</si>
  <si>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</si>
  <si>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</si>
  <si>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</si>
  <si>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</si>
  <si>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</si>
  <si>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</si>
  <si>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</si>
  <si>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</si>
  <si>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</si>
  <si>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</si>
  <si>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</si>
  <si>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</si>
  <si>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</si>
  <si>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</si>
  <si>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</si>
  <si>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</si>
  <si>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</si>
  <si>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</si>
  <si>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</si>
  <si>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</si>
  <si>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</si>
  <si>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</si>
  <si>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</si>
  <si>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</si>
  <si>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</si>
  <si>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</si>
  <si>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</si>
  <si>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</si>
  <si>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</si>
  <si>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</si>
  <si>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</si>
  <si>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</si>
  <si>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</si>
  <si>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</si>
  <si>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</si>
  <si>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</si>
  <si>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</si>
  <si>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</si>
  <si>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</si>
  <si>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</si>
  <si>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</si>
  <si>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</si>
  <si>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</si>
  <si>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</si>
  <si>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</si>
  <si>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</si>
  <si>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</si>
  <si>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</si>
  <si>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</si>
  <si>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</si>
  <si>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</si>
  <si>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</si>
  <si>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</si>
  <si>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</si>
  <si>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</si>
  <si>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</si>
  <si>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</si>
  <si>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</si>
  <si>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</si>
  <si>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</si>
  <si>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</si>
  <si>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</si>
  <si>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</si>
  <si>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</si>
  <si>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</si>
  <si>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</si>
  <si>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</si>
  <si>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</si>
  <si>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</si>
  <si>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</si>
  <si>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</si>
  <si>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</si>
  <si>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</si>
  <si>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</si>
  <si>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</si>
  <si>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</si>
  <si>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</si>
  <si>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</si>
  <si>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</si>
  <si>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</si>
  <si>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</si>
  <si>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</si>
  <si>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</si>
  <si>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</si>
  <si>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</si>
  <si>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</si>
  <si>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</si>
  <si>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</si>
  <si>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</si>
  <si>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</si>
  <si>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</si>
  <si>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</si>
  <si>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</si>
  <si>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</si>
  <si>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</si>
  <si>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</si>
  <si>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</si>
  <si>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</si>
  <si>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</si>
  <si>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</si>
  <si>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</si>
  <si>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</si>
  <si>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</si>
  <si>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</si>
  <si>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</si>
  <si>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</si>
  <si>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</si>
  <si>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</si>
  <si>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</si>
  <si>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</si>
  <si>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</si>
  <si>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</si>
  <si>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</si>
  <si>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</si>
  <si>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</si>
  <si>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</si>
  <si>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</si>
  <si>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</si>
  <si>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</si>
  <si>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</si>
  <si>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</si>
  <si>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</si>
  <si>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</si>
  <si>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</si>
  <si>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</si>
  <si>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</si>
  <si>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</si>
  <si>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</si>
  <si>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</si>
  <si>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</si>
  <si>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</si>
  <si>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</si>
  <si>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</si>
  <si>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</si>
  <si>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</si>
  <si>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</si>
  <si>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</si>
  <si>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</si>
  <si>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</si>
  <si>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</si>
  <si>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</si>
  <si>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</si>
  <si>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</si>
  <si>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</si>
  <si>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</si>
  <si>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</si>
  <si>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</si>
  <si>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</si>
  <si>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</si>
  <si>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</si>
  <si>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</si>
  <si>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</si>
  <si>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</si>
  <si>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</si>
  <si>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</si>
  <si>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</si>
  <si>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</si>
  <si>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</si>
  <si>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</si>
  <si>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</si>
  <si>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</si>
  <si>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</si>
  <si>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</si>
  <si>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</si>
  <si>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</si>
  <si>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</si>
  <si>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</si>
  <si>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</si>
  <si>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</si>
  <si>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</si>
  <si>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</si>
  <si>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</si>
  <si>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</si>
  <si>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</si>
  <si>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</si>
  <si>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</si>
  <si>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</si>
  <si>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</si>
  <si>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</si>
  <si>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</si>
  <si>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</si>
  <si>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</si>
  <si>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</si>
  <si>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</si>
  <si>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</si>
  <si>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</si>
  <si>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</si>
  <si>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</si>
  <si>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</si>
  <si>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</si>
  <si>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</si>
  <si>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</si>
  <si>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</si>
  <si>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</si>
  <si>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</si>
  <si>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</si>
  <si>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</si>
  <si>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</si>
  <si>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</si>
  <si>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</si>
  <si>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</si>
  <si>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</si>
  <si>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</si>
  <si>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</si>
  <si>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</si>
  <si>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</si>
  <si>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</si>
  <si>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</si>
  <si>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</si>
  <si>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</si>
  <si>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</si>
  <si>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</si>
  <si>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</si>
  <si>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</si>
  <si>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</si>
  <si>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</si>
  <si>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</si>
  <si>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</si>
  <si>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</si>
  <si>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</si>
  <si>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</si>
  <si>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</si>
  <si>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</si>
  <si>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</si>
  <si>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</si>
  <si>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</si>
  <si>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</si>
  <si>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</si>
  <si>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</si>
  <si>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</si>
  <si>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</si>
  <si>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</si>
  <si>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</si>
  <si>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</si>
  <si>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</si>
  <si>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</si>
  <si>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</si>
  <si>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</si>
  <si>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</si>
  <si>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</si>
  <si>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</si>
  <si>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</si>
  <si>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</si>
  <si>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</si>
  <si>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</si>
  <si>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</si>
  <si>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</si>
  <si>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</si>
  <si>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</si>
  <si>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</si>
  <si>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</si>
  <si>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</si>
  <si>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</si>
  <si>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</si>
  <si>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</si>
  <si>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</si>
  <si>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</si>
  <si>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</si>
  <si>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</si>
  <si>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</si>
  <si>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</si>
  <si>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</si>
  <si>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</si>
  <si>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</si>
  <si>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</si>
  <si>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</si>
  <si>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</si>
  <si>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</si>
  <si>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</si>
  <si>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</si>
  <si>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</si>
  <si>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</si>
  <si>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</si>
  <si>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</si>
  <si>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</si>
  <si>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</si>
  <si>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</si>
  <si>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</si>
  <si>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</si>
  <si>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</si>
  <si>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</si>
  <si>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</si>
  <si>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</si>
  <si>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</si>
  <si>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</si>
  <si>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</si>
  <si>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</si>
  <si>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</si>
  <si>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</si>
  <si>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</si>
  <si>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</si>
  <si>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</si>
  <si>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</si>
  <si>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</si>
  <si>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</si>
  <si>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</si>
  <si>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</si>
  <si>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</si>
  <si>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</si>
  <si>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</si>
  <si>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</si>
  <si>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</si>
  <si>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</si>
  <si>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</si>
  <si>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</si>
  <si>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</si>
  <si>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</si>
  <si>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</si>
  <si>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</si>
  <si>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</si>
  <si>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</si>
  <si>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</si>
  <si>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</si>
  <si>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</si>
  <si>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</si>
  <si>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</si>
  <si>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</si>
  <si>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</si>
  <si>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</si>
  <si>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</si>
  <si>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</si>
  <si>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</si>
  <si>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</si>
  <si>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</si>
  <si>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</si>
  <si>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</si>
  <si>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</si>
  <si>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</si>
  <si>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</si>
  <si>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</si>
  <si>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</si>
  <si>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</si>
  <si>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</si>
  <si>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</si>
  <si>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</si>
  <si>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</si>
  <si>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</si>
  <si>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</si>
  <si>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</si>
  <si>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</si>
  <si>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</si>
  <si>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</si>
  <si>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</si>
  <si>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</si>
  <si>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</si>
  <si>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</si>
  <si>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</si>
  <si>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</si>
  <si>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</si>
  <si>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</si>
  <si>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</si>
  <si>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</si>
  <si>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</si>
  <si>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</si>
  <si>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</si>
  <si>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</si>
  <si>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</si>
  <si>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</si>
  <si>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</si>
  <si>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</si>
  <si>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</si>
  <si>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</si>
  <si>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</si>
  <si>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</si>
  <si>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</si>
  <si>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</si>
  <si>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</si>
  <si>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</si>
  <si>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</si>
  <si>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</si>
  <si>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</si>
  <si>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</si>
  <si>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</si>
  <si>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</si>
  <si>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</si>
  <si>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</si>
  <si>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</si>
  <si>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</si>
  <si>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</si>
  <si>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</si>
  <si>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</si>
  <si>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</si>
  <si>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</si>
  <si>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</si>
  <si>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</si>
  <si>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</si>
  <si>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</si>
  <si>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</si>
  <si>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</si>
  <si>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</si>
  <si>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</si>
  <si>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</si>
  <si>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</si>
  <si>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</si>
  <si>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</si>
  <si>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</si>
  <si>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</si>
  <si>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</si>
  <si>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</si>
  <si>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</si>
  <si>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</si>
  <si>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</si>
  <si>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</si>
  <si>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</si>
  <si>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</si>
  <si>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</si>
  <si>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</si>
  <si>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</si>
  <si>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</si>
  <si>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</si>
  <si>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</si>
  <si>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</si>
  <si>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</si>
  <si>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</si>
  <si>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</si>
  <si>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</si>
  <si>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</si>
  <si>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</si>
  <si>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</si>
  <si>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</si>
  <si>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</si>
  <si>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</si>
  <si>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</si>
  <si>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</si>
  <si>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</si>
  <si>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</si>
  <si>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</si>
  <si>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</si>
  <si>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</si>
  <si>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</si>
  <si>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</si>
  <si>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</si>
  <si>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</si>
  <si>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</si>
  <si>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</si>
  <si>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</si>
  <si>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</si>
  <si>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</si>
  <si>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</si>
  <si>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</si>
  <si>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</si>
  <si>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</si>
  <si>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</si>
  <si>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</si>
  <si>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</si>
  <si>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</si>
  <si>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</si>
  <si>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</si>
  <si>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</si>
  <si>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</si>
  <si>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</si>
  <si>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</si>
  <si>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</si>
  <si>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</si>
  <si>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</si>
  <si>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</si>
  <si>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</si>
  <si>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</si>
  <si>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</si>
  <si>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</si>
  <si>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</si>
  <si>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</si>
  <si>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</si>
  <si>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</si>
  <si>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</si>
  <si>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</si>
  <si>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</si>
  <si>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</si>
  <si>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</si>
  <si>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</si>
  <si>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</si>
  <si>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</si>
  <si>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</si>
  <si>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</si>
  <si>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</si>
  <si>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</si>
  <si>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</si>
  <si>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</si>
  <si>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</si>
  <si>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</si>
  <si>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</si>
  <si>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</si>
  <si>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</si>
  <si>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</si>
  <si>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</si>
  <si>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</si>
  <si>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</si>
  <si>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</si>
  <si>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</si>
  <si>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</si>
  <si>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</si>
  <si>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</si>
  <si>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</si>
  <si>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</si>
  <si>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</si>
  <si>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</si>
  <si>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</si>
  <si>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</si>
  <si>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</si>
  <si>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</si>
  <si>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</si>
  <si>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</si>
  <si>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</si>
  <si>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</si>
  <si>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</si>
  <si>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</si>
  <si>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</si>
  <si>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</si>
  <si>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</si>
  <si>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</si>
  <si>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</si>
  <si>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</si>
  <si>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</si>
  <si>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</si>
  <si>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</si>
  <si>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</si>
  <si>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</si>
  <si>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</si>
  <si>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</si>
  <si>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</si>
  <si>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</si>
  <si>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</si>
  <si>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</si>
  <si>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</si>
  <si>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</si>
  <si>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</si>
  <si>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</si>
  <si>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</si>
  <si>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</si>
  <si>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</si>
  <si>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</si>
  <si>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</si>
  <si>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</si>
  <si>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</si>
  <si>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</si>
  <si>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</si>
  <si>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</si>
  <si>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</si>
  <si>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</si>
  <si>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</si>
  <si>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</si>
  <si>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</si>
  <si>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</si>
  <si>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</si>
  <si>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</si>
  <si>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</si>
  <si>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</si>
  <si>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</si>
  <si>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</si>
  <si>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</si>
  <si>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</si>
  <si>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</si>
  <si>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</si>
  <si>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</si>
  <si>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</si>
  <si>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</si>
  <si>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</si>
  <si>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</si>
  <si>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</si>
  <si>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</si>
  <si>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</si>
  <si>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</si>
  <si>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</si>
  <si>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</si>
  <si>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</si>
  <si>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</si>
  <si>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</si>
  <si>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</si>
  <si>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</si>
  <si>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</si>
  <si>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</si>
  <si>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</si>
  <si>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</si>
  <si>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</si>
  <si>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</si>
  <si>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</si>
  <si>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</si>
  <si>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</si>
  <si>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</si>
  <si>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</si>
  <si>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</si>
  <si>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</si>
  <si>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</si>
  <si>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</si>
  <si>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</si>
  <si>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</si>
  <si>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</si>
  <si>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</si>
  <si>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</si>
  <si>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</si>
  <si>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</si>
  <si>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</si>
  <si>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</si>
  <si>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</si>
  <si>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</si>
  <si>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</si>
  <si>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</si>
  <si>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</si>
  <si>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</si>
  <si>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</si>
  <si>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</si>
  <si>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</si>
  <si>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</si>
  <si>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</si>
  <si>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</si>
  <si>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</si>
  <si>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</si>
  <si>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</si>
  <si>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</si>
  <si>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</si>
  <si>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</si>
  <si>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</si>
  <si>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</si>
  <si>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</si>
  <si>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</si>
  <si>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</si>
  <si>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</si>
  <si>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</si>
  <si>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</si>
  <si>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</si>
  <si>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</si>
  <si>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</si>
  <si>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</si>
  <si>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</si>
  <si>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</si>
  <si>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</si>
  <si>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</si>
  <si>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</si>
  <si>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</si>
  <si>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</si>
  <si>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</si>
  <si>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</si>
  <si>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</si>
  <si>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</si>
  <si>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</si>
  <si>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</si>
  <si>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</si>
  <si>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</si>
  <si>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</si>
  <si>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</si>
  <si>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</si>
  <si>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</si>
  <si>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</si>
  <si>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</si>
  <si>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</si>
  <si>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</si>
  <si>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</si>
  <si>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</si>
  <si>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</si>
  <si>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</si>
  <si>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</si>
  <si>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</si>
  <si>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</si>
  <si>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</si>
  <si>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</si>
  <si>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</si>
  <si>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</si>
  <si>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</si>
  <si>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</si>
  <si>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</si>
  <si>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</si>
  <si>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</si>
  <si>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</si>
  <si>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</si>
  <si>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</si>
  <si>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</si>
  <si>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</si>
  <si>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</si>
  <si>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</si>
  <si>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</si>
  <si>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</si>
  <si>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</si>
  <si>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</si>
  <si>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</si>
  <si>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</si>
  <si>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</si>
  <si>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</si>
  <si>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</si>
  <si>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</si>
  <si>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</si>
  <si>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</si>
  <si>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</si>
  <si>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</si>
  <si>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</si>
  <si>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</si>
  <si>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</si>
  <si>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</si>
  <si>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</si>
  <si>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</si>
  <si>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</si>
  <si>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</si>
  <si>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</si>
  <si>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</si>
  <si>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</si>
  <si>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</si>
  <si>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</si>
  <si>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</si>
  <si>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</si>
  <si>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</si>
  <si>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</si>
  <si>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</si>
  <si>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</si>
  <si>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</si>
  <si>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</si>
  <si>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</si>
  <si>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</si>
  <si>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</si>
  <si>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</si>
  <si>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</si>
  <si>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</si>
  <si>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</si>
  <si>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</si>
  <si>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</si>
  <si>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</si>
  <si>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</si>
  <si>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</si>
  <si>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</si>
  <si>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</si>
  <si>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</si>
  <si>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</si>
  <si>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</si>
  <si>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</si>
  <si>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</si>
  <si>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</si>
  <si>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</si>
  <si>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</si>
  <si>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</si>
  <si>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</si>
  <si>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</si>
  <si>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</si>
  <si>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</si>
  <si>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</si>
  <si>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</si>
  <si>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</si>
  <si>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</si>
  <si>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</si>
  <si>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</si>
  <si>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</si>
  <si>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</si>
  <si>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</si>
  <si>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</si>
  <si>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</si>
  <si>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</si>
  <si>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</si>
  <si>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</si>
  <si>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</si>
  <si>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</si>
  <si>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</si>
  <si>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</si>
  <si>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</si>
  <si>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</si>
  <si>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</si>
  <si>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</si>
  <si>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</si>
  <si>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</si>
  <si>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</si>
  <si>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</si>
  <si>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</si>
  <si>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</si>
  <si>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</si>
  <si>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</si>
  <si>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</si>
  <si>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</si>
  <si>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</si>
  <si>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</si>
  <si>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</si>
  <si>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</si>
  <si>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</si>
  <si>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</si>
  <si>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</si>
  <si>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</si>
  <si>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</si>
  <si>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</si>
  <si>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</si>
  <si>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</si>
  <si>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</si>
  <si>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</si>
  <si>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</si>
  <si>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</si>
  <si>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</si>
  <si>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</si>
  <si>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</si>
  <si>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</si>
  <si>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</si>
  <si>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</si>
  <si>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</si>
  <si>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</si>
  <si>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</si>
  <si>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</si>
  <si>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</si>
  <si>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</si>
  <si>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</si>
  <si>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</si>
  <si>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</si>
  <si>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</si>
  <si>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</si>
  <si>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</si>
  <si>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</si>
  <si>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</si>
  <si>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</si>
  <si>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</si>
  <si>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</si>
  <si>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</si>
  <si>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</si>
  <si>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</si>
  <si>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</si>
  <si>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</si>
  <si>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</si>
  <si>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</si>
  <si>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</si>
  <si>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</si>
  <si>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</si>
  <si>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</si>
  <si>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</si>
  <si>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</si>
  <si>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</si>
  <si>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</si>
  <si>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</si>
  <si>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</si>
  <si>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</si>
  <si>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</si>
  <si>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</si>
  <si>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</si>
  <si>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</si>
  <si>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</si>
  <si>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</si>
  <si>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</si>
  <si>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</si>
  <si>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</si>
  <si>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</si>
  <si>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</si>
  <si>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</si>
  <si>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</si>
  <si>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</si>
  <si>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</si>
  <si>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</si>
  <si>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</si>
  <si>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</si>
  <si>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</si>
  <si>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</si>
  <si>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</si>
  <si>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</si>
  <si>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</si>
  <si>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</si>
  <si>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</si>
  <si>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</si>
  <si>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</si>
  <si>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</si>
  <si>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</si>
  <si>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</si>
  <si>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</si>
  <si>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</si>
  <si>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</si>
  <si>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</si>
  <si>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</si>
  <si>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</si>
  <si>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</si>
  <si>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</si>
  <si>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</si>
  <si>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</si>
  <si>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</si>
  <si>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</si>
  <si>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</si>
  <si>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</si>
  <si>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</si>
  <si>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</si>
  <si>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</si>
  <si>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</si>
  <si>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</si>
  <si>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</si>
  <si>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</si>
  <si>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</si>
  <si>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</si>
  <si>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</si>
  <si>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</si>
  <si>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</si>
  <si>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</si>
  <si>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</si>
  <si>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</si>
  <si>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</si>
  <si>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</si>
  <si>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</si>
  <si>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</si>
  <si>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</si>
  <si>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</si>
  <si>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</si>
  <si>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</si>
  <si>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</si>
  <si>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</si>
  <si>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</si>
  <si>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</si>
  <si>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</si>
  <si>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</si>
  <si>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</si>
  <si>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</si>
  <si>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</si>
  <si>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</si>
  <si>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</si>
  <si>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</si>
  <si>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</si>
  <si>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</si>
  <si>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</si>
  <si>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</si>
  <si>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</si>
  <si>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</si>
  <si>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</si>
  <si>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</si>
  <si>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</si>
  <si>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</si>
  <si>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</si>
  <si>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</si>
  <si>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</si>
  <si>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</si>
  <si>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</si>
  <si>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</si>
  <si>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</si>
  <si>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</si>
  <si>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</si>
  <si>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</si>
  <si>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</si>
  <si>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</si>
  <si>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</si>
  <si>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</si>
  <si>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</si>
  <si>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</si>
  <si>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</si>
  <si>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</si>
  <si>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</si>
  <si>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</si>
  <si>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</si>
  <si>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</si>
  <si>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</si>
  <si>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</si>
  <si>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</si>
  <si>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</si>
  <si>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</si>
  <si>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</si>
  <si>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</si>
  <si>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</si>
  <si>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</si>
  <si>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</si>
  <si>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</si>
  <si>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</si>
  <si>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</si>
  <si>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</si>
  <si>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</si>
  <si>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</si>
  <si>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</si>
  <si>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</si>
  <si>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</si>
  <si>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</si>
  <si>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</si>
  <si>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</si>
  <si>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</si>
  <si>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</si>
  <si>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</si>
  <si>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</si>
  <si>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</si>
  <si>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</si>
  <si>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</si>
  <si>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</si>
  <si>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</si>
  <si>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</si>
  <si>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</si>
  <si>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</si>
  <si>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</si>
  <si>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</si>
  <si>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</si>
  <si>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</si>
  <si>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</si>
  <si>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</si>
  <si>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</si>
  <si>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</si>
  <si>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</si>
  <si>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</si>
  <si>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</si>
  <si>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</si>
  <si>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</si>
  <si>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</si>
  <si>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</si>
  <si>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</si>
  <si>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</si>
  <si>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</si>
  <si>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</si>
  <si>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</si>
  <si>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</si>
  <si>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</si>
  <si>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</si>
  <si>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</si>
  <si>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</si>
  <si>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</si>
  <si>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</si>
  <si>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</si>
  <si>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</si>
  <si>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</si>
  <si>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</si>
  <si>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</si>
  <si>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</si>
  <si>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</si>
  <si>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</si>
  <si>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</si>
  <si>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</si>
  <si>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</si>
  <si>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</si>
  <si>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</si>
  <si>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</si>
  <si>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</si>
  <si>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</si>
  <si>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</si>
  <si>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</si>
  <si>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</si>
  <si>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</si>
  <si>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</si>
  <si>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</si>
  <si>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</si>
  <si>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</si>
  <si>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</si>
  <si>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</si>
  <si>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</si>
  <si>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</si>
  <si>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</si>
  <si>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</si>
  <si>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</si>
  <si>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</si>
  <si>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</si>
  <si>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</si>
  <si>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</si>
  <si>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</si>
  <si>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</si>
  <si>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</si>
  <si>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</si>
  <si>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</si>
  <si>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</si>
  <si>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</si>
  <si>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</si>
  <si>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</si>
  <si>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</si>
  <si>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</si>
  <si>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</si>
  <si>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</si>
  <si>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</si>
  <si>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</si>
  <si>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</si>
  <si>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</si>
  <si>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</si>
  <si>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</si>
  <si>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</si>
  <si>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</si>
  <si>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</si>
  <si>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</si>
  <si>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</si>
  <si>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</si>
  <si>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</si>
  <si>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</si>
  <si>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</si>
  <si>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</si>
  <si>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</si>
  <si>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</si>
  <si>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</si>
  <si>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</si>
  <si>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</si>
  <si>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</si>
  <si>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</si>
  <si>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</si>
  <si>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</si>
  <si>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</si>
  <si>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</si>
  <si>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</si>
  <si>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</si>
  <si>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</si>
  <si>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</si>
  <si>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</si>
  <si>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</si>
  <si>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</si>
  <si>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</si>
  <si>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</si>
  <si>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</si>
  <si>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</si>
  <si>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</si>
  <si>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</si>
  <si>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</si>
  <si>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</si>
  <si>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</si>
  <si>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</si>
  <si>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</si>
  <si>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</si>
  <si>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</si>
  <si>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</si>
  <si>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</si>
  <si>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</si>
  <si>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</si>
  <si>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</si>
  <si>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</si>
  <si>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</si>
  <si>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</si>
  <si>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</si>
  <si>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</si>
  <si>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</si>
  <si>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</si>
  <si>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</si>
  <si>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</si>
  <si>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</si>
  <si>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</si>
  <si>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</si>
  <si>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</si>
  <si>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</si>
  <si>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</si>
  <si>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</si>
  <si>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</si>
  <si>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</si>
  <si>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</si>
  <si>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</si>
  <si>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</si>
  <si>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</si>
  <si>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</si>
  <si>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</si>
  <si>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</si>
  <si>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</si>
  <si>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</si>
  <si>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</si>
  <si>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</si>
  <si>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</si>
  <si>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</si>
  <si>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</si>
  <si>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</si>
  <si>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</si>
  <si>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</si>
  <si>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</si>
  <si>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</si>
  <si>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</si>
  <si>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</si>
  <si>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</si>
  <si>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</si>
  <si>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</si>
  <si>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</si>
  <si>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</si>
  <si>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</si>
  <si>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</si>
  <si>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</si>
  <si>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</si>
  <si>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</si>
  <si>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</si>
  <si>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</si>
  <si>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</si>
  <si>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</si>
  <si>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</si>
  <si>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</si>
  <si>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</si>
  <si>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</si>
  <si>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</si>
  <si>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</si>
  <si>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</si>
  <si>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</si>
  <si>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</si>
  <si>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</si>
  <si>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</si>
  <si>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</si>
  <si>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</si>
  <si>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</si>
  <si>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</si>
  <si>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</si>
  <si>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</si>
  <si>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</si>
  <si>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</si>
  <si>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</si>
  <si>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</si>
  <si>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</si>
  <si>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</si>
  <si>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</si>
  <si>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</si>
  <si>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</si>
  <si>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</si>
  <si>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</si>
  <si>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</si>
  <si>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</si>
  <si>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</si>
  <si>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</si>
  <si>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</si>
  <si>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</si>
  <si>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</si>
  <si>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</si>
  <si>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</si>
  <si>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</si>
  <si>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</si>
  <si>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</si>
  <si>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</si>
  <si>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</si>
  <si>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</si>
  <si>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</si>
  <si>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</si>
  <si>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</si>
  <si>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</si>
  <si>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</si>
  <si>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</si>
  <si>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</si>
  <si>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</si>
  <si>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</si>
  <si>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</si>
  <si>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</si>
  <si>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</si>
  <si>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</si>
  <si>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</si>
  <si>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</si>
  <si>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</si>
  <si>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</si>
  <si>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</si>
  <si>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</si>
  <si>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</si>
  <si>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</si>
  <si>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</si>
  <si>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</si>
  <si>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</si>
  <si>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</si>
  <si>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</si>
  <si>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</si>
  <si>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</si>
  <si>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</si>
  <si>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</si>
  <si>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</si>
  <si>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</si>
  <si>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</si>
  <si>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</si>
  <si>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</si>
  <si>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</si>
  <si>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</si>
  <si>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</si>
  <si>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</si>
  <si>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</si>
  <si>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</si>
  <si>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</si>
  <si>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</si>
  <si>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</si>
  <si>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</si>
  <si>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</si>
  <si>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</si>
  <si>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</si>
  <si>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</si>
  <si>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</si>
  <si>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</si>
  <si>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</si>
  <si>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</si>
  <si>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</si>
  <si>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</si>
  <si>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A FRAMEWORK FOR THE IMPLEMENTATION OF AI-ENABLED DIGITAL HEALTH TOOLS FOR ENHANCING ADOLESCENTS' SEXUAL AND REPRODUCTIVE HEALTH IN RWANDA</t>
  </si>
  <si>
    <t>0000-0002-5601-0326</t>
  </si>
  <si>
    <t>C12/005</t>
  </si>
  <si>
    <t>Mandala</t>
  </si>
  <si>
    <t>emandala@cartafrica.org</t>
  </si>
  <si>
    <t>emandala@kuhes.ac.mw</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</si>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</sst>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x14ac:knownFonts="1">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87">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3"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2" fontId="0" fillId="20" borderId="14" xfId="0" applyNumberForma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0" fillId="0" borderId="0" xfId="0" applyNumberFormat="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right style="thin">
          <color indexed="64"/>
        </right>
        <top style="thin">
          <color indexed="64"/>
        </top>
      </border>
    </dxf>
    <dxf>
      <border outline="0">
        <bottom style="thin">
          <color indexed="64"/>
        </bottom>
      </border>
    </dxf>
    <dxf>
      <numFmt numFmtId="0" formatCode="General"/>
    </dxf>
    <dxf>
      <numFmt numFmtId="168" formatCode="0.0%"/>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19</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5</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30</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5</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Analysis'!$I$6:$I$20</c:f>
              <c:numCache>
                <c:formatCode>General</c:formatCode>
                <c:ptCount val="14"/>
                <c:pt idx="0">
                  <c:v>1</c:v>
                </c:pt>
                <c:pt idx="1">
                  <c:v>4</c:v>
                </c:pt>
                <c:pt idx="2">
                  <c:v>7</c:v>
                </c:pt>
                <c:pt idx="3">
                  <c:v>19</c:v>
                </c:pt>
                <c:pt idx="4">
                  <c:v>13</c:v>
                </c:pt>
                <c:pt idx="5">
                  <c:v>30</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Analysis'!$J$6:$J$20</c:f>
              <c:numCache>
                <c:formatCode>General</c:formatCode>
                <c:ptCount val="14"/>
                <c:pt idx="0">
                  <c:v>2</c:v>
                </c:pt>
                <c:pt idx="1">
                  <c:v>1</c:v>
                </c:pt>
                <c:pt idx="2">
                  <c:v>2</c:v>
                </c:pt>
                <c:pt idx="3">
                  <c:v>8</c:v>
                </c:pt>
                <c:pt idx="4">
                  <c:v>8</c:v>
                </c:pt>
                <c:pt idx="5">
                  <c:v>3</c:v>
                </c:pt>
                <c:pt idx="7">
                  <c:v>11</c:v>
                </c:pt>
                <c:pt idx="8">
                  <c:v>6</c:v>
                </c:pt>
                <c:pt idx="9">
                  <c:v>7</c:v>
                </c:pt>
                <c:pt idx="10">
                  <c:v>9</c:v>
                </c:pt>
                <c:pt idx="11">
                  <c:v>2</c:v>
                </c:pt>
                <c:pt idx="12">
                  <c:v>2</c:v>
                </c:pt>
                <c:pt idx="13">
                  <c:v>4</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Analysis'!$K$6:$K$20</c:f>
              <c:numCache>
                <c:formatCode>General</c:formatCode>
                <c:ptCount val="14"/>
                <c:pt idx="1">
                  <c:v>1</c:v>
                </c:pt>
                <c:pt idx="2">
                  <c:v>1</c:v>
                </c:pt>
                <c:pt idx="3">
                  <c:v>4</c:v>
                </c:pt>
                <c:pt idx="4">
                  <c:v>1</c:v>
                </c:pt>
                <c:pt idx="6">
                  <c:v>2</c:v>
                </c:pt>
                <c:pt idx="8">
                  <c:v>3</c:v>
                </c:pt>
                <c:pt idx="9">
                  <c:v>7</c:v>
                </c:pt>
                <c:pt idx="10">
                  <c:v>2</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19</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110</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110</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14</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084143521"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Blank="1" containsMixedTypes="1" minDate="2013-03-01T00:00:00" maxDate="2025-11-30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 v="29/11/2025" u="1"/>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685532406"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0">
        <s v="University of Ibadan"/>
        <s v="University of Dar es Salaam"/>
        <s v="Moi University"/>
        <s v="University of the Witwatersrand"/>
        <s v="University of the Malawi"/>
        <s v="University of Rwanda"/>
        <s v="University of Nairobi"/>
        <s v="Obafemi Awolowo University"/>
        <m/>
        <s v="Makerere University"/>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aomi Njenga" refreshedDate="46202.467278472221"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3-14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02.468709837965"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s v="Kamuzu University of Health Sciences (formerly University of Malawi)"/>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3-14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m/>
    <m/>
    <m/>
    <m/>
    <m/>
    <m/>
    <m/>
    <m/>
    <m/>
    <m/>
    <m/>
    <m/>
    <m/>
    <x v="1"/>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8"/>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8"/>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8"/>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8"/>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8"/>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m/>
    <x v="2"/>
    <m/>
    <m/>
    <m/>
    <n v="4"/>
    <m/>
    <m/>
    <m/>
    <m/>
    <m/>
    <m/>
    <m/>
    <m/>
    <m/>
    <m/>
    <m/>
    <m/>
    <m/>
    <m/>
    <m/>
    <m/>
    <m/>
    <m/>
    <m/>
  </r>
  <r>
    <n v="274"/>
    <s v="C12/005"/>
    <s v="Edna"/>
    <m/>
    <s v="Mandala"/>
    <x v="1"/>
    <n v="12"/>
    <s v="Malawi"/>
    <s v="Kamuzu University of Health Sciences (formerly University of Malawi)"/>
    <s v="Nursing"/>
    <m/>
    <x v="8"/>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8"/>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m/>
    <x v="2"/>
    <m/>
    <m/>
    <m/>
    <n v="5"/>
    <m/>
    <m/>
    <m/>
    <m/>
    <m/>
    <m/>
    <m/>
    <m/>
    <m/>
    <m/>
    <m/>
    <m/>
    <m/>
    <m/>
    <m/>
    <m/>
    <m/>
    <m/>
    <m/>
  </r>
  <r>
    <n v="276"/>
    <s v="C12/006"/>
    <s v="Jean Bosco Henri "/>
    <m/>
    <s v="HITAYEZU "/>
    <x v="0"/>
    <n v="12"/>
    <s v="Rwanda"/>
    <s v="University of Rwanda"/>
    <s v="Nursing and Midwifery: Maternal and new-born health, and reproductive health"/>
    <s v="Midwifery"/>
    <x v="8"/>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8"/>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8"/>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m/>
    <x v="2"/>
    <m/>
    <m/>
    <m/>
    <n v="4"/>
    <m/>
    <m/>
    <m/>
    <m/>
    <m/>
    <m/>
    <m/>
    <m/>
    <m/>
    <m/>
    <m/>
    <m/>
    <m/>
    <m/>
    <m/>
    <m/>
    <m/>
    <m/>
    <m/>
  </r>
  <r>
    <n v="279"/>
    <s v="C12/010"/>
    <s v="Mphatso"/>
    <s v="Saulos"/>
    <s v="Kantonya"/>
    <x v="0"/>
    <n v="12"/>
    <s v="Malawi"/>
    <s v="Kamuzu University of Health Sciences (formerly University of Malawi)"/>
    <s v="Public Health (Infectious Diseases Pharmacoepidemiology)"/>
    <s v="School of Public and Global health"/>
    <x v="8"/>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m/>
    <x v="2"/>
    <m/>
    <m/>
    <m/>
    <n v="2"/>
    <m/>
    <m/>
    <m/>
    <m/>
    <m/>
    <m/>
    <m/>
    <m/>
    <m/>
    <m/>
    <m/>
    <m/>
    <m/>
    <m/>
    <m/>
    <m/>
    <m/>
    <m/>
    <m/>
  </r>
  <r>
    <n v="280"/>
    <s v="C12/011"/>
    <s v="Martha"/>
    <m/>
    <s v="Masamba"/>
    <x v="1"/>
    <n v="12"/>
    <s v="Malawi"/>
    <s v="Kamuzu University of Health Sciences (formerly University of Malawi)"/>
    <s v="Obstetrics and Gynaecology"/>
    <m/>
    <x v="8"/>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8"/>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8"/>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8"/>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8"/>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8"/>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m/>
    <x v="2"/>
    <m/>
    <m/>
    <m/>
    <n v="16"/>
    <m/>
    <m/>
    <m/>
    <m/>
    <m/>
    <m/>
    <m/>
    <m/>
    <m/>
    <m/>
    <m/>
    <m/>
    <m/>
    <m/>
    <m/>
    <m/>
    <m/>
    <m/>
    <m/>
  </r>
  <r>
    <n v="286"/>
    <s v="C12/017"/>
    <s v="Patrick"/>
    <m/>
    <s v="Amboka"/>
    <x v="0"/>
    <n v="12"/>
    <s v="Kenya"/>
    <s v="APHRC"/>
    <s v="Public Health"/>
    <m/>
    <x v="8"/>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8"/>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m/>
    <x v="2"/>
    <m/>
    <m/>
    <m/>
    <n v="18"/>
    <m/>
    <m/>
    <m/>
    <m/>
    <m/>
    <m/>
    <m/>
    <m/>
    <m/>
    <m/>
    <m/>
    <m/>
    <m/>
    <m/>
    <m/>
    <m/>
    <m/>
    <m/>
    <m/>
  </r>
  <r>
    <n v="288"/>
    <s v="C12/019"/>
    <s v="Regina"/>
    <s v="Tikhala"/>
    <s v="Makuluni"/>
    <x v="1"/>
    <n v="12"/>
    <s v="Malawi"/>
    <s v="Kamuzu University of Health Sciences (formerly University of Malawi)"/>
    <s v="Public Health"/>
    <m/>
    <x v="8"/>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8"/>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8"/>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8"/>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the Malawi"/>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7"/>
    <x v="0"/>
    <n v="72"/>
    <m/>
    <m/>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8"/>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9"/>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0"/>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1"/>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2"/>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3"/>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4"/>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5"/>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6"/>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m/>
    <m/>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m/>
    <m/>
    <m/>
    <s v="Married"/>
    <m/>
    <m/>
    <s v="ghassan@cartafrica.org"/>
    <m/>
    <s v=""/>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m/>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the Malawi"/>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m/>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m/>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m/>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x v="19"/>
    <x v="2"/>
    <m/>
    <m/>
    <m/>
    <n v="10"/>
    <m/>
    <m/>
    <m/>
    <m/>
    <m/>
    <m/>
    <m/>
    <m/>
    <m/>
    <m/>
    <m/>
    <m/>
    <m/>
    <m/>
    <m/>
    <m/>
    <m/>
    <m/>
    <m/>
  </r>
  <r>
    <n v="271"/>
    <s v="C12/002"/>
    <s v="Itumeleng"/>
    <m/>
    <s v="Tsatsi-Mosala"/>
    <x v="1"/>
    <x v="11"/>
    <x v="5"/>
    <x v="6"/>
    <s v="Public Health"/>
    <s v="Public Health "/>
    <m/>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x v="19"/>
    <x v="2"/>
    <m/>
    <m/>
    <m/>
    <n v="6"/>
    <m/>
    <m/>
    <m/>
    <m/>
    <m/>
    <m/>
    <m/>
    <m/>
    <m/>
    <m/>
    <m/>
    <m/>
    <m/>
    <m/>
    <m/>
    <m/>
    <m/>
    <m/>
    <m/>
  </r>
  <r>
    <n v="272"/>
    <s v="C12/003"/>
    <s v="Qamar"/>
    <s v="Olamide"/>
    <s v="Adeosun"/>
    <x v="0"/>
    <x v="11"/>
    <x v="0"/>
    <x v="0"/>
    <s v="Sociology"/>
    <s v="Department of Sociology"/>
    <m/>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m/>
    <m/>
    <m/>
    <s v="Married"/>
    <m/>
    <m/>
    <s v="cnshutiyukuri@cartafrica.org"/>
    <s v="nshutiyukuric@gmail.com"/>
    <m/>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x v="19"/>
    <x v="2"/>
    <m/>
    <m/>
    <m/>
    <n v="4"/>
    <m/>
    <m/>
    <m/>
    <m/>
    <m/>
    <m/>
    <m/>
    <m/>
    <m/>
    <m/>
    <m/>
    <m/>
    <m/>
    <m/>
    <m/>
    <m/>
    <m/>
    <m/>
    <m/>
  </r>
  <r>
    <n v="274"/>
    <s v="C12/005"/>
    <s v="Edna"/>
    <m/>
    <s v="Mandala"/>
    <x v="1"/>
    <x v="11"/>
    <x v="3"/>
    <x v="13"/>
    <s v="Nursing"/>
    <m/>
    <m/>
    <m/>
    <m/>
    <s v="Single"/>
    <m/>
    <m/>
    <s v="emandala@cartafrica.org"/>
    <s v="emandala@kuhes.ac.mw"/>
    <m/>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x v="19"/>
    <x v="2"/>
    <m/>
    <m/>
    <m/>
    <n v="4"/>
    <m/>
    <m/>
    <m/>
    <m/>
    <m/>
    <m/>
    <m/>
    <m/>
    <m/>
    <m/>
    <m/>
    <m/>
    <m/>
    <m/>
    <m/>
    <m/>
    <m/>
    <m/>
    <m/>
  </r>
  <r>
    <n v="275"/>
    <s v="C12/006"/>
    <s v="Hellen"/>
    <m/>
    <s v="Butungi"/>
    <x v="1"/>
    <x v="11"/>
    <x v="6"/>
    <x v="10"/>
    <s v="Microbial genomics"/>
    <s v="Biochemistry and Sports Science"/>
    <m/>
    <m/>
    <m/>
    <s v="Single"/>
    <m/>
    <m/>
    <s v="hbutungi@cartafrica.org"/>
    <s v="hellen.butungi@mak.ac.ug"/>
    <m/>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m/>
    <m/>
    <m/>
    <s v="Married"/>
    <m/>
    <m/>
    <s v="jhitayezu@cartafrica.org_x000a_"/>
    <s v="hitab88@gmail.com"/>
    <m/>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m/>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x v="19"/>
    <x v="2"/>
    <m/>
    <m/>
    <m/>
    <n v="3"/>
    <m/>
    <m/>
    <m/>
    <m/>
    <m/>
    <m/>
    <m/>
    <m/>
    <m/>
    <m/>
    <m/>
    <m/>
    <m/>
    <m/>
    <m/>
    <m/>
    <m/>
    <m/>
    <m/>
  </r>
  <r>
    <n v="278"/>
    <s v="C12/009"/>
    <s v="Kingsley"/>
    <m/>
    <s v="Kanzoole"/>
    <x v="0"/>
    <x v="11"/>
    <x v="3"/>
    <x v="8"/>
    <s v="Public Health"/>
    <m/>
    <m/>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x v="19"/>
    <x v="2"/>
    <m/>
    <m/>
    <m/>
    <n v="4"/>
    <m/>
    <m/>
    <m/>
    <m/>
    <m/>
    <m/>
    <m/>
    <m/>
    <m/>
    <m/>
    <m/>
    <m/>
    <m/>
    <m/>
    <m/>
    <m/>
    <m/>
    <m/>
    <m/>
  </r>
  <r>
    <n v="279"/>
    <s v="C12/010"/>
    <s v="Mphatso"/>
    <s v="Saulos"/>
    <s v="Kantonya"/>
    <x v="0"/>
    <x v="11"/>
    <x v="3"/>
    <x v="13"/>
    <s v="Public Health (Infectious Diseases Pharmacoepidemiology)"/>
    <s v="School of Public and Global health"/>
    <m/>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13"/>
    <s v="Obstetrics and Gynaecology"/>
    <m/>
    <m/>
    <m/>
    <m/>
    <s v="Married"/>
    <m/>
    <m/>
    <s v="mmasamba@cartafrica.org"/>
    <s v="mmasamba@kuhes.ac.mw"/>
    <m/>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m/>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m/>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m/>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x v="19"/>
    <x v="2"/>
    <m/>
    <m/>
    <m/>
    <n v="43"/>
    <m/>
    <m/>
    <m/>
    <m/>
    <m/>
    <m/>
    <m/>
    <m/>
    <m/>
    <m/>
    <m/>
    <m/>
    <m/>
    <m/>
    <m/>
    <m/>
    <m/>
    <m/>
    <m/>
  </r>
  <r>
    <n v="284"/>
    <s v="C12/015"/>
    <s v="Olumuyiwa"/>
    <s v="Shola"/>
    <s v="Folayan"/>
    <x v="0"/>
    <x v="11"/>
    <x v="0"/>
    <x v="0"/>
    <s v="Paediatrics and Child Health"/>
    <m/>
    <m/>
    <m/>
    <m/>
    <s v="Married"/>
    <m/>
    <m/>
    <s v="ofolayan@cartafrica.org"/>
    <s v="olufolayan19@gmail.com"/>
    <m/>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m/>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x v="19"/>
    <x v="2"/>
    <m/>
    <m/>
    <m/>
    <n v="16"/>
    <m/>
    <m/>
    <m/>
    <m/>
    <m/>
    <m/>
    <m/>
    <m/>
    <m/>
    <m/>
    <m/>
    <m/>
    <m/>
    <m/>
    <m/>
    <m/>
    <m/>
    <m/>
    <m/>
  </r>
  <r>
    <n v="286"/>
    <s v="C12/017"/>
    <s v="Patrick"/>
    <m/>
    <s v="Amboka"/>
    <x v="0"/>
    <x v="11"/>
    <x v="2"/>
    <x v="11"/>
    <s v="Public Health"/>
    <m/>
    <m/>
    <m/>
    <m/>
    <s v="Single"/>
    <m/>
    <m/>
    <s v="pamboka@cartafrica.org"/>
    <s v="pamboka@aphrc.org"/>
    <m/>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x v="19"/>
    <x v="2"/>
    <m/>
    <m/>
    <m/>
    <n v="12"/>
    <m/>
    <m/>
    <m/>
    <m/>
    <m/>
    <m/>
    <m/>
    <m/>
    <m/>
    <m/>
    <m/>
    <m/>
    <m/>
    <m/>
    <m/>
    <m/>
    <m/>
    <m/>
    <m/>
  </r>
  <r>
    <n v="287"/>
    <s v="C12/018"/>
    <s v="REBECCA CLAIRE"/>
    <m/>
    <s v="LUSOBYA"/>
    <x v="1"/>
    <x v="11"/>
    <x v="6"/>
    <x v="10"/>
    <s v="Ophthalmology"/>
    <s v="OPHTHALMOLOGY"/>
    <m/>
    <m/>
    <m/>
    <s v="Married"/>
    <m/>
    <m/>
    <s v="rlusobya@cartafrica.org"/>
    <s v="lusobyarebecca@gmail.com"/>
    <m/>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x v="19"/>
    <x v="2"/>
    <m/>
    <m/>
    <m/>
    <n v="18"/>
    <m/>
    <m/>
    <m/>
    <m/>
    <m/>
    <m/>
    <m/>
    <m/>
    <m/>
    <m/>
    <m/>
    <m/>
    <m/>
    <m/>
    <m/>
    <m/>
    <m/>
    <m/>
    <m/>
  </r>
  <r>
    <n v="288"/>
    <s v="C12/019"/>
    <s v="Regina"/>
    <s v="Tikhala"/>
    <s v="Makuluni"/>
    <x v="1"/>
    <x v="11"/>
    <x v="3"/>
    <x v="13"/>
    <s v="Public Health"/>
    <m/>
    <m/>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m/>
    <m/>
    <m/>
    <s v="Married"/>
    <m/>
    <m/>
    <s v="shabumuremyi@cartafrica.org"/>
    <s v="habumshadra@gmail.com"/>
    <m/>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m/>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m/>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x v="19"/>
    <x v="2"/>
    <m/>
    <m/>
    <m/>
    <n v="2"/>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2">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5"/>
  </colFields>
  <colItems count="4">
    <i>
      <x/>
    </i>
    <i>
      <x v="2"/>
    </i>
    <i>
      <x v="3"/>
    </i>
    <i t="grand">
      <x/>
    </i>
  </colItems>
  <dataFields count="1">
    <dataField name="Count of Unique ID" fld="1" subtotal="count" baseField="0" baseItem="0"/>
  </dataFields>
  <formats count="2">
    <format dxfId="13">
      <pivotArea outline="0" collapsedLevelsAreSubtotals="1" fieldPosition="0"/>
    </format>
    <format dxfId="12">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2"/>
          </reference>
        </references>
      </pivotArea>
    </chartFormat>
    <chartFormat chart="17" format="2" series="1">
      <pivotArea type="data" outline="0" fieldPosition="0">
        <references count="2">
          <reference field="4294967294" count="1" selected="0">
            <x v="0"/>
          </reference>
          <reference field="65" count="1" selected="0">
            <x v="3"/>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2"/>
          </reference>
        </references>
      </pivotArea>
    </chartFormat>
    <chartFormat chart="18" format="5" series="1">
      <pivotArea type="data" outline="0" fieldPosition="0">
        <references count="2">
          <reference field="4294967294" count="1" selected="0">
            <x v="0"/>
          </reference>
          <reference field="65" count="1" selected="0">
            <x v="3"/>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2"/>
          </reference>
        </references>
      </pivotArea>
    </chartFormat>
    <chartFormat chart="19" format="8" series="1">
      <pivotArea type="data" outline="0" fieldPosition="0">
        <references count="2">
          <reference field="4294967294" count="1" selected="0">
            <x v="0"/>
          </reference>
          <reference field="65" count="1" selected="0">
            <x v="3"/>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2"/>
          </reference>
        </references>
      </pivotArea>
    </chartFormat>
    <chartFormat chart="20" format="16" series="1">
      <pivotArea type="data" outline="0" fieldPosition="0">
        <references count="2">
          <reference field="4294967294" count="1" selected="0">
            <x v="0"/>
          </reference>
          <reference field="65" count="1" selected="0">
            <x v="3"/>
          </reference>
        </references>
      </pivotArea>
    </chartFormat>
    <chartFormat chart="20" format="17">
      <pivotArea type="data" outline="0" fieldPosition="0">
        <references count="3">
          <reference field="4294967294" count="1" selected="0">
            <x v="0"/>
          </reference>
          <reference field="6" count="1" selected="0">
            <x v="0"/>
          </reference>
          <reference field="65" count="1" selected="0">
            <x v="2"/>
          </reference>
        </references>
      </pivotArea>
    </chartFormat>
    <chartFormat chart="20" format="18">
      <pivotArea type="data" outline="0" fieldPosition="0">
        <references count="3">
          <reference field="4294967294" count="1" selected="0">
            <x v="0"/>
          </reference>
          <reference field="6" count="1" selected="0">
            <x v="8"/>
          </reference>
          <reference field="65" count="1" selected="0">
            <x v="3"/>
          </reference>
        </references>
      </pivotArea>
    </chartFormat>
    <chartFormat chart="20" format="19">
      <pivotArea type="data" outline="0" fieldPosition="0">
        <references count="3">
          <reference field="4294967294" count="1" selected="0">
            <x v="0"/>
          </reference>
          <reference field="6" count="1" selected="0">
            <x v="9"/>
          </reference>
          <reference field="65" count="1" selected="0">
            <x v="3"/>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0">
        <item x="9"/>
        <item x="2"/>
        <item x="7"/>
        <item x="1"/>
        <item x="0"/>
        <item x="6"/>
        <item x="5"/>
        <item x="4"/>
        <item x="3"/>
        <item x="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7"/>
    </i>
    <i>
      <x v="8"/>
    </i>
    <i>
      <x v="9"/>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1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9"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1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1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1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1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20"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x="12"/>
        <item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5">
    <i>
      <x/>
    </i>
    <i>
      <x v="1"/>
    </i>
    <i>
      <x v="2"/>
    </i>
    <i>
      <x v="3"/>
    </i>
    <i>
      <x v="4"/>
    </i>
    <i>
      <x v="5"/>
    </i>
    <i>
      <x v="6"/>
    </i>
    <i>
      <x v="7"/>
    </i>
    <i>
      <x v="8"/>
    </i>
    <i>
      <x v="9"/>
    </i>
    <i>
      <x v="10"/>
    </i>
    <i>
      <x v="11"/>
    </i>
    <i>
      <x v="12"/>
    </i>
    <i>
      <x v="13"/>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2">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1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i>
    <i>
      <x v="1"/>
    </i>
    <i t="grand">
      <x/>
    </i>
  </colItems>
  <pageFields count="1">
    <pageField fld="65"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5"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m="1" x="167"/>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m="1" x="166"/>
        <item h="1" x="162"/>
        <item h="1" x="165"/>
        <item h="1" x="158"/>
        <item h="1" x="152"/>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5"/>
  </colFields>
  <colItems count="3">
    <i>
      <x/>
      <x/>
    </i>
    <i t="default">
      <x/>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m="1" x="166"/>
        <item m="1" x="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1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60"/>
        <item x="144"/>
        <item x="142"/>
        <item x="139"/>
        <item x="156"/>
        <item x="133"/>
        <item x="107"/>
        <item x="158"/>
        <item x="147"/>
        <item x="104"/>
        <item x="149"/>
        <item x="136"/>
        <item x="125"/>
        <item x="146"/>
        <item x="101"/>
        <item x="143"/>
        <item x="134"/>
        <item x="150"/>
        <item x="161"/>
        <item x="162"/>
        <item x="84"/>
        <item x="115"/>
        <item x="165"/>
        <item x="89"/>
        <item x="164"/>
        <item x="135"/>
        <item x="140"/>
        <item x="153"/>
        <item x="155"/>
        <item x="123"/>
        <item x="102"/>
        <item x="166"/>
        <item x="82"/>
        <item x="138"/>
        <item x="151"/>
        <item x="163"/>
        <item x="19"/>
        <item x="159"/>
        <item x="152"/>
        <item x="15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1" tableBorderDxfId="10">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18" Type="http://schemas.openxmlformats.org/officeDocument/2006/relationships/hyperlink" Target="mailto:lusobyarebecca@gmail.com" TargetMode="External"/><Relationship Id="rId134" Type="http://schemas.openxmlformats.org/officeDocument/2006/relationships/hyperlink" Target="https://orcid.org/0000-0002-5601-0326" TargetMode="External"/><Relationship Id="rId139" Type="http://schemas.openxmlformats.org/officeDocument/2006/relationships/hyperlink" Target="https://orcid.org/0000-0002-0686-1544"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08" Type="http://schemas.openxmlformats.org/officeDocument/2006/relationships/hyperlink" Target="mailto:mkantonya@mlw.mw" TargetMode="External"/><Relationship Id="rId124" Type="http://schemas.openxmlformats.org/officeDocument/2006/relationships/hyperlink" Target="mailto:habumshadra@gmail.com"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91" Type="http://schemas.openxmlformats.org/officeDocument/2006/relationships/hyperlink" Target="mailto:lfarlane@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45" Type="http://schemas.openxmlformats.org/officeDocument/2006/relationships/vmlDrawing" Target="../drawings/vmlDrawing1.vml"/><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35" Type="http://schemas.openxmlformats.org/officeDocument/2006/relationships/hyperlink" Target="http://orcid.org/0000-0002-1330-1545"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04" Type="http://schemas.openxmlformats.org/officeDocument/2006/relationships/hyperlink" Target="mailto:habipau@gmail.com" TargetMode="External"/><Relationship Id="rId120" Type="http://schemas.openxmlformats.org/officeDocument/2006/relationships/hyperlink" Target="mailto:pamboka@aphrc.org" TargetMode="External"/><Relationship Id="rId125" Type="http://schemas.openxmlformats.org/officeDocument/2006/relationships/hyperlink" Target="mailto:tchepkwony@cartafrica.org" TargetMode="External"/><Relationship Id="rId141" Type="http://schemas.openxmlformats.org/officeDocument/2006/relationships/hyperlink" Target="https://orcid.org/0000-0001-9368-5456" TargetMode="External"/><Relationship Id="rId146" Type="http://schemas.openxmlformats.org/officeDocument/2006/relationships/comments" Target="../comments1.xm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microsoft.com/office/2017/10/relationships/threadedComment" Target="../threadedComments/threadedComment1.xm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B47" zoomScale="88" zoomScaleNormal="88" workbookViewId="0">
      <selection activeCell="W18" sqref="W18"/>
    </sheetView>
  </sheetViews>
  <sheetFormatPr defaultColWidth="8.7265625" defaultRowHeight="14.5" x14ac:dyDescent="0.35"/>
  <cols>
    <col min="1" max="1" width="0" style="299" hidden="1" customWidth="1"/>
    <col min="2" max="2" width="10.54296875" style="299" bestFit="1" customWidth="1"/>
    <col min="3" max="3" width="15.26953125" style="299" customWidth="1"/>
    <col min="4" max="4" width="16.54296875" style="299" customWidth="1"/>
    <col min="5" max="5" width="13" style="299" customWidth="1"/>
    <col min="6" max="6" width="11.81640625" style="299" customWidth="1"/>
    <col min="7" max="7" width="8.7265625" style="299"/>
    <col min="8" max="8" width="13.7265625" style="299" customWidth="1"/>
    <col min="9" max="18" width="8.7265625" style="299"/>
    <col min="19" max="19" width="19.453125" style="299" customWidth="1"/>
    <col min="20" max="20" width="13.1796875" style="299" customWidth="1"/>
    <col min="21" max="16384" width="8.7265625" style="299"/>
  </cols>
  <sheetData>
    <row r="2" spans="19:20" x14ac:dyDescent="0.35">
      <c r="S2" s="300" t="s">
        <v>0</v>
      </c>
      <c r="T2" s="301">
        <f>'Pivot Analysis'!F41</f>
        <v>1</v>
      </c>
    </row>
    <row r="3" spans="19:20" x14ac:dyDescent="0.35">
      <c r="S3" s="300" t="s">
        <v>1</v>
      </c>
      <c r="T3" s="426">
        <f>'Pivot Analysis'!F41</f>
        <v>1</v>
      </c>
    </row>
    <row r="4" spans="19:20" x14ac:dyDescent="0.35">
      <c r="S4" s="300" t="s">
        <v>2</v>
      </c>
      <c r="T4" s="302">
        <f>'Pivot Analysis'!F30</f>
        <v>0.86956521739130432</v>
      </c>
    </row>
    <row r="5" spans="19:20" x14ac:dyDescent="0.35">
      <c r="S5" s="300" t="s">
        <v>3</v>
      </c>
      <c r="T5" s="302">
        <f>'Pivot Analysis'!F31</f>
        <v>0.8</v>
      </c>
    </row>
    <row r="6" spans="19:20" x14ac:dyDescent="0.35">
      <c r="S6" s="300" t="s">
        <v>4</v>
      </c>
      <c r="T6" s="302">
        <f>'Pivot Analysis'!F32</f>
        <v>0.91304347826086951</v>
      </c>
    </row>
    <row r="7" spans="19:20" x14ac:dyDescent="0.35">
      <c r="S7" s="300" t="s">
        <v>5</v>
      </c>
      <c r="T7" s="302">
        <f>'Pivot Analysis'!F33</f>
        <v>0.96296296296296291</v>
      </c>
    </row>
    <row r="8" spans="19:20" x14ac:dyDescent="0.35">
      <c r="S8" s="300" t="s">
        <v>6</v>
      </c>
      <c r="T8" s="302">
        <f>'Pivot Analysis'!F34</f>
        <v>0.8</v>
      </c>
    </row>
    <row r="9" spans="19:20" x14ac:dyDescent="0.35">
      <c r="S9" s="300" t="s">
        <v>7</v>
      </c>
      <c r="T9" s="302">
        <f>'Pivot Analysis'!F35</f>
        <v>0.96</v>
      </c>
    </row>
    <row r="10" spans="19:20" x14ac:dyDescent="0.35">
      <c r="S10" s="300" t="s">
        <v>8</v>
      </c>
      <c r="T10" s="302">
        <f>'Pivot Analysis'!F36</f>
        <v>0.88888888888888884</v>
      </c>
    </row>
    <row r="11" spans="19:20" x14ac:dyDescent="0.35">
      <c r="S11" s="300" t="s">
        <v>9</v>
      </c>
      <c r="T11" s="302">
        <f>'Pivot Analysis'!F37</f>
        <v>0.88461538461538458</v>
      </c>
    </row>
    <row r="12" spans="19:20" x14ac:dyDescent="0.35">
      <c r="S12" s="300" t="s">
        <v>10</v>
      </c>
      <c r="T12" s="302">
        <f>'Pivot Analysis'!F38</f>
        <v>0.91666666666666663</v>
      </c>
    </row>
    <row r="13" spans="19:20" x14ac:dyDescent="0.35">
      <c r="S13" s="300" t="s">
        <v>11</v>
      </c>
      <c r="T13" s="302">
        <f>'Pivot Analysis'!F39</f>
        <v>0.96</v>
      </c>
    </row>
    <row r="41" spans="2:19" x14ac:dyDescent="0.35">
      <c r="B41" s="60" t="s">
        <v>12</v>
      </c>
      <c r="C41"/>
      <c r="D41"/>
      <c r="E41"/>
      <c r="F41"/>
      <c r="G41"/>
    </row>
    <row r="42" spans="2:19" x14ac:dyDescent="0.35">
      <c r="B42" s="54" t="s">
        <v>13</v>
      </c>
      <c r="C42" s="54" t="s">
        <v>14</v>
      </c>
      <c r="D42"/>
      <c r="E42"/>
      <c r="F42"/>
      <c r="G42"/>
    </row>
    <row r="43" spans="2:19" x14ac:dyDescent="0.35">
      <c r="B43" s="54" t="s">
        <v>15</v>
      </c>
      <c r="C43" t="s">
        <v>16</v>
      </c>
      <c r="D43" t="s">
        <v>17</v>
      </c>
      <c r="E43" t="s">
        <v>18</v>
      </c>
      <c r="F43" t="s">
        <v>19</v>
      </c>
      <c r="G43" s="307" t="s">
        <v>1</v>
      </c>
      <c r="S43" s="299">
        <f>2</f>
        <v>2</v>
      </c>
    </row>
    <row r="44" spans="2:19" x14ac:dyDescent="0.35">
      <c r="B44">
        <v>1</v>
      </c>
      <c r="C44">
        <v>20</v>
      </c>
      <c r="D44"/>
      <c r="E44">
        <v>3</v>
      </c>
      <c r="F44">
        <v>23</v>
      </c>
      <c r="G44" s="308"/>
    </row>
    <row r="45" spans="2:19" x14ac:dyDescent="0.35">
      <c r="B45">
        <v>2</v>
      </c>
      <c r="C45">
        <v>15</v>
      </c>
      <c r="D45">
        <v>1</v>
      </c>
      <c r="E45">
        <v>4</v>
      </c>
      <c r="F45">
        <v>20</v>
      </c>
      <c r="G45" s="308"/>
    </row>
    <row r="46" spans="2:19" x14ac:dyDescent="0.35">
      <c r="B46">
        <v>3</v>
      </c>
      <c r="C46">
        <v>18</v>
      </c>
      <c r="D46">
        <v>3</v>
      </c>
      <c r="E46">
        <v>2</v>
      </c>
      <c r="F46">
        <v>23</v>
      </c>
      <c r="G46" s="308"/>
    </row>
    <row r="47" spans="2:19" x14ac:dyDescent="0.35">
      <c r="B47">
        <v>4</v>
      </c>
      <c r="C47">
        <v>25</v>
      </c>
      <c r="D47">
        <v>1</v>
      </c>
      <c r="E47">
        <v>1</v>
      </c>
      <c r="F47">
        <v>27</v>
      </c>
      <c r="G47" s="308"/>
    </row>
    <row r="48" spans="2:19" x14ac:dyDescent="0.35">
      <c r="B48">
        <v>5</v>
      </c>
      <c r="C48">
        <v>18</v>
      </c>
      <c r="D48">
        <v>2</v>
      </c>
      <c r="E48">
        <v>5</v>
      </c>
      <c r="F48">
        <v>25</v>
      </c>
      <c r="G48" s="308"/>
    </row>
    <row r="49" spans="2:8" x14ac:dyDescent="0.35">
      <c r="B49">
        <v>6</v>
      </c>
      <c r="C49">
        <v>24</v>
      </c>
      <c r="D49"/>
      <c r="E49">
        <v>1</v>
      </c>
      <c r="F49">
        <v>25</v>
      </c>
      <c r="G49" s="308"/>
    </row>
    <row r="50" spans="2:8" x14ac:dyDescent="0.35">
      <c r="B50">
        <v>7</v>
      </c>
      <c r="C50">
        <v>24</v>
      </c>
      <c r="D50"/>
      <c r="E50">
        <v>3</v>
      </c>
      <c r="F50">
        <v>27</v>
      </c>
      <c r="G50" s="308"/>
      <c r="H50" s="299" t="s">
        <v>20</v>
      </c>
    </row>
    <row r="51" spans="2:8" x14ac:dyDescent="0.35">
      <c r="B51">
        <v>8</v>
      </c>
      <c r="C51">
        <v>17</v>
      </c>
      <c r="D51">
        <v>6</v>
      </c>
      <c r="E51">
        <v>3</v>
      </c>
      <c r="F51">
        <v>26</v>
      </c>
      <c r="G51" s="308"/>
    </row>
    <row r="52" spans="2:8" x14ac:dyDescent="0.35">
      <c r="B52">
        <v>9</v>
      </c>
      <c r="C52">
        <v>16</v>
      </c>
      <c r="D52">
        <v>6</v>
      </c>
      <c r="E52">
        <v>2</v>
      </c>
      <c r="F52">
        <v>24</v>
      </c>
      <c r="G52" s="308"/>
    </row>
    <row r="53" spans="2:8" x14ac:dyDescent="0.35">
      <c r="B53">
        <v>10</v>
      </c>
      <c r="C53">
        <v>18</v>
      </c>
      <c r="D53">
        <v>6</v>
      </c>
      <c r="E53">
        <v>1</v>
      </c>
      <c r="F53">
        <v>25</v>
      </c>
      <c r="G53" s="308"/>
    </row>
    <row r="54" spans="2:8" x14ac:dyDescent="0.35">
      <c r="B54">
        <v>11</v>
      </c>
      <c r="C54"/>
      <c r="D54">
        <v>19</v>
      </c>
      <c r="E54">
        <v>1</v>
      </c>
      <c r="F54">
        <v>20</v>
      </c>
      <c r="G54" s="308"/>
    </row>
    <row r="55" spans="2:8" x14ac:dyDescent="0.35">
      <c r="B55" t="s">
        <v>19</v>
      </c>
      <c r="C55">
        <v>195</v>
      </c>
      <c r="D55">
        <v>44</v>
      </c>
      <c r="E55">
        <v>26</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5" x14ac:dyDescent="0.35"/>
  <cols>
    <col min="1" max="1" width="13" bestFit="1" customWidth="1"/>
    <col min="2" max="2" width="15.26953125" bestFit="1" customWidth="1"/>
    <col min="3" max="3" width="10.08984375" bestFit="1" customWidth="1"/>
    <col min="4" max="4" width="10.54296875" bestFit="1" customWidth="1"/>
    <col min="5" max="6" width="10.7265625" bestFit="1" customWidth="1"/>
  </cols>
  <sheetData>
    <row r="3" spans="1:5" x14ac:dyDescent="0.35">
      <c r="A3" s="54" t="s">
        <v>21</v>
      </c>
      <c r="B3" s="54" t="s">
        <v>22</v>
      </c>
    </row>
    <row r="4" spans="1:5" x14ac:dyDescent="0.35">
      <c r="A4" s="54" t="s">
        <v>23</v>
      </c>
      <c r="B4" t="s">
        <v>16</v>
      </c>
      <c r="C4" t="s">
        <v>17</v>
      </c>
      <c r="D4" t="s">
        <v>18</v>
      </c>
      <c r="E4" t="s">
        <v>19</v>
      </c>
    </row>
    <row r="5" spans="1:5" x14ac:dyDescent="0.35">
      <c r="A5" s="41">
        <v>1</v>
      </c>
      <c r="B5" s="486">
        <v>20</v>
      </c>
      <c r="C5" s="486"/>
      <c r="D5" s="486">
        <v>3</v>
      </c>
      <c r="E5" s="486">
        <v>23</v>
      </c>
    </row>
    <row r="6" spans="1:5" x14ac:dyDescent="0.35">
      <c r="A6" s="41">
        <v>2</v>
      </c>
      <c r="B6" s="486">
        <v>15</v>
      </c>
      <c r="C6" s="486">
        <v>1</v>
      </c>
      <c r="D6" s="486">
        <v>4</v>
      </c>
      <c r="E6" s="486">
        <v>20</v>
      </c>
    </row>
    <row r="7" spans="1:5" x14ac:dyDescent="0.35">
      <c r="A7" s="41">
        <v>3</v>
      </c>
      <c r="B7" s="486">
        <v>18</v>
      </c>
      <c r="C7" s="486">
        <v>3</v>
      </c>
      <c r="D7" s="486">
        <v>2</v>
      </c>
      <c r="E7" s="486">
        <v>23</v>
      </c>
    </row>
    <row r="8" spans="1:5" x14ac:dyDescent="0.35">
      <c r="A8" s="41">
        <v>4</v>
      </c>
      <c r="B8" s="486">
        <v>25</v>
      </c>
      <c r="C8" s="486">
        <v>1</v>
      </c>
      <c r="D8" s="486">
        <v>1</v>
      </c>
      <c r="E8" s="486">
        <v>27</v>
      </c>
    </row>
    <row r="9" spans="1:5" x14ac:dyDescent="0.35">
      <c r="A9" s="41">
        <v>5</v>
      </c>
      <c r="B9" s="486">
        <v>18</v>
      </c>
      <c r="C9" s="486">
        <v>2</v>
      </c>
      <c r="D9" s="486">
        <v>5</v>
      </c>
      <c r="E9" s="486">
        <v>25</v>
      </c>
    </row>
    <row r="10" spans="1:5" x14ac:dyDescent="0.35">
      <c r="A10" s="41">
        <v>6</v>
      </c>
      <c r="B10" s="486">
        <v>24</v>
      </c>
      <c r="C10" s="486"/>
      <c r="D10" s="486">
        <v>1</v>
      </c>
      <c r="E10" s="486">
        <v>25</v>
      </c>
    </row>
    <row r="11" spans="1:5" x14ac:dyDescent="0.35">
      <c r="A11" s="41">
        <v>7</v>
      </c>
      <c r="B11" s="486">
        <v>24</v>
      </c>
      <c r="C11" s="486"/>
      <c r="D11" s="486">
        <v>3</v>
      </c>
      <c r="E11" s="486">
        <v>27</v>
      </c>
    </row>
    <row r="12" spans="1:5" x14ac:dyDescent="0.35">
      <c r="A12" s="41">
        <v>8</v>
      </c>
      <c r="B12" s="486">
        <v>17</v>
      </c>
      <c r="C12" s="486">
        <v>6</v>
      </c>
      <c r="D12" s="486">
        <v>3</v>
      </c>
      <c r="E12" s="486">
        <v>26</v>
      </c>
    </row>
    <row r="13" spans="1:5" x14ac:dyDescent="0.35">
      <c r="A13" s="41">
        <v>9</v>
      </c>
      <c r="B13" s="486">
        <v>16</v>
      </c>
      <c r="C13" s="486">
        <v>6</v>
      </c>
      <c r="D13" s="486">
        <v>2</v>
      </c>
      <c r="E13" s="486">
        <v>24</v>
      </c>
    </row>
    <row r="14" spans="1:5" x14ac:dyDescent="0.35">
      <c r="A14" s="41">
        <v>10</v>
      </c>
      <c r="B14" s="486">
        <v>19</v>
      </c>
      <c r="C14" s="486">
        <v>5</v>
      </c>
      <c r="D14" s="486">
        <v>1</v>
      </c>
      <c r="E14" s="486">
        <v>25</v>
      </c>
    </row>
    <row r="15" spans="1:5" x14ac:dyDescent="0.35">
      <c r="A15" s="41" t="s">
        <v>19</v>
      </c>
      <c r="B15" s="486">
        <v>196</v>
      </c>
      <c r="C15" s="486">
        <v>24</v>
      </c>
      <c r="D15" s="486">
        <v>25</v>
      </c>
      <c r="E15" s="486">
        <v>245</v>
      </c>
    </row>
    <row r="20" spans="1:5" x14ac:dyDescent="0.35">
      <c r="A20" s="54" t="s">
        <v>21</v>
      </c>
      <c r="B20" s="54" t="s">
        <v>22</v>
      </c>
    </row>
    <row r="21" spans="1:5" x14ac:dyDescent="0.35">
      <c r="A21" s="54" t="s">
        <v>23</v>
      </c>
      <c r="B21" t="s">
        <v>16</v>
      </c>
      <c r="C21" t="s">
        <v>17</v>
      </c>
      <c r="D21" t="s">
        <v>18</v>
      </c>
      <c r="E21" t="s">
        <v>19</v>
      </c>
    </row>
    <row r="22" spans="1:5" x14ac:dyDescent="0.35">
      <c r="A22" s="41" t="s">
        <v>24</v>
      </c>
      <c r="B22" s="486">
        <v>110</v>
      </c>
      <c r="C22" s="486">
        <v>14</v>
      </c>
      <c r="D22" s="486">
        <v>12</v>
      </c>
      <c r="E22" s="486">
        <v>136</v>
      </c>
    </row>
    <row r="23" spans="1:5" x14ac:dyDescent="0.35">
      <c r="A23" s="41" t="s">
        <v>25</v>
      </c>
      <c r="B23" s="486">
        <v>86</v>
      </c>
      <c r="C23" s="486">
        <v>10</v>
      </c>
      <c r="D23" s="486">
        <v>13</v>
      </c>
      <c r="E23" s="486">
        <v>109</v>
      </c>
    </row>
    <row r="24" spans="1:5" x14ac:dyDescent="0.35">
      <c r="A24" s="41" t="s">
        <v>19</v>
      </c>
      <c r="B24" s="486">
        <v>196</v>
      </c>
      <c r="C24" s="486">
        <v>24</v>
      </c>
      <c r="D24" s="486">
        <v>25</v>
      </c>
      <c r="E24" s="486">
        <v>245</v>
      </c>
    </row>
    <row r="33" spans="2:5" x14ac:dyDescent="0.35">
      <c r="C33">
        <f>65+78+32+49+12+9</f>
        <v>245</v>
      </c>
    </row>
    <row r="34" spans="2:5" x14ac:dyDescent="0.35">
      <c r="B34" t="s">
        <v>23</v>
      </c>
      <c r="C34" t="s">
        <v>24</v>
      </c>
      <c r="D34" t="s">
        <v>25</v>
      </c>
      <c r="E34" t="s">
        <v>19</v>
      </c>
    </row>
    <row r="35" spans="2:5" x14ac:dyDescent="0.35">
      <c r="B35" t="s">
        <v>16</v>
      </c>
      <c r="C35">
        <v>80</v>
      </c>
      <c r="D35">
        <v>65</v>
      </c>
      <c r="E35">
        <v>145</v>
      </c>
    </row>
    <row r="36" spans="2:5" x14ac:dyDescent="0.35">
      <c r="B36" t="s">
        <v>17</v>
      </c>
      <c r="C36">
        <v>47</v>
      </c>
      <c r="D36">
        <v>32</v>
      </c>
      <c r="E36">
        <v>79</v>
      </c>
    </row>
    <row r="37" spans="2:5" x14ac:dyDescent="0.35">
      <c r="B37" t="s">
        <v>18</v>
      </c>
      <c r="C37">
        <v>9</v>
      </c>
      <c r="D37">
        <v>12</v>
      </c>
      <c r="E37">
        <v>21</v>
      </c>
    </row>
    <row r="38" spans="2:5" x14ac:dyDescent="0.3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abSelected="1" topLeftCell="A79" zoomScale="72" zoomScaleNormal="72" workbookViewId="0">
      <selection activeCell="B36" sqref="B36"/>
    </sheetView>
  </sheetViews>
  <sheetFormatPr defaultRowHeight="15" customHeight="1" x14ac:dyDescent="0.35"/>
  <cols>
    <col min="1" max="1" width="13.6328125" bestFit="1" customWidth="1"/>
    <col min="2" max="2" width="16.54296875" bestFit="1" customWidth="1"/>
    <col min="3" max="3" width="10.36328125" bestFit="1" customWidth="1"/>
    <col min="4" max="4" width="10.81640625" bestFit="1" customWidth="1"/>
    <col min="5" max="5" width="11.08984375" bestFit="1" customWidth="1"/>
    <col min="6" max="6" width="13" customWidth="1"/>
    <col min="7" max="7" width="26.26953125" customWidth="1"/>
    <col min="8" max="8" width="26.81640625" customWidth="1"/>
    <col min="9" max="9" width="19.81640625" customWidth="1"/>
    <col min="10" max="10" width="9.81640625" customWidth="1"/>
    <col min="11" max="11" width="12.453125" customWidth="1"/>
    <col min="12" max="12" width="15.453125" customWidth="1"/>
    <col min="13" max="13" width="10.54296875" customWidth="1"/>
    <col min="14" max="14" width="15.54296875" customWidth="1"/>
    <col min="15" max="15" width="27.54296875" customWidth="1"/>
    <col min="16" max="16" width="19.26953125" customWidth="1"/>
    <col min="17" max="17" width="17" customWidth="1"/>
    <col min="18" max="18" width="23" bestFit="1" customWidth="1"/>
    <col min="19" max="24" width="24.1796875" bestFit="1" customWidth="1"/>
    <col min="25" max="25" width="23.453125" bestFit="1" customWidth="1"/>
    <col min="26" max="26" width="21.1796875" bestFit="1" customWidth="1"/>
    <col min="27" max="27" width="23.81640625" bestFit="1" customWidth="1"/>
    <col min="28" max="28" width="23.54296875" bestFit="1" customWidth="1"/>
    <col min="29" max="29" width="26.54296875" bestFit="1" customWidth="1"/>
    <col min="30" max="40" width="30.1796875" bestFit="1" customWidth="1"/>
    <col min="41" max="41" width="32.81640625" bestFit="1" customWidth="1"/>
    <col min="42" max="43" width="18.453125" bestFit="1" customWidth="1"/>
    <col min="44" max="44" width="11.54296875" bestFit="1" customWidth="1"/>
    <col min="45" max="45" width="10.54296875" bestFit="1" customWidth="1"/>
  </cols>
  <sheetData>
    <row r="1" spans="1:22" s="57" customFormat="1" ht="14.5" x14ac:dyDescent="0.35">
      <c r="A1" s="59" t="s">
        <v>26</v>
      </c>
      <c r="H1" s="59" t="s">
        <v>27</v>
      </c>
      <c r="S1" s="58" t="s">
        <v>15</v>
      </c>
      <c r="T1" s="58" t="s">
        <v>25</v>
      </c>
      <c r="U1" s="58" t="s">
        <v>24</v>
      </c>
      <c r="V1" s="58" t="s">
        <v>28</v>
      </c>
    </row>
    <row r="2" spans="1:22" ht="14.5" x14ac:dyDescent="0.35">
      <c r="A2" s="54" t="s">
        <v>29</v>
      </c>
      <c r="B2" t="s">
        <v>30</v>
      </c>
      <c r="H2" s="54" t="s">
        <v>29</v>
      </c>
      <c r="I2" t="s">
        <v>30</v>
      </c>
      <c r="N2" s="54" t="s">
        <v>14</v>
      </c>
      <c r="O2" t="s">
        <v>30</v>
      </c>
      <c r="P2" s="54" t="s">
        <v>14</v>
      </c>
      <c r="Q2" t="s">
        <v>16</v>
      </c>
      <c r="S2" s="56" t="s">
        <v>31</v>
      </c>
      <c r="T2" s="24"/>
      <c r="U2" s="24"/>
      <c r="V2" s="24"/>
    </row>
    <row r="3" spans="1:22" ht="14.5" x14ac:dyDescent="0.35">
      <c r="N3" s="60" t="s">
        <v>12</v>
      </c>
      <c r="P3" s="60" t="s">
        <v>12</v>
      </c>
    </row>
    <row r="4" spans="1:22" ht="14.5" x14ac:dyDescent="0.35">
      <c r="A4" s="54" t="s">
        <v>13</v>
      </c>
      <c r="B4" s="54" t="s">
        <v>14</v>
      </c>
      <c r="H4" s="54" t="s">
        <v>13</v>
      </c>
      <c r="I4" s="54" t="s">
        <v>14</v>
      </c>
      <c r="N4" s="54" t="s">
        <v>29</v>
      </c>
      <c r="O4" t="s">
        <v>13</v>
      </c>
      <c r="P4" s="54" t="s">
        <v>29</v>
      </c>
      <c r="Q4" t="s">
        <v>13</v>
      </c>
    </row>
    <row r="5" spans="1:22" ht="14.5" x14ac:dyDescent="0.35">
      <c r="A5" s="54" t="s">
        <v>32</v>
      </c>
      <c r="B5" t="s">
        <v>16</v>
      </c>
      <c r="C5" t="s">
        <v>17</v>
      </c>
      <c r="D5" t="s">
        <v>18</v>
      </c>
      <c r="E5" t="s">
        <v>33</v>
      </c>
      <c r="F5" t="s">
        <v>19</v>
      </c>
      <c r="H5" s="54" t="s">
        <v>34</v>
      </c>
      <c r="I5" t="s">
        <v>16</v>
      </c>
      <c r="J5" t="s">
        <v>17</v>
      </c>
      <c r="K5" t="s">
        <v>18</v>
      </c>
      <c r="L5" t="s">
        <v>19</v>
      </c>
      <c r="N5" t="s">
        <v>24</v>
      </c>
      <c r="O5">
        <v>147</v>
      </c>
      <c r="P5" t="s">
        <v>24</v>
      </c>
      <c r="Q5" s="486">
        <v>110</v>
      </c>
    </row>
    <row r="6" spans="1:22" ht="14.5" x14ac:dyDescent="0.35">
      <c r="A6" t="s">
        <v>35</v>
      </c>
      <c r="B6">
        <v>17</v>
      </c>
      <c r="C6">
        <v>3</v>
      </c>
      <c r="D6">
        <v>3</v>
      </c>
      <c r="F6">
        <v>23</v>
      </c>
      <c r="H6" t="s">
        <v>36</v>
      </c>
      <c r="I6" s="486">
        <v>1</v>
      </c>
      <c r="J6" s="486">
        <v>2</v>
      </c>
      <c r="K6" s="486"/>
      <c r="L6" s="486">
        <v>3</v>
      </c>
      <c r="N6" t="s">
        <v>25</v>
      </c>
      <c r="O6">
        <v>118</v>
      </c>
      <c r="P6" t="s">
        <v>25</v>
      </c>
      <c r="Q6" s="486">
        <v>86</v>
      </c>
    </row>
    <row r="7" spans="1:22" ht="14.5" x14ac:dyDescent="0.35">
      <c r="A7" t="s">
        <v>37</v>
      </c>
      <c r="B7">
        <v>7</v>
      </c>
      <c r="C7">
        <v>5</v>
      </c>
      <c r="F7">
        <v>12</v>
      </c>
      <c r="H7" t="s">
        <v>38</v>
      </c>
      <c r="I7" s="486">
        <v>4</v>
      </c>
      <c r="J7" s="486">
        <v>1</v>
      </c>
      <c r="K7" s="486">
        <v>1</v>
      </c>
      <c r="L7" s="486">
        <v>6</v>
      </c>
      <c r="N7" t="s">
        <v>19</v>
      </c>
      <c r="O7">
        <v>265</v>
      </c>
      <c r="P7" t="s">
        <v>19</v>
      </c>
      <c r="Q7" s="486">
        <v>196</v>
      </c>
    </row>
    <row r="8" spans="1:22" ht="14.5" x14ac:dyDescent="0.35">
      <c r="A8" t="s">
        <v>39</v>
      </c>
      <c r="B8">
        <v>19</v>
      </c>
      <c r="C8">
        <v>1</v>
      </c>
      <c r="F8">
        <v>20</v>
      </c>
      <c r="H8" t="s">
        <v>40</v>
      </c>
      <c r="I8" s="486">
        <v>7</v>
      </c>
      <c r="J8" s="486">
        <v>2</v>
      </c>
      <c r="K8" s="486">
        <v>1</v>
      </c>
      <c r="L8" s="486">
        <v>10</v>
      </c>
    </row>
    <row r="9" spans="1:22" ht="14.5" x14ac:dyDescent="0.35">
      <c r="A9" t="s">
        <v>41</v>
      </c>
      <c r="B9">
        <v>6</v>
      </c>
      <c r="D9">
        <v>2</v>
      </c>
      <c r="F9">
        <v>8</v>
      </c>
      <c r="H9" t="s">
        <v>35</v>
      </c>
      <c r="I9" s="486">
        <v>19</v>
      </c>
      <c r="J9" s="486">
        <v>8</v>
      </c>
      <c r="K9" s="486">
        <v>4</v>
      </c>
      <c r="L9" s="486">
        <v>31</v>
      </c>
    </row>
    <row r="10" spans="1:22" ht="14.5" x14ac:dyDescent="0.35">
      <c r="A10" t="s">
        <v>31</v>
      </c>
      <c r="B10">
        <v>28</v>
      </c>
      <c r="C10">
        <v>7</v>
      </c>
      <c r="F10">
        <v>35</v>
      </c>
      <c r="H10" t="s">
        <v>37</v>
      </c>
      <c r="I10" s="486">
        <v>13</v>
      </c>
      <c r="J10" s="486">
        <v>8</v>
      </c>
      <c r="K10" s="486">
        <v>1</v>
      </c>
      <c r="L10" s="486">
        <v>22</v>
      </c>
    </row>
    <row r="11" spans="1:22" ht="14.5" x14ac:dyDescent="0.35">
      <c r="A11" t="s">
        <v>42</v>
      </c>
      <c r="B11">
        <v>22</v>
      </c>
      <c r="C11">
        <v>8</v>
      </c>
      <c r="D11">
        <v>5</v>
      </c>
      <c r="F11">
        <v>35</v>
      </c>
      <c r="H11" t="s">
        <v>39</v>
      </c>
      <c r="I11" s="486">
        <v>30</v>
      </c>
      <c r="J11" s="486">
        <v>3</v>
      </c>
      <c r="K11" s="486"/>
      <c r="L11" s="486">
        <v>33</v>
      </c>
    </row>
    <row r="12" spans="1:22" ht="14.5" x14ac:dyDescent="0.35">
      <c r="A12" t="s">
        <v>43</v>
      </c>
      <c r="B12">
        <v>6</v>
      </c>
      <c r="C12">
        <v>2</v>
      </c>
      <c r="F12">
        <v>8</v>
      </c>
      <c r="H12" t="s">
        <v>41</v>
      </c>
      <c r="I12" s="486">
        <v>4</v>
      </c>
      <c r="J12" s="486"/>
      <c r="K12" s="486">
        <v>2</v>
      </c>
      <c r="L12" s="486">
        <v>6</v>
      </c>
    </row>
    <row r="13" spans="1:22" ht="14.5" x14ac:dyDescent="0.35">
      <c r="A13" t="s">
        <v>44</v>
      </c>
      <c r="B13">
        <v>16</v>
      </c>
      <c r="C13">
        <v>2</v>
      </c>
      <c r="D13">
        <v>3</v>
      </c>
      <c r="F13">
        <v>21</v>
      </c>
      <c r="H13" t="s">
        <v>31</v>
      </c>
      <c r="I13" s="486">
        <v>32</v>
      </c>
      <c r="J13" s="486">
        <v>11</v>
      </c>
      <c r="K13" s="486"/>
      <c r="L13" s="486">
        <v>43</v>
      </c>
    </row>
    <row r="14" spans="1:22" ht="14.5" x14ac:dyDescent="0.35">
      <c r="A14" t="s">
        <v>45</v>
      </c>
      <c r="B14">
        <v>74</v>
      </c>
      <c r="C14">
        <v>8</v>
      </c>
      <c r="D14">
        <v>8</v>
      </c>
      <c r="F14">
        <v>90</v>
      </c>
      <c r="H14" t="s">
        <v>46</v>
      </c>
      <c r="I14" s="486">
        <v>24</v>
      </c>
      <c r="J14" s="486">
        <v>6</v>
      </c>
      <c r="K14" s="486">
        <v>3</v>
      </c>
      <c r="L14" s="486">
        <v>33</v>
      </c>
    </row>
    <row r="15" spans="1:22" ht="14.5" x14ac:dyDescent="0.35">
      <c r="A15" t="s">
        <v>33</v>
      </c>
      <c r="C15">
        <v>30</v>
      </c>
      <c r="D15">
        <v>5</v>
      </c>
      <c r="F15">
        <v>35</v>
      </c>
      <c r="H15" t="s">
        <v>42</v>
      </c>
      <c r="I15" s="486">
        <v>17</v>
      </c>
      <c r="J15" s="486">
        <v>7</v>
      </c>
      <c r="K15" s="486">
        <v>7</v>
      </c>
      <c r="L15" s="486">
        <v>31</v>
      </c>
    </row>
    <row r="16" spans="1:22" ht="14.5" x14ac:dyDescent="0.35">
      <c r="A16" t="s">
        <v>19</v>
      </c>
      <c r="B16">
        <v>195</v>
      </c>
      <c r="C16">
        <v>66</v>
      </c>
      <c r="D16">
        <v>26</v>
      </c>
      <c r="F16">
        <v>287</v>
      </c>
      <c r="H16" t="s">
        <v>43</v>
      </c>
      <c r="I16" s="486">
        <v>20</v>
      </c>
      <c r="J16" s="486">
        <v>9</v>
      </c>
      <c r="K16" s="486">
        <v>2</v>
      </c>
      <c r="L16" s="486">
        <v>31</v>
      </c>
    </row>
    <row r="17" spans="1:14" ht="14.5" x14ac:dyDescent="0.35">
      <c r="H17" t="s">
        <v>45</v>
      </c>
      <c r="I17" s="486">
        <v>25</v>
      </c>
      <c r="J17" s="486">
        <v>2</v>
      </c>
      <c r="K17" s="486">
        <v>5</v>
      </c>
      <c r="L17" s="486">
        <v>32</v>
      </c>
    </row>
    <row r="18" spans="1:14" ht="14.5" x14ac:dyDescent="0.35">
      <c r="H18" t="s">
        <v>47</v>
      </c>
      <c r="I18" s="486"/>
      <c r="J18" s="486">
        <v>2</v>
      </c>
      <c r="K18" s="486"/>
      <c r="L18" s="486">
        <v>2</v>
      </c>
    </row>
    <row r="19" spans="1:14" ht="14.5" x14ac:dyDescent="0.35">
      <c r="H19" t="s">
        <v>48</v>
      </c>
      <c r="I19" s="486"/>
      <c r="J19" s="486">
        <v>4</v>
      </c>
      <c r="K19" s="486"/>
      <c r="L19" s="486">
        <v>4</v>
      </c>
    </row>
    <row r="20" spans="1:14" ht="14.5" x14ac:dyDescent="0.35">
      <c r="H20" t="s">
        <v>19</v>
      </c>
      <c r="I20" s="486">
        <v>196</v>
      </c>
      <c r="J20" s="486">
        <v>65</v>
      </c>
      <c r="K20" s="486">
        <v>26</v>
      </c>
      <c r="L20" s="486">
        <v>287</v>
      </c>
    </row>
    <row r="21" spans="1:14" ht="14.5" x14ac:dyDescent="0.35"/>
    <row r="22" spans="1:14" ht="14.5" x14ac:dyDescent="0.35"/>
    <row r="23" spans="1:14" ht="14.5" x14ac:dyDescent="0.35"/>
    <row r="24" spans="1:14" ht="14.5" x14ac:dyDescent="0.35"/>
    <row r="27" spans="1:14" ht="14.5" x14ac:dyDescent="0.35">
      <c r="A27" s="60" t="s">
        <v>12</v>
      </c>
      <c r="H27" s="54" t="s">
        <v>14</v>
      </c>
      <c r="I27" t="s">
        <v>30</v>
      </c>
    </row>
    <row r="28" spans="1:14" ht="14.5" x14ac:dyDescent="0.35">
      <c r="A28" s="54" t="s">
        <v>13</v>
      </c>
      <c r="B28" s="54" t="s">
        <v>14</v>
      </c>
    </row>
    <row r="29" spans="1:14" ht="14.5" x14ac:dyDescent="0.35">
      <c r="A29" s="54" t="s">
        <v>15</v>
      </c>
      <c r="B29" t="s">
        <v>16</v>
      </c>
      <c r="C29" t="s">
        <v>17</v>
      </c>
      <c r="D29" t="s">
        <v>18</v>
      </c>
      <c r="E29" t="s">
        <v>19</v>
      </c>
      <c r="F29" t="s">
        <v>49</v>
      </c>
      <c r="H29" s="54" t="s">
        <v>13</v>
      </c>
      <c r="I29" s="54" t="s">
        <v>29</v>
      </c>
    </row>
    <row r="30" spans="1:14" ht="15" customHeight="1" x14ac:dyDescent="0.4">
      <c r="A30">
        <v>1</v>
      </c>
      <c r="B30" s="486">
        <v>20</v>
      </c>
      <c r="C30" s="486"/>
      <c r="D30" s="486">
        <v>3</v>
      </c>
      <c r="E30" s="486">
        <v>23</v>
      </c>
      <c r="F30" s="390">
        <f>SUM(B30:C30)/E30</f>
        <v>0.86956521739130432</v>
      </c>
      <c r="G30" s="390"/>
      <c r="H30" s="54" t="s">
        <v>50</v>
      </c>
      <c r="I30" t="s">
        <v>24</v>
      </c>
      <c r="J30" t="s">
        <v>25</v>
      </c>
      <c r="K30" t="s">
        <v>19</v>
      </c>
      <c r="N30" s="425" t="s">
        <v>51</v>
      </c>
    </row>
    <row r="31" spans="1:14" ht="14.5" x14ac:dyDescent="0.35">
      <c r="A31">
        <v>2</v>
      </c>
      <c r="B31" s="486">
        <v>15</v>
      </c>
      <c r="C31" s="486">
        <v>1</v>
      </c>
      <c r="D31" s="486">
        <v>4</v>
      </c>
      <c r="E31" s="486">
        <v>20</v>
      </c>
      <c r="F31" s="390">
        <f t="shared" ref="F31:F40" si="0">SUM(B31:C31)/E31</f>
        <v>0.8</v>
      </c>
      <c r="G31" s="390"/>
      <c r="H31" t="s">
        <v>52</v>
      </c>
      <c r="I31" s="486">
        <v>42</v>
      </c>
      <c r="J31" s="486">
        <v>16</v>
      </c>
      <c r="K31" s="486">
        <v>58</v>
      </c>
    </row>
    <row r="32" spans="1:14" ht="14.5" x14ac:dyDescent="0.35">
      <c r="A32">
        <v>3</v>
      </c>
      <c r="B32" s="486">
        <v>18</v>
      </c>
      <c r="C32" s="486">
        <v>3</v>
      </c>
      <c r="D32" s="486">
        <v>2</v>
      </c>
      <c r="E32" s="486">
        <v>23</v>
      </c>
      <c r="F32" s="390">
        <f t="shared" si="0"/>
        <v>0.91304347826086951</v>
      </c>
      <c r="G32" s="390"/>
      <c r="H32" t="s">
        <v>53</v>
      </c>
      <c r="I32" s="486">
        <v>15</v>
      </c>
      <c r="J32" s="486">
        <v>24</v>
      </c>
      <c r="K32" s="486">
        <v>39</v>
      </c>
    </row>
    <row r="33" spans="1:11" ht="14.5" x14ac:dyDescent="0.35">
      <c r="A33">
        <v>4</v>
      </c>
      <c r="B33" s="486">
        <v>25</v>
      </c>
      <c r="C33" s="486">
        <v>1</v>
      </c>
      <c r="D33" s="486">
        <v>1</v>
      </c>
      <c r="E33" s="486">
        <v>27</v>
      </c>
      <c r="F33" s="390">
        <f t="shared" si="0"/>
        <v>0.96296296296296291</v>
      </c>
      <c r="G33" s="390"/>
      <c r="H33" t="s">
        <v>54</v>
      </c>
      <c r="I33" s="486">
        <v>42</v>
      </c>
      <c r="J33" s="486">
        <v>36</v>
      </c>
      <c r="K33" s="486">
        <v>78</v>
      </c>
    </row>
    <row r="34" spans="1:11" ht="14.5" x14ac:dyDescent="0.35">
      <c r="A34">
        <v>5</v>
      </c>
      <c r="B34" s="486">
        <v>18</v>
      </c>
      <c r="C34" s="486">
        <v>2</v>
      </c>
      <c r="D34" s="486">
        <v>5</v>
      </c>
      <c r="E34" s="486">
        <v>25</v>
      </c>
      <c r="F34" s="390">
        <f t="shared" si="0"/>
        <v>0.8</v>
      </c>
      <c r="G34" s="390"/>
      <c r="H34" t="s">
        <v>55</v>
      </c>
      <c r="I34" s="486">
        <v>12</v>
      </c>
      <c r="J34" s="486">
        <v>19</v>
      </c>
      <c r="K34" s="486">
        <v>31</v>
      </c>
    </row>
    <row r="35" spans="1:11" ht="14.5" x14ac:dyDescent="0.35">
      <c r="A35">
        <v>6</v>
      </c>
      <c r="B35" s="486">
        <v>24</v>
      </c>
      <c r="C35" s="486"/>
      <c r="D35" s="486">
        <v>1</v>
      </c>
      <c r="E35" s="486">
        <v>25</v>
      </c>
      <c r="F35" s="390">
        <f t="shared" si="0"/>
        <v>0.96</v>
      </c>
      <c r="G35" s="390"/>
      <c r="H35" t="s">
        <v>56</v>
      </c>
      <c r="I35" s="486"/>
      <c r="J35" s="486">
        <v>1</v>
      </c>
      <c r="K35" s="486">
        <v>1</v>
      </c>
    </row>
    <row r="36" spans="1:11" ht="14.5" x14ac:dyDescent="0.35">
      <c r="A36">
        <v>7</v>
      </c>
      <c r="B36" s="486">
        <v>24</v>
      </c>
      <c r="C36" s="486"/>
      <c r="D36" s="486">
        <v>3</v>
      </c>
      <c r="E36" s="486">
        <v>27</v>
      </c>
      <c r="F36" s="390">
        <f t="shared" si="0"/>
        <v>0.88888888888888884</v>
      </c>
      <c r="G36" s="390"/>
      <c r="H36" t="s">
        <v>57</v>
      </c>
      <c r="I36" s="486">
        <v>1</v>
      </c>
      <c r="J36" s="486">
        <v>1</v>
      </c>
      <c r="K36" s="486">
        <v>2</v>
      </c>
    </row>
    <row r="37" spans="1:11" ht="14.5" x14ac:dyDescent="0.35">
      <c r="A37">
        <v>8</v>
      </c>
      <c r="B37" s="486">
        <v>17</v>
      </c>
      <c r="C37" s="486">
        <v>6</v>
      </c>
      <c r="D37" s="486">
        <v>3</v>
      </c>
      <c r="E37" s="486">
        <v>26</v>
      </c>
      <c r="F37" s="390">
        <f t="shared" si="0"/>
        <v>0.88461538461538458</v>
      </c>
      <c r="G37" s="390"/>
      <c r="H37" t="s">
        <v>58</v>
      </c>
      <c r="I37" s="486">
        <v>20</v>
      </c>
      <c r="J37" s="486">
        <v>8</v>
      </c>
      <c r="K37" s="486">
        <v>28</v>
      </c>
    </row>
    <row r="38" spans="1:11" ht="14.5" x14ac:dyDescent="0.35">
      <c r="A38">
        <v>9</v>
      </c>
      <c r="B38" s="486">
        <v>16</v>
      </c>
      <c r="C38" s="486">
        <v>6</v>
      </c>
      <c r="D38" s="486">
        <v>2</v>
      </c>
      <c r="E38" s="486">
        <v>24</v>
      </c>
      <c r="F38" s="390">
        <f t="shared" si="0"/>
        <v>0.91666666666666663</v>
      </c>
      <c r="G38" s="390"/>
      <c r="H38" t="s">
        <v>59</v>
      </c>
      <c r="I38" s="486">
        <v>9</v>
      </c>
      <c r="J38" s="486">
        <v>7</v>
      </c>
      <c r="K38" s="486">
        <v>16</v>
      </c>
    </row>
    <row r="39" spans="1:11" ht="14.5" x14ac:dyDescent="0.35">
      <c r="A39">
        <v>10</v>
      </c>
      <c r="B39" s="486">
        <v>19</v>
      </c>
      <c r="C39" s="486">
        <v>5</v>
      </c>
      <c r="D39" s="486">
        <v>1</v>
      </c>
      <c r="E39" s="486">
        <v>25</v>
      </c>
      <c r="F39" s="390">
        <f t="shared" si="0"/>
        <v>0.96</v>
      </c>
      <c r="G39" s="390"/>
      <c r="H39" t="s">
        <v>60</v>
      </c>
      <c r="I39" s="486">
        <v>14</v>
      </c>
      <c r="J39" s="486">
        <v>17</v>
      </c>
      <c r="K39" s="486">
        <v>31</v>
      </c>
    </row>
    <row r="40" spans="1:11" ht="14.5" x14ac:dyDescent="0.35">
      <c r="A40">
        <v>11</v>
      </c>
      <c r="B40" s="486"/>
      <c r="C40" s="486">
        <v>19</v>
      </c>
      <c r="D40" s="486">
        <v>1</v>
      </c>
      <c r="E40" s="486">
        <v>20</v>
      </c>
      <c r="F40" s="390">
        <f t="shared" si="0"/>
        <v>0.95</v>
      </c>
      <c r="G40" s="390"/>
      <c r="H40" t="s">
        <v>61</v>
      </c>
      <c r="I40" s="486">
        <v>2</v>
      </c>
      <c r="J40" s="486">
        <v>1</v>
      </c>
      <c r="K40" s="486">
        <v>3</v>
      </c>
    </row>
    <row r="41" spans="1:11" ht="14.5" x14ac:dyDescent="0.35">
      <c r="A41">
        <v>12</v>
      </c>
      <c r="B41" s="486"/>
      <c r="C41" s="486">
        <v>22</v>
      </c>
      <c r="D41" s="486"/>
      <c r="E41" s="486">
        <v>22</v>
      </c>
      <c r="F41" s="390">
        <f>SUM(B41:C41)/E41</f>
        <v>1</v>
      </c>
      <c r="G41" s="390"/>
      <c r="H41" t="s">
        <v>19</v>
      </c>
      <c r="I41" s="486">
        <v>157</v>
      </c>
      <c r="J41" s="486">
        <v>130</v>
      </c>
      <c r="K41" s="486">
        <v>287</v>
      </c>
    </row>
    <row r="42" spans="1:11" ht="14.5" x14ac:dyDescent="0.35">
      <c r="A42" t="s">
        <v>19</v>
      </c>
      <c r="B42" s="486">
        <v>196</v>
      </c>
      <c r="C42" s="486">
        <v>65</v>
      </c>
      <c r="D42" s="486">
        <v>26</v>
      </c>
      <c r="E42" s="486">
        <v>287</v>
      </c>
    </row>
    <row r="43" spans="1:11" ht="14.5" x14ac:dyDescent="0.35"/>
    <row r="44" spans="1:11" ht="14.5" x14ac:dyDescent="0.35"/>
    <row r="45" spans="1:11" ht="14.5" x14ac:dyDescent="0.35"/>
    <row r="46" spans="1:11" ht="14.5" x14ac:dyDescent="0.35"/>
    <row r="47" spans="1:11" ht="14.5" x14ac:dyDescent="0.35"/>
    <row r="48" spans="1:11" ht="14.5" x14ac:dyDescent="0.35"/>
    <row r="49" spans="1:16" ht="14.5" x14ac:dyDescent="0.35"/>
    <row r="50" spans="1:16" ht="14.5" x14ac:dyDescent="0.35"/>
    <row r="51" spans="1:16" ht="14.5" x14ac:dyDescent="0.35"/>
    <row r="52" spans="1:16" ht="14.5" x14ac:dyDescent="0.35"/>
    <row r="53" spans="1:16" ht="14.5" x14ac:dyDescent="0.35"/>
    <row r="54" spans="1:16" ht="14.5" x14ac:dyDescent="0.35"/>
    <row r="55" spans="1:16" ht="14.5" x14ac:dyDescent="0.35"/>
    <row r="56" spans="1:16" ht="14.5" x14ac:dyDescent="0.35"/>
    <row r="57" spans="1:16" ht="14.5" x14ac:dyDescent="0.35">
      <c r="P57">
        <f>109/245</f>
        <v>0.44489795918367347</v>
      </c>
    </row>
    <row r="58" spans="1:16" ht="14.5" x14ac:dyDescent="0.35">
      <c r="P58">
        <f>136/245</f>
        <v>0.55510204081632653</v>
      </c>
    </row>
    <row r="59" spans="1:16" ht="14.5" x14ac:dyDescent="0.35"/>
    <row r="60" spans="1:16" ht="14.5" x14ac:dyDescent="0.35"/>
    <row r="61" spans="1:16" ht="14.5" x14ac:dyDescent="0.35"/>
    <row r="62" spans="1:16" ht="14.5" x14ac:dyDescent="0.35">
      <c r="A62" s="54" t="s">
        <v>14</v>
      </c>
      <c r="B62" t="s">
        <v>30</v>
      </c>
    </row>
    <row r="63" spans="1:16" ht="14.5" x14ac:dyDescent="0.35"/>
    <row r="64" spans="1:16" ht="14.5" x14ac:dyDescent="0.35">
      <c r="A64" s="54" t="s">
        <v>13</v>
      </c>
      <c r="B64" s="54" t="s">
        <v>29</v>
      </c>
    </row>
    <row r="65" spans="1:12" ht="14.5" x14ac:dyDescent="0.35">
      <c r="A65" s="54" t="s">
        <v>15</v>
      </c>
      <c r="B65" t="s">
        <v>24</v>
      </c>
      <c r="C65" t="s">
        <v>25</v>
      </c>
      <c r="D65" t="s">
        <v>19</v>
      </c>
      <c r="H65" s="60" t="s">
        <v>15</v>
      </c>
    </row>
    <row r="66" spans="1:12" ht="14.5" x14ac:dyDescent="0.35">
      <c r="A66">
        <v>1</v>
      </c>
      <c r="B66" s="486">
        <v>9</v>
      </c>
      <c r="C66" s="486">
        <v>14</v>
      </c>
      <c r="D66" s="486">
        <v>23</v>
      </c>
      <c r="H66" s="54" t="s">
        <v>13</v>
      </c>
      <c r="I66" s="54" t="s">
        <v>14</v>
      </c>
    </row>
    <row r="67" spans="1:12" ht="14.5" x14ac:dyDescent="0.35">
      <c r="A67">
        <v>2</v>
      </c>
      <c r="B67" s="486">
        <v>9</v>
      </c>
      <c r="C67" s="486">
        <v>11</v>
      </c>
      <c r="D67" s="486">
        <v>20</v>
      </c>
      <c r="H67" s="54" t="s">
        <v>15</v>
      </c>
      <c r="I67" t="s">
        <v>16</v>
      </c>
      <c r="J67" t="s">
        <v>17</v>
      </c>
      <c r="K67" t="s">
        <v>18</v>
      </c>
      <c r="L67" t="s">
        <v>19</v>
      </c>
    </row>
    <row r="68" spans="1:12" ht="14.5" x14ac:dyDescent="0.35">
      <c r="A68">
        <v>3</v>
      </c>
      <c r="B68" s="486">
        <v>13</v>
      </c>
      <c r="C68" s="486">
        <v>10</v>
      </c>
      <c r="D68" s="486">
        <v>23</v>
      </c>
      <c r="H68">
        <v>1</v>
      </c>
      <c r="I68" s="486">
        <v>20</v>
      </c>
      <c r="J68" s="486"/>
      <c r="K68" s="486">
        <v>3</v>
      </c>
      <c r="L68" s="486">
        <v>23</v>
      </c>
    </row>
    <row r="69" spans="1:12" ht="14.5" x14ac:dyDescent="0.35">
      <c r="A69">
        <v>4</v>
      </c>
      <c r="B69" s="486">
        <v>12</v>
      </c>
      <c r="C69" s="486">
        <v>15</v>
      </c>
      <c r="D69" s="486">
        <v>27</v>
      </c>
      <c r="H69">
        <v>2</v>
      </c>
      <c r="I69" s="486">
        <v>15</v>
      </c>
      <c r="J69" s="486">
        <v>1</v>
      </c>
      <c r="K69" s="486">
        <v>4</v>
      </c>
      <c r="L69" s="486">
        <v>20</v>
      </c>
    </row>
    <row r="70" spans="1:12" ht="14.5" x14ac:dyDescent="0.35">
      <c r="A70">
        <v>5</v>
      </c>
      <c r="B70" s="486">
        <v>13</v>
      </c>
      <c r="C70" s="486">
        <v>12</v>
      </c>
      <c r="D70" s="486">
        <v>25</v>
      </c>
      <c r="H70">
        <v>3</v>
      </c>
      <c r="I70" s="486">
        <v>18</v>
      </c>
      <c r="J70" s="486">
        <v>3</v>
      </c>
      <c r="K70" s="486">
        <v>2</v>
      </c>
      <c r="L70" s="486">
        <v>23</v>
      </c>
    </row>
    <row r="71" spans="1:12" ht="14.5" x14ac:dyDescent="0.35">
      <c r="A71">
        <v>6</v>
      </c>
      <c r="B71" s="486">
        <v>15</v>
      </c>
      <c r="C71" s="486">
        <v>10</v>
      </c>
      <c r="D71" s="486">
        <v>25</v>
      </c>
      <c r="H71">
        <v>4</v>
      </c>
      <c r="I71" s="486">
        <v>25</v>
      </c>
      <c r="J71" s="486">
        <v>1</v>
      </c>
      <c r="K71" s="486">
        <v>1</v>
      </c>
      <c r="L71" s="486">
        <v>27</v>
      </c>
    </row>
    <row r="72" spans="1:12" ht="14.5" x14ac:dyDescent="0.35">
      <c r="A72">
        <v>7</v>
      </c>
      <c r="B72" s="486">
        <v>19</v>
      </c>
      <c r="C72" s="486">
        <v>8</v>
      </c>
      <c r="D72" s="486">
        <v>27</v>
      </c>
      <c r="H72">
        <v>5</v>
      </c>
      <c r="I72" s="486">
        <v>18</v>
      </c>
      <c r="J72" s="486">
        <v>2</v>
      </c>
      <c r="K72" s="486">
        <v>5</v>
      </c>
      <c r="L72" s="486">
        <v>25</v>
      </c>
    </row>
    <row r="73" spans="1:12" ht="14.5" x14ac:dyDescent="0.35">
      <c r="A73">
        <v>8</v>
      </c>
      <c r="B73" s="486">
        <v>16</v>
      </c>
      <c r="C73" s="486">
        <v>10</v>
      </c>
      <c r="D73" s="486">
        <v>26</v>
      </c>
      <c r="H73">
        <v>6</v>
      </c>
      <c r="I73" s="486">
        <v>24</v>
      </c>
      <c r="J73" s="486"/>
      <c r="K73" s="486">
        <v>1</v>
      </c>
      <c r="L73" s="486">
        <v>25</v>
      </c>
    </row>
    <row r="74" spans="1:12" ht="14.5" x14ac:dyDescent="0.35">
      <c r="A74">
        <v>9</v>
      </c>
      <c r="B74" s="486">
        <v>15</v>
      </c>
      <c r="C74" s="486">
        <v>9</v>
      </c>
      <c r="D74" s="486">
        <v>24</v>
      </c>
      <c r="H74">
        <v>7</v>
      </c>
      <c r="I74" s="486">
        <v>24</v>
      </c>
      <c r="J74" s="486"/>
      <c r="K74" s="486">
        <v>3</v>
      </c>
      <c r="L74" s="486">
        <v>27</v>
      </c>
    </row>
    <row r="75" spans="1:12" ht="14.5" x14ac:dyDescent="0.35">
      <c r="A75">
        <v>10</v>
      </c>
      <c r="B75" s="486">
        <v>15</v>
      </c>
      <c r="C75" s="486">
        <v>10</v>
      </c>
      <c r="D75" s="486">
        <v>25</v>
      </c>
      <c r="H75">
        <v>8</v>
      </c>
      <c r="I75" s="486">
        <v>17</v>
      </c>
      <c r="J75" s="486">
        <v>6</v>
      </c>
      <c r="K75" s="486">
        <v>3</v>
      </c>
      <c r="L75" s="486">
        <v>26</v>
      </c>
    </row>
    <row r="76" spans="1:12" ht="14.5" x14ac:dyDescent="0.35">
      <c r="A76">
        <v>11</v>
      </c>
      <c r="B76" s="486">
        <v>11</v>
      </c>
      <c r="C76" s="486">
        <v>9</v>
      </c>
      <c r="D76" s="486">
        <v>20</v>
      </c>
      <c r="H76">
        <v>9</v>
      </c>
      <c r="I76" s="486">
        <v>16</v>
      </c>
      <c r="J76" s="486">
        <v>6</v>
      </c>
      <c r="K76" s="486">
        <v>2</v>
      </c>
      <c r="L76" s="486">
        <v>24</v>
      </c>
    </row>
    <row r="77" spans="1:12" ht="14.5" x14ac:dyDescent="0.35">
      <c r="A77">
        <v>12</v>
      </c>
      <c r="B77" s="486">
        <v>10</v>
      </c>
      <c r="C77" s="486">
        <v>12</v>
      </c>
      <c r="D77" s="486">
        <v>22</v>
      </c>
      <c r="H77">
        <v>10</v>
      </c>
      <c r="I77" s="486">
        <v>19</v>
      </c>
      <c r="J77" s="486">
        <v>5</v>
      </c>
      <c r="K77" s="486">
        <v>1</v>
      </c>
      <c r="L77" s="486">
        <v>25</v>
      </c>
    </row>
    <row r="78" spans="1:12" ht="14.5" x14ac:dyDescent="0.35">
      <c r="A78" t="s">
        <v>19</v>
      </c>
      <c r="B78" s="486">
        <v>157</v>
      </c>
      <c r="C78" s="486">
        <v>130</v>
      </c>
      <c r="D78" s="486">
        <v>287</v>
      </c>
      <c r="H78">
        <v>11</v>
      </c>
      <c r="I78" s="486"/>
      <c r="J78" s="486">
        <v>19</v>
      </c>
      <c r="K78" s="486">
        <v>1</v>
      </c>
      <c r="L78" s="486">
        <v>20</v>
      </c>
    </row>
    <row r="79" spans="1:12" ht="14.5" x14ac:dyDescent="0.35">
      <c r="H79">
        <v>12</v>
      </c>
      <c r="I79" s="486"/>
      <c r="J79" s="486">
        <v>22</v>
      </c>
      <c r="K79" s="486"/>
      <c r="L79" s="486">
        <v>22</v>
      </c>
    </row>
    <row r="80" spans="1:12" ht="14.5" x14ac:dyDescent="0.35">
      <c r="H80" t="s">
        <v>19</v>
      </c>
      <c r="I80" s="486">
        <v>196</v>
      </c>
      <c r="J80" s="486">
        <v>65</v>
      </c>
      <c r="K80" s="486">
        <v>26</v>
      </c>
      <c r="L80" s="486">
        <v>287</v>
      </c>
    </row>
    <row r="81" spans="1:5" ht="14.5" x14ac:dyDescent="0.35"/>
    <row r="82" spans="1:5" ht="14.5" x14ac:dyDescent="0.35"/>
    <row r="83" spans="1:5" ht="14.5" x14ac:dyDescent="0.35"/>
    <row r="84" spans="1:5" ht="14.5" x14ac:dyDescent="0.35"/>
    <row r="86" spans="1:5" ht="14.5" x14ac:dyDescent="0.35"/>
    <row r="87" spans="1:5" ht="14.5" x14ac:dyDescent="0.35"/>
    <row r="88" spans="1:5" ht="14.5" x14ac:dyDescent="0.35"/>
    <row r="90" spans="1:5" ht="14.5" x14ac:dyDescent="0.35">
      <c r="A90" s="54" t="s">
        <v>21</v>
      </c>
      <c r="B90" s="54" t="s">
        <v>22</v>
      </c>
    </row>
    <row r="91" spans="1:5" ht="14.5" x14ac:dyDescent="0.35">
      <c r="A91" s="54" t="s">
        <v>23</v>
      </c>
      <c r="B91" t="s">
        <v>16</v>
      </c>
      <c r="C91" t="s">
        <v>17</v>
      </c>
      <c r="D91" t="s">
        <v>18</v>
      </c>
      <c r="E91" t="s">
        <v>19</v>
      </c>
    </row>
    <row r="92" spans="1:5" ht="14.5" x14ac:dyDescent="0.35">
      <c r="A92" s="41" t="s">
        <v>24</v>
      </c>
      <c r="B92" s="486">
        <v>110</v>
      </c>
      <c r="C92" s="486">
        <v>14</v>
      </c>
      <c r="D92" s="486">
        <v>12</v>
      </c>
      <c r="E92" s="486">
        <v>136</v>
      </c>
    </row>
    <row r="93" spans="1:5" ht="14.5" x14ac:dyDescent="0.35">
      <c r="A93" s="41" t="s">
        <v>25</v>
      </c>
      <c r="B93" s="486">
        <v>86</v>
      </c>
      <c r="C93" s="486">
        <v>10</v>
      </c>
      <c r="D93" s="486">
        <v>13</v>
      </c>
      <c r="E93" s="486">
        <v>109</v>
      </c>
    </row>
    <row r="94" spans="1:5" ht="14.5" x14ac:dyDescent="0.35">
      <c r="A94" s="41" t="s">
        <v>19</v>
      </c>
      <c r="B94" s="486">
        <v>196</v>
      </c>
      <c r="C94" s="486">
        <v>24</v>
      </c>
      <c r="D94" s="486">
        <v>25</v>
      </c>
      <c r="E94" s="486">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zoomScaleNormal="100" workbookViewId="0">
      <pane ySplit="1" topLeftCell="A39" activePane="bottomLeft" state="frozen"/>
      <selection pane="bottomLeft" sqref="A1:XFD1"/>
    </sheetView>
  </sheetViews>
  <sheetFormatPr defaultRowHeight="15" customHeight="1" x14ac:dyDescent="0.35"/>
  <cols>
    <col min="1" max="1" width="7" customWidth="1"/>
    <col min="2" max="2" width="15.81640625" customWidth="1"/>
    <col min="3" max="3" width="13.7265625" customWidth="1"/>
    <col min="4" max="4" width="16.7265625" customWidth="1"/>
    <col min="5" max="5" width="14.81640625" customWidth="1"/>
    <col min="6" max="6" width="13.54296875" customWidth="1"/>
    <col min="7" max="7" width="11.54296875" customWidth="1"/>
    <col min="8" max="8" width="15.453125" customWidth="1"/>
    <col min="9" max="9" width="23" customWidth="1"/>
    <col min="10" max="10" width="19.81640625" customWidth="1"/>
    <col min="11" max="11" width="29.7265625" customWidth="1"/>
    <col min="12" max="12" width="33.54296875" customWidth="1"/>
    <col min="13" max="13" width="20.1796875" customWidth="1"/>
    <col min="14" max="14" width="16.54296875" style="41" customWidth="1"/>
    <col min="15" max="15" width="17.1796875" customWidth="1"/>
    <col min="16" max="16" width="18.453125" style="41" customWidth="1"/>
    <col min="17" max="17" width="13.54296875" customWidth="1"/>
    <col min="18" max="18" width="24.81640625" customWidth="1"/>
    <col min="19" max="19" width="24.81640625" style="42" customWidth="1"/>
    <col min="20" max="20" width="29.54296875" style="43" customWidth="1"/>
    <col min="21" max="21" width="34.453125" customWidth="1"/>
    <col min="22" max="22" width="14.54296875" customWidth="1"/>
    <col min="23" max="23" width="39.453125" style="41" customWidth="1"/>
    <col min="24" max="24" width="19.453125" style="41" customWidth="1"/>
    <col min="25" max="25" width="12.81640625" style="41" customWidth="1"/>
    <col min="26" max="26" width="11.54296875" style="41" customWidth="1"/>
    <col min="27" max="27" width="11.54296875" customWidth="1"/>
    <col min="28" max="28" width="14.1796875" customWidth="1"/>
    <col min="29" max="29" width="11.453125" style="279" hidden="1" customWidth="1"/>
    <col min="30" max="30" width="11.54296875" hidden="1" customWidth="1"/>
    <col min="31" max="31" width="33.1796875" hidden="1" customWidth="1"/>
    <col min="32" max="32" width="29.54296875" hidden="1" customWidth="1"/>
    <col min="33" max="33" width="21.7265625" hidden="1" customWidth="1"/>
    <col min="34" max="34" width="13.54296875" style="44" hidden="1" customWidth="1"/>
    <col min="35" max="35" width="26.54296875" hidden="1" customWidth="1"/>
    <col min="36" max="36" width="17.54296875" hidden="1" customWidth="1"/>
    <col min="37" max="37" width="15.453125" hidden="1" customWidth="1"/>
    <col min="38" max="38" width="11.453125" style="44" hidden="1" customWidth="1"/>
    <col min="39" max="39" width="14.453125" style="44" hidden="1" customWidth="1"/>
    <col min="40" max="40" width="15.81640625" style="44" hidden="1" customWidth="1"/>
    <col min="41" max="41" width="17.453125" style="51" hidden="1" customWidth="1"/>
    <col min="42" max="42" width="29.1796875" style="51" hidden="1" customWidth="1"/>
    <col min="43" max="43" width="25.26953125" style="51" hidden="1" customWidth="1"/>
    <col min="44" max="44" width="13.453125" style="44" hidden="1" customWidth="1"/>
    <col min="45" max="45" width="18.7265625" hidden="1" customWidth="1"/>
    <col min="46" max="46" width="42.453125" style="42" customWidth="1"/>
    <col min="47" max="47" width="24.7265625" hidden="1" customWidth="1"/>
    <col min="48" max="48" width="13" hidden="1" customWidth="1"/>
    <col min="49" max="49" width="10.81640625" hidden="1" customWidth="1"/>
    <col min="50" max="50" width="14.1796875" hidden="1" customWidth="1"/>
    <col min="51" max="51" width="13.81640625" style="44" hidden="1" customWidth="1"/>
    <col min="52" max="52" width="15.26953125" hidden="1" customWidth="1"/>
    <col min="53" max="53" width="13" hidden="1" customWidth="1"/>
    <col min="54" max="54" width="13.54296875" hidden="1" customWidth="1"/>
    <col min="55" max="55" width="23.81640625" hidden="1" customWidth="1"/>
    <col min="56" max="56" width="13.54296875" hidden="1" customWidth="1"/>
    <col min="57" max="57" width="54.26953125" hidden="1" customWidth="1"/>
    <col min="58" max="58" width="11.54296875" hidden="1" customWidth="1"/>
    <col min="59" max="59" width="14.26953125" hidden="1" customWidth="1"/>
    <col min="60" max="60" width="15" hidden="1" customWidth="1"/>
    <col min="61" max="61" width="14" hidden="1" customWidth="1"/>
    <col min="62" max="62" width="12.453125" hidden="1" customWidth="1"/>
    <col min="63" max="63" width="13" customWidth="1"/>
    <col min="64" max="64" width="13.81640625" customWidth="1"/>
    <col min="65" max="65" width="16.54296875" style="45" customWidth="1"/>
    <col min="66" max="66" width="13.81640625" customWidth="1"/>
    <col min="67" max="68" width="16.453125" style="44" customWidth="1"/>
    <col min="69" max="69" width="20.453125" customWidth="1"/>
    <col min="70" max="71" width="9.1796875" customWidth="1"/>
    <col min="72" max="72" width="13.26953125" customWidth="1"/>
    <col min="73" max="73" width="15.81640625" customWidth="1"/>
    <col min="74" max="74" width="12.453125" customWidth="1"/>
    <col min="75" max="75" width="16.54296875" customWidth="1"/>
    <col min="76" max="76" width="15.453125" customWidth="1"/>
    <col min="77" max="77" width="14.453125" customWidth="1"/>
    <col min="78" max="78" width="17.7265625" customWidth="1"/>
    <col min="79" max="79" width="20" customWidth="1"/>
    <col min="80" max="80" width="18.26953125" customWidth="1"/>
    <col min="81" max="81" width="22.81640625" customWidth="1"/>
    <col min="82" max="82" width="21" customWidth="1"/>
    <col min="83" max="83" width="19.26953125" customWidth="1"/>
    <col min="84" max="84" width="17.1796875" customWidth="1"/>
    <col min="85" max="85" width="17.7265625" customWidth="1"/>
    <col min="86" max="86" width="17.1796875" customWidth="1"/>
    <col min="87" max="88" width="17.54296875" customWidth="1"/>
    <col min="89" max="89" width="21.453125" customWidth="1"/>
    <col min="90" max="90" width="13.453125" customWidth="1"/>
    <col min="91" max="95" width="8.81640625" customWidth="1"/>
    <col min="96" max="96" width="14.453125" customWidth="1"/>
    <col min="97" max="97" width="12.54296875" style="49" customWidth="1"/>
    <col min="98" max="99" width="11.54296875" style="49" customWidth="1"/>
    <col min="100" max="100" width="8.81640625" customWidth="1"/>
    <col min="101" max="102" width="12.54296875" style="49" customWidth="1"/>
    <col min="103" max="104" width="8.81640625" customWidth="1"/>
    <col min="105" max="105" width="9.81640625" customWidth="1"/>
    <col min="106" max="106" width="17.54296875" customWidth="1"/>
  </cols>
  <sheetData>
    <row r="1" spans="1:90" s="52" customFormat="1" ht="52.5" customHeight="1" x14ac:dyDescent="0.35">
      <c r="A1" s="296" t="s">
        <v>62</v>
      </c>
      <c r="B1" s="297" t="s">
        <v>63</v>
      </c>
      <c r="C1" s="297" t="s">
        <v>64</v>
      </c>
      <c r="D1" s="297" t="s">
        <v>65</v>
      </c>
      <c r="E1" s="297" t="s">
        <v>66</v>
      </c>
      <c r="F1" s="297" t="s">
        <v>29</v>
      </c>
      <c r="G1" s="297" t="s">
        <v>15</v>
      </c>
      <c r="H1" s="297" t="s">
        <v>50</v>
      </c>
      <c r="I1" s="297" t="s">
        <v>34</v>
      </c>
      <c r="J1" s="297" t="s">
        <v>67</v>
      </c>
      <c r="K1" s="297" t="s">
        <v>68</v>
      </c>
      <c r="L1" s="297" t="s">
        <v>32</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5" customHeight="1" x14ac:dyDescent="0.35">
      <c r="A2" s="75">
        <v>1</v>
      </c>
      <c r="B2" s="75" t="s">
        <v>144</v>
      </c>
      <c r="C2" s="75" t="s">
        <v>145</v>
      </c>
      <c r="D2" s="75" t="s">
        <v>146</v>
      </c>
      <c r="E2" s="75" t="s">
        <v>147</v>
      </c>
      <c r="F2" s="75" t="s">
        <v>25</v>
      </c>
      <c r="G2" s="75">
        <v>1</v>
      </c>
      <c r="H2" s="75" t="s">
        <v>54</v>
      </c>
      <c r="I2" s="75" t="s">
        <v>31</v>
      </c>
      <c r="J2" s="75" t="s">
        <v>148</v>
      </c>
      <c r="K2" s="75" t="s">
        <v>149</v>
      </c>
      <c r="L2" s="75" t="s">
        <v>31</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5" customHeight="1" x14ac:dyDescent="0.35">
      <c r="A3" s="75">
        <v>2</v>
      </c>
      <c r="B3" s="75" t="s">
        <v>169</v>
      </c>
      <c r="C3" s="75" t="s">
        <v>170</v>
      </c>
      <c r="D3" s="75"/>
      <c r="E3" s="75" t="s">
        <v>171</v>
      </c>
      <c r="F3" s="75" t="s">
        <v>24</v>
      </c>
      <c r="G3" s="75">
        <v>1</v>
      </c>
      <c r="H3" s="75" t="s">
        <v>55</v>
      </c>
      <c r="I3" s="75" t="s">
        <v>43</v>
      </c>
      <c r="J3" s="75" t="s">
        <v>172</v>
      </c>
      <c r="K3" s="75" t="s">
        <v>173</v>
      </c>
      <c r="L3" s="75" t="s">
        <v>41</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5" customHeight="1" x14ac:dyDescent="0.35">
      <c r="A4" s="75">
        <v>3</v>
      </c>
      <c r="B4" s="75" t="s">
        <v>186</v>
      </c>
      <c r="C4" s="75" t="s">
        <v>187</v>
      </c>
      <c r="D4" s="75" t="s">
        <v>188</v>
      </c>
      <c r="E4" s="75" t="s">
        <v>189</v>
      </c>
      <c r="F4" s="75" t="s">
        <v>24</v>
      </c>
      <c r="G4" s="75">
        <v>1</v>
      </c>
      <c r="H4" s="75" t="s">
        <v>52</v>
      </c>
      <c r="I4" s="75" t="s">
        <v>37</v>
      </c>
      <c r="J4" s="75" t="s">
        <v>190</v>
      </c>
      <c r="K4" s="75" t="s">
        <v>191</v>
      </c>
      <c r="L4" s="75" t="s">
        <v>37</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5" customHeight="1" x14ac:dyDescent="0.35">
      <c r="A5" s="75">
        <v>4</v>
      </c>
      <c r="B5" s="75" t="s">
        <v>207</v>
      </c>
      <c r="C5" s="75" t="s">
        <v>208</v>
      </c>
      <c r="D5" s="75"/>
      <c r="E5" s="75" t="s">
        <v>209</v>
      </c>
      <c r="F5" s="75" t="s">
        <v>25</v>
      </c>
      <c r="G5" s="75">
        <v>1</v>
      </c>
      <c r="H5" s="75" t="s">
        <v>55</v>
      </c>
      <c r="I5" s="75" t="s">
        <v>43</v>
      </c>
      <c r="J5" s="75" t="s">
        <v>172</v>
      </c>
      <c r="K5" s="75" t="s">
        <v>210</v>
      </c>
      <c r="L5" s="75" t="s">
        <v>41</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5" customHeight="1" x14ac:dyDescent="0.35">
      <c r="A6" s="75">
        <v>5</v>
      </c>
      <c r="B6" s="75" t="s">
        <v>221</v>
      </c>
      <c r="C6" s="75" t="s">
        <v>222</v>
      </c>
      <c r="D6" s="75"/>
      <c r="E6" s="75" t="s">
        <v>223</v>
      </c>
      <c r="F6" s="75" t="s">
        <v>25</v>
      </c>
      <c r="G6" s="75">
        <v>1</v>
      </c>
      <c r="H6" s="75" t="s">
        <v>53</v>
      </c>
      <c r="I6" s="75" t="s">
        <v>46</v>
      </c>
      <c r="J6" s="75" t="s">
        <v>224</v>
      </c>
      <c r="K6" s="75" t="s">
        <v>225</v>
      </c>
      <c r="L6" s="75" t="s">
        <v>45</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5" customHeight="1" x14ac:dyDescent="0.35">
      <c r="A7" s="75">
        <v>6</v>
      </c>
      <c r="B7" s="75" t="s">
        <v>235</v>
      </c>
      <c r="C7" s="75" t="s">
        <v>236</v>
      </c>
      <c r="D7" s="75" t="s">
        <v>237</v>
      </c>
      <c r="E7" s="75" t="s">
        <v>238</v>
      </c>
      <c r="F7" s="75" t="s">
        <v>24</v>
      </c>
      <c r="G7" s="75">
        <v>1</v>
      </c>
      <c r="H7" s="75" t="s">
        <v>59</v>
      </c>
      <c r="I7" s="75" t="s">
        <v>40</v>
      </c>
      <c r="J7" s="75" t="s">
        <v>239</v>
      </c>
      <c r="K7" s="75"/>
      <c r="L7" s="75" t="s">
        <v>45</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5" customHeight="1" x14ac:dyDescent="0.35">
      <c r="A8" s="75">
        <v>7</v>
      </c>
      <c r="B8" s="75" t="s">
        <v>253</v>
      </c>
      <c r="C8" s="75" t="s">
        <v>254</v>
      </c>
      <c r="D8" s="75" t="s">
        <v>255</v>
      </c>
      <c r="E8" s="75" t="s">
        <v>256</v>
      </c>
      <c r="F8" s="75" t="s">
        <v>24</v>
      </c>
      <c r="G8" s="75">
        <v>1</v>
      </c>
      <c r="H8" s="75" t="s">
        <v>53</v>
      </c>
      <c r="I8" s="75" t="s">
        <v>46</v>
      </c>
      <c r="J8" s="75" t="s">
        <v>257</v>
      </c>
      <c r="K8" s="75" t="s">
        <v>258</v>
      </c>
      <c r="L8" s="75" t="s">
        <v>45</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5" customHeight="1" x14ac:dyDescent="0.35">
      <c r="A9" s="75">
        <v>8</v>
      </c>
      <c r="B9" s="75" t="s">
        <v>269</v>
      </c>
      <c r="C9" s="75" t="s">
        <v>270</v>
      </c>
      <c r="D9" s="75" t="s">
        <v>271</v>
      </c>
      <c r="E9" s="75" t="s">
        <v>272</v>
      </c>
      <c r="F9" s="75" t="s">
        <v>25</v>
      </c>
      <c r="G9" s="75">
        <v>1</v>
      </c>
      <c r="H9" s="75" t="s">
        <v>54</v>
      </c>
      <c r="I9" s="75" t="s">
        <v>39</v>
      </c>
      <c r="J9" s="75" t="s">
        <v>273</v>
      </c>
      <c r="K9" s="75" t="s">
        <v>274</v>
      </c>
      <c r="L9" s="75" t="s">
        <v>31</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5" customHeight="1" x14ac:dyDescent="0.35">
      <c r="A10" s="75">
        <v>9</v>
      </c>
      <c r="B10" s="75" t="s">
        <v>287</v>
      </c>
      <c r="C10" s="75" t="s">
        <v>288</v>
      </c>
      <c r="D10" s="75"/>
      <c r="E10" s="75" t="s">
        <v>289</v>
      </c>
      <c r="F10" s="75" t="s">
        <v>25</v>
      </c>
      <c r="G10" s="75">
        <v>1</v>
      </c>
      <c r="H10" s="75" t="s">
        <v>53</v>
      </c>
      <c r="I10" s="75" t="s">
        <v>46</v>
      </c>
      <c r="J10" s="75" t="s">
        <v>290</v>
      </c>
      <c r="K10" s="75" t="s">
        <v>291</v>
      </c>
      <c r="L10" s="75" t="s">
        <v>44</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5" customHeight="1" x14ac:dyDescent="0.35">
      <c r="A11" s="75">
        <v>10</v>
      </c>
      <c r="B11" s="75" t="s">
        <v>300</v>
      </c>
      <c r="C11" s="75" t="s">
        <v>301</v>
      </c>
      <c r="D11" s="75"/>
      <c r="E11" s="75" t="s">
        <v>302</v>
      </c>
      <c r="F11" s="75" t="s">
        <v>25</v>
      </c>
      <c r="G11" s="75">
        <v>1</v>
      </c>
      <c r="H11" s="75" t="s">
        <v>55</v>
      </c>
      <c r="I11" s="75" t="s">
        <v>43</v>
      </c>
      <c r="J11" s="75" t="s">
        <v>303</v>
      </c>
      <c r="K11" s="75" t="s">
        <v>173</v>
      </c>
      <c r="L11" s="75" t="s">
        <v>43</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5" customHeight="1" x14ac:dyDescent="0.35">
      <c r="A12" s="75">
        <v>11</v>
      </c>
      <c r="B12" s="75" t="s">
        <v>317</v>
      </c>
      <c r="C12" s="75" t="s">
        <v>318</v>
      </c>
      <c r="D12" s="75" t="s">
        <v>319</v>
      </c>
      <c r="E12" s="75" t="s">
        <v>320</v>
      </c>
      <c r="F12" s="75" t="s">
        <v>25</v>
      </c>
      <c r="G12" s="75">
        <v>1</v>
      </c>
      <c r="H12" s="75" t="s">
        <v>54</v>
      </c>
      <c r="I12" s="75" t="s">
        <v>31</v>
      </c>
      <c r="J12" s="75" t="s">
        <v>321</v>
      </c>
      <c r="K12" s="75" t="s">
        <v>149</v>
      </c>
      <c r="L12" s="75" t="s">
        <v>31</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8" customHeight="1" x14ac:dyDescent="0.35">
      <c r="A13" s="75">
        <v>12</v>
      </c>
      <c r="B13" s="75" t="s">
        <v>331</v>
      </c>
      <c r="C13" s="75" t="s">
        <v>332</v>
      </c>
      <c r="D13" s="75" t="s">
        <v>333</v>
      </c>
      <c r="E13" s="75" t="s">
        <v>334</v>
      </c>
      <c r="F13" s="75" t="s">
        <v>25</v>
      </c>
      <c r="G13" s="75">
        <v>1</v>
      </c>
      <c r="H13" s="75" t="s">
        <v>53</v>
      </c>
      <c r="I13" s="75" t="s">
        <v>46</v>
      </c>
      <c r="J13" s="75" t="s">
        <v>335</v>
      </c>
      <c r="K13" s="75"/>
      <c r="L13" s="75" t="s">
        <v>45</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5" customHeight="1" x14ac:dyDescent="0.35">
      <c r="A14" s="75">
        <v>13</v>
      </c>
      <c r="B14" s="75" t="s">
        <v>346</v>
      </c>
      <c r="C14" s="75" t="s">
        <v>347</v>
      </c>
      <c r="D14" s="75" t="s">
        <v>348</v>
      </c>
      <c r="E14" s="75" t="s">
        <v>349</v>
      </c>
      <c r="F14" s="75" t="s">
        <v>24</v>
      </c>
      <c r="G14" s="75">
        <v>1</v>
      </c>
      <c r="H14" s="75" t="s">
        <v>52</v>
      </c>
      <c r="I14" s="75" t="s">
        <v>37</v>
      </c>
      <c r="J14" s="75" t="s">
        <v>350</v>
      </c>
      <c r="K14" s="75"/>
      <c r="L14" s="75" t="s">
        <v>37</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5" customHeight="1" x14ac:dyDescent="0.35">
      <c r="A15" s="75">
        <v>14</v>
      </c>
      <c r="B15" s="75" t="s">
        <v>359</v>
      </c>
      <c r="C15" s="75" t="s">
        <v>360</v>
      </c>
      <c r="D15" s="75"/>
      <c r="E15" s="75" t="s">
        <v>361</v>
      </c>
      <c r="F15" s="75" t="s">
        <v>24</v>
      </c>
      <c r="G15" s="75">
        <v>1</v>
      </c>
      <c r="H15" s="75" t="s">
        <v>58</v>
      </c>
      <c r="I15" s="84" t="s">
        <v>45</v>
      </c>
      <c r="J15" s="75" t="s">
        <v>362</v>
      </c>
      <c r="K15" s="75" t="s">
        <v>363</v>
      </c>
      <c r="L15" s="75" t="s">
        <v>45</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5" customHeight="1" x14ac:dyDescent="0.35">
      <c r="A16" s="75">
        <v>15</v>
      </c>
      <c r="B16" s="75" t="s">
        <v>374</v>
      </c>
      <c r="C16" s="75" t="s">
        <v>375</v>
      </c>
      <c r="D16" s="75" t="s">
        <v>376</v>
      </c>
      <c r="E16" s="75" t="s">
        <v>377</v>
      </c>
      <c r="F16" s="75" t="s">
        <v>25</v>
      </c>
      <c r="G16" s="75">
        <v>1</v>
      </c>
      <c r="H16" s="75" t="s">
        <v>58</v>
      </c>
      <c r="I16" s="75" t="s">
        <v>45</v>
      </c>
      <c r="J16" s="75" t="s">
        <v>378</v>
      </c>
      <c r="K16" s="75" t="s">
        <v>379</v>
      </c>
      <c r="L16" s="75" t="s">
        <v>45</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5" customHeight="1" x14ac:dyDescent="0.35">
      <c r="A17" s="75">
        <v>16</v>
      </c>
      <c r="B17" s="75" t="s">
        <v>387</v>
      </c>
      <c r="C17" s="75" t="s">
        <v>388</v>
      </c>
      <c r="D17" s="75" t="s">
        <v>389</v>
      </c>
      <c r="E17" s="75" t="s">
        <v>390</v>
      </c>
      <c r="F17" s="75" t="s">
        <v>25</v>
      </c>
      <c r="G17" s="75">
        <v>1</v>
      </c>
      <c r="H17" s="75" t="s">
        <v>53</v>
      </c>
      <c r="I17" s="75" t="s">
        <v>45</v>
      </c>
      <c r="J17" s="75" t="s">
        <v>378</v>
      </c>
      <c r="K17" s="75" t="s">
        <v>391</v>
      </c>
      <c r="L17" s="75" t="s">
        <v>45</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5" customHeight="1" x14ac:dyDescent="0.35">
      <c r="A18" s="75">
        <v>17</v>
      </c>
      <c r="B18" s="75" t="s">
        <v>402</v>
      </c>
      <c r="C18" s="75" t="s">
        <v>403</v>
      </c>
      <c r="D18" s="75" t="s">
        <v>404</v>
      </c>
      <c r="E18" s="75" t="s">
        <v>405</v>
      </c>
      <c r="F18" s="75" t="s">
        <v>24</v>
      </c>
      <c r="G18" s="75">
        <v>1</v>
      </c>
      <c r="H18" s="75" t="s">
        <v>52</v>
      </c>
      <c r="I18" s="75" t="s">
        <v>42</v>
      </c>
      <c r="J18" s="75" t="s">
        <v>406</v>
      </c>
      <c r="K18" s="75" t="s">
        <v>407</v>
      </c>
      <c r="L18" s="75" t="s">
        <v>42</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5" customHeight="1" x14ac:dyDescent="0.35">
      <c r="A19" s="75">
        <v>18</v>
      </c>
      <c r="B19" s="75" t="s">
        <v>423</v>
      </c>
      <c r="C19" s="75" t="s">
        <v>424</v>
      </c>
      <c r="D19" s="75" t="s">
        <v>425</v>
      </c>
      <c r="E19" s="75" t="s">
        <v>426</v>
      </c>
      <c r="F19" s="75" t="s">
        <v>25</v>
      </c>
      <c r="G19" s="75">
        <v>1</v>
      </c>
      <c r="H19" s="75" t="s">
        <v>54</v>
      </c>
      <c r="I19" s="75" t="s">
        <v>39</v>
      </c>
      <c r="J19" s="75" t="s">
        <v>363</v>
      </c>
      <c r="K19" s="75" t="s">
        <v>363</v>
      </c>
      <c r="L19" s="75" t="s">
        <v>45</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5" customHeight="1" x14ac:dyDescent="0.35">
      <c r="A20" s="75">
        <v>19</v>
      </c>
      <c r="B20" s="75" t="s">
        <v>436</v>
      </c>
      <c r="C20" s="75" t="s">
        <v>437</v>
      </c>
      <c r="D20" s="75" t="s">
        <v>438</v>
      </c>
      <c r="E20" s="75" t="s">
        <v>147</v>
      </c>
      <c r="F20" s="75" t="s">
        <v>25</v>
      </c>
      <c r="G20" s="75">
        <v>1</v>
      </c>
      <c r="H20" s="75" t="s">
        <v>54</v>
      </c>
      <c r="I20" s="75" t="s">
        <v>39</v>
      </c>
      <c r="J20" s="75" t="s">
        <v>439</v>
      </c>
      <c r="K20" s="75" t="s">
        <v>439</v>
      </c>
      <c r="L20" s="75" t="s">
        <v>39</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5" customHeight="1" x14ac:dyDescent="0.35">
      <c r="A21" s="85">
        <v>20</v>
      </c>
      <c r="B21" s="85" t="s">
        <v>448</v>
      </c>
      <c r="C21" s="85" t="s">
        <v>437</v>
      </c>
      <c r="D21" s="85" t="s">
        <v>449</v>
      </c>
      <c r="E21" s="85" t="s">
        <v>450</v>
      </c>
      <c r="F21" s="85" t="s">
        <v>25</v>
      </c>
      <c r="G21" s="85">
        <v>1</v>
      </c>
      <c r="H21" s="85" t="s">
        <v>54</v>
      </c>
      <c r="I21" s="85" t="s">
        <v>36</v>
      </c>
      <c r="J21" s="85" t="s">
        <v>172</v>
      </c>
      <c r="K21" s="85" t="s">
        <v>172</v>
      </c>
      <c r="L21" s="85" t="s">
        <v>45</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5" customHeight="1" x14ac:dyDescent="0.35">
      <c r="A22" s="91">
        <v>22</v>
      </c>
      <c r="B22" s="91" t="s">
        <v>462</v>
      </c>
      <c r="C22" s="91" t="s">
        <v>463</v>
      </c>
      <c r="D22" s="91" t="s">
        <v>464</v>
      </c>
      <c r="E22" s="91" t="s">
        <v>465</v>
      </c>
      <c r="F22" s="91" t="s">
        <v>24</v>
      </c>
      <c r="G22" s="91">
        <v>1</v>
      </c>
      <c r="H22" s="91" t="s">
        <v>52</v>
      </c>
      <c r="I22" s="91" t="s">
        <v>42</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5" customHeight="1" x14ac:dyDescent="0.35">
      <c r="A23" s="91">
        <v>23</v>
      </c>
      <c r="B23" s="91" t="s">
        <v>466</v>
      </c>
      <c r="C23" s="91" t="s">
        <v>467</v>
      </c>
      <c r="D23" s="91" t="s">
        <v>468</v>
      </c>
      <c r="E23" s="91" t="s">
        <v>469</v>
      </c>
      <c r="F23" s="91" t="s">
        <v>25</v>
      </c>
      <c r="G23" s="91">
        <v>1</v>
      </c>
      <c r="H23" s="91" t="s">
        <v>52</v>
      </c>
      <c r="I23" s="91" t="s">
        <v>42</v>
      </c>
      <c r="J23" s="91"/>
      <c r="K23" s="91"/>
      <c r="L23" s="91" t="s">
        <v>42</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5" customHeight="1" x14ac:dyDescent="0.35">
      <c r="A24" s="91">
        <v>24</v>
      </c>
      <c r="B24" s="91" t="s">
        <v>470</v>
      </c>
      <c r="C24" s="91" t="s">
        <v>471</v>
      </c>
      <c r="D24" s="91" t="s">
        <v>472</v>
      </c>
      <c r="E24" s="91" t="s">
        <v>473</v>
      </c>
      <c r="F24" s="91" t="s">
        <v>24</v>
      </c>
      <c r="G24" s="91">
        <v>1</v>
      </c>
      <c r="H24" s="91" t="s">
        <v>59</v>
      </c>
      <c r="I24" s="91" t="s">
        <v>41</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5" customHeight="1" x14ac:dyDescent="0.35">
      <c r="A25" s="96">
        <v>26</v>
      </c>
      <c r="B25" s="96" t="s">
        <v>474</v>
      </c>
      <c r="C25" s="96" t="s">
        <v>475</v>
      </c>
      <c r="D25" s="96"/>
      <c r="E25" s="96" t="s">
        <v>476</v>
      </c>
      <c r="F25" s="96" t="s">
        <v>25</v>
      </c>
      <c r="G25" s="96">
        <v>2</v>
      </c>
      <c r="H25" s="96" t="s">
        <v>54</v>
      </c>
      <c r="I25" s="96" t="s">
        <v>31</v>
      </c>
      <c r="J25" s="96" t="s">
        <v>477</v>
      </c>
      <c r="K25" s="96"/>
      <c r="L25" s="96" t="s">
        <v>31</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5" customHeight="1" x14ac:dyDescent="0.35">
      <c r="A26" s="96">
        <v>27</v>
      </c>
      <c r="B26" s="96" t="s">
        <v>486</v>
      </c>
      <c r="C26" s="96" t="s">
        <v>487</v>
      </c>
      <c r="D26" s="96"/>
      <c r="E26" s="96" t="s">
        <v>488</v>
      </c>
      <c r="F26" s="96" t="s">
        <v>24</v>
      </c>
      <c r="G26" s="96">
        <v>2</v>
      </c>
      <c r="H26" s="96" t="s">
        <v>53</v>
      </c>
      <c r="I26" s="96" t="s">
        <v>46</v>
      </c>
      <c r="J26" s="96" t="s">
        <v>489</v>
      </c>
      <c r="K26" s="96" t="s">
        <v>489</v>
      </c>
      <c r="L26" s="96" t="s">
        <v>44</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5" customHeight="1" x14ac:dyDescent="0.35">
      <c r="A27" s="96">
        <v>28</v>
      </c>
      <c r="B27" s="96" t="s">
        <v>501</v>
      </c>
      <c r="C27" s="96" t="s">
        <v>502</v>
      </c>
      <c r="D27" s="96" t="s">
        <v>503</v>
      </c>
      <c r="E27" s="96" t="s">
        <v>504</v>
      </c>
      <c r="F27" s="96" t="s">
        <v>25</v>
      </c>
      <c r="G27" s="96">
        <v>2</v>
      </c>
      <c r="H27" s="96" t="s">
        <v>53</v>
      </c>
      <c r="I27" s="96" t="s">
        <v>46</v>
      </c>
      <c r="J27" s="96" t="s">
        <v>224</v>
      </c>
      <c r="K27" s="96"/>
      <c r="L27" s="96" t="s">
        <v>44</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5" customHeight="1" x14ac:dyDescent="0.35">
      <c r="A28" s="96">
        <v>29</v>
      </c>
      <c r="B28" s="96" t="s">
        <v>513</v>
      </c>
      <c r="C28" s="96" t="s">
        <v>514</v>
      </c>
      <c r="D28" s="96" t="s">
        <v>20</v>
      </c>
      <c r="E28" s="96" t="s">
        <v>515</v>
      </c>
      <c r="F28" s="96" t="s">
        <v>24</v>
      </c>
      <c r="G28" s="96">
        <v>2</v>
      </c>
      <c r="H28" s="96" t="s">
        <v>52</v>
      </c>
      <c r="I28" s="96" t="s">
        <v>37</v>
      </c>
      <c r="J28" s="96" t="s">
        <v>516</v>
      </c>
      <c r="K28" s="96" t="s">
        <v>517</v>
      </c>
      <c r="L28" s="96" t="s">
        <v>37</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5" customHeight="1" x14ac:dyDescent="0.35">
      <c r="A29" s="96">
        <v>30</v>
      </c>
      <c r="B29" s="96" t="s">
        <v>527</v>
      </c>
      <c r="C29" s="96" t="s">
        <v>528</v>
      </c>
      <c r="D29" s="96"/>
      <c r="E29" s="96" t="s">
        <v>529</v>
      </c>
      <c r="F29" s="96" t="s">
        <v>24</v>
      </c>
      <c r="G29" s="96">
        <v>2</v>
      </c>
      <c r="H29" s="96" t="s">
        <v>59</v>
      </c>
      <c r="I29" s="96" t="s">
        <v>41</v>
      </c>
      <c r="J29" s="96" t="s">
        <v>477</v>
      </c>
      <c r="K29" s="96" t="s">
        <v>530</v>
      </c>
      <c r="L29" s="96" t="s">
        <v>42</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5" customHeight="1" x14ac:dyDescent="0.35">
      <c r="A30" s="96">
        <v>31</v>
      </c>
      <c r="B30" s="96" t="s">
        <v>539</v>
      </c>
      <c r="C30" s="96" t="s">
        <v>540</v>
      </c>
      <c r="D30" s="96" t="s">
        <v>541</v>
      </c>
      <c r="E30" s="96" t="s">
        <v>542</v>
      </c>
      <c r="F30" s="96" t="s">
        <v>25</v>
      </c>
      <c r="G30" s="96">
        <v>2</v>
      </c>
      <c r="H30" s="96" t="s">
        <v>60</v>
      </c>
      <c r="I30" s="96" t="s">
        <v>35</v>
      </c>
      <c r="J30" s="96" t="s">
        <v>477</v>
      </c>
      <c r="K30" s="96" t="s">
        <v>543</v>
      </c>
      <c r="L30" s="96" t="s">
        <v>35</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5" customHeight="1" x14ac:dyDescent="0.35">
      <c r="A31" s="96">
        <v>32</v>
      </c>
      <c r="B31" s="96" t="s">
        <v>555</v>
      </c>
      <c r="C31" s="96" t="s">
        <v>556</v>
      </c>
      <c r="D31" s="96" t="s">
        <v>557</v>
      </c>
      <c r="E31" s="96" t="s">
        <v>558</v>
      </c>
      <c r="F31" s="96" t="s">
        <v>25</v>
      </c>
      <c r="G31" s="96">
        <v>2</v>
      </c>
      <c r="H31" s="96" t="s">
        <v>54</v>
      </c>
      <c r="I31" s="96" t="s">
        <v>31</v>
      </c>
      <c r="J31" s="96" t="s">
        <v>559</v>
      </c>
      <c r="K31" s="96" t="s">
        <v>560</v>
      </c>
      <c r="L31" s="96" t="s">
        <v>31</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5" customHeight="1" x14ac:dyDescent="0.35">
      <c r="A32" s="96">
        <v>33</v>
      </c>
      <c r="B32" s="96" t="s">
        <v>569</v>
      </c>
      <c r="C32" s="96" t="s">
        <v>570</v>
      </c>
      <c r="D32" s="96"/>
      <c r="E32" s="96" t="s">
        <v>571</v>
      </c>
      <c r="F32" s="96" t="s">
        <v>25</v>
      </c>
      <c r="G32" s="96">
        <v>2</v>
      </c>
      <c r="H32" s="96" t="s">
        <v>60</v>
      </c>
      <c r="I32" s="96" t="s">
        <v>35</v>
      </c>
      <c r="J32" s="96" t="s">
        <v>477</v>
      </c>
      <c r="K32" s="96"/>
      <c r="L32" s="96" t="s">
        <v>35</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5" customHeight="1" x14ac:dyDescent="0.35">
      <c r="A33" s="96">
        <v>34</v>
      </c>
      <c r="B33" s="96" t="s">
        <v>582</v>
      </c>
      <c r="C33" s="96" t="s">
        <v>583</v>
      </c>
      <c r="D33" s="96" t="s">
        <v>584</v>
      </c>
      <c r="E33" s="96" t="s">
        <v>585</v>
      </c>
      <c r="F33" s="96" t="s">
        <v>25</v>
      </c>
      <c r="G33" s="96">
        <v>2</v>
      </c>
      <c r="H33" s="96" t="s">
        <v>53</v>
      </c>
      <c r="I33" s="96" t="s">
        <v>46</v>
      </c>
      <c r="J33" s="96" t="s">
        <v>477</v>
      </c>
      <c r="K33" s="96" t="s">
        <v>543</v>
      </c>
      <c r="L33" s="96" t="s">
        <v>44</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5" customHeight="1" x14ac:dyDescent="0.35">
      <c r="A34" s="96">
        <v>35</v>
      </c>
      <c r="B34" s="96" t="s">
        <v>598</v>
      </c>
      <c r="C34" s="96" t="s">
        <v>599</v>
      </c>
      <c r="D34" s="96" t="s">
        <v>600</v>
      </c>
      <c r="E34" s="96" t="s">
        <v>601</v>
      </c>
      <c r="F34" s="96" t="s">
        <v>25</v>
      </c>
      <c r="G34" s="96">
        <v>2</v>
      </c>
      <c r="H34" s="96" t="s">
        <v>52</v>
      </c>
      <c r="I34" s="96" t="s">
        <v>38</v>
      </c>
      <c r="J34" s="96" t="s">
        <v>602</v>
      </c>
      <c r="K34" s="96" t="s">
        <v>603</v>
      </c>
      <c r="L34" s="96" t="s">
        <v>45</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5" customHeight="1" x14ac:dyDescent="0.35">
      <c r="A35" s="96">
        <v>36</v>
      </c>
      <c r="B35" s="96" t="s">
        <v>617</v>
      </c>
      <c r="C35" s="96" t="s">
        <v>618</v>
      </c>
      <c r="D35" s="96" t="s">
        <v>619</v>
      </c>
      <c r="E35" s="96" t="s">
        <v>620</v>
      </c>
      <c r="F35" s="96" t="s">
        <v>25</v>
      </c>
      <c r="G35" s="96">
        <v>2</v>
      </c>
      <c r="H35" s="96" t="s">
        <v>52</v>
      </c>
      <c r="I35" s="96" t="s">
        <v>42</v>
      </c>
      <c r="J35" s="96" t="s">
        <v>621</v>
      </c>
      <c r="K35" s="96" t="s">
        <v>622</v>
      </c>
      <c r="L35" s="96" t="s">
        <v>42</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5" customHeight="1" x14ac:dyDescent="0.35">
      <c r="A36" s="96">
        <v>37</v>
      </c>
      <c r="B36" s="96" t="s">
        <v>628</v>
      </c>
      <c r="C36" s="96" t="s">
        <v>629</v>
      </c>
      <c r="D36" s="96" t="s">
        <v>630</v>
      </c>
      <c r="E36" s="96" t="s">
        <v>631</v>
      </c>
      <c r="F36" s="96" t="s">
        <v>24</v>
      </c>
      <c r="G36" s="96">
        <v>2</v>
      </c>
      <c r="H36" s="96" t="s">
        <v>54</v>
      </c>
      <c r="I36" s="96" t="s">
        <v>39</v>
      </c>
      <c r="J36" s="96" t="s">
        <v>362</v>
      </c>
      <c r="K36" s="96" t="s">
        <v>439</v>
      </c>
      <c r="L36" s="96" t="s">
        <v>39</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5" customHeight="1" x14ac:dyDescent="0.35">
      <c r="A37" s="85">
        <v>38</v>
      </c>
      <c r="B37" s="85" t="s">
        <v>640</v>
      </c>
      <c r="C37" s="85" t="s">
        <v>641</v>
      </c>
      <c r="D37" s="85" t="s">
        <v>642</v>
      </c>
      <c r="E37" s="85" t="s">
        <v>643</v>
      </c>
      <c r="F37" s="85" t="s">
        <v>24</v>
      </c>
      <c r="G37" s="85">
        <v>2</v>
      </c>
      <c r="H37" s="85" t="s">
        <v>54</v>
      </c>
      <c r="I37" s="85" t="s">
        <v>31</v>
      </c>
      <c r="J37" s="85" t="s">
        <v>224</v>
      </c>
      <c r="K37" s="85"/>
      <c r="L37" s="85" t="s">
        <v>31</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31</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5" customHeight="1" x14ac:dyDescent="0.35">
      <c r="A38" s="96">
        <v>39</v>
      </c>
      <c r="B38" s="96" t="s">
        <v>652</v>
      </c>
      <c r="C38" s="96" t="s">
        <v>388</v>
      </c>
      <c r="D38" s="96" t="s">
        <v>653</v>
      </c>
      <c r="E38" s="96" t="s">
        <v>654</v>
      </c>
      <c r="F38" s="96" t="s">
        <v>25</v>
      </c>
      <c r="G38" s="96">
        <v>2</v>
      </c>
      <c r="H38" s="96" t="s">
        <v>53</v>
      </c>
      <c r="I38" s="96" t="s">
        <v>46</v>
      </c>
      <c r="J38" s="96" t="s">
        <v>655</v>
      </c>
      <c r="K38" s="96" t="s">
        <v>656</v>
      </c>
      <c r="L38" s="96" t="s">
        <v>44</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5" customHeight="1" x14ac:dyDescent="0.35">
      <c r="A39" s="91">
        <v>40</v>
      </c>
      <c r="B39" s="91" t="s">
        <v>667</v>
      </c>
      <c r="C39" s="91" t="s">
        <v>668</v>
      </c>
      <c r="D39" s="91" t="s">
        <v>669</v>
      </c>
      <c r="E39" s="91" t="s">
        <v>670</v>
      </c>
      <c r="F39" s="91" t="s">
        <v>24</v>
      </c>
      <c r="G39" s="91">
        <v>2</v>
      </c>
      <c r="H39" s="91" t="s">
        <v>58</v>
      </c>
      <c r="I39" s="91" t="s">
        <v>45</v>
      </c>
      <c r="J39" s="91" t="s">
        <v>671</v>
      </c>
      <c r="K39" s="91" t="s">
        <v>672</v>
      </c>
      <c r="L39" s="91" t="s">
        <v>45</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5" customHeight="1" x14ac:dyDescent="0.35">
      <c r="A40" s="96">
        <v>41</v>
      </c>
      <c r="B40" s="96" t="s">
        <v>683</v>
      </c>
      <c r="C40" s="96" t="s">
        <v>684</v>
      </c>
      <c r="D40" s="96" t="s">
        <v>685</v>
      </c>
      <c r="E40" s="96" t="s">
        <v>686</v>
      </c>
      <c r="F40" s="96" t="s">
        <v>24</v>
      </c>
      <c r="G40" s="96">
        <v>2</v>
      </c>
      <c r="H40" s="96" t="s">
        <v>60</v>
      </c>
      <c r="I40" s="96" t="s">
        <v>35</v>
      </c>
      <c r="J40" s="96" t="s">
        <v>477</v>
      </c>
      <c r="K40" s="96" t="s">
        <v>687</v>
      </c>
      <c r="L40" s="96" t="s">
        <v>35</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5" customHeight="1" x14ac:dyDescent="0.35">
      <c r="A41" s="96">
        <v>42</v>
      </c>
      <c r="B41" s="96" t="s">
        <v>699</v>
      </c>
      <c r="C41" s="96" t="s">
        <v>700</v>
      </c>
      <c r="D41" s="96"/>
      <c r="E41" s="96" t="s">
        <v>701</v>
      </c>
      <c r="F41" s="96" t="s">
        <v>24</v>
      </c>
      <c r="G41" s="96">
        <v>2</v>
      </c>
      <c r="H41" s="96" t="s">
        <v>60</v>
      </c>
      <c r="I41" s="96" t="s">
        <v>35</v>
      </c>
      <c r="J41" s="96" t="s">
        <v>702</v>
      </c>
      <c r="K41" s="96"/>
      <c r="L41" s="96" t="s">
        <v>35</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5" customHeight="1" x14ac:dyDescent="0.35">
      <c r="A42" s="91">
        <v>43</v>
      </c>
      <c r="B42" s="91" t="s">
        <v>711</v>
      </c>
      <c r="C42" s="91" t="s">
        <v>712</v>
      </c>
      <c r="D42" s="91"/>
      <c r="E42" s="91" t="s">
        <v>713</v>
      </c>
      <c r="F42" s="91" t="s">
        <v>25</v>
      </c>
      <c r="G42" s="91">
        <v>2</v>
      </c>
      <c r="H42" s="91" t="s">
        <v>58</v>
      </c>
      <c r="I42" s="91" t="s">
        <v>45</v>
      </c>
      <c r="J42" s="91" t="s">
        <v>477</v>
      </c>
      <c r="K42" s="91"/>
      <c r="L42" s="91" t="s">
        <v>45</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5" customHeight="1" x14ac:dyDescent="0.35">
      <c r="A43" s="91">
        <v>44</v>
      </c>
      <c r="B43" s="91" t="s">
        <v>723</v>
      </c>
      <c r="C43" s="91" t="s">
        <v>724</v>
      </c>
      <c r="D43" s="91" t="s">
        <v>725</v>
      </c>
      <c r="E43" s="91" t="s">
        <v>726</v>
      </c>
      <c r="F43" s="91" t="s">
        <v>24</v>
      </c>
      <c r="G43" s="91">
        <v>2</v>
      </c>
      <c r="H43" s="108" t="s">
        <v>52</v>
      </c>
      <c r="I43" s="91" t="s">
        <v>42</v>
      </c>
      <c r="J43" s="91"/>
      <c r="K43" s="91"/>
      <c r="L43" s="91" t="s">
        <v>45</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5" customHeight="1" x14ac:dyDescent="0.35">
      <c r="A44" s="91">
        <v>45</v>
      </c>
      <c r="B44" s="91" t="s">
        <v>727</v>
      </c>
      <c r="C44" s="91" t="s">
        <v>728</v>
      </c>
      <c r="D44" s="91" t="s">
        <v>729</v>
      </c>
      <c r="E44" s="91" t="s">
        <v>730</v>
      </c>
      <c r="F44" s="91" t="s">
        <v>25</v>
      </c>
      <c r="G44" s="91">
        <v>2</v>
      </c>
      <c r="H44" s="108" t="s">
        <v>59</v>
      </c>
      <c r="I44" s="91" t="s">
        <v>40</v>
      </c>
      <c r="J44" s="91"/>
      <c r="K44" s="91" t="s">
        <v>731</v>
      </c>
      <c r="L44" s="91" t="s">
        <v>41</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5" customHeight="1" x14ac:dyDescent="0.35">
      <c r="A45" s="116">
        <v>47</v>
      </c>
      <c r="B45" s="116" t="s">
        <v>734</v>
      </c>
      <c r="C45" s="116" t="s">
        <v>735</v>
      </c>
      <c r="D45" s="116" t="s">
        <v>736</v>
      </c>
      <c r="E45" s="116" t="s">
        <v>737</v>
      </c>
      <c r="F45" s="116" t="s">
        <v>24</v>
      </c>
      <c r="G45" s="116">
        <v>3</v>
      </c>
      <c r="H45" s="116" t="s">
        <v>54</v>
      </c>
      <c r="I45" s="116" t="s">
        <v>31</v>
      </c>
      <c r="J45" s="116" t="s">
        <v>738</v>
      </c>
      <c r="K45" s="116" t="s">
        <v>739</v>
      </c>
      <c r="L45" s="116" t="s">
        <v>31</v>
      </c>
      <c r="M45" s="116" t="s">
        <v>150</v>
      </c>
      <c r="N45" s="223" t="s">
        <v>740</v>
      </c>
      <c r="O45" s="18" t="s">
        <v>322</v>
      </c>
      <c r="P45" s="19" t="s">
        <v>322</v>
      </c>
      <c r="Q45" s="116" t="s">
        <v>322</v>
      </c>
      <c r="R45" s="116" t="s">
        <v>741</v>
      </c>
      <c r="S45" s="116"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5" customHeight="1" x14ac:dyDescent="0.35">
      <c r="A46" s="116">
        <v>48</v>
      </c>
      <c r="B46" s="116" t="s">
        <v>752</v>
      </c>
      <c r="C46" s="116" t="s">
        <v>753</v>
      </c>
      <c r="D46" s="116"/>
      <c r="E46" s="116" t="s">
        <v>754</v>
      </c>
      <c r="F46" s="116" t="s">
        <v>24</v>
      </c>
      <c r="G46" s="116">
        <v>3</v>
      </c>
      <c r="H46" s="116" t="s">
        <v>52</v>
      </c>
      <c r="I46" s="116" t="s">
        <v>42</v>
      </c>
      <c r="J46" s="116" t="s">
        <v>477</v>
      </c>
      <c r="K46" s="116"/>
      <c r="L46" s="116" t="s">
        <v>42</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5" customHeight="1" x14ac:dyDescent="0.35">
      <c r="A47" s="116">
        <v>49</v>
      </c>
      <c r="B47" s="116" t="s">
        <v>762</v>
      </c>
      <c r="C47" s="116" t="s">
        <v>763</v>
      </c>
      <c r="D47" s="116" t="s">
        <v>764</v>
      </c>
      <c r="E47" s="116" t="s">
        <v>765</v>
      </c>
      <c r="F47" s="116" t="s">
        <v>24</v>
      </c>
      <c r="G47" s="116">
        <v>3</v>
      </c>
      <c r="H47" s="116" t="s">
        <v>52</v>
      </c>
      <c r="I47" s="116" t="s">
        <v>42</v>
      </c>
      <c r="J47" s="116" t="s">
        <v>702</v>
      </c>
      <c r="K47" s="116" t="s">
        <v>766</v>
      </c>
      <c r="L47" s="116" t="s">
        <v>42</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5" customHeight="1" x14ac:dyDescent="0.35">
      <c r="A48" s="116">
        <v>50</v>
      </c>
      <c r="B48" s="116" t="s">
        <v>780</v>
      </c>
      <c r="C48" s="116" t="s">
        <v>781</v>
      </c>
      <c r="D48" s="116" t="s">
        <v>782</v>
      </c>
      <c r="E48" s="116" t="s">
        <v>783</v>
      </c>
      <c r="F48" s="116" t="s">
        <v>24</v>
      </c>
      <c r="G48" s="116">
        <v>3</v>
      </c>
      <c r="H48" s="116" t="s">
        <v>54</v>
      </c>
      <c r="I48" s="116" t="s">
        <v>31</v>
      </c>
      <c r="J48" s="116" t="s">
        <v>784</v>
      </c>
      <c r="K48" s="116" t="s">
        <v>785</v>
      </c>
      <c r="L48" s="116" t="s">
        <v>31</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5" customHeight="1" x14ac:dyDescent="0.35">
      <c r="A49" s="116">
        <v>51</v>
      </c>
      <c r="B49" s="116" t="s">
        <v>795</v>
      </c>
      <c r="C49" s="116" t="s">
        <v>796</v>
      </c>
      <c r="D49" s="116" t="s">
        <v>797</v>
      </c>
      <c r="E49" s="116" t="s">
        <v>798</v>
      </c>
      <c r="F49" s="116" t="s">
        <v>25</v>
      </c>
      <c r="G49" s="116">
        <v>3</v>
      </c>
      <c r="H49" s="116" t="s">
        <v>60</v>
      </c>
      <c r="I49" s="116" t="s">
        <v>35</v>
      </c>
      <c r="J49" s="116" t="s">
        <v>799</v>
      </c>
      <c r="K49" s="116"/>
      <c r="L49" s="116" t="s">
        <v>35</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5" customHeight="1" x14ac:dyDescent="0.35">
      <c r="A50" s="116">
        <v>52</v>
      </c>
      <c r="B50" s="116" t="s">
        <v>810</v>
      </c>
      <c r="C50" s="116" t="s">
        <v>811</v>
      </c>
      <c r="D50" s="116" t="s">
        <v>812</v>
      </c>
      <c r="E50" s="116" t="s">
        <v>813</v>
      </c>
      <c r="F50" s="116" t="s">
        <v>25</v>
      </c>
      <c r="G50" s="116">
        <v>3</v>
      </c>
      <c r="H50" s="116" t="s">
        <v>55</v>
      </c>
      <c r="I50" s="116" t="s">
        <v>43</v>
      </c>
      <c r="J50" s="116" t="s">
        <v>602</v>
      </c>
      <c r="K50" s="116"/>
      <c r="L50" s="116" t="s">
        <v>43</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5" customHeight="1" x14ac:dyDescent="0.35">
      <c r="A51" s="116">
        <v>53</v>
      </c>
      <c r="B51" s="116" t="s">
        <v>823</v>
      </c>
      <c r="C51" s="116" t="s">
        <v>824</v>
      </c>
      <c r="D51" s="116" t="s">
        <v>825</v>
      </c>
      <c r="E51" s="116" t="s">
        <v>826</v>
      </c>
      <c r="F51" s="116" t="s">
        <v>25</v>
      </c>
      <c r="G51" s="116">
        <v>3</v>
      </c>
      <c r="H51" s="116" t="s">
        <v>54</v>
      </c>
      <c r="I51" s="116" t="s">
        <v>31</v>
      </c>
      <c r="J51" s="116" t="s">
        <v>827</v>
      </c>
      <c r="K51" s="116" t="s">
        <v>828</v>
      </c>
      <c r="L51" s="116" t="s">
        <v>31</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5" customHeight="1" x14ac:dyDescent="0.35">
      <c r="A52" s="116">
        <v>54</v>
      </c>
      <c r="B52" s="116" t="s">
        <v>836</v>
      </c>
      <c r="C52" s="116" t="s">
        <v>837</v>
      </c>
      <c r="D52" s="116" t="s">
        <v>838</v>
      </c>
      <c r="E52" s="116" t="s">
        <v>839</v>
      </c>
      <c r="F52" s="116" t="s">
        <v>25</v>
      </c>
      <c r="G52" s="116">
        <v>3</v>
      </c>
      <c r="H52" s="116" t="s">
        <v>53</v>
      </c>
      <c r="I52" s="116" t="s">
        <v>46</v>
      </c>
      <c r="J52" s="116" t="s">
        <v>799</v>
      </c>
      <c r="K52" s="116" t="s">
        <v>840</v>
      </c>
      <c r="L52" s="116" t="s">
        <v>44</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5" customHeight="1" x14ac:dyDescent="0.35">
      <c r="A53" s="116">
        <v>55</v>
      </c>
      <c r="B53" s="116" t="s">
        <v>848</v>
      </c>
      <c r="C53" s="116" t="s">
        <v>849</v>
      </c>
      <c r="D53" s="116" t="s">
        <v>850</v>
      </c>
      <c r="E53" s="116" t="s">
        <v>851</v>
      </c>
      <c r="F53" s="116" t="s">
        <v>24</v>
      </c>
      <c r="G53" s="116">
        <v>3</v>
      </c>
      <c r="H53" s="116" t="s">
        <v>52</v>
      </c>
      <c r="I53" s="116" t="s">
        <v>37</v>
      </c>
      <c r="J53" s="116" t="s">
        <v>852</v>
      </c>
      <c r="K53" s="116" t="s">
        <v>853</v>
      </c>
      <c r="L53" s="116" t="s">
        <v>37</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5" customHeight="1" x14ac:dyDescent="0.35">
      <c r="A54" s="116">
        <v>56</v>
      </c>
      <c r="B54" s="116" t="s">
        <v>864</v>
      </c>
      <c r="C54" s="116" t="s">
        <v>865</v>
      </c>
      <c r="D54" s="116" t="s">
        <v>866</v>
      </c>
      <c r="E54" s="116" t="s">
        <v>867</v>
      </c>
      <c r="F54" s="116" t="s">
        <v>24</v>
      </c>
      <c r="G54" s="116">
        <v>3</v>
      </c>
      <c r="H54" s="116" t="s">
        <v>58</v>
      </c>
      <c r="I54" s="116" t="s">
        <v>45</v>
      </c>
      <c r="J54" s="116" t="s">
        <v>602</v>
      </c>
      <c r="K54" s="116" t="s">
        <v>868</v>
      </c>
      <c r="L54" s="116" t="s">
        <v>45</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5" customHeight="1" x14ac:dyDescent="0.35">
      <c r="A55" s="116">
        <v>57</v>
      </c>
      <c r="B55" s="116" t="s">
        <v>879</v>
      </c>
      <c r="C55" s="116" t="s">
        <v>825</v>
      </c>
      <c r="D55" s="116"/>
      <c r="E55" s="116" t="s">
        <v>880</v>
      </c>
      <c r="F55" s="116" t="s">
        <v>25</v>
      </c>
      <c r="G55" s="116">
        <v>3</v>
      </c>
      <c r="H55" s="116" t="s">
        <v>55</v>
      </c>
      <c r="I55" s="116" t="s">
        <v>43</v>
      </c>
      <c r="J55" s="116" t="s">
        <v>362</v>
      </c>
      <c r="K55" s="116"/>
      <c r="L55" s="116" t="s">
        <v>37</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5" customHeight="1" x14ac:dyDescent="0.35">
      <c r="A56" s="116">
        <v>58</v>
      </c>
      <c r="B56" s="116" t="s">
        <v>890</v>
      </c>
      <c r="C56" s="116" t="s">
        <v>891</v>
      </c>
      <c r="D56" s="116" t="s">
        <v>892</v>
      </c>
      <c r="E56" s="116" t="s">
        <v>893</v>
      </c>
      <c r="F56" s="116" t="s">
        <v>25</v>
      </c>
      <c r="G56" s="116">
        <v>3</v>
      </c>
      <c r="H56" s="116" t="s">
        <v>52</v>
      </c>
      <c r="I56" s="116" t="s">
        <v>37</v>
      </c>
      <c r="J56" s="116" t="s">
        <v>894</v>
      </c>
      <c r="K56" s="116" t="s">
        <v>530</v>
      </c>
      <c r="L56" s="116" t="s">
        <v>37</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5" customHeight="1" x14ac:dyDescent="0.35">
      <c r="A57" s="116">
        <v>59</v>
      </c>
      <c r="B57" s="116" t="s">
        <v>905</v>
      </c>
      <c r="C57" s="116" t="s">
        <v>906</v>
      </c>
      <c r="D57" s="116" t="s">
        <v>907</v>
      </c>
      <c r="E57" s="116" t="s">
        <v>908</v>
      </c>
      <c r="F57" s="116" t="s">
        <v>25</v>
      </c>
      <c r="G57" s="116">
        <v>3</v>
      </c>
      <c r="H57" s="116" t="s">
        <v>54</v>
      </c>
      <c r="I57" s="116" t="s">
        <v>39</v>
      </c>
      <c r="J57" s="116" t="s">
        <v>477</v>
      </c>
      <c r="K57" s="116"/>
      <c r="L57" s="116" t="s">
        <v>39</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5" customHeight="1" x14ac:dyDescent="0.35">
      <c r="A58" s="116">
        <v>60</v>
      </c>
      <c r="B58" s="116" t="s">
        <v>918</v>
      </c>
      <c r="C58" s="116" t="s">
        <v>919</v>
      </c>
      <c r="D58" s="116" t="s">
        <v>920</v>
      </c>
      <c r="E58" s="116" t="s">
        <v>921</v>
      </c>
      <c r="F58" s="116" t="s">
        <v>24</v>
      </c>
      <c r="G58" s="116">
        <v>3</v>
      </c>
      <c r="H58" s="116" t="s">
        <v>52</v>
      </c>
      <c r="I58" s="116" t="s">
        <v>37</v>
      </c>
      <c r="J58" s="116" t="s">
        <v>477</v>
      </c>
      <c r="K58" s="116" t="s">
        <v>922</v>
      </c>
      <c r="L58" s="116" t="s">
        <v>42</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5" customHeight="1" x14ac:dyDescent="0.35">
      <c r="A59" s="116">
        <v>61</v>
      </c>
      <c r="B59" s="116" t="s">
        <v>932</v>
      </c>
      <c r="C59" s="116" t="s">
        <v>933</v>
      </c>
      <c r="D59" s="116" t="s">
        <v>934</v>
      </c>
      <c r="E59" s="116" t="s">
        <v>935</v>
      </c>
      <c r="F59" s="116" t="s">
        <v>25</v>
      </c>
      <c r="G59" s="116">
        <v>3</v>
      </c>
      <c r="H59" s="116" t="s">
        <v>54</v>
      </c>
      <c r="I59" s="116" t="s">
        <v>39</v>
      </c>
      <c r="J59" s="116" t="s">
        <v>936</v>
      </c>
      <c r="K59" s="116" t="s">
        <v>936</v>
      </c>
      <c r="L59" s="116" t="s">
        <v>45</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5" customHeight="1" x14ac:dyDescent="0.35">
      <c r="A60" s="116">
        <v>62</v>
      </c>
      <c r="B60" s="116" t="s">
        <v>947</v>
      </c>
      <c r="C60" s="116" t="s">
        <v>948</v>
      </c>
      <c r="D60" s="116" t="s">
        <v>949</v>
      </c>
      <c r="E60" s="116" t="s">
        <v>950</v>
      </c>
      <c r="F60" s="116" t="s">
        <v>24</v>
      </c>
      <c r="G60" s="116">
        <v>3</v>
      </c>
      <c r="H60" s="116" t="s">
        <v>60</v>
      </c>
      <c r="I60" s="116" t="s">
        <v>35</v>
      </c>
      <c r="J60" s="116" t="s">
        <v>602</v>
      </c>
      <c r="K60" s="116" t="s">
        <v>951</v>
      </c>
      <c r="L60" s="116" t="s">
        <v>35</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5" customHeight="1" x14ac:dyDescent="0.35">
      <c r="A61" s="91">
        <v>63</v>
      </c>
      <c r="B61" s="91" t="s">
        <v>961</v>
      </c>
      <c r="C61" s="91" t="s">
        <v>962</v>
      </c>
      <c r="D61" s="91" t="s">
        <v>963</v>
      </c>
      <c r="E61" s="91" t="s">
        <v>964</v>
      </c>
      <c r="F61" s="91" t="s">
        <v>24</v>
      </c>
      <c r="G61" s="91">
        <v>3</v>
      </c>
      <c r="H61" s="91" t="s">
        <v>58</v>
      </c>
      <c r="I61" s="91" t="s">
        <v>45</v>
      </c>
      <c r="J61" s="91" t="s">
        <v>602</v>
      </c>
      <c r="K61" s="91"/>
      <c r="L61" s="91" t="s">
        <v>45</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5" customHeight="1" x14ac:dyDescent="0.35">
      <c r="A62" s="116">
        <v>64</v>
      </c>
      <c r="B62" s="116" t="s">
        <v>973</v>
      </c>
      <c r="C62" s="116" t="s">
        <v>974</v>
      </c>
      <c r="D62" s="116" t="s">
        <v>975</v>
      </c>
      <c r="E62" s="116" t="s">
        <v>976</v>
      </c>
      <c r="F62" s="116" t="s">
        <v>24</v>
      </c>
      <c r="G62" s="116">
        <v>3</v>
      </c>
      <c r="H62" s="116" t="s">
        <v>54</v>
      </c>
      <c r="I62" s="116" t="s">
        <v>39</v>
      </c>
      <c r="J62" s="116" t="s">
        <v>362</v>
      </c>
      <c r="K62" s="116" t="s">
        <v>977</v>
      </c>
      <c r="L62" s="116" t="s">
        <v>39</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5" customHeight="1" x14ac:dyDescent="0.35">
      <c r="A63" s="116">
        <v>65</v>
      </c>
      <c r="B63" s="116" t="s">
        <v>989</v>
      </c>
      <c r="C63" s="116" t="s">
        <v>990</v>
      </c>
      <c r="D63" s="116" t="s">
        <v>991</v>
      </c>
      <c r="E63" s="116" t="s">
        <v>992</v>
      </c>
      <c r="F63" s="116" t="s">
        <v>24</v>
      </c>
      <c r="G63" s="116">
        <v>3</v>
      </c>
      <c r="H63" s="116" t="s">
        <v>54</v>
      </c>
      <c r="I63" s="116" t="s">
        <v>31</v>
      </c>
      <c r="J63" s="116" t="s">
        <v>602</v>
      </c>
      <c r="K63" s="116"/>
      <c r="L63" s="116" t="s">
        <v>31</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5" customHeight="1" x14ac:dyDescent="0.35">
      <c r="A64" s="116">
        <v>66</v>
      </c>
      <c r="B64" s="116" t="s">
        <v>1005</v>
      </c>
      <c r="C64" s="116" t="s">
        <v>1006</v>
      </c>
      <c r="D64" s="116" t="s">
        <v>20</v>
      </c>
      <c r="E64" s="116" t="s">
        <v>1007</v>
      </c>
      <c r="F64" s="116" t="s">
        <v>24</v>
      </c>
      <c r="G64" s="116">
        <v>3</v>
      </c>
      <c r="H64" s="116" t="s">
        <v>59</v>
      </c>
      <c r="I64" s="116" t="s">
        <v>41</v>
      </c>
      <c r="J64" s="116" t="s">
        <v>1008</v>
      </c>
      <c r="K64" s="116" t="s">
        <v>1009</v>
      </c>
      <c r="L64" s="116" t="s">
        <v>41</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5" customHeight="1" x14ac:dyDescent="0.35">
      <c r="A65" s="116">
        <v>67</v>
      </c>
      <c r="B65" s="116" t="s">
        <v>1021</v>
      </c>
      <c r="C65" s="116" t="s">
        <v>1022</v>
      </c>
      <c r="D65" s="116" t="s">
        <v>1023</v>
      </c>
      <c r="E65" s="116" t="s">
        <v>1024</v>
      </c>
      <c r="F65" s="116" t="s">
        <v>24</v>
      </c>
      <c r="G65" s="116">
        <v>3</v>
      </c>
      <c r="H65" s="116" t="s">
        <v>52</v>
      </c>
      <c r="I65" s="116" t="s">
        <v>37</v>
      </c>
      <c r="J65" s="116" t="s">
        <v>1025</v>
      </c>
      <c r="K65" s="116" t="s">
        <v>1026</v>
      </c>
      <c r="L65" s="116" t="s">
        <v>37</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5" customHeight="1" x14ac:dyDescent="0.35">
      <c r="A66" s="116">
        <v>68</v>
      </c>
      <c r="B66" s="116" t="s">
        <v>1037</v>
      </c>
      <c r="C66" s="116" t="s">
        <v>1038</v>
      </c>
      <c r="D66" s="116"/>
      <c r="E66" s="116" t="s">
        <v>1039</v>
      </c>
      <c r="F66" s="116" t="s">
        <v>25</v>
      </c>
      <c r="G66" s="116">
        <v>3</v>
      </c>
      <c r="H66" s="116" t="s">
        <v>53</v>
      </c>
      <c r="I66" s="116" t="s">
        <v>46</v>
      </c>
      <c r="J66" s="116" t="s">
        <v>602</v>
      </c>
      <c r="K66" s="116" t="s">
        <v>602</v>
      </c>
      <c r="L66" s="116" t="s">
        <v>44</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5" customHeight="1" x14ac:dyDescent="0.35">
      <c r="A67" s="91">
        <v>70</v>
      </c>
      <c r="B67" s="91" t="s">
        <v>1049</v>
      </c>
      <c r="C67" s="91" t="s">
        <v>1050</v>
      </c>
      <c r="D67" s="91"/>
      <c r="E67" s="91" t="s">
        <v>1051</v>
      </c>
      <c r="F67" s="91" t="s">
        <v>25</v>
      </c>
      <c r="G67" s="91">
        <v>3</v>
      </c>
      <c r="H67" s="91" t="s">
        <v>58</v>
      </c>
      <c r="I67" s="91" t="s">
        <v>45</v>
      </c>
      <c r="J67" s="91"/>
      <c r="K67" s="91"/>
      <c r="L67" s="91" t="s">
        <v>45</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5" customHeight="1" x14ac:dyDescent="0.35">
      <c r="A68" s="129">
        <v>71</v>
      </c>
      <c r="B68" s="129" t="s">
        <v>1052</v>
      </c>
      <c r="C68" s="129" t="s">
        <v>1053</v>
      </c>
      <c r="D68" s="129" t="s">
        <v>619</v>
      </c>
      <c r="E68" s="129" t="s">
        <v>1054</v>
      </c>
      <c r="F68" s="129" t="s">
        <v>25</v>
      </c>
      <c r="G68" s="129">
        <v>4</v>
      </c>
      <c r="H68" s="129" t="s">
        <v>54</v>
      </c>
      <c r="I68" s="129" t="s">
        <v>31</v>
      </c>
      <c r="J68" s="129" t="s">
        <v>1055</v>
      </c>
      <c r="K68" s="129" t="s">
        <v>1056</v>
      </c>
      <c r="L68" s="129" t="s">
        <v>42</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5" customHeight="1" x14ac:dyDescent="0.35">
      <c r="A69" s="136">
        <v>72</v>
      </c>
      <c r="B69" s="136" t="s">
        <v>1067</v>
      </c>
      <c r="C69" s="136" t="s">
        <v>1068</v>
      </c>
      <c r="D69" s="136" t="s">
        <v>1069</v>
      </c>
      <c r="E69" s="136" t="s">
        <v>1070</v>
      </c>
      <c r="F69" s="136" t="s">
        <v>25</v>
      </c>
      <c r="G69" s="136">
        <v>4</v>
      </c>
      <c r="H69" s="129" t="s">
        <v>58</v>
      </c>
      <c r="I69" s="129" t="s">
        <v>45</v>
      </c>
      <c r="J69" s="129" t="s">
        <v>1071</v>
      </c>
      <c r="K69" s="129" t="s">
        <v>1072</v>
      </c>
      <c r="L69" s="129" t="s">
        <v>45</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5" customHeight="1" x14ac:dyDescent="0.35">
      <c r="A70" s="136">
        <v>73</v>
      </c>
      <c r="B70" s="136" t="s">
        <v>1081</v>
      </c>
      <c r="C70" s="136" t="s">
        <v>1082</v>
      </c>
      <c r="D70" s="136" t="s">
        <v>20</v>
      </c>
      <c r="E70" s="136" t="s">
        <v>1083</v>
      </c>
      <c r="F70" s="136" t="s">
        <v>25</v>
      </c>
      <c r="G70" s="136">
        <v>4</v>
      </c>
      <c r="H70" s="129" t="s">
        <v>60</v>
      </c>
      <c r="I70" s="129" t="s">
        <v>35</v>
      </c>
      <c r="J70" s="129" t="s">
        <v>602</v>
      </c>
      <c r="K70" s="129" t="s">
        <v>1084</v>
      </c>
      <c r="L70" s="129" t="s">
        <v>35</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5" customHeight="1" x14ac:dyDescent="0.35">
      <c r="A71" s="136">
        <v>74</v>
      </c>
      <c r="B71" s="136" t="s">
        <v>1094</v>
      </c>
      <c r="C71" s="136" t="s">
        <v>1095</v>
      </c>
      <c r="D71" s="136" t="s">
        <v>1096</v>
      </c>
      <c r="E71" s="136" t="s">
        <v>1097</v>
      </c>
      <c r="F71" s="136" t="s">
        <v>24</v>
      </c>
      <c r="G71" s="136">
        <v>4</v>
      </c>
      <c r="H71" s="129" t="s">
        <v>54</v>
      </c>
      <c r="I71" s="129" t="s">
        <v>39</v>
      </c>
      <c r="J71" s="129" t="s">
        <v>1098</v>
      </c>
      <c r="K71" s="129" t="s">
        <v>1099</v>
      </c>
      <c r="L71" s="129" t="s">
        <v>39</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5" customHeight="1" x14ac:dyDescent="0.35">
      <c r="A72" s="136">
        <v>75</v>
      </c>
      <c r="B72" s="136" t="s">
        <v>1111</v>
      </c>
      <c r="C72" s="136" t="s">
        <v>1112</v>
      </c>
      <c r="D72" s="136" t="s">
        <v>1113</v>
      </c>
      <c r="E72" s="136" t="s">
        <v>1114</v>
      </c>
      <c r="F72" s="136" t="s">
        <v>25</v>
      </c>
      <c r="G72" s="136">
        <v>4</v>
      </c>
      <c r="H72" s="129" t="s">
        <v>54</v>
      </c>
      <c r="I72" s="129" t="s">
        <v>31</v>
      </c>
      <c r="J72" s="129" t="s">
        <v>1115</v>
      </c>
      <c r="K72" s="129" t="s">
        <v>149</v>
      </c>
      <c r="L72" s="129" t="s">
        <v>31</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5" customHeight="1" x14ac:dyDescent="0.35">
      <c r="A73" s="136">
        <v>76</v>
      </c>
      <c r="B73" s="136" t="s">
        <v>1125</v>
      </c>
      <c r="C73" s="136" t="s">
        <v>1126</v>
      </c>
      <c r="D73" s="136" t="s">
        <v>20</v>
      </c>
      <c r="E73" s="136" t="s">
        <v>1127</v>
      </c>
      <c r="F73" s="136" t="s">
        <v>25</v>
      </c>
      <c r="G73" s="136">
        <v>4</v>
      </c>
      <c r="H73" s="129" t="s">
        <v>60</v>
      </c>
      <c r="I73" s="129" t="s">
        <v>35</v>
      </c>
      <c r="J73" s="129" t="s">
        <v>1128</v>
      </c>
      <c r="K73" s="129" t="s">
        <v>1129</v>
      </c>
      <c r="L73" s="129" t="s">
        <v>45</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5" customHeight="1" x14ac:dyDescent="0.35">
      <c r="A74" s="136">
        <v>77</v>
      </c>
      <c r="B74" s="136" t="s">
        <v>1140</v>
      </c>
      <c r="C74" s="136" t="s">
        <v>187</v>
      </c>
      <c r="D74" s="136" t="s">
        <v>1141</v>
      </c>
      <c r="E74" s="136" t="s">
        <v>1142</v>
      </c>
      <c r="F74" s="136" t="s">
        <v>24</v>
      </c>
      <c r="G74" s="136">
        <v>4</v>
      </c>
      <c r="H74" s="129" t="s">
        <v>52</v>
      </c>
      <c r="I74" s="129" t="s">
        <v>37</v>
      </c>
      <c r="J74" s="129" t="s">
        <v>1143</v>
      </c>
      <c r="K74" s="129" t="s">
        <v>1144</v>
      </c>
      <c r="L74" s="129" t="s">
        <v>42</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5" customHeight="1" x14ac:dyDescent="0.35">
      <c r="A75" s="136">
        <v>78</v>
      </c>
      <c r="B75" s="136" t="s">
        <v>1157</v>
      </c>
      <c r="C75" s="136" t="s">
        <v>1158</v>
      </c>
      <c r="D75" s="136"/>
      <c r="E75" s="136" t="s">
        <v>1159</v>
      </c>
      <c r="F75" s="136" t="s">
        <v>25</v>
      </c>
      <c r="G75" s="136">
        <v>4</v>
      </c>
      <c r="H75" s="129" t="s">
        <v>58</v>
      </c>
      <c r="I75" s="129" t="s">
        <v>45</v>
      </c>
      <c r="J75" s="129" t="s">
        <v>1160</v>
      </c>
      <c r="K75" s="129" t="s">
        <v>1161</v>
      </c>
      <c r="L75" s="129" t="s">
        <v>45</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5" customHeight="1" x14ac:dyDescent="0.35">
      <c r="A76" s="136">
        <v>79</v>
      </c>
      <c r="B76" s="136" t="s">
        <v>1170</v>
      </c>
      <c r="C76" s="136" t="s">
        <v>1171</v>
      </c>
      <c r="D76" s="136" t="s">
        <v>1172</v>
      </c>
      <c r="E76" s="136" t="s">
        <v>1173</v>
      </c>
      <c r="F76" s="136" t="s">
        <v>24</v>
      </c>
      <c r="G76" s="136">
        <v>4</v>
      </c>
      <c r="H76" s="129" t="s">
        <v>52</v>
      </c>
      <c r="I76" s="129" t="s">
        <v>42</v>
      </c>
      <c r="J76" s="129" t="s">
        <v>1174</v>
      </c>
      <c r="K76" s="129" t="s">
        <v>1175</v>
      </c>
      <c r="L76" s="129" t="s">
        <v>42</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5" customHeight="1" x14ac:dyDescent="0.35">
      <c r="A77" s="136">
        <v>80</v>
      </c>
      <c r="B77" s="136" t="s">
        <v>1186</v>
      </c>
      <c r="C77" s="136" t="s">
        <v>1187</v>
      </c>
      <c r="D77" s="136" t="s">
        <v>1188</v>
      </c>
      <c r="E77" s="136" t="s">
        <v>1189</v>
      </c>
      <c r="F77" s="136" t="s">
        <v>24</v>
      </c>
      <c r="G77" s="136">
        <v>4</v>
      </c>
      <c r="H77" s="129" t="s">
        <v>53</v>
      </c>
      <c r="I77" s="129" t="s">
        <v>46</v>
      </c>
      <c r="J77" s="129" t="s">
        <v>1190</v>
      </c>
      <c r="K77" s="129" t="s">
        <v>1191</v>
      </c>
      <c r="L77" s="129" t="s">
        <v>44</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5" customHeight="1" x14ac:dyDescent="0.35">
      <c r="A78" s="136">
        <v>81</v>
      </c>
      <c r="B78" s="136" t="s">
        <v>1205</v>
      </c>
      <c r="C78" s="136" t="s">
        <v>1206</v>
      </c>
      <c r="D78" s="136" t="s">
        <v>1207</v>
      </c>
      <c r="E78" s="136" t="s">
        <v>1208</v>
      </c>
      <c r="F78" s="136" t="s">
        <v>24</v>
      </c>
      <c r="G78" s="136">
        <v>4</v>
      </c>
      <c r="H78" s="129" t="s">
        <v>60</v>
      </c>
      <c r="I78" s="129" t="s">
        <v>35</v>
      </c>
      <c r="J78" s="129" t="s">
        <v>1209</v>
      </c>
      <c r="K78" s="129" t="s">
        <v>1209</v>
      </c>
      <c r="L78" s="129" t="s">
        <v>45</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5" customHeight="1" x14ac:dyDescent="0.35">
      <c r="A79" s="136">
        <v>82</v>
      </c>
      <c r="B79" s="136" t="s">
        <v>1219</v>
      </c>
      <c r="C79" s="136" t="s">
        <v>1220</v>
      </c>
      <c r="D79" s="136" t="s">
        <v>1221</v>
      </c>
      <c r="E79" s="136" t="s">
        <v>1222</v>
      </c>
      <c r="F79" s="136" t="s">
        <v>24</v>
      </c>
      <c r="G79" s="136">
        <v>4</v>
      </c>
      <c r="H79" s="129" t="s">
        <v>52</v>
      </c>
      <c r="I79" s="129" t="s">
        <v>37</v>
      </c>
      <c r="J79" s="129" t="s">
        <v>1223</v>
      </c>
      <c r="K79" s="129" t="s">
        <v>1224</v>
      </c>
      <c r="L79" s="129" t="s">
        <v>42</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5" customHeight="1" x14ac:dyDescent="0.35">
      <c r="A80" s="136">
        <v>83</v>
      </c>
      <c r="B80" s="136" t="s">
        <v>1237</v>
      </c>
      <c r="C80" s="136" t="s">
        <v>1238</v>
      </c>
      <c r="D80" s="136"/>
      <c r="E80" s="136" t="s">
        <v>1239</v>
      </c>
      <c r="F80" s="136" t="s">
        <v>25</v>
      </c>
      <c r="G80" s="136">
        <v>4</v>
      </c>
      <c r="H80" s="129" t="s">
        <v>60</v>
      </c>
      <c r="I80" s="129" t="s">
        <v>35</v>
      </c>
      <c r="J80" s="129" t="s">
        <v>602</v>
      </c>
      <c r="K80" s="129" t="s">
        <v>1240</v>
      </c>
      <c r="L80" s="129" t="s">
        <v>35</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5" customHeight="1" x14ac:dyDescent="0.35">
      <c r="A81" s="136">
        <v>84</v>
      </c>
      <c r="B81" s="136" t="s">
        <v>1251</v>
      </c>
      <c r="C81" s="136" t="s">
        <v>1252</v>
      </c>
      <c r="D81" s="136" t="s">
        <v>1253</v>
      </c>
      <c r="E81" s="136" t="s">
        <v>1254</v>
      </c>
      <c r="F81" s="136" t="s">
        <v>24</v>
      </c>
      <c r="G81" s="136">
        <v>4</v>
      </c>
      <c r="H81" s="129" t="s">
        <v>59</v>
      </c>
      <c r="I81" s="129" t="s">
        <v>40</v>
      </c>
      <c r="J81" s="129" t="s">
        <v>1255</v>
      </c>
      <c r="K81" s="129" t="s">
        <v>1256</v>
      </c>
      <c r="L81" s="129" t="s">
        <v>45</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5" customHeight="1" x14ac:dyDescent="0.35">
      <c r="A82" s="136">
        <v>85</v>
      </c>
      <c r="B82" s="136" t="s">
        <v>1269</v>
      </c>
      <c r="C82" s="136" t="s">
        <v>1270</v>
      </c>
      <c r="D82" s="136" t="s">
        <v>906</v>
      </c>
      <c r="E82" s="136" t="s">
        <v>1271</v>
      </c>
      <c r="F82" s="136" t="s">
        <v>25</v>
      </c>
      <c r="G82" s="136">
        <v>4</v>
      </c>
      <c r="H82" s="129" t="s">
        <v>52</v>
      </c>
      <c r="I82" s="129" t="s">
        <v>37</v>
      </c>
      <c r="J82" s="129" t="s">
        <v>1272</v>
      </c>
      <c r="K82" s="129" t="s">
        <v>1272</v>
      </c>
      <c r="L82" s="129" t="s">
        <v>42</v>
      </c>
      <c r="M82" s="129" t="s">
        <v>163</v>
      </c>
      <c r="N82" s="195" t="s">
        <v>1273</v>
      </c>
      <c r="O82" s="239" t="s">
        <v>151</v>
      </c>
      <c r="P82" s="25" t="s">
        <v>151</v>
      </c>
      <c r="Q82" s="136" t="s">
        <v>151</v>
      </c>
      <c r="R82" s="136" t="s">
        <v>1274</v>
      </c>
      <c r="S82" s="136"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5" customHeight="1" x14ac:dyDescent="0.35">
      <c r="A83" s="136">
        <v>86</v>
      </c>
      <c r="B83" s="136" t="s">
        <v>1285</v>
      </c>
      <c r="C83" s="136" t="s">
        <v>1286</v>
      </c>
      <c r="D83" s="136" t="s">
        <v>754</v>
      </c>
      <c r="E83" s="136" t="s">
        <v>1287</v>
      </c>
      <c r="F83" s="136" t="s">
        <v>24</v>
      </c>
      <c r="G83" s="136">
        <v>4</v>
      </c>
      <c r="H83" s="129" t="s">
        <v>52</v>
      </c>
      <c r="I83" s="129" t="s">
        <v>37</v>
      </c>
      <c r="J83" s="129" t="s">
        <v>602</v>
      </c>
      <c r="K83" s="129" t="s">
        <v>1288</v>
      </c>
      <c r="L83" s="129" t="s">
        <v>45</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5" customHeight="1" x14ac:dyDescent="0.35">
      <c r="A84" s="136">
        <v>87</v>
      </c>
      <c r="B84" s="136" t="s">
        <v>1297</v>
      </c>
      <c r="C84" s="136" t="s">
        <v>1298</v>
      </c>
      <c r="D84" s="136" t="s">
        <v>1299</v>
      </c>
      <c r="E84" s="136" t="s">
        <v>1300</v>
      </c>
      <c r="F84" s="136" t="s">
        <v>24</v>
      </c>
      <c r="G84" s="136">
        <v>4</v>
      </c>
      <c r="H84" s="129" t="s">
        <v>55</v>
      </c>
      <c r="I84" s="129" t="s">
        <v>43</v>
      </c>
      <c r="J84" s="129" t="s">
        <v>602</v>
      </c>
      <c r="K84" s="129" t="s">
        <v>1301</v>
      </c>
      <c r="L84" s="129" t="s">
        <v>35</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5" customHeight="1" x14ac:dyDescent="0.35">
      <c r="A85" s="91">
        <v>88</v>
      </c>
      <c r="B85" s="91" t="s">
        <v>1315</v>
      </c>
      <c r="C85" s="91" t="s">
        <v>1316</v>
      </c>
      <c r="D85" s="91" t="s">
        <v>1317</v>
      </c>
      <c r="E85" s="91" t="s">
        <v>1318</v>
      </c>
      <c r="F85" s="91" t="s">
        <v>25</v>
      </c>
      <c r="G85" s="91">
        <v>4</v>
      </c>
      <c r="H85" s="91" t="s">
        <v>53</v>
      </c>
      <c r="I85" s="91" t="s">
        <v>46</v>
      </c>
      <c r="J85" s="91" t="s">
        <v>602</v>
      </c>
      <c r="K85" s="91" t="s">
        <v>1319</v>
      </c>
      <c r="L85" s="91" t="s">
        <v>44</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5" customHeight="1" x14ac:dyDescent="0.35">
      <c r="A86" s="136">
        <v>89</v>
      </c>
      <c r="B86" s="136" t="s">
        <v>1327</v>
      </c>
      <c r="C86" s="136" t="s">
        <v>1328</v>
      </c>
      <c r="D86" s="136" t="s">
        <v>1329</v>
      </c>
      <c r="E86" s="136" t="s">
        <v>1330</v>
      </c>
      <c r="F86" s="136" t="s">
        <v>25</v>
      </c>
      <c r="G86" s="136">
        <v>4</v>
      </c>
      <c r="H86" s="129" t="s">
        <v>59</v>
      </c>
      <c r="I86" s="129" t="s">
        <v>41</v>
      </c>
      <c r="J86" s="129" t="s">
        <v>1331</v>
      </c>
      <c r="K86" s="129" t="s">
        <v>1332</v>
      </c>
      <c r="L86" s="129" t="s">
        <v>41</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250</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5" customHeight="1" x14ac:dyDescent="0.35">
      <c r="A87" s="136">
        <v>90</v>
      </c>
      <c r="B87" s="136" t="s">
        <v>1341</v>
      </c>
      <c r="C87" s="136" t="s">
        <v>1342</v>
      </c>
      <c r="D87" s="136" t="s">
        <v>1343</v>
      </c>
      <c r="E87" s="136" t="s">
        <v>1344</v>
      </c>
      <c r="F87" s="136" t="s">
        <v>25</v>
      </c>
      <c r="G87" s="136">
        <v>4</v>
      </c>
      <c r="H87" s="129" t="s">
        <v>52</v>
      </c>
      <c r="I87" s="129" t="s">
        <v>38</v>
      </c>
      <c r="J87" s="129" t="s">
        <v>602</v>
      </c>
      <c r="K87" s="129" t="s">
        <v>1345</v>
      </c>
      <c r="L87" s="129" t="s">
        <v>45</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5" customHeight="1" x14ac:dyDescent="0.35">
      <c r="A88" s="136">
        <v>91</v>
      </c>
      <c r="B88" s="136" t="s">
        <v>1360</v>
      </c>
      <c r="C88" s="136" t="s">
        <v>1361</v>
      </c>
      <c r="D88" s="136" t="s">
        <v>1362</v>
      </c>
      <c r="E88" s="136" t="s">
        <v>438</v>
      </c>
      <c r="F88" s="136" t="s">
        <v>24</v>
      </c>
      <c r="G88" s="136">
        <v>4</v>
      </c>
      <c r="H88" s="129" t="s">
        <v>54</v>
      </c>
      <c r="I88" s="129" t="s">
        <v>39</v>
      </c>
      <c r="J88" s="129" t="s">
        <v>1363</v>
      </c>
      <c r="K88" s="129" t="s">
        <v>1364</v>
      </c>
      <c r="L88" s="129" t="s">
        <v>39</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5" customHeight="1" x14ac:dyDescent="0.35">
      <c r="A89" s="136">
        <v>92</v>
      </c>
      <c r="B89" s="136" t="s">
        <v>1374</v>
      </c>
      <c r="C89" s="136" t="s">
        <v>1375</v>
      </c>
      <c r="D89" s="136" t="s">
        <v>20</v>
      </c>
      <c r="E89" s="136" t="s">
        <v>1376</v>
      </c>
      <c r="F89" s="136" t="s">
        <v>25</v>
      </c>
      <c r="G89" s="136">
        <v>4</v>
      </c>
      <c r="H89" s="129" t="s">
        <v>58</v>
      </c>
      <c r="I89" s="129" t="s">
        <v>45</v>
      </c>
      <c r="J89" s="129" t="s">
        <v>1377</v>
      </c>
      <c r="K89" s="129" t="s">
        <v>1378</v>
      </c>
      <c r="L89" s="129" t="s">
        <v>45</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5" customHeight="1" x14ac:dyDescent="0.35">
      <c r="A90" s="136">
        <v>93</v>
      </c>
      <c r="B90" s="136" t="s">
        <v>1390</v>
      </c>
      <c r="C90" s="136" t="s">
        <v>1391</v>
      </c>
      <c r="D90" s="136" t="s">
        <v>1392</v>
      </c>
      <c r="E90" s="136" t="s">
        <v>1393</v>
      </c>
      <c r="F90" s="136" t="s">
        <v>24</v>
      </c>
      <c r="G90" s="136">
        <v>4</v>
      </c>
      <c r="H90" s="129" t="s">
        <v>52</v>
      </c>
      <c r="I90" s="129" t="s">
        <v>42</v>
      </c>
      <c r="J90" s="129" t="s">
        <v>1394</v>
      </c>
      <c r="K90" s="129" t="s">
        <v>1395</v>
      </c>
      <c r="L90" s="129" t="s">
        <v>42</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5" customHeight="1" x14ac:dyDescent="0.35">
      <c r="A91" s="136">
        <v>94</v>
      </c>
      <c r="B91" s="136" t="s">
        <v>1404</v>
      </c>
      <c r="C91" s="136" t="s">
        <v>1405</v>
      </c>
      <c r="D91" s="136" t="s">
        <v>1406</v>
      </c>
      <c r="E91" s="136" t="s">
        <v>1407</v>
      </c>
      <c r="F91" s="136" t="s">
        <v>25</v>
      </c>
      <c r="G91" s="136">
        <v>4</v>
      </c>
      <c r="H91" s="129" t="s">
        <v>59</v>
      </c>
      <c r="I91" s="129" t="s">
        <v>41</v>
      </c>
      <c r="J91" s="129" t="s">
        <v>1408</v>
      </c>
      <c r="K91" s="129" t="s">
        <v>1408</v>
      </c>
      <c r="L91" s="129" t="s">
        <v>41</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5" customHeight="1" x14ac:dyDescent="0.35">
      <c r="A92" s="136">
        <v>95</v>
      </c>
      <c r="B92" s="136" t="s">
        <v>1419</v>
      </c>
      <c r="C92" s="136" t="s">
        <v>424</v>
      </c>
      <c r="D92" s="136" t="s">
        <v>599</v>
      </c>
      <c r="E92" s="136" t="s">
        <v>1420</v>
      </c>
      <c r="F92" s="136" t="s">
        <v>25</v>
      </c>
      <c r="G92" s="136">
        <v>4</v>
      </c>
      <c r="H92" s="129" t="s">
        <v>54</v>
      </c>
      <c r="I92" s="129" t="s">
        <v>39</v>
      </c>
      <c r="J92" s="129" t="s">
        <v>1421</v>
      </c>
      <c r="K92" s="129" t="s">
        <v>1422</v>
      </c>
      <c r="L92" s="129" t="s">
        <v>39</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5" customHeight="1" x14ac:dyDescent="0.35">
      <c r="A93" s="136">
        <v>96</v>
      </c>
      <c r="B93" s="136" t="s">
        <v>1431</v>
      </c>
      <c r="C93" s="136" t="s">
        <v>1432</v>
      </c>
      <c r="D93" s="136" t="s">
        <v>992</v>
      </c>
      <c r="E93" s="136" t="s">
        <v>320</v>
      </c>
      <c r="F93" s="136" t="s">
        <v>25</v>
      </c>
      <c r="G93" s="136">
        <v>4</v>
      </c>
      <c r="H93" s="129" t="s">
        <v>54</v>
      </c>
      <c r="I93" s="129" t="s">
        <v>31</v>
      </c>
      <c r="J93" s="129" t="s">
        <v>602</v>
      </c>
      <c r="K93" s="129" t="s">
        <v>1433</v>
      </c>
      <c r="L93" s="129" t="s">
        <v>45</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5" customHeight="1" x14ac:dyDescent="0.35">
      <c r="A94" s="136">
        <v>97</v>
      </c>
      <c r="B94" s="136" t="s">
        <v>1444</v>
      </c>
      <c r="C94" s="136" t="s">
        <v>1445</v>
      </c>
      <c r="D94" s="136" t="s">
        <v>1446</v>
      </c>
      <c r="E94" s="136" t="s">
        <v>1447</v>
      </c>
      <c r="F94" s="136" t="s">
        <v>24</v>
      </c>
      <c r="G94" s="136">
        <v>4</v>
      </c>
      <c r="H94" s="129" t="s">
        <v>58</v>
      </c>
      <c r="I94" s="129" t="s">
        <v>45</v>
      </c>
      <c r="J94" s="129" t="s">
        <v>602</v>
      </c>
      <c r="K94" s="129" t="s">
        <v>1448</v>
      </c>
      <c r="L94" s="129" t="s">
        <v>45</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5" customHeight="1" x14ac:dyDescent="0.35">
      <c r="A95" s="152">
        <v>98</v>
      </c>
      <c r="B95" s="152" t="s">
        <v>1457</v>
      </c>
      <c r="C95" s="152" t="s">
        <v>1458</v>
      </c>
      <c r="D95" s="152"/>
      <c r="E95" s="152" t="s">
        <v>1459</v>
      </c>
      <c r="F95" s="152" t="s">
        <v>25</v>
      </c>
      <c r="G95" s="152">
        <v>5</v>
      </c>
      <c r="H95" s="152" t="s">
        <v>56</v>
      </c>
      <c r="I95" s="152" t="s">
        <v>38</v>
      </c>
      <c r="J95" s="152" t="s">
        <v>602</v>
      </c>
      <c r="K95" s="152" t="s">
        <v>1460</v>
      </c>
      <c r="L95" s="152" t="s">
        <v>45</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5" customHeight="1" x14ac:dyDescent="0.35">
      <c r="A96" s="152">
        <v>99</v>
      </c>
      <c r="B96" s="152" t="s">
        <v>1474</v>
      </c>
      <c r="C96" s="152" t="s">
        <v>1475</v>
      </c>
      <c r="D96" s="152"/>
      <c r="E96" s="152" t="s">
        <v>1476</v>
      </c>
      <c r="F96" s="152" t="s">
        <v>25</v>
      </c>
      <c r="G96" s="152">
        <v>5</v>
      </c>
      <c r="H96" s="152" t="s">
        <v>55</v>
      </c>
      <c r="I96" s="152" t="s">
        <v>43</v>
      </c>
      <c r="J96" s="152" t="s">
        <v>1477</v>
      </c>
      <c r="K96" s="152" t="s">
        <v>1478</v>
      </c>
      <c r="L96" s="152" t="s">
        <v>37</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5" customHeight="1" x14ac:dyDescent="0.35">
      <c r="A97" s="152">
        <v>100</v>
      </c>
      <c r="B97" s="152" t="s">
        <v>1490</v>
      </c>
      <c r="C97" s="152" t="s">
        <v>347</v>
      </c>
      <c r="D97" s="152" t="s">
        <v>1491</v>
      </c>
      <c r="E97" s="152" t="s">
        <v>450</v>
      </c>
      <c r="F97" s="152" t="s">
        <v>24</v>
      </c>
      <c r="G97" s="152">
        <v>5</v>
      </c>
      <c r="H97" s="152" t="s">
        <v>54</v>
      </c>
      <c r="I97" s="152" t="s">
        <v>39</v>
      </c>
      <c r="J97" s="152" t="s">
        <v>1421</v>
      </c>
      <c r="K97" s="152" t="s">
        <v>1492</v>
      </c>
      <c r="L97" s="152" t="s">
        <v>39</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5" customHeight="1" x14ac:dyDescent="0.35">
      <c r="A98" s="152">
        <v>101</v>
      </c>
      <c r="B98" s="152" t="s">
        <v>1503</v>
      </c>
      <c r="C98" s="152" t="s">
        <v>1504</v>
      </c>
      <c r="D98" s="152" t="s">
        <v>1505</v>
      </c>
      <c r="E98" s="152" t="s">
        <v>1506</v>
      </c>
      <c r="F98" s="152" t="s">
        <v>24</v>
      </c>
      <c r="G98" s="152">
        <v>5</v>
      </c>
      <c r="H98" s="152" t="s">
        <v>58</v>
      </c>
      <c r="I98" s="152" t="s">
        <v>45</v>
      </c>
      <c r="J98" s="152" t="s">
        <v>1507</v>
      </c>
      <c r="K98" s="152" t="s">
        <v>1507</v>
      </c>
      <c r="L98" s="152" t="s">
        <v>45</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5" customHeight="1" x14ac:dyDescent="0.35">
      <c r="A99" s="152">
        <v>102</v>
      </c>
      <c r="B99" s="152" t="s">
        <v>1518</v>
      </c>
      <c r="C99" s="152" t="s">
        <v>438</v>
      </c>
      <c r="D99" s="152" t="s">
        <v>1519</v>
      </c>
      <c r="E99" s="152" t="s">
        <v>1520</v>
      </c>
      <c r="F99" s="152" t="s">
        <v>25</v>
      </c>
      <c r="G99" s="152">
        <v>5</v>
      </c>
      <c r="H99" s="152" t="s">
        <v>54</v>
      </c>
      <c r="I99" s="152" t="s">
        <v>31</v>
      </c>
      <c r="J99" s="152" t="s">
        <v>602</v>
      </c>
      <c r="K99" s="152" t="s">
        <v>1301</v>
      </c>
      <c r="L99" s="152" t="s">
        <v>45</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5" customHeight="1" x14ac:dyDescent="0.35">
      <c r="A100" s="152">
        <v>103</v>
      </c>
      <c r="B100" s="152" t="s">
        <v>1528</v>
      </c>
      <c r="C100" s="152" t="s">
        <v>825</v>
      </c>
      <c r="D100" s="152" t="s">
        <v>1529</v>
      </c>
      <c r="E100" s="152" t="s">
        <v>1530</v>
      </c>
      <c r="F100" s="152" t="s">
        <v>25</v>
      </c>
      <c r="G100" s="152">
        <v>5</v>
      </c>
      <c r="H100" s="152" t="s">
        <v>59</v>
      </c>
      <c r="I100" s="152" t="s">
        <v>40</v>
      </c>
      <c r="J100" s="152" t="s">
        <v>1531</v>
      </c>
      <c r="K100" s="152" t="s">
        <v>1532</v>
      </c>
      <c r="L100" s="152" t="s">
        <v>45</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5" customHeight="1" x14ac:dyDescent="0.35">
      <c r="A101" s="152">
        <v>104</v>
      </c>
      <c r="B101" s="152" t="s">
        <v>1543</v>
      </c>
      <c r="C101" s="152" t="s">
        <v>347</v>
      </c>
      <c r="D101" s="152" t="s">
        <v>1544</v>
      </c>
      <c r="E101" s="152" t="s">
        <v>1545</v>
      </c>
      <c r="F101" s="152" t="s">
        <v>24</v>
      </c>
      <c r="G101" s="152">
        <v>5</v>
      </c>
      <c r="H101" s="152" t="s">
        <v>52</v>
      </c>
      <c r="I101" s="152" t="s">
        <v>42</v>
      </c>
      <c r="J101" s="152" t="s">
        <v>1546</v>
      </c>
      <c r="K101" s="152" t="s">
        <v>1395</v>
      </c>
      <c r="L101" s="152" t="s">
        <v>42</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5" customHeight="1" x14ac:dyDescent="0.35">
      <c r="A102" s="152">
        <v>105</v>
      </c>
      <c r="B102" s="152" t="s">
        <v>1556</v>
      </c>
      <c r="C102" s="152" t="s">
        <v>1557</v>
      </c>
      <c r="D102" s="152" t="s">
        <v>1558</v>
      </c>
      <c r="E102" s="152" t="s">
        <v>1559</v>
      </c>
      <c r="F102" s="152" t="s">
        <v>24</v>
      </c>
      <c r="G102" s="152">
        <v>5</v>
      </c>
      <c r="H102" s="152" t="s">
        <v>54</v>
      </c>
      <c r="I102" s="152" t="s">
        <v>31</v>
      </c>
      <c r="J102" s="152" t="s">
        <v>1560</v>
      </c>
      <c r="K102" s="152" t="s">
        <v>1561</v>
      </c>
      <c r="L102" s="152" t="s">
        <v>31</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5" customHeight="1" x14ac:dyDescent="0.35">
      <c r="A103" s="152">
        <v>106</v>
      </c>
      <c r="B103" s="152" t="s">
        <v>1571</v>
      </c>
      <c r="C103" s="152" t="s">
        <v>1572</v>
      </c>
      <c r="D103" s="152"/>
      <c r="E103" s="152" t="s">
        <v>1573</v>
      </c>
      <c r="F103" s="152" t="s">
        <v>25</v>
      </c>
      <c r="G103" s="152">
        <v>5</v>
      </c>
      <c r="H103" s="152" t="s">
        <v>53</v>
      </c>
      <c r="I103" s="152" t="s">
        <v>46</v>
      </c>
      <c r="J103" s="152" t="s">
        <v>1574</v>
      </c>
      <c r="K103" s="152" t="s">
        <v>1546</v>
      </c>
      <c r="L103" s="152" t="s">
        <v>44</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5" customHeight="1" x14ac:dyDescent="0.35">
      <c r="A104" s="152">
        <v>107</v>
      </c>
      <c r="B104" s="152" t="s">
        <v>1585</v>
      </c>
      <c r="C104" s="152" t="s">
        <v>1586</v>
      </c>
      <c r="D104" s="152"/>
      <c r="E104" s="152" t="s">
        <v>1587</v>
      </c>
      <c r="F104" s="152" t="s">
        <v>25</v>
      </c>
      <c r="G104" s="152">
        <v>5</v>
      </c>
      <c r="H104" s="152" t="s">
        <v>60</v>
      </c>
      <c r="I104" s="152" t="s">
        <v>35</v>
      </c>
      <c r="J104" s="152" t="s">
        <v>362</v>
      </c>
      <c r="K104" s="152" t="s">
        <v>1588</v>
      </c>
      <c r="L104" s="152" t="s">
        <v>35</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5" customHeight="1" x14ac:dyDescent="0.35">
      <c r="A105" s="152">
        <v>108</v>
      </c>
      <c r="B105" s="152" t="s">
        <v>1598</v>
      </c>
      <c r="C105" s="152" t="s">
        <v>1599</v>
      </c>
      <c r="D105" s="152" t="s">
        <v>1600</v>
      </c>
      <c r="E105" s="152" t="s">
        <v>1600</v>
      </c>
      <c r="F105" s="152" t="s">
        <v>24</v>
      </c>
      <c r="G105" s="152">
        <v>5</v>
      </c>
      <c r="H105" s="152" t="s">
        <v>52</v>
      </c>
      <c r="I105" s="152" t="s">
        <v>37</v>
      </c>
      <c r="J105" s="152" t="s">
        <v>1601</v>
      </c>
      <c r="K105" s="152" t="s">
        <v>1601</v>
      </c>
      <c r="L105" s="152" t="s">
        <v>37</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5" customHeight="1" x14ac:dyDescent="0.35">
      <c r="A106" s="152">
        <v>109</v>
      </c>
      <c r="B106" s="152" t="s">
        <v>1613</v>
      </c>
      <c r="C106" s="152" t="s">
        <v>1614</v>
      </c>
      <c r="D106" s="152" t="s">
        <v>1615</v>
      </c>
      <c r="E106" s="152" t="s">
        <v>1616</v>
      </c>
      <c r="F106" s="152" t="s">
        <v>25</v>
      </c>
      <c r="G106" s="152">
        <v>5</v>
      </c>
      <c r="H106" s="152" t="s">
        <v>52</v>
      </c>
      <c r="I106" s="152" t="s">
        <v>37</v>
      </c>
      <c r="J106" s="152" t="s">
        <v>1617</v>
      </c>
      <c r="K106" s="152" t="s">
        <v>1618</v>
      </c>
      <c r="L106" s="152" t="s">
        <v>37</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5" customHeight="1" x14ac:dyDescent="0.35">
      <c r="A107" s="152">
        <v>110</v>
      </c>
      <c r="B107" s="152" t="s">
        <v>1625</v>
      </c>
      <c r="C107" s="152" t="s">
        <v>1626</v>
      </c>
      <c r="D107" s="152" t="s">
        <v>1627</v>
      </c>
      <c r="E107" s="152" t="s">
        <v>1628</v>
      </c>
      <c r="F107" s="152" t="s">
        <v>24</v>
      </c>
      <c r="G107" s="152">
        <v>5</v>
      </c>
      <c r="H107" s="152" t="s">
        <v>54</v>
      </c>
      <c r="I107" s="152" t="s">
        <v>31</v>
      </c>
      <c r="J107" s="152" t="s">
        <v>1629</v>
      </c>
      <c r="K107" s="152" t="s">
        <v>560</v>
      </c>
      <c r="L107" s="152" t="s">
        <v>31</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5" customHeight="1" x14ac:dyDescent="0.35">
      <c r="A108" s="152">
        <v>111</v>
      </c>
      <c r="B108" s="152" t="s">
        <v>1638</v>
      </c>
      <c r="C108" s="152" t="s">
        <v>1639</v>
      </c>
      <c r="D108" s="152" t="s">
        <v>1640</v>
      </c>
      <c r="E108" s="152" t="s">
        <v>1641</v>
      </c>
      <c r="F108" s="152" t="s">
        <v>24</v>
      </c>
      <c r="G108" s="152">
        <v>5</v>
      </c>
      <c r="H108" s="152" t="s">
        <v>60</v>
      </c>
      <c r="I108" s="152" t="s">
        <v>35</v>
      </c>
      <c r="J108" s="152" t="s">
        <v>602</v>
      </c>
      <c r="K108" s="152" t="s">
        <v>1642</v>
      </c>
      <c r="L108" s="152" t="s">
        <v>35</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5" customHeight="1" x14ac:dyDescent="0.35">
      <c r="A109" s="152">
        <v>112</v>
      </c>
      <c r="B109" s="152" t="s">
        <v>1651</v>
      </c>
      <c r="C109" s="152" t="s">
        <v>1652</v>
      </c>
      <c r="D109" s="152"/>
      <c r="E109" s="152" t="s">
        <v>1653</v>
      </c>
      <c r="F109" s="152" t="s">
        <v>24</v>
      </c>
      <c r="G109" s="152">
        <v>5</v>
      </c>
      <c r="H109" s="152" t="s">
        <v>52</v>
      </c>
      <c r="I109" s="152" t="s">
        <v>42</v>
      </c>
      <c r="J109" s="152" t="s">
        <v>602</v>
      </c>
      <c r="K109" s="152" t="s">
        <v>1654</v>
      </c>
      <c r="L109" s="152" t="s">
        <v>42</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5" customHeight="1" x14ac:dyDescent="0.35">
      <c r="A110" s="152">
        <v>113</v>
      </c>
      <c r="B110" s="152" t="s">
        <v>1668</v>
      </c>
      <c r="C110" s="152" t="s">
        <v>1669</v>
      </c>
      <c r="D110" s="152"/>
      <c r="E110" s="152" t="s">
        <v>1670</v>
      </c>
      <c r="F110" s="152" t="s">
        <v>24</v>
      </c>
      <c r="G110" s="152">
        <v>5</v>
      </c>
      <c r="H110" s="152" t="s">
        <v>52</v>
      </c>
      <c r="I110" s="152" t="s">
        <v>37</v>
      </c>
      <c r="J110" s="152" t="s">
        <v>602</v>
      </c>
      <c r="K110" s="152" t="s">
        <v>922</v>
      </c>
      <c r="L110" s="152" t="s">
        <v>45</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5" customHeight="1" x14ac:dyDescent="0.35">
      <c r="A111" s="152">
        <v>114</v>
      </c>
      <c r="B111" s="152" t="s">
        <v>1684</v>
      </c>
      <c r="C111" s="152" t="s">
        <v>1491</v>
      </c>
      <c r="D111" s="152" t="s">
        <v>1685</v>
      </c>
      <c r="E111" s="152" t="s">
        <v>1686</v>
      </c>
      <c r="F111" s="152" t="s">
        <v>24</v>
      </c>
      <c r="G111" s="152">
        <v>5</v>
      </c>
      <c r="H111" s="152" t="s">
        <v>54</v>
      </c>
      <c r="I111" s="152" t="s">
        <v>39</v>
      </c>
      <c r="J111" s="152" t="s">
        <v>1687</v>
      </c>
      <c r="K111" s="152" t="s">
        <v>1687</v>
      </c>
      <c r="L111" s="152" t="s">
        <v>39</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5" customHeight="1" x14ac:dyDescent="0.35">
      <c r="A112" s="152">
        <v>115</v>
      </c>
      <c r="B112" s="152" t="s">
        <v>1697</v>
      </c>
      <c r="C112" s="152" t="s">
        <v>1698</v>
      </c>
      <c r="D112" s="152"/>
      <c r="E112" s="152" t="s">
        <v>1699</v>
      </c>
      <c r="F112" s="152" t="s">
        <v>25</v>
      </c>
      <c r="G112" s="152">
        <v>5</v>
      </c>
      <c r="H112" s="152" t="s">
        <v>53</v>
      </c>
      <c r="I112" s="152" t="s">
        <v>46</v>
      </c>
      <c r="J112" s="152" t="s">
        <v>1700</v>
      </c>
      <c r="K112" s="152" t="s">
        <v>602</v>
      </c>
      <c r="L112" s="152" t="s">
        <v>44</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5" customHeight="1" x14ac:dyDescent="0.35">
      <c r="A113" s="152">
        <v>116</v>
      </c>
      <c r="B113" s="152" t="s">
        <v>1710</v>
      </c>
      <c r="C113" s="152" t="s">
        <v>1711</v>
      </c>
      <c r="D113" s="152" t="s">
        <v>1712</v>
      </c>
      <c r="E113" s="152" t="s">
        <v>1713</v>
      </c>
      <c r="F113" s="152" t="s">
        <v>24</v>
      </c>
      <c r="G113" s="152">
        <v>5</v>
      </c>
      <c r="H113" s="152" t="s">
        <v>53</v>
      </c>
      <c r="I113" s="152" t="s">
        <v>46</v>
      </c>
      <c r="J113" s="152" t="s">
        <v>1714</v>
      </c>
      <c r="K113" s="152" t="s">
        <v>602</v>
      </c>
      <c r="L113" s="152" t="s">
        <v>44</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5" customHeight="1" x14ac:dyDescent="0.35">
      <c r="A114" s="91">
        <v>117</v>
      </c>
      <c r="B114" s="91" t="s">
        <v>1724</v>
      </c>
      <c r="C114" s="91" t="s">
        <v>1725</v>
      </c>
      <c r="D114" s="91" t="s">
        <v>1726</v>
      </c>
      <c r="E114" s="91" t="s">
        <v>1727</v>
      </c>
      <c r="F114" s="91" t="s">
        <v>24</v>
      </c>
      <c r="G114" s="91">
        <v>5</v>
      </c>
      <c r="H114" s="91" t="s">
        <v>58</v>
      </c>
      <c r="I114" s="91" t="s">
        <v>45</v>
      </c>
      <c r="J114" s="91" t="s">
        <v>1728</v>
      </c>
      <c r="K114" s="91" t="s">
        <v>868</v>
      </c>
      <c r="L114" s="91" t="s">
        <v>45</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5" customHeight="1" x14ac:dyDescent="0.35">
      <c r="A115" s="152">
        <v>118</v>
      </c>
      <c r="B115" s="152" t="s">
        <v>1740</v>
      </c>
      <c r="C115" s="152" t="s">
        <v>1741</v>
      </c>
      <c r="D115" s="152" t="s">
        <v>1742</v>
      </c>
      <c r="E115" s="152" t="s">
        <v>1743</v>
      </c>
      <c r="F115" s="152" t="s">
        <v>25</v>
      </c>
      <c r="G115" s="152">
        <v>5</v>
      </c>
      <c r="H115" s="152" t="s">
        <v>54</v>
      </c>
      <c r="I115" s="152" t="s">
        <v>31</v>
      </c>
      <c r="J115" s="152" t="s">
        <v>1744</v>
      </c>
      <c r="K115" s="152" t="s">
        <v>1745</v>
      </c>
      <c r="L115" s="152" t="s">
        <v>31</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5" customHeight="1" x14ac:dyDescent="0.35">
      <c r="A116" s="91">
        <v>119</v>
      </c>
      <c r="B116" s="91" t="s">
        <v>1755</v>
      </c>
      <c r="C116" s="91" t="s">
        <v>1756</v>
      </c>
      <c r="D116" s="91" t="s">
        <v>1572</v>
      </c>
      <c r="E116" s="91" t="s">
        <v>1757</v>
      </c>
      <c r="F116" s="91" t="s">
        <v>25</v>
      </c>
      <c r="G116" s="91">
        <v>5</v>
      </c>
      <c r="H116" s="91" t="s">
        <v>60</v>
      </c>
      <c r="I116" s="91" t="s">
        <v>35</v>
      </c>
      <c r="J116" s="91" t="s">
        <v>1099</v>
      </c>
      <c r="K116" s="91" t="s">
        <v>1758</v>
      </c>
      <c r="L116" s="91" t="s">
        <v>35</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5" customHeight="1" x14ac:dyDescent="0.35">
      <c r="A117" s="91">
        <v>120</v>
      </c>
      <c r="B117" s="91" t="s">
        <v>1766</v>
      </c>
      <c r="C117" s="91" t="s">
        <v>1767</v>
      </c>
      <c r="D117" s="91"/>
      <c r="E117" s="91" t="s">
        <v>1768</v>
      </c>
      <c r="F117" s="91" t="s">
        <v>25</v>
      </c>
      <c r="G117" s="91">
        <v>5</v>
      </c>
      <c r="H117" s="91" t="s">
        <v>53</v>
      </c>
      <c r="I117" s="91" t="s">
        <v>46</v>
      </c>
      <c r="J117" s="91"/>
      <c r="K117" s="91"/>
      <c r="L117" s="91" t="s">
        <v>44</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5" customHeight="1" x14ac:dyDescent="0.35">
      <c r="A118" s="91">
        <v>121</v>
      </c>
      <c r="B118" s="91" t="s">
        <v>1769</v>
      </c>
      <c r="C118" s="91" t="s">
        <v>1770</v>
      </c>
      <c r="D118" s="91" t="s">
        <v>1771</v>
      </c>
      <c r="E118" s="91" t="s">
        <v>1772</v>
      </c>
      <c r="F118" s="91" t="s">
        <v>25</v>
      </c>
      <c r="G118" s="91">
        <v>5</v>
      </c>
      <c r="H118" s="91" t="s">
        <v>59</v>
      </c>
      <c r="I118" s="91" t="s">
        <v>41</v>
      </c>
      <c r="J118" s="91"/>
      <c r="K118" s="91"/>
      <c r="L118" s="91" t="s">
        <v>41</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5" customHeight="1" x14ac:dyDescent="0.35">
      <c r="A119" s="91">
        <v>122</v>
      </c>
      <c r="B119" s="91" t="s">
        <v>1773</v>
      </c>
      <c r="C119" s="91" t="s">
        <v>1774</v>
      </c>
      <c r="D119" s="91" t="s">
        <v>1775</v>
      </c>
      <c r="E119" s="91" t="s">
        <v>1776</v>
      </c>
      <c r="F119" s="91" t="s">
        <v>24</v>
      </c>
      <c r="G119" s="91">
        <v>5</v>
      </c>
      <c r="H119" s="91" t="s">
        <v>52</v>
      </c>
      <c r="I119" s="91" t="s">
        <v>42</v>
      </c>
      <c r="J119" s="91"/>
      <c r="K119" s="91"/>
      <c r="L119" s="91" t="s">
        <v>42</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5" customHeight="1" x14ac:dyDescent="0.35">
      <c r="A120" s="165">
        <v>123</v>
      </c>
      <c r="B120" s="165" t="s">
        <v>1777</v>
      </c>
      <c r="C120" s="165" t="s">
        <v>1778</v>
      </c>
      <c r="D120" s="165" t="s">
        <v>1779</v>
      </c>
      <c r="E120" s="165" t="s">
        <v>1780</v>
      </c>
      <c r="F120" s="165" t="s">
        <v>24</v>
      </c>
      <c r="G120" s="165">
        <v>6</v>
      </c>
      <c r="H120" s="165" t="s">
        <v>52</v>
      </c>
      <c r="I120" s="165" t="s">
        <v>38</v>
      </c>
      <c r="J120" s="165" t="s">
        <v>602</v>
      </c>
      <c r="K120" s="165" t="s">
        <v>1781</v>
      </c>
      <c r="L120" s="165" t="s">
        <v>45</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38</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5" customHeight="1" x14ac:dyDescent="0.35">
      <c r="A121" s="165">
        <v>124</v>
      </c>
      <c r="B121" s="165" t="s">
        <v>1790</v>
      </c>
      <c r="C121" s="165" t="s">
        <v>1791</v>
      </c>
      <c r="D121" s="165" t="s">
        <v>1792</v>
      </c>
      <c r="E121" s="165" t="s">
        <v>1793</v>
      </c>
      <c r="F121" s="165" t="s">
        <v>24</v>
      </c>
      <c r="G121" s="165">
        <v>6</v>
      </c>
      <c r="H121" s="165" t="s">
        <v>52</v>
      </c>
      <c r="I121" s="165" t="s">
        <v>42</v>
      </c>
      <c r="J121" s="165" t="s">
        <v>1794</v>
      </c>
      <c r="K121" s="165" t="s">
        <v>1795</v>
      </c>
      <c r="L121" s="165" t="s">
        <v>42</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5" customHeight="1" x14ac:dyDescent="0.35">
      <c r="A122" s="165">
        <v>125</v>
      </c>
      <c r="B122" s="165" t="s">
        <v>1807</v>
      </c>
      <c r="C122" s="165" t="s">
        <v>1808</v>
      </c>
      <c r="D122" s="165" t="s">
        <v>1809</v>
      </c>
      <c r="E122" s="165" t="s">
        <v>1810</v>
      </c>
      <c r="F122" s="165" t="s">
        <v>24</v>
      </c>
      <c r="G122" s="165">
        <v>6</v>
      </c>
      <c r="H122" s="165" t="s">
        <v>53</v>
      </c>
      <c r="I122" s="165" t="s">
        <v>46</v>
      </c>
      <c r="J122" s="165" t="s">
        <v>1421</v>
      </c>
      <c r="K122" s="165" t="s">
        <v>1811</v>
      </c>
      <c r="L122" s="165" t="s">
        <v>44</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5" customHeight="1" x14ac:dyDescent="0.35">
      <c r="A123" s="165">
        <v>126</v>
      </c>
      <c r="B123" s="165" t="s">
        <v>1823</v>
      </c>
      <c r="C123" s="165" t="s">
        <v>1824</v>
      </c>
      <c r="D123" s="165" t="s">
        <v>1825</v>
      </c>
      <c r="E123" s="165" t="s">
        <v>1826</v>
      </c>
      <c r="F123" s="165" t="s">
        <v>24</v>
      </c>
      <c r="G123" s="165">
        <v>6</v>
      </c>
      <c r="H123" s="165" t="s">
        <v>54</v>
      </c>
      <c r="I123" s="165" t="s">
        <v>45</v>
      </c>
      <c r="J123" s="165" t="s">
        <v>363</v>
      </c>
      <c r="K123" s="165" t="s">
        <v>1827</v>
      </c>
      <c r="L123" s="165" t="s">
        <v>45</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5" customHeight="1" x14ac:dyDescent="0.35">
      <c r="A124" s="165">
        <v>127</v>
      </c>
      <c r="B124" s="165" t="s">
        <v>1839</v>
      </c>
      <c r="C124" s="165" t="s">
        <v>1840</v>
      </c>
      <c r="D124" s="165"/>
      <c r="E124" s="165" t="s">
        <v>1841</v>
      </c>
      <c r="F124" s="165" t="s">
        <v>25</v>
      </c>
      <c r="G124" s="165">
        <v>6</v>
      </c>
      <c r="H124" s="165" t="s">
        <v>55</v>
      </c>
      <c r="I124" s="165" t="s">
        <v>43</v>
      </c>
      <c r="J124" s="165" t="s">
        <v>602</v>
      </c>
      <c r="K124" s="165" t="s">
        <v>290</v>
      </c>
      <c r="L124" s="165" t="s">
        <v>45</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5" customHeight="1" x14ac:dyDescent="0.35">
      <c r="A125" s="165">
        <v>128</v>
      </c>
      <c r="B125" s="165" t="s">
        <v>1850</v>
      </c>
      <c r="C125" s="165" t="s">
        <v>1851</v>
      </c>
      <c r="D125" s="165"/>
      <c r="E125" s="165" t="s">
        <v>1852</v>
      </c>
      <c r="F125" s="165" t="s">
        <v>25</v>
      </c>
      <c r="G125" s="165">
        <v>6</v>
      </c>
      <c r="H125" s="165" t="s">
        <v>54</v>
      </c>
      <c r="I125" s="165" t="s">
        <v>31</v>
      </c>
      <c r="J125" s="165" t="s">
        <v>1071</v>
      </c>
      <c r="K125" s="165" t="s">
        <v>560</v>
      </c>
      <c r="L125" s="165" t="s">
        <v>31</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5" customHeight="1" x14ac:dyDescent="0.35">
      <c r="A126" s="165">
        <v>129</v>
      </c>
      <c r="B126" s="165" t="s">
        <v>1863</v>
      </c>
      <c r="C126" s="165" t="s">
        <v>1864</v>
      </c>
      <c r="D126" s="165" t="s">
        <v>1865</v>
      </c>
      <c r="E126" s="165" t="s">
        <v>1866</v>
      </c>
      <c r="F126" s="165" t="s">
        <v>24</v>
      </c>
      <c r="G126" s="165">
        <v>6</v>
      </c>
      <c r="H126" s="165" t="s">
        <v>58</v>
      </c>
      <c r="I126" s="165" t="s">
        <v>45</v>
      </c>
      <c r="J126" s="165" t="s">
        <v>1867</v>
      </c>
      <c r="K126" s="165" t="s">
        <v>1868</v>
      </c>
      <c r="L126" s="165" t="s">
        <v>45</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5" customHeight="1" x14ac:dyDescent="0.35">
      <c r="A127" s="165">
        <v>130</v>
      </c>
      <c r="B127" s="165" t="s">
        <v>1879</v>
      </c>
      <c r="C127" s="165" t="s">
        <v>1880</v>
      </c>
      <c r="D127" s="165"/>
      <c r="E127" s="165" t="s">
        <v>1881</v>
      </c>
      <c r="F127" s="165" t="s">
        <v>25</v>
      </c>
      <c r="G127" s="165">
        <v>6</v>
      </c>
      <c r="H127" s="165" t="s">
        <v>60</v>
      </c>
      <c r="I127" s="165" t="s">
        <v>35</v>
      </c>
      <c r="J127" s="165" t="s">
        <v>1882</v>
      </c>
      <c r="K127" s="165" t="s">
        <v>1883</v>
      </c>
      <c r="L127" s="165" t="s">
        <v>35</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5" customHeight="1" x14ac:dyDescent="0.35">
      <c r="A128" s="165">
        <v>131</v>
      </c>
      <c r="B128" s="165" t="s">
        <v>1898</v>
      </c>
      <c r="C128" s="165" t="s">
        <v>619</v>
      </c>
      <c r="D128" s="165" t="s">
        <v>1899</v>
      </c>
      <c r="E128" s="165" t="s">
        <v>1900</v>
      </c>
      <c r="F128" s="165" t="s">
        <v>25</v>
      </c>
      <c r="G128" s="165">
        <v>6</v>
      </c>
      <c r="H128" s="165" t="s">
        <v>54</v>
      </c>
      <c r="I128" s="165" t="s">
        <v>39</v>
      </c>
      <c r="J128" s="165" t="s">
        <v>1901</v>
      </c>
      <c r="K128" s="165" t="s">
        <v>1901</v>
      </c>
      <c r="L128" s="165" t="s">
        <v>39</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5" customHeight="1" x14ac:dyDescent="0.35">
      <c r="A129" s="165">
        <v>132</v>
      </c>
      <c r="B129" s="165" t="s">
        <v>1913</v>
      </c>
      <c r="C129" s="165" t="s">
        <v>1914</v>
      </c>
      <c r="D129" s="165"/>
      <c r="E129" s="165" t="s">
        <v>1915</v>
      </c>
      <c r="F129" s="165" t="s">
        <v>25</v>
      </c>
      <c r="G129" s="165">
        <v>6</v>
      </c>
      <c r="H129" s="165" t="s">
        <v>53</v>
      </c>
      <c r="I129" s="165" t="s">
        <v>46</v>
      </c>
      <c r="J129" s="165" t="s">
        <v>1916</v>
      </c>
      <c r="K129" s="165" t="s">
        <v>1917</v>
      </c>
      <c r="L129" s="165" t="s">
        <v>45</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5" customHeight="1" x14ac:dyDescent="0.35">
      <c r="A130" s="165">
        <v>133</v>
      </c>
      <c r="B130" s="165" t="s">
        <v>1928</v>
      </c>
      <c r="C130" s="165" t="s">
        <v>1929</v>
      </c>
      <c r="D130" s="165" t="s">
        <v>1930</v>
      </c>
      <c r="E130" s="165" t="s">
        <v>1931</v>
      </c>
      <c r="F130" s="165" t="s">
        <v>24</v>
      </c>
      <c r="G130" s="165">
        <v>6</v>
      </c>
      <c r="H130" s="165" t="s">
        <v>60</v>
      </c>
      <c r="I130" s="165" t="s">
        <v>35</v>
      </c>
      <c r="J130" s="165" t="s">
        <v>1209</v>
      </c>
      <c r="K130" s="165" t="s">
        <v>1932</v>
      </c>
      <c r="L130" s="165" t="s">
        <v>35</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5" customHeight="1" x14ac:dyDescent="0.35">
      <c r="A131" s="165">
        <v>134</v>
      </c>
      <c r="B131" s="165" t="s">
        <v>1944</v>
      </c>
      <c r="C131" s="165" t="s">
        <v>1945</v>
      </c>
      <c r="D131" s="165" t="s">
        <v>1946</v>
      </c>
      <c r="E131" s="165" t="s">
        <v>1947</v>
      </c>
      <c r="F131" s="165" t="s">
        <v>25</v>
      </c>
      <c r="G131" s="165">
        <v>6</v>
      </c>
      <c r="H131" s="165" t="s">
        <v>54</v>
      </c>
      <c r="I131" s="165" t="s">
        <v>31</v>
      </c>
      <c r="J131" s="165" t="s">
        <v>936</v>
      </c>
      <c r="K131" s="165" t="s">
        <v>936</v>
      </c>
      <c r="L131" s="165" t="s">
        <v>31</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5" customHeight="1" x14ac:dyDescent="0.35">
      <c r="A132" s="165">
        <v>135</v>
      </c>
      <c r="B132" s="165" t="s">
        <v>1958</v>
      </c>
      <c r="C132" s="165" t="s">
        <v>270</v>
      </c>
      <c r="D132" s="165" t="s">
        <v>1959</v>
      </c>
      <c r="E132" s="165" t="s">
        <v>1960</v>
      </c>
      <c r="F132" s="165" t="s">
        <v>25</v>
      </c>
      <c r="G132" s="165">
        <v>6</v>
      </c>
      <c r="H132" s="165" t="s">
        <v>54</v>
      </c>
      <c r="I132" s="165" t="s">
        <v>39</v>
      </c>
      <c r="J132" s="165" t="s">
        <v>1961</v>
      </c>
      <c r="K132" s="165" t="s">
        <v>1961</v>
      </c>
      <c r="L132" s="165" t="s">
        <v>39</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5" customHeight="1" x14ac:dyDescent="0.35">
      <c r="A133" s="165">
        <v>136</v>
      </c>
      <c r="B133" s="165" t="s">
        <v>1972</v>
      </c>
      <c r="C133" s="165" t="s">
        <v>1973</v>
      </c>
      <c r="D133" s="165" t="s">
        <v>1343</v>
      </c>
      <c r="E133" s="165" t="s">
        <v>1974</v>
      </c>
      <c r="F133" s="165" t="s">
        <v>25</v>
      </c>
      <c r="G133" s="165">
        <v>6</v>
      </c>
      <c r="H133" s="165" t="s">
        <v>53</v>
      </c>
      <c r="I133" s="165" t="s">
        <v>46</v>
      </c>
      <c r="J133" s="165" t="s">
        <v>1975</v>
      </c>
      <c r="K133" s="165" t="s">
        <v>1744</v>
      </c>
      <c r="L133" s="165" t="s">
        <v>44</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5" customHeight="1" x14ac:dyDescent="0.35">
      <c r="A134" s="165">
        <v>137</v>
      </c>
      <c r="B134" s="165" t="s">
        <v>1986</v>
      </c>
      <c r="C134" s="165" t="s">
        <v>1987</v>
      </c>
      <c r="D134" s="165"/>
      <c r="E134" s="165" t="s">
        <v>1988</v>
      </c>
      <c r="F134" s="165" t="s">
        <v>25</v>
      </c>
      <c r="G134" s="165">
        <v>6</v>
      </c>
      <c r="H134" s="165" t="s">
        <v>54</v>
      </c>
      <c r="I134" s="165" t="s">
        <v>31</v>
      </c>
      <c r="J134" s="165" t="s">
        <v>1744</v>
      </c>
      <c r="K134" s="165" t="s">
        <v>1745</v>
      </c>
      <c r="L134" s="165" t="s">
        <v>31</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5" customHeight="1" x14ac:dyDescent="0.35">
      <c r="A135" s="165">
        <v>138</v>
      </c>
      <c r="B135" s="165" t="s">
        <v>1997</v>
      </c>
      <c r="C135" s="165" t="s">
        <v>1998</v>
      </c>
      <c r="D135" s="165" t="s">
        <v>1999</v>
      </c>
      <c r="E135" s="165" t="s">
        <v>2000</v>
      </c>
      <c r="F135" s="165" t="s">
        <v>24</v>
      </c>
      <c r="G135" s="165">
        <v>6</v>
      </c>
      <c r="H135" s="165" t="s">
        <v>54</v>
      </c>
      <c r="I135" s="165" t="s">
        <v>39</v>
      </c>
      <c r="J135" s="165" t="s">
        <v>602</v>
      </c>
      <c r="K135" s="165" t="s">
        <v>290</v>
      </c>
      <c r="L135" s="165" t="s">
        <v>39</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5" customHeight="1" x14ac:dyDescent="0.35">
      <c r="A136" s="165">
        <v>139</v>
      </c>
      <c r="B136" s="165" t="s">
        <v>2010</v>
      </c>
      <c r="C136" s="165" t="s">
        <v>2011</v>
      </c>
      <c r="D136" s="165"/>
      <c r="E136" s="165" t="s">
        <v>2012</v>
      </c>
      <c r="F136" s="165" t="s">
        <v>24</v>
      </c>
      <c r="G136" s="165">
        <v>6</v>
      </c>
      <c r="H136" s="165" t="s">
        <v>55</v>
      </c>
      <c r="I136" s="165" t="s">
        <v>43</v>
      </c>
      <c r="J136" s="165" t="s">
        <v>2013</v>
      </c>
      <c r="K136" s="165" t="s">
        <v>2014</v>
      </c>
      <c r="L136" s="165" t="s">
        <v>45</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5" customHeight="1" x14ac:dyDescent="0.35">
      <c r="A137" s="165">
        <v>140</v>
      </c>
      <c r="B137" s="165" t="s">
        <v>2025</v>
      </c>
      <c r="C137" s="165" t="s">
        <v>629</v>
      </c>
      <c r="D137" s="165" t="s">
        <v>2026</v>
      </c>
      <c r="E137" s="165" t="s">
        <v>2027</v>
      </c>
      <c r="F137" s="165" t="s">
        <v>24</v>
      </c>
      <c r="G137" s="165">
        <v>6</v>
      </c>
      <c r="H137" s="165" t="s">
        <v>52</v>
      </c>
      <c r="I137" s="165" t="s">
        <v>42</v>
      </c>
      <c r="J137" s="165" t="s">
        <v>2028</v>
      </c>
      <c r="K137" s="165" t="s">
        <v>2029</v>
      </c>
      <c r="L137" s="165" t="s">
        <v>42</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5" customHeight="1" x14ac:dyDescent="0.35">
      <c r="A138" s="165">
        <v>141</v>
      </c>
      <c r="B138" s="165" t="s">
        <v>2040</v>
      </c>
      <c r="C138" s="165" t="s">
        <v>2041</v>
      </c>
      <c r="D138" s="165" t="s">
        <v>2042</v>
      </c>
      <c r="E138" s="165" t="s">
        <v>2043</v>
      </c>
      <c r="F138" s="165" t="s">
        <v>24</v>
      </c>
      <c r="G138" s="165">
        <v>6</v>
      </c>
      <c r="H138" s="165" t="s">
        <v>58</v>
      </c>
      <c r="I138" s="165" t="s">
        <v>45</v>
      </c>
      <c r="J138" s="165" t="s">
        <v>2044</v>
      </c>
      <c r="K138" s="165" t="s">
        <v>2045</v>
      </c>
      <c r="L138" s="165" t="s">
        <v>45</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5" customHeight="1" x14ac:dyDescent="0.35">
      <c r="A139" s="165">
        <v>142</v>
      </c>
      <c r="B139" s="165" t="s">
        <v>2057</v>
      </c>
      <c r="C139" s="165" t="s">
        <v>2058</v>
      </c>
      <c r="D139" s="165" t="s">
        <v>2059</v>
      </c>
      <c r="E139" s="165" t="s">
        <v>2060</v>
      </c>
      <c r="F139" s="165" t="s">
        <v>24</v>
      </c>
      <c r="G139" s="165">
        <v>6</v>
      </c>
      <c r="H139" s="165" t="s">
        <v>54</v>
      </c>
      <c r="I139" s="165" t="s">
        <v>39</v>
      </c>
      <c r="J139" s="165" t="s">
        <v>1421</v>
      </c>
      <c r="K139" s="165" t="s">
        <v>1492</v>
      </c>
      <c r="L139" s="165" t="s">
        <v>39</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5" customHeight="1" x14ac:dyDescent="0.35">
      <c r="A140" s="165">
        <v>143</v>
      </c>
      <c r="B140" s="165" t="s">
        <v>2071</v>
      </c>
      <c r="C140" s="165" t="s">
        <v>2072</v>
      </c>
      <c r="D140" s="165" t="s">
        <v>2073</v>
      </c>
      <c r="E140" s="165" t="s">
        <v>2074</v>
      </c>
      <c r="F140" s="165" t="s">
        <v>24</v>
      </c>
      <c r="G140" s="165">
        <v>6</v>
      </c>
      <c r="H140" s="165" t="s">
        <v>52</v>
      </c>
      <c r="I140" s="165" t="s">
        <v>42</v>
      </c>
      <c r="J140" s="165" t="s">
        <v>2075</v>
      </c>
      <c r="K140" s="165" t="s">
        <v>2076</v>
      </c>
      <c r="L140" s="165" t="s">
        <v>42</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5" customHeight="1" x14ac:dyDescent="0.35">
      <c r="A141" s="165">
        <v>144</v>
      </c>
      <c r="B141" s="165" t="s">
        <v>2091</v>
      </c>
      <c r="C141" s="165" t="s">
        <v>2092</v>
      </c>
      <c r="D141" s="165" t="s">
        <v>2093</v>
      </c>
      <c r="E141" s="165" t="s">
        <v>2094</v>
      </c>
      <c r="F141" s="165" t="s">
        <v>24</v>
      </c>
      <c r="G141" s="165">
        <v>6</v>
      </c>
      <c r="H141" s="165" t="s">
        <v>54</v>
      </c>
      <c r="I141" s="165" t="s">
        <v>31</v>
      </c>
      <c r="J141" s="165" t="s">
        <v>602</v>
      </c>
      <c r="K141" s="165"/>
      <c r="L141" s="165" t="s">
        <v>45</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5" customHeight="1" x14ac:dyDescent="0.35">
      <c r="A142" s="165">
        <v>145</v>
      </c>
      <c r="B142" s="165" t="s">
        <v>2103</v>
      </c>
      <c r="C142" s="165" t="s">
        <v>2104</v>
      </c>
      <c r="D142" s="165" t="s">
        <v>2105</v>
      </c>
      <c r="E142" s="165" t="s">
        <v>2106</v>
      </c>
      <c r="F142" s="165" t="s">
        <v>24</v>
      </c>
      <c r="G142" s="165">
        <v>6</v>
      </c>
      <c r="H142" s="165" t="s">
        <v>58</v>
      </c>
      <c r="I142" s="165" t="s">
        <v>45</v>
      </c>
      <c r="J142" s="165" t="s">
        <v>2107</v>
      </c>
      <c r="K142" s="165" t="s">
        <v>602</v>
      </c>
      <c r="L142" s="165" t="s">
        <v>45</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5" customHeight="1" x14ac:dyDescent="0.35">
      <c r="A143" s="165">
        <v>146</v>
      </c>
      <c r="B143" s="165" t="s">
        <v>2119</v>
      </c>
      <c r="C143" s="165" t="s">
        <v>2120</v>
      </c>
      <c r="D143" s="165" t="s">
        <v>2121</v>
      </c>
      <c r="E143" s="165" t="s">
        <v>2122</v>
      </c>
      <c r="F143" s="165" t="s">
        <v>24</v>
      </c>
      <c r="G143" s="165">
        <v>6</v>
      </c>
      <c r="H143" s="165" t="s">
        <v>59</v>
      </c>
      <c r="I143" s="165" t="s">
        <v>40</v>
      </c>
      <c r="J143" s="165" t="s">
        <v>2123</v>
      </c>
      <c r="K143" s="165" t="s">
        <v>2124</v>
      </c>
      <c r="L143" s="165" t="s">
        <v>41</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5" customHeight="1" x14ac:dyDescent="0.35">
      <c r="A144" s="91">
        <v>147</v>
      </c>
      <c r="B144" s="91" t="s">
        <v>2135</v>
      </c>
      <c r="C144" s="91" t="s">
        <v>2136</v>
      </c>
      <c r="D144" s="91" t="s">
        <v>2137</v>
      </c>
      <c r="E144" s="91" t="s">
        <v>2138</v>
      </c>
      <c r="F144" s="91" t="s">
        <v>25</v>
      </c>
      <c r="G144" s="91">
        <v>6</v>
      </c>
      <c r="H144" s="91" t="s">
        <v>52</v>
      </c>
      <c r="I144" s="91" t="s">
        <v>37</v>
      </c>
      <c r="J144" s="91" t="s">
        <v>2139</v>
      </c>
      <c r="K144" s="91" t="s">
        <v>2140</v>
      </c>
      <c r="L144" s="91" t="s">
        <v>45</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5" customHeight="1" x14ac:dyDescent="0.35">
      <c r="A145" s="178">
        <v>148</v>
      </c>
      <c r="B145" s="178" t="s">
        <v>2144</v>
      </c>
      <c r="C145" s="178" t="s">
        <v>2145</v>
      </c>
      <c r="D145" s="178" t="s">
        <v>2146</v>
      </c>
      <c r="E145" s="178" t="s">
        <v>2147</v>
      </c>
      <c r="F145" s="178" t="s">
        <v>24</v>
      </c>
      <c r="G145" s="178">
        <v>7</v>
      </c>
      <c r="H145" s="178" t="s">
        <v>58</v>
      </c>
      <c r="I145" s="178" t="s">
        <v>45</v>
      </c>
      <c r="J145" s="178" t="s">
        <v>2148</v>
      </c>
      <c r="K145" s="178" t="s">
        <v>1781</v>
      </c>
      <c r="L145" s="178" t="s">
        <v>45</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5" customHeight="1" x14ac:dyDescent="0.35">
      <c r="A146" s="178">
        <v>149</v>
      </c>
      <c r="B146" s="178" t="s">
        <v>2160</v>
      </c>
      <c r="C146" s="178" t="s">
        <v>2161</v>
      </c>
      <c r="D146" s="178" t="s">
        <v>20</v>
      </c>
      <c r="E146" s="178" t="s">
        <v>2162</v>
      </c>
      <c r="F146" s="178" t="s">
        <v>25</v>
      </c>
      <c r="G146" s="178">
        <v>7</v>
      </c>
      <c r="H146" s="178" t="s">
        <v>60</v>
      </c>
      <c r="I146" s="178" t="s">
        <v>35</v>
      </c>
      <c r="J146" s="178" t="s">
        <v>936</v>
      </c>
      <c r="K146" s="178" t="s">
        <v>2163</v>
      </c>
      <c r="L146" s="178" t="s">
        <v>45</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5" customHeight="1" x14ac:dyDescent="0.35">
      <c r="A147" s="178">
        <v>150</v>
      </c>
      <c r="B147" s="178" t="s">
        <v>2175</v>
      </c>
      <c r="C147" s="178" t="s">
        <v>2176</v>
      </c>
      <c r="D147" s="178" t="s">
        <v>2177</v>
      </c>
      <c r="E147" s="178" t="s">
        <v>2178</v>
      </c>
      <c r="F147" s="178" t="s">
        <v>24</v>
      </c>
      <c r="G147" s="178">
        <v>7</v>
      </c>
      <c r="H147" s="178" t="s">
        <v>54</v>
      </c>
      <c r="I147" s="178" t="s">
        <v>39</v>
      </c>
      <c r="J147" s="178" t="s">
        <v>1421</v>
      </c>
      <c r="K147" s="178" t="s">
        <v>2179</v>
      </c>
      <c r="L147" s="178" t="s">
        <v>39</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5" customHeight="1" x14ac:dyDescent="0.35">
      <c r="A148" s="178">
        <v>151</v>
      </c>
      <c r="B148" s="178" t="s">
        <v>2190</v>
      </c>
      <c r="C148" s="178" t="s">
        <v>2191</v>
      </c>
      <c r="D148" s="178" t="s">
        <v>2192</v>
      </c>
      <c r="E148" s="178" t="s">
        <v>2193</v>
      </c>
      <c r="F148" s="178" t="s">
        <v>24</v>
      </c>
      <c r="G148" s="178">
        <v>7</v>
      </c>
      <c r="H148" s="178" t="s">
        <v>53</v>
      </c>
      <c r="I148" s="178" t="s">
        <v>46</v>
      </c>
      <c r="J148" s="178" t="s">
        <v>2194</v>
      </c>
      <c r="K148" s="178" t="s">
        <v>2140</v>
      </c>
      <c r="L148" s="178" t="s">
        <v>45</v>
      </c>
      <c r="M148" s="178" t="s">
        <v>163</v>
      </c>
      <c r="N148" s="178">
        <v>1487823</v>
      </c>
      <c r="O148" s="178" t="s">
        <v>151</v>
      </c>
      <c r="P148" s="178" t="s">
        <v>151</v>
      </c>
      <c r="Q148" s="178" t="s">
        <v>151</v>
      </c>
      <c r="R148" s="178"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5" customHeight="1" x14ac:dyDescent="0.35">
      <c r="A149" s="178">
        <v>152</v>
      </c>
      <c r="B149" s="178" t="s">
        <v>2206</v>
      </c>
      <c r="C149" s="178" t="s">
        <v>1475</v>
      </c>
      <c r="D149" s="178"/>
      <c r="E149" s="178" t="s">
        <v>2207</v>
      </c>
      <c r="F149" s="178" t="s">
        <v>25</v>
      </c>
      <c r="G149" s="178">
        <v>7</v>
      </c>
      <c r="H149" s="178" t="s">
        <v>55</v>
      </c>
      <c r="I149" s="178" t="s">
        <v>43</v>
      </c>
      <c r="J149" s="178" t="s">
        <v>224</v>
      </c>
      <c r="K149" s="178" t="s">
        <v>2208</v>
      </c>
      <c r="L149" s="178" t="s">
        <v>35</v>
      </c>
      <c r="M149" s="178" t="s">
        <v>163</v>
      </c>
      <c r="N149" s="178"/>
      <c r="O149" s="178" t="s">
        <v>151</v>
      </c>
      <c r="P149" s="178" t="s">
        <v>151</v>
      </c>
      <c r="Q149" s="178"/>
      <c r="R149" s="178"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5" customHeight="1" x14ac:dyDescent="0.35">
      <c r="A150" s="178">
        <v>153</v>
      </c>
      <c r="B150" s="178" t="s">
        <v>2220</v>
      </c>
      <c r="C150" s="178" t="s">
        <v>2221</v>
      </c>
      <c r="D150" s="178" t="s">
        <v>2222</v>
      </c>
      <c r="E150" s="178" t="s">
        <v>2223</v>
      </c>
      <c r="F150" s="178" t="s">
        <v>24</v>
      </c>
      <c r="G150" s="178">
        <v>7</v>
      </c>
      <c r="H150" s="178" t="s">
        <v>52</v>
      </c>
      <c r="I150" s="178" t="s">
        <v>42</v>
      </c>
      <c r="J150" s="178" t="s">
        <v>2224</v>
      </c>
      <c r="K150" s="178" t="s">
        <v>2225</v>
      </c>
      <c r="L150" s="178" t="s">
        <v>42</v>
      </c>
      <c r="M150" s="178" t="s">
        <v>150</v>
      </c>
      <c r="N150" s="178">
        <v>10127492016</v>
      </c>
      <c r="O150" s="178" t="s">
        <v>151</v>
      </c>
      <c r="P150" s="178" t="s">
        <v>151</v>
      </c>
      <c r="Q150" s="178" t="s">
        <v>151</v>
      </c>
      <c r="R150" s="178" t="s">
        <v>2226</v>
      </c>
      <c r="S150" s="178"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5" customHeight="1" x14ac:dyDescent="0.35">
      <c r="A151" s="178">
        <v>154</v>
      </c>
      <c r="B151" s="178" t="s">
        <v>2238</v>
      </c>
      <c r="C151" s="178" t="s">
        <v>1851</v>
      </c>
      <c r="D151" s="178" t="s">
        <v>2239</v>
      </c>
      <c r="E151" s="178" t="s">
        <v>2240</v>
      </c>
      <c r="F151" s="178" t="s">
        <v>24</v>
      </c>
      <c r="G151" s="178">
        <v>7</v>
      </c>
      <c r="H151" s="178" t="s">
        <v>54</v>
      </c>
      <c r="I151" s="178" t="s">
        <v>31</v>
      </c>
      <c r="J151" s="178" t="s">
        <v>602</v>
      </c>
      <c r="K151" s="178" t="s">
        <v>2241</v>
      </c>
      <c r="L151" s="178" t="s">
        <v>31</v>
      </c>
      <c r="M151" s="178" t="s">
        <v>150</v>
      </c>
      <c r="N151" s="178">
        <v>1706</v>
      </c>
      <c r="O151" s="178" t="s">
        <v>151</v>
      </c>
      <c r="P151" s="178" t="s">
        <v>151</v>
      </c>
      <c r="Q151" s="178" t="s">
        <v>151</v>
      </c>
      <c r="R151" s="178"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5" customHeight="1" x14ac:dyDescent="0.35">
      <c r="A152" s="178">
        <v>155</v>
      </c>
      <c r="B152" s="178" t="s">
        <v>2251</v>
      </c>
      <c r="C152" s="178" t="s">
        <v>2252</v>
      </c>
      <c r="D152" s="178" t="s">
        <v>2253</v>
      </c>
      <c r="E152" s="178" t="s">
        <v>2254</v>
      </c>
      <c r="F152" s="178" t="s">
        <v>24</v>
      </c>
      <c r="G152" s="178">
        <v>7</v>
      </c>
      <c r="H152" s="178" t="s">
        <v>53</v>
      </c>
      <c r="I152" s="178" t="s">
        <v>46</v>
      </c>
      <c r="J152" s="178" t="s">
        <v>602</v>
      </c>
      <c r="K152" s="178" t="s">
        <v>602</v>
      </c>
      <c r="L152" s="178" t="s">
        <v>45</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5" customHeight="1" x14ac:dyDescent="0.35">
      <c r="A153" s="178">
        <v>156</v>
      </c>
      <c r="B153" s="178" t="s">
        <v>2267</v>
      </c>
      <c r="C153" s="178" t="s">
        <v>2268</v>
      </c>
      <c r="D153" s="178" t="s">
        <v>2269</v>
      </c>
      <c r="E153" s="178" t="s">
        <v>2270</v>
      </c>
      <c r="F153" s="178" t="s">
        <v>25</v>
      </c>
      <c r="G153" s="178">
        <v>7</v>
      </c>
      <c r="H153" s="178" t="s">
        <v>53</v>
      </c>
      <c r="I153" s="178" t="s">
        <v>46</v>
      </c>
      <c r="J153" s="178" t="s">
        <v>2271</v>
      </c>
      <c r="K153" s="178" t="s">
        <v>2272</v>
      </c>
      <c r="L153" s="178" t="s">
        <v>44</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5" customHeight="1" x14ac:dyDescent="0.35">
      <c r="A154" s="91">
        <v>157</v>
      </c>
      <c r="B154" s="91" t="s">
        <v>2285</v>
      </c>
      <c r="C154" s="91" t="s">
        <v>2286</v>
      </c>
      <c r="D154" s="91" t="s">
        <v>2287</v>
      </c>
      <c r="E154" s="91" t="s">
        <v>2288</v>
      </c>
      <c r="F154" s="91" t="s">
        <v>24</v>
      </c>
      <c r="G154" s="91">
        <v>7</v>
      </c>
      <c r="H154" s="91" t="s">
        <v>52</v>
      </c>
      <c r="I154" s="91" t="s">
        <v>42</v>
      </c>
      <c r="J154" s="91" t="s">
        <v>2289</v>
      </c>
      <c r="K154" s="91" t="s">
        <v>2290</v>
      </c>
      <c r="L154" s="91" t="s">
        <v>42</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5" customHeight="1" x14ac:dyDescent="0.35">
      <c r="A155" s="178">
        <v>158</v>
      </c>
      <c r="B155" s="178" t="s">
        <v>2297</v>
      </c>
      <c r="C155" s="178" t="s">
        <v>2298</v>
      </c>
      <c r="D155" s="178" t="s">
        <v>2299</v>
      </c>
      <c r="E155" s="178" t="s">
        <v>2300</v>
      </c>
      <c r="F155" s="178" t="s">
        <v>24</v>
      </c>
      <c r="G155" s="178">
        <v>7</v>
      </c>
      <c r="H155" s="178" t="s">
        <v>52</v>
      </c>
      <c r="I155" s="178" t="s">
        <v>37</v>
      </c>
      <c r="J155" s="178" t="s">
        <v>2301</v>
      </c>
      <c r="K155" s="178" t="s">
        <v>2302</v>
      </c>
      <c r="L155" s="178" t="s">
        <v>37</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5" customHeight="1" x14ac:dyDescent="0.35">
      <c r="A156" s="178">
        <v>159</v>
      </c>
      <c r="B156" s="178" t="s">
        <v>2315</v>
      </c>
      <c r="C156" s="178" t="s">
        <v>2316</v>
      </c>
      <c r="D156" s="178" t="s">
        <v>2317</v>
      </c>
      <c r="E156" s="178" t="s">
        <v>2318</v>
      </c>
      <c r="F156" s="178" t="s">
        <v>24</v>
      </c>
      <c r="G156" s="178">
        <v>7</v>
      </c>
      <c r="H156" s="178" t="s">
        <v>54</v>
      </c>
      <c r="I156" s="178" t="s">
        <v>31</v>
      </c>
      <c r="J156" s="178" t="s">
        <v>2319</v>
      </c>
      <c r="K156" s="178" t="s">
        <v>2320</v>
      </c>
      <c r="L156" s="178" t="s">
        <v>31</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5" customHeight="1" x14ac:dyDescent="0.35">
      <c r="A157" s="178">
        <v>160</v>
      </c>
      <c r="B157" s="178" t="s">
        <v>2330</v>
      </c>
      <c r="C157" s="178" t="s">
        <v>2331</v>
      </c>
      <c r="D157" s="178" t="s">
        <v>2332</v>
      </c>
      <c r="E157" s="178" t="s">
        <v>2333</v>
      </c>
      <c r="F157" s="178" t="s">
        <v>24</v>
      </c>
      <c r="G157" s="178">
        <v>7</v>
      </c>
      <c r="H157" s="178" t="s">
        <v>54</v>
      </c>
      <c r="I157" s="178" t="s">
        <v>39</v>
      </c>
      <c r="J157" s="178" t="s">
        <v>439</v>
      </c>
      <c r="K157" s="178" t="s">
        <v>439</v>
      </c>
      <c r="L157" s="178" t="s">
        <v>39</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5" customHeight="1" x14ac:dyDescent="0.35">
      <c r="A158" s="91">
        <v>161</v>
      </c>
      <c r="B158" s="91" t="s">
        <v>2345</v>
      </c>
      <c r="C158" s="91" t="s">
        <v>2346</v>
      </c>
      <c r="D158" s="91" t="s">
        <v>2347</v>
      </c>
      <c r="E158" s="91" t="s">
        <v>2348</v>
      </c>
      <c r="F158" s="91" t="s">
        <v>25</v>
      </c>
      <c r="G158" s="91">
        <v>7</v>
      </c>
      <c r="H158" s="91" t="s">
        <v>52</v>
      </c>
      <c r="I158" s="91" t="s">
        <v>38</v>
      </c>
      <c r="J158" s="91" t="s">
        <v>2349</v>
      </c>
      <c r="K158" s="91" t="s">
        <v>2350</v>
      </c>
      <c r="L158" s="91" t="s">
        <v>45</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5" customHeight="1" x14ac:dyDescent="0.35">
      <c r="A159" s="178">
        <v>162</v>
      </c>
      <c r="B159" s="178" t="s">
        <v>2358</v>
      </c>
      <c r="C159" s="178" t="s">
        <v>919</v>
      </c>
      <c r="D159" s="178" t="s">
        <v>2359</v>
      </c>
      <c r="E159" s="178" t="s">
        <v>2360</v>
      </c>
      <c r="F159" s="178" t="s">
        <v>24</v>
      </c>
      <c r="G159" s="178">
        <v>7</v>
      </c>
      <c r="H159" s="178" t="s">
        <v>58</v>
      </c>
      <c r="I159" s="178" t="s">
        <v>45</v>
      </c>
      <c r="J159" s="178" t="s">
        <v>922</v>
      </c>
      <c r="K159" s="178" t="s">
        <v>602</v>
      </c>
      <c r="L159" s="178" t="s">
        <v>45</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5" customHeight="1" x14ac:dyDescent="0.35">
      <c r="A160" s="178">
        <v>163</v>
      </c>
      <c r="B160" s="178" t="s">
        <v>2370</v>
      </c>
      <c r="C160" s="178" t="s">
        <v>2371</v>
      </c>
      <c r="D160" s="178" t="s">
        <v>2372</v>
      </c>
      <c r="E160" s="178" t="s">
        <v>1792</v>
      </c>
      <c r="F160" s="178" t="s">
        <v>24</v>
      </c>
      <c r="G160" s="178">
        <v>7</v>
      </c>
      <c r="H160" s="178" t="s">
        <v>52</v>
      </c>
      <c r="I160" s="178" t="s">
        <v>42</v>
      </c>
      <c r="J160" s="178" t="s">
        <v>2373</v>
      </c>
      <c r="K160" s="178" t="s">
        <v>2374</v>
      </c>
      <c r="L160" s="178" t="s">
        <v>45</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5" customHeight="1" x14ac:dyDescent="0.35">
      <c r="A161" s="178">
        <v>164</v>
      </c>
      <c r="B161" s="178" t="s">
        <v>2383</v>
      </c>
      <c r="C161" s="178" t="s">
        <v>2384</v>
      </c>
      <c r="D161" s="178" t="s">
        <v>557</v>
      </c>
      <c r="E161" s="178" t="s">
        <v>2385</v>
      </c>
      <c r="F161" s="178" t="s">
        <v>24</v>
      </c>
      <c r="G161" s="178">
        <v>7</v>
      </c>
      <c r="H161" s="178" t="s">
        <v>59</v>
      </c>
      <c r="I161" s="178" t="s">
        <v>40</v>
      </c>
      <c r="J161" s="178" t="s">
        <v>602</v>
      </c>
      <c r="K161" s="178" t="s">
        <v>602</v>
      </c>
      <c r="L161" s="178" t="s">
        <v>45</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5" customHeight="1" x14ac:dyDescent="0.35">
      <c r="A162" s="178">
        <v>165</v>
      </c>
      <c r="B162" s="178" t="s">
        <v>2395</v>
      </c>
      <c r="C162" s="178" t="s">
        <v>2396</v>
      </c>
      <c r="D162" s="178" t="s">
        <v>2397</v>
      </c>
      <c r="E162" s="178" t="s">
        <v>2398</v>
      </c>
      <c r="F162" s="178" t="s">
        <v>24</v>
      </c>
      <c r="G162" s="178">
        <v>7</v>
      </c>
      <c r="H162" s="178" t="s">
        <v>53</v>
      </c>
      <c r="I162" s="178" t="s">
        <v>46</v>
      </c>
      <c r="J162" s="178" t="s">
        <v>1115</v>
      </c>
      <c r="K162" s="178" t="s">
        <v>2399</v>
      </c>
      <c r="L162" s="178" t="s">
        <v>45</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5" customHeight="1" x14ac:dyDescent="0.35">
      <c r="A163" s="178">
        <v>166</v>
      </c>
      <c r="B163" s="178" t="s">
        <v>2412</v>
      </c>
      <c r="C163" s="178" t="s">
        <v>2413</v>
      </c>
      <c r="D163" s="178" t="s">
        <v>20</v>
      </c>
      <c r="E163" s="178" t="s">
        <v>2414</v>
      </c>
      <c r="F163" s="178" t="s">
        <v>24</v>
      </c>
      <c r="G163" s="178">
        <v>7</v>
      </c>
      <c r="H163" s="178" t="s">
        <v>55</v>
      </c>
      <c r="I163" s="178" t="s">
        <v>43</v>
      </c>
      <c r="J163" s="178" t="s">
        <v>1421</v>
      </c>
      <c r="K163" s="178" t="s">
        <v>1421</v>
      </c>
      <c r="L163" s="178" t="s">
        <v>45</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5" customHeight="1" x14ac:dyDescent="0.35">
      <c r="A164" s="178">
        <v>167</v>
      </c>
      <c r="B164" s="178" t="s">
        <v>2425</v>
      </c>
      <c r="C164" s="178" t="s">
        <v>2426</v>
      </c>
      <c r="D164" s="178" t="s">
        <v>2427</v>
      </c>
      <c r="E164" s="178" t="s">
        <v>2427</v>
      </c>
      <c r="F164" s="178" t="s">
        <v>24</v>
      </c>
      <c r="G164" s="178">
        <v>7</v>
      </c>
      <c r="H164" s="178" t="s">
        <v>55</v>
      </c>
      <c r="I164" s="178" t="s">
        <v>43</v>
      </c>
      <c r="J164" s="178" t="s">
        <v>602</v>
      </c>
      <c r="K164" s="178" t="s">
        <v>602</v>
      </c>
      <c r="L164" s="178" t="s">
        <v>45</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5" customHeight="1" x14ac:dyDescent="0.35">
      <c r="A165" s="178">
        <v>168</v>
      </c>
      <c r="B165" s="178" t="s">
        <v>2439</v>
      </c>
      <c r="C165" s="178" t="s">
        <v>2440</v>
      </c>
      <c r="D165" s="178" t="s">
        <v>1742</v>
      </c>
      <c r="E165" s="178" t="s">
        <v>2441</v>
      </c>
      <c r="F165" s="178" t="s">
        <v>25</v>
      </c>
      <c r="G165" s="178">
        <v>7</v>
      </c>
      <c r="H165" s="178" t="s">
        <v>54</v>
      </c>
      <c r="I165" s="178" t="s">
        <v>39</v>
      </c>
      <c r="J165" s="178" t="s">
        <v>1901</v>
      </c>
      <c r="K165" s="178" t="s">
        <v>2442</v>
      </c>
      <c r="L165" s="178" t="s">
        <v>39</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5" customHeight="1" x14ac:dyDescent="0.35">
      <c r="A166" s="178">
        <v>169</v>
      </c>
      <c r="B166" s="178" t="s">
        <v>2451</v>
      </c>
      <c r="C166" s="178" t="s">
        <v>975</v>
      </c>
      <c r="D166" s="178" t="s">
        <v>2452</v>
      </c>
      <c r="E166" s="178" t="s">
        <v>2453</v>
      </c>
      <c r="F166" s="178" t="s">
        <v>24</v>
      </c>
      <c r="G166" s="178">
        <v>7</v>
      </c>
      <c r="H166" s="178" t="s">
        <v>54</v>
      </c>
      <c r="I166" s="178" t="s">
        <v>31</v>
      </c>
      <c r="J166" s="178" t="s">
        <v>2241</v>
      </c>
      <c r="K166" s="178" t="s">
        <v>1115</v>
      </c>
      <c r="L166" s="178" t="s">
        <v>31</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5" customHeight="1" x14ac:dyDescent="0.35">
      <c r="A167" s="178">
        <v>170</v>
      </c>
      <c r="B167" s="178" t="s">
        <v>2461</v>
      </c>
      <c r="C167" s="178" t="s">
        <v>2462</v>
      </c>
      <c r="D167" s="178" t="s">
        <v>2463</v>
      </c>
      <c r="E167" s="178" t="s">
        <v>2464</v>
      </c>
      <c r="F167" s="178" t="s">
        <v>25</v>
      </c>
      <c r="G167" s="178">
        <v>7</v>
      </c>
      <c r="H167" s="178" t="s">
        <v>54</v>
      </c>
      <c r="I167" s="178" t="s">
        <v>39</v>
      </c>
      <c r="J167" s="178" t="s">
        <v>2465</v>
      </c>
      <c r="K167" s="178" t="s">
        <v>2466</v>
      </c>
      <c r="L167" s="178" t="s">
        <v>39</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5" customHeight="1" x14ac:dyDescent="0.35">
      <c r="A168" s="178">
        <v>171</v>
      </c>
      <c r="B168" s="178" t="s">
        <v>2475</v>
      </c>
      <c r="C168" s="178" t="s">
        <v>2476</v>
      </c>
      <c r="D168" s="178" t="s">
        <v>2477</v>
      </c>
      <c r="E168" s="178" t="s">
        <v>2478</v>
      </c>
      <c r="F168" s="178" t="s">
        <v>24</v>
      </c>
      <c r="G168" s="178">
        <v>7</v>
      </c>
      <c r="H168" s="178" t="s">
        <v>54</v>
      </c>
      <c r="I168" s="178" t="s">
        <v>31</v>
      </c>
      <c r="J168" s="178" t="s">
        <v>2479</v>
      </c>
      <c r="K168" s="178" t="s">
        <v>2480</v>
      </c>
      <c r="L168" s="178" t="s">
        <v>31</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5" customHeight="1" x14ac:dyDescent="0.35">
      <c r="A169" s="178">
        <v>172</v>
      </c>
      <c r="B169" s="178" t="s">
        <v>2489</v>
      </c>
      <c r="C169" s="178" t="s">
        <v>2490</v>
      </c>
      <c r="D169" s="178" t="s">
        <v>2491</v>
      </c>
      <c r="E169" s="178" t="s">
        <v>2492</v>
      </c>
      <c r="F169" s="178" t="s">
        <v>25</v>
      </c>
      <c r="G169" s="178">
        <v>7</v>
      </c>
      <c r="H169" s="178" t="s">
        <v>60</v>
      </c>
      <c r="I169" s="178" t="s">
        <v>35</v>
      </c>
      <c r="J169" s="178" t="s">
        <v>477</v>
      </c>
      <c r="K169" s="178" t="s">
        <v>922</v>
      </c>
      <c r="L169" s="178" t="s">
        <v>42</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5" customHeight="1" x14ac:dyDescent="0.35">
      <c r="A170" s="178">
        <v>173</v>
      </c>
      <c r="B170" s="178" t="s">
        <v>2505</v>
      </c>
      <c r="C170" s="178" t="s">
        <v>2506</v>
      </c>
      <c r="D170" s="178" t="s">
        <v>2507</v>
      </c>
      <c r="E170" s="178" t="s">
        <v>2508</v>
      </c>
      <c r="F170" s="178" t="s">
        <v>24</v>
      </c>
      <c r="G170" s="178">
        <v>7</v>
      </c>
      <c r="H170" s="178" t="s">
        <v>58</v>
      </c>
      <c r="I170" s="178" t="s">
        <v>45</v>
      </c>
      <c r="J170" s="178" t="s">
        <v>2509</v>
      </c>
      <c r="K170" s="178" t="s">
        <v>2509</v>
      </c>
      <c r="L170" s="178" t="s">
        <v>45</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5" customHeight="1" x14ac:dyDescent="0.35">
      <c r="A171" s="91">
        <v>174</v>
      </c>
      <c r="B171" s="91" t="s">
        <v>2520</v>
      </c>
      <c r="C171" s="91" t="s">
        <v>2521</v>
      </c>
      <c r="D171" s="91"/>
      <c r="E171" s="91" t="s">
        <v>2522</v>
      </c>
      <c r="F171" s="91" t="s">
        <v>25</v>
      </c>
      <c r="G171" s="91">
        <v>7</v>
      </c>
      <c r="H171" s="91" t="s">
        <v>55</v>
      </c>
      <c r="I171" s="91" t="s">
        <v>43</v>
      </c>
      <c r="J171" s="91" t="s">
        <v>2523</v>
      </c>
      <c r="K171" s="91" t="s">
        <v>2524</v>
      </c>
      <c r="L171" s="91" t="s">
        <v>35</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5" customHeight="1" x14ac:dyDescent="0.35">
      <c r="A172" s="136">
        <v>175</v>
      </c>
      <c r="B172" s="136" t="s">
        <v>2529</v>
      </c>
      <c r="C172" s="136" t="s">
        <v>2530</v>
      </c>
      <c r="D172" s="136"/>
      <c r="E172" s="136" t="s">
        <v>2531</v>
      </c>
      <c r="F172" s="136" t="s">
        <v>24</v>
      </c>
      <c r="G172" s="136">
        <v>8</v>
      </c>
      <c r="H172" s="136" t="s">
        <v>58</v>
      </c>
      <c r="I172" s="136" t="s">
        <v>45</v>
      </c>
      <c r="J172" s="136" t="s">
        <v>602</v>
      </c>
      <c r="K172" s="136" t="s">
        <v>2532</v>
      </c>
      <c r="L172" s="136" t="s">
        <v>45</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5" customHeight="1" x14ac:dyDescent="0.35">
      <c r="A173" s="136">
        <v>176</v>
      </c>
      <c r="B173" s="136" t="s">
        <v>2546</v>
      </c>
      <c r="C173" s="136" t="s">
        <v>2547</v>
      </c>
      <c r="D173" s="136" t="s">
        <v>641</v>
      </c>
      <c r="E173" s="136" t="s">
        <v>2548</v>
      </c>
      <c r="F173" s="136" t="s">
        <v>25</v>
      </c>
      <c r="G173" s="136">
        <v>8</v>
      </c>
      <c r="H173" s="136" t="s">
        <v>54</v>
      </c>
      <c r="I173" s="136" t="s">
        <v>39</v>
      </c>
      <c r="J173" s="136" t="s">
        <v>602</v>
      </c>
      <c r="K173" s="136" t="s">
        <v>290</v>
      </c>
      <c r="L173" s="136" t="s">
        <v>45</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5" customHeight="1" x14ac:dyDescent="0.35">
      <c r="A174" s="136">
        <v>177</v>
      </c>
      <c r="B174" s="136" t="s">
        <v>2556</v>
      </c>
      <c r="C174" s="136" t="s">
        <v>2557</v>
      </c>
      <c r="D174" s="136"/>
      <c r="E174" s="136" t="s">
        <v>2558</v>
      </c>
      <c r="F174" s="136" t="s">
        <v>25</v>
      </c>
      <c r="G174" s="136">
        <v>8</v>
      </c>
      <c r="H174" s="136" t="s">
        <v>55</v>
      </c>
      <c r="I174" s="136" t="s">
        <v>43</v>
      </c>
      <c r="J174" s="136" t="s">
        <v>1143</v>
      </c>
      <c r="K174" s="136" t="s">
        <v>407</v>
      </c>
      <c r="L174" s="136" t="s">
        <v>43</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5" customHeight="1" x14ac:dyDescent="0.35">
      <c r="A175" s="136">
        <v>178</v>
      </c>
      <c r="B175" s="136" t="s">
        <v>2569</v>
      </c>
      <c r="C175" s="136" t="s">
        <v>2570</v>
      </c>
      <c r="D175" s="136"/>
      <c r="E175" s="136" t="s">
        <v>2571</v>
      </c>
      <c r="F175" s="136" t="s">
        <v>24</v>
      </c>
      <c r="G175" s="136">
        <v>8</v>
      </c>
      <c r="H175" s="136" t="s">
        <v>55</v>
      </c>
      <c r="I175" s="136" t="s">
        <v>43</v>
      </c>
      <c r="J175" s="136" t="s">
        <v>2319</v>
      </c>
      <c r="K175" s="136" t="s">
        <v>2572</v>
      </c>
      <c r="L175" s="136" t="s">
        <v>45</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5" customHeight="1" x14ac:dyDescent="0.35">
      <c r="A176" s="136">
        <v>179</v>
      </c>
      <c r="B176" s="136" t="s">
        <v>2582</v>
      </c>
      <c r="C176" s="136" t="s">
        <v>2583</v>
      </c>
      <c r="D176" s="136" t="s">
        <v>2584</v>
      </c>
      <c r="E176" s="136" t="s">
        <v>2585</v>
      </c>
      <c r="F176" s="136" t="s">
        <v>25</v>
      </c>
      <c r="G176" s="136">
        <v>8</v>
      </c>
      <c r="H176" s="136" t="s">
        <v>54</v>
      </c>
      <c r="I176" s="136" t="s">
        <v>39</v>
      </c>
      <c r="J176" s="136" t="s">
        <v>439</v>
      </c>
      <c r="K176" s="136" t="s">
        <v>439</v>
      </c>
      <c r="L176" s="136" t="s">
        <v>39</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5" customHeight="1" x14ac:dyDescent="0.35">
      <c r="A177" s="91">
        <v>180</v>
      </c>
      <c r="B177" s="91" t="s">
        <v>2596</v>
      </c>
      <c r="C177" s="91" t="s">
        <v>2597</v>
      </c>
      <c r="D177" s="91"/>
      <c r="E177" s="91" t="s">
        <v>2598</v>
      </c>
      <c r="F177" s="91" t="s">
        <v>24</v>
      </c>
      <c r="G177" s="91">
        <v>8</v>
      </c>
      <c r="H177" s="91" t="s">
        <v>60</v>
      </c>
      <c r="I177" s="91" t="s">
        <v>35</v>
      </c>
      <c r="J177" s="91" t="s">
        <v>602</v>
      </c>
      <c r="K177" s="91" t="s">
        <v>1240</v>
      </c>
      <c r="L177" s="91" t="s">
        <v>35</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5" customHeight="1" x14ac:dyDescent="0.35">
      <c r="A178" s="136">
        <v>181</v>
      </c>
      <c r="B178" s="136" t="s">
        <v>2603</v>
      </c>
      <c r="C178" s="136" t="s">
        <v>2604</v>
      </c>
      <c r="D178" s="136" t="s">
        <v>2605</v>
      </c>
      <c r="E178" s="136" t="s">
        <v>2606</v>
      </c>
      <c r="F178" s="136" t="s">
        <v>25</v>
      </c>
      <c r="G178" s="136">
        <v>8</v>
      </c>
      <c r="H178" s="136" t="s">
        <v>52</v>
      </c>
      <c r="I178" s="136" t="s">
        <v>42</v>
      </c>
      <c r="J178" s="136" t="s">
        <v>1546</v>
      </c>
      <c r="K178" s="136"/>
      <c r="L178" s="136" t="s">
        <v>45</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5" customHeight="1" x14ac:dyDescent="0.35">
      <c r="A179" s="136">
        <v>182</v>
      </c>
      <c r="B179" s="136" t="s">
        <v>2620</v>
      </c>
      <c r="C179" s="136" t="s">
        <v>2621</v>
      </c>
      <c r="D179" s="136" t="s">
        <v>2622</v>
      </c>
      <c r="E179" s="136" t="s">
        <v>2623</v>
      </c>
      <c r="F179" s="136" t="s">
        <v>24</v>
      </c>
      <c r="G179" s="136">
        <v>8</v>
      </c>
      <c r="H179" s="136" t="s">
        <v>52</v>
      </c>
      <c r="I179" s="136" t="s">
        <v>42</v>
      </c>
      <c r="J179" s="136" t="s">
        <v>2624</v>
      </c>
      <c r="K179" s="136" t="s">
        <v>2625</v>
      </c>
      <c r="L179" s="136" t="s">
        <v>42</v>
      </c>
      <c r="M179" s="136" t="s">
        <v>150</v>
      </c>
      <c r="N179" s="136"/>
      <c r="O179" s="136" t="s">
        <v>322</v>
      </c>
      <c r="P179" s="136" t="s">
        <v>322</v>
      </c>
      <c r="Q179" s="136"/>
      <c r="R179" s="136" t="s">
        <v>2626</v>
      </c>
      <c r="S179" s="136"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5" customHeight="1" x14ac:dyDescent="0.35">
      <c r="A180" s="136">
        <v>183</v>
      </c>
      <c r="B180" s="136" t="s">
        <v>2636</v>
      </c>
      <c r="C180" s="136" t="s">
        <v>2637</v>
      </c>
      <c r="D180" s="136" t="s">
        <v>2638</v>
      </c>
      <c r="E180" s="136" t="s">
        <v>2639</v>
      </c>
      <c r="F180" s="136" t="s">
        <v>25</v>
      </c>
      <c r="G180" s="136">
        <v>8</v>
      </c>
      <c r="H180" s="136" t="s">
        <v>58</v>
      </c>
      <c r="I180" s="136" t="s">
        <v>45</v>
      </c>
      <c r="J180" s="136" t="s">
        <v>2044</v>
      </c>
      <c r="K180" s="136"/>
      <c r="L180" s="136" t="s">
        <v>45</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5" customHeight="1" x14ac:dyDescent="0.35">
      <c r="A181" s="136">
        <v>184</v>
      </c>
      <c r="B181" s="136" t="s">
        <v>2650</v>
      </c>
      <c r="C181" s="136" t="s">
        <v>2651</v>
      </c>
      <c r="D181" s="136" t="s">
        <v>2652</v>
      </c>
      <c r="E181" s="136" t="s">
        <v>2653</v>
      </c>
      <c r="F181" s="136" t="s">
        <v>24</v>
      </c>
      <c r="G181" s="136">
        <v>8</v>
      </c>
      <c r="H181" s="136" t="s">
        <v>54</v>
      </c>
      <c r="I181" s="136" t="s">
        <v>31</v>
      </c>
      <c r="J181" s="136" t="s">
        <v>1421</v>
      </c>
      <c r="K181" s="136" t="s">
        <v>1421</v>
      </c>
      <c r="L181" s="136" t="s">
        <v>31</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5" customHeight="1" x14ac:dyDescent="0.35">
      <c r="A182" s="136">
        <v>185</v>
      </c>
      <c r="B182" s="136" t="s">
        <v>2662</v>
      </c>
      <c r="C182" s="136" t="s">
        <v>2663</v>
      </c>
      <c r="D182" s="136"/>
      <c r="E182" s="136" t="s">
        <v>2664</v>
      </c>
      <c r="F182" s="136" t="s">
        <v>24</v>
      </c>
      <c r="G182" s="136">
        <v>8</v>
      </c>
      <c r="H182" s="136" t="s">
        <v>60</v>
      </c>
      <c r="I182" s="136" t="s">
        <v>35</v>
      </c>
      <c r="J182" s="136" t="s">
        <v>2665</v>
      </c>
      <c r="K182" s="136" t="s">
        <v>2666</v>
      </c>
      <c r="L182" s="136" t="s">
        <v>42</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5" customHeight="1" x14ac:dyDescent="0.35">
      <c r="A183" s="136">
        <v>186</v>
      </c>
      <c r="B183" s="136" t="s">
        <v>2677</v>
      </c>
      <c r="C183" s="136" t="s">
        <v>2678</v>
      </c>
      <c r="D183" s="136"/>
      <c r="E183" s="136" t="s">
        <v>2522</v>
      </c>
      <c r="F183" s="136" t="s">
        <v>25</v>
      </c>
      <c r="G183" s="136">
        <v>8</v>
      </c>
      <c r="H183" s="136" t="s">
        <v>55</v>
      </c>
      <c r="I183" s="136" t="s">
        <v>43</v>
      </c>
      <c r="J183" s="136" t="s">
        <v>2679</v>
      </c>
      <c r="K183" s="136" t="s">
        <v>2680</v>
      </c>
      <c r="L183" s="136" t="s">
        <v>42</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5" customHeight="1" x14ac:dyDescent="0.35">
      <c r="A184" s="136">
        <v>187</v>
      </c>
      <c r="B184" s="136" t="s">
        <v>2689</v>
      </c>
      <c r="C184" s="136" t="s">
        <v>2690</v>
      </c>
      <c r="D184" s="136" t="s">
        <v>2691</v>
      </c>
      <c r="E184" s="136" t="s">
        <v>388</v>
      </c>
      <c r="F184" s="136" t="s">
        <v>24</v>
      </c>
      <c r="G184" s="136">
        <v>8</v>
      </c>
      <c r="H184" s="136" t="s">
        <v>52</v>
      </c>
      <c r="I184" s="136" t="s">
        <v>42</v>
      </c>
      <c r="J184" s="136" t="s">
        <v>2692</v>
      </c>
      <c r="K184" s="136" t="s">
        <v>2693</v>
      </c>
      <c r="L184" s="136" t="s">
        <v>42</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5" customHeight="1" x14ac:dyDescent="0.35">
      <c r="A185" s="136">
        <v>188</v>
      </c>
      <c r="B185" s="136" t="s">
        <v>2705</v>
      </c>
      <c r="C185" s="136" t="s">
        <v>2706</v>
      </c>
      <c r="D185" s="136" t="s">
        <v>2707</v>
      </c>
      <c r="E185" s="136" t="s">
        <v>2708</v>
      </c>
      <c r="F185" s="136" t="s">
        <v>24</v>
      </c>
      <c r="G185" s="136">
        <v>8</v>
      </c>
      <c r="H185" s="136" t="s">
        <v>53</v>
      </c>
      <c r="I185" s="136" t="s">
        <v>46</v>
      </c>
      <c r="J185" s="136" t="s">
        <v>257</v>
      </c>
      <c r="K185" s="136" t="s">
        <v>335</v>
      </c>
      <c r="L185" s="136" t="s">
        <v>44</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5" customHeight="1" x14ac:dyDescent="0.35">
      <c r="A186" s="136">
        <v>189</v>
      </c>
      <c r="B186" s="136" t="s">
        <v>2718</v>
      </c>
      <c r="C186" s="136" t="s">
        <v>992</v>
      </c>
      <c r="D186" s="136" t="s">
        <v>438</v>
      </c>
      <c r="E186" s="136" t="s">
        <v>2719</v>
      </c>
      <c r="F186" s="136" t="s">
        <v>24</v>
      </c>
      <c r="G186" s="136">
        <v>8</v>
      </c>
      <c r="H186" s="136" t="s">
        <v>54</v>
      </c>
      <c r="I186" s="136" t="s">
        <v>39</v>
      </c>
      <c r="J186" s="136" t="s">
        <v>602</v>
      </c>
      <c r="K186" s="136" t="s">
        <v>1256</v>
      </c>
      <c r="L186" s="136" t="s">
        <v>45</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5" customHeight="1" x14ac:dyDescent="0.35">
      <c r="A187" s="136">
        <v>190</v>
      </c>
      <c r="B187" s="136" t="s">
        <v>2730</v>
      </c>
      <c r="C187" s="136" t="s">
        <v>2731</v>
      </c>
      <c r="D187" s="136" t="s">
        <v>2732</v>
      </c>
      <c r="E187" s="136" t="s">
        <v>2733</v>
      </c>
      <c r="F187" s="136" t="s">
        <v>25</v>
      </c>
      <c r="G187" s="136">
        <v>8</v>
      </c>
      <c r="H187" s="136" t="s">
        <v>54</v>
      </c>
      <c r="I187" s="136" t="s">
        <v>31</v>
      </c>
      <c r="J187" s="136" t="s">
        <v>602</v>
      </c>
      <c r="K187" s="136" t="s">
        <v>2734</v>
      </c>
      <c r="L187" s="136" t="s">
        <v>45</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5" customHeight="1" x14ac:dyDescent="0.35">
      <c r="A188" s="136">
        <v>191</v>
      </c>
      <c r="B188" s="136" t="s">
        <v>2743</v>
      </c>
      <c r="C188" s="136" t="s">
        <v>2744</v>
      </c>
      <c r="D188" s="136" t="s">
        <v>2745</v>
      </c>
      <c r="E188" s="136" t="s">
        <v>289</v>
      </c>
      <c r="F188" s="136" t="s">
        <v>24</v>
      </c>
      <c r="G188" s="136">
        <v>8</v>
      </c>
      <c r="H188" s="136" t="s">
        <v>58</v>
      </c>
      <c r="I188" s="136" t="s">
        <v>45</v>
      </c>
      <c r="J188" s="136" t="s">
        <v>2746</v>
      </c>
      <c r="K188" s="136" t="s">
        <v>602</v>
      </c>
      <c r="L188" s="136" t="s">
        <v>45</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5" customHeight="1" x14ac:dyDescent="0.35">
      <c r="A189" s="136">
        <v>192</v>
      </c>
      <c r="B189" s="136" t="s">
        <v>2758</v>
      </c>
      <c r="C189" s="136" t="s">
        <v>763</v>
      </c>
      <c r="D189" s="136" t="s">
        <v>464</v>
      </c>
      <c r="E189" s="136" t="s">
        <v>1780</v>
      </c>
      <c r="F189" s="136" t="s">
        <v>24</v>
      </c>
      <c r="G189" s="136">
        <v>8</v>
      </c>
      <c r="H189" s="136" t="s">
        <v>52</v>
      </c>
      <c r="I189" s="136" t="s">
        <v>42</v>
      </c>
      <c r="J189" s="136" t="s">
        <v>1175</v>
      </c>
      <c r="K189" s="136" t="s">
        <v>1175</v>
      </c>
      <c r="L189" s="136" t="s">
        <v>42</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5" customHeight="1" x14ac:dyDescent="0.35">
      <c r="A190" s="136">
        <v>193</v>
      </c>
      <c r="B190" s="136" t="s">
        <v>2771</v>
      </c>
      <c r="C190" s="136" t="s">
        <v>2772</v>
      </c>
      <c r="D190" s="136" t="s">
        <v>2773</v>
      </c>
      <c r="E190" s="136" t="s">
        <v>2774</v>
      </c>
      <c r="F190" s="136" t="s">
        <v>24</v>
      </c>
      <c r="G190" s="136">
        <v>8</v>
      </c>
      <c r="H190" s="136" t="s">
        <v>54</v>
      </c>
      <c r="I190" s="136" t="s">
        <v>39</v>
      </c>
      <c r="J190" s="136" t="s">
        <v>1421</v>
      </c>
      <c r="K190" s="136" t="s">
        <v>2775</v>
      </c>
      <c r="L190" s="136" t="s">
        <v>45</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5" customHeight="1" x14ac:dyDescent="0.35">
      <c r="A191" s="136">
        <v>194</v>
      </c>
      <c r="B191" s="136" t="s">
        <v>2784</v>
      </c>
      <c r="C191" s="136" t="s">
        <v>2785</v>
      </c>
      <c r="D191" s="136"/>
      <c r="E191" s="136" t="s">
        <v>2786</v>
      </c>
      <c r="F191" s="136" t="s">
        <v>25</v>
      </c>
      <c r="G191" s="136">
        <v>8</v>
      </c>
      <c r="H191" s="136" t="s">
        <v>55</v>
      </c>
      <c r="I191" s="136" t="s">
        <v>43</v>
      </c>
      <c r="J191" s="136" t="s">
        <v>2787</v>
      </c>
      <c r="K191" s="136" t="s">
        <v>2788</v>
      </c>
      <c r="L191" s="136" t="s">
        <v>43</v>
      </c>
      <c r="M191" s="136" t="s">
        <v>150</v>
      </c>
      <c r="N191" s="136"/>
      <c r="O191" s="136" t="s">
        <v>151</v>
      </c>
      <c r="P191" s="136" t="s">
        <v>151</v>
      </c>
      <c r="Q191" s="136"/>
      <c r="R191" s="136"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5" customHeight="1" x14ac:dyDescent="0.35">
      <c r="A192" s="136">
        <v>195</v>
      </c>
      <c r="B192" s="136" t="s">
        <v>2797</v>
      </c>
      <c r="C192" s="136" t="s">
        <v>2798</v>
      </c>
      <c r="D192" s="136" t="s">
        <v>2799</v>
      </c>
      <c r="E192" s="136" t="s">
        <v>2800</v>
      </c>
      <c r="F192" s="136" t="s">
        <v>24</v>
      </c>
      <c r="G192" s="136">
        <v>8</v>
      </c>
      <c r="H192" s="136" t="s">
        <v>54</v>
      </c>
      <c r="I192" s="136" t="s">
        <v>31</v>
      </c>
      <c r="J192" s="136" t="s">
        <v>2801</v>
      </c>
      <c r="K192" s="136" t="s">
        <v>2802</v>
      </c>
      <c r="L192" s="136" t="s">
        <v>45</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5" customHeight="1" x14ac:dyDescent="0.35">
      <c r="A193" s="91">
        <v>196</v>
      </c>
      <c r="B193" s="91" t="s">
        <v>2813</v>
      </c>
      <c r="C193" s="91" t="s">
        <v>2814</v>
      </c>
      <c r="D193" s="91" t="s">
        <v>2815</v>
      </c>
      <c r="E193" s="91" t="s">
        <v>2816</v>
      </c>
      <c r="F193" s="91" t="s">
        <v>25</v>
      </c>
      <c r="G193" s="91">
        <v>8</v>
      </c>
      <c r="H193" s="91" t="s">
        <v>53</v>
      </c>
      <c r="I193" s="91" t="s">
        <v>46</v>
      </c>
      <c r="J193" s="91" t="s">
        <v>2289</v>
      </c>
      <c r="K193" s="91" t="s">
        <v>2817</v>
      </c>
      <c r="L193" s="91" t="s">
        <v>44</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5" customHeight="1" x14ac:dyDescent="0.35">
      <c r="A194" s="91">
        <v>197</v>
      </c>
      <c r="B194" s="91" t="s">
        <v>2824</v>
      </c>
      <c r="C194" s="91" t="s">
        <v>2825</v>
      </c>
      <c r="D194" s="91" t="s">
        <v>2826</v>
      </c>
      <c r="E194" s="91" t="s">
        <v>2827</v>
      </c>
      <c r="F194" s="91" t="s">
        <v>24</v>
      </c>
      <c r="G194" s="91">
        <v>8</v>
      </c>
      <c r="H194" s="91" t="s">
        <v>60</v>
      </c>
      <c r="I194" s="91" t="s">
        <v>35</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5" customHeight="1" x14ac:dyDescent="0.35">
      <c r="A195" s="136">
        <v>198</v>
      </c>
      <c r="B195" s="136" t="s">
        <v>2835</v>
      </c>
      <c r="C195" s="136" t="s">
        <v>2836</v>
      </c>
      <c r="D195" s="136" t="s">
        <v>2837</v>
      </c>
      <c r="E195" s="136" t="s">
        <v>2838</v>
      </c>
      <c r="F195" s="136" t="s">
        <v>25</v>
      </c>
      <c r="G195" s="136">
        <v>8</v>
      </c>
      <c r="H195" s="136" t="s">
        <v>54</v>
      </c>
      <c r="I195" s="136" t="s">
        <v>31</v>
      </c>
      <c r="J195" s="136" t="s">
        <v>602</v>
      </c>
      <c r="K195" s="136" t="s">
        <v>2241</v>
      </c>
      <c r="L195" s="136" t="s">
        <v>31</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5" customHeight="1" x14ac:dyDescent="0.35">
      <c r="A196" s="136">
        <v>199</v>
      </c>
      <c r="B196" s="136" t="s">
        <v>2848</v>
      </c>
      <c r="C196" s="136" t="s">
        <v>2221</v>
      </c>
      <c r="D196" s="136"/>
      <c r="E196" s="136" t="s">
        <v>2849</v>
      </c>
      <c r="F196" s="136" t="s">
        <v>24</v>
      </c>
      <c r="G196" s="136">
        <v>8</v>
      </c>
      <c r="H196" s="136" t="s">
        <v>52</v>
      </c>
      <c r="I196" s="136" t="s">
        <v>37</v>
      </c>
      <c r="J196" s="136" t="s">
        <v>2850</v>
      </c>
      <c r="K196" s="136" t="s">
        <v>2851</v>
      </c>
      <c r="L196" s="136" t="s">
        <v>45</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x14ac:dyDescent="0.35">
      <c r="A197" s="136">
        <v>200</v>
      </c>
      <c r="B197" s="136" t="s">
        <v>2864</v>
      </c>
      <c r="C197" s="136" t="s">
        <v>2865</v>
      </c>
      <c r="D197" s="136" t="s">
        <v>2866</v>
      </c>
      <c r="E197" s="136" t="s">
        <v>2867</v>
      </c>
      <c r="F197" s="136" t="s">
        <v>24</v>
      </c>
      <c r="G197" s="136">
        <v>8</v>
      </c>
      <c r="H197" s="136" t="s">
        <v>52</v>
      </c>
      <c r="I197" s="136" t="s">
        <v>37</v>
      </c>
      <c r="J197" s="136" t="s">
        <v>2868</v>
      </c>
      <c r="K197" s="136" t="s">
        <v>2869</v>
      </c>
      <c r="L197" s="136" t="s">
        <v>42</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5" customHeight="1" x14ac:dyDescent="0.35">
      <c r="A198" s="96">
        <v>201</v>
      </c>
      <c r="B198" s="96" t="s">
        <v>2878</v>
      </c>
      <c r="C198" s="96" t="s">
        <v>2879</v>
      </c>
      <c r="D198" s="96" t="s">
        <v>2880</v>
      </c>
      <c r="E198" s="96" t="s">
        <v>2881</v>
      </c>
      <c r="F198" s="96" t="s">
        <v>25</v>
      </c>
      <c r="G198" s="96">
        <v>9</v>
      </c>
      <c r="H198" s="96" t="s">
        <v>53</v>
      </c>
      <c r="I198" s="96" t="s">
        <v>46</v>
      </c>
      <c r="J198" s="96" t="s">
        <v>2882</v>
      </c>
      <c r="K198" s="96" t="s">
        <v>2883</v>
      </c>
      <c r="L198" s="96" t="s">
        <v>44</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5" customHeight="1" x14ac:dyDescent="0.35">
      <c r="A199" s="96">
        <v>202</v>
      </c>
      <c r="B199" s="96" t="s">
        <v>2895</v>
      </c>
      <c r="C199" s="96" t="s">
        <v>2896</v>
      </c>
      <c r="D199" s="96" t="s">
        <v>2897</v>
      </c>
      <c r="E199" s="96" t="s">
        <v>2898</v>
      </c>
      <c r="F199" s="96" t="s">
        <v>25</v>
      </c>
      <c r="G199" s="96">
        <v>9</v>
      </c>
      <c r="H199" s="96" t="s">
        <v>54</v>
      </c>
      <c r="I199" s="96" t="s">
        <v>39</v>
      </c>
      <c r="J199" s="96" t="s">
        <v>602</v>
      </c>
      <c r="K199" s="96" t="s">
        <v>602</v>
      </c>
      <c r="L199" s="96" t="s">
        <v>45</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5" customHeight="1" x14ac:dyDescent="0.35">
      <c r="A200" s="96">
        <v>203</v>
      </c>
      <c r="B200" s="96" t="s">
        <v>2910</v>
      </c>
      <c r="C200" s="96" t="s">
        <v>2911</v>
      </c>
      <c r="D200" s="96" t="s">
        <v>2912</v>
      </c>
      <c r="E200" s="96" t="s">
        <v>2913</v>
      </c>
      <c r="F200" s="96" t="s">
        <v>24</v>
      </c>
      <c r="G200" s="96">
        <v>9</v>
      </c>
      <c r="H200" s="96" t="s">
        <v>58</v>
      </c>
      <c r="I200" s="96" t="s">
        <v>45</v>
      </c>
      <c r="J200" s="96" t="s">
        <v>2914</v>
      </c>
      <c r="K200" s="96" t="s">
        <v>2914</v>
      </c>
      <c r="L200" s="96" t="s">
        <v>45</v>
      </c>
      <c r="M200" s="96" t="s">
        <v>150</v>
      </c>
      <c r="N200" s="96">
        <v>161842</v>
      </c>
      <c r="O200" s="96" t="s">
        <v>322</v>
      </c>
      <c r="P200" s="96" t="s">
        <v>322</v>
      </c>
      <c r="Q200" s="96"/>
      <c r="R200" s="96" t="s">
        <v>2915</v>
      </c>
      <c r="S200" s="96"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5" customHeight="1" x14ac:dyDescent="0.35">
      <c r="A201" s="96">
        <v>204</v>
      </c>
      <c r="B201" s="96" t="s">
        <v>2923</v>
      </c>
      <c r="C201" s="96" t="s">
        <v>2924</v>
      </c>
      <c r="D201" s="96"/>
      <c r="E201" s="96" t="s">
        <v>2925</v>
      </c>
      <c r="F201" s="96" t="s">
        <v>25</v>
      </c>
      <c r="G201" s="96">
        <v>9</v>
      </c>
      <c r="H201" s="96" t="s">
        <v>55</v>
      </c>
      <c r="I201" s="96" t="s">
        <v>43</v>
      </c>
      <c r="J201" s="96" t="s">
        <v>2926</v>
      </c>
      <c r="K201" s="96" t="s">
        <v>2926</v>
      </c>
      <c r="L201" s="96" t="s">
        <v>43</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5" customHeight="1" x14ac:dyDescent="0.35">
      <c r="A202" s="96">
        <v>205</v>
      </c>
      <c r="B202" s="96" t="s">
        <v>2937</v>
      </c>
      <c r="C202" s="96" t="s">
        <v>2938</v>
      </c>
      <c r="D202" s="96"/>
      <c r="E202" s="96" t="s">
        <v>2939</v>
      </c>
      <c r="F202" s="96" t="s">
        <v>24</v>
      </c>
      <c r="G202" s="96">
        <v>9</v>
      </c>
      <c r="H202" s="96" t="s">
        <v>55</v>
      </c>
      <c r="I202" s="96" t="s">
        <v>43</v>
      </c>
      <c r="J202" s="96" t="s">
        <v>1421</v>
      </c>
      <c r="K202" s="96" t="s">
        <v>2013</v>
      </c>
      <c r="L202" s="96" t="s">
        <v>45</v>
      </c>
      <c r="M202" s="96" t="s">
        <v>163</v>
      </c>
      <c r="N202" s="96">
        <v>2394319</v>
      </c>
      <c r="O202" s="96" t="s">
        <v>151</v>
      </c>
      <c r="P202" s="96" t="s">
        <v>151</v>
      </c>
      <c r="Q202" s="96"/>
      <c r="R202" s="96" t="s">
        <v>2940</v>
      </c>
      <c r="S202" s="96"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5" customHeight="1" x14ac:dyDescent="0.35">
      <c r="A203" s="96">
        <v>206</v>
      </c>
      <c r="B203" s="96" t="s">
        <v>2949</v>
      </c>
      <c r="C203" s="96" t="s">
        <v>2950</v>
      </c>
      <c r="D203" s="96" t="s">
        <v>2951</v>
      </c>
      <c r="E203" s="96" t="s">
        <v>2952</v>
      </c>
      <c r="F203" s="96" t="s">
        <v>24</v>
      </c>
      <c r="G203" s="96">
        <v>9</v>
      </c>
      <c r="H203" s="96" t="s">
        <v>52</v>
      </c>
      <c r="I203" s="96" t="s">
        <v>42</v>
      </c>
      <c r="J203" s="96" t="s">
        <v>2953</v>
      </c>
      <c r="K203" s="96" t="s">
        <v>2954</v>
      </c>
      <c r="L203" s="96" t="s">
        <v>42</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5" customHeight="1" x14ac:dyDescent="0.35">
      <c r="A204" s="96">
        <v>207</v>
      </c>
      <c r="B204" s="96" t="s">
        <v>2970</v>
      </c>
      <c r="C204" s="96" t="s">
        <v>2971</v>
      </c>
      <c r="D204" s="96"/>
      <c r="E204" s="96" t="s">
        <v>2207</v>
      </c>
      <c r="F204" s="96" t="s">
        <v>25</v>
      </c>
      <c r="G204" s="96">
        <v>9</v>
      </c>
      <c r="H204" s="96" t="s">
        <v>55</v>
      </c>
      <c r="I204" s="96" t="s">
        <v>43</v>
      </c>
      <c r="J204" s="96" t="s">
        <v>2139</v>
      </c>
      <c r="K204" s="96" t="s">
        <v>173</v>
      </c>
      <c r="L204" s="96" t="s">
        <v>43</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5" customHeight="1" x14ac:dyDescent="0.35">
      <c r="A205" s="96">
        <v>208</v>
      </c>
      <c r="B205" s="96" t="s">
        <v>2980</v>
      </c>
      <c r="C205" s="96" t="s">
        <v>811</v>
      </c>
      <c r="D205" s="96"/>
      <c r="E205" s="96" t="s">
        <v>2981</v>
      </c>
      <c r="F205" s="96" t="s">
        <v>25</v>
      </c>
      <c r="G205" s="96">
        <v>9</v>
      </c>
      <c r="H205" s="96" t="s">
        <v>60</v>
      </c>
      <c r="I205" s="96" t="s">
        <v>35</v>
      </c>
      <c r="J205" s="96" t="s">
        <v>1744</v>
      </c>
      <c r="K205" s="96" t="s">
        <v>2982</v>
      </c>
      <c r="L205" s="96" t="s">
        <v>35</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164</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5" customHeight="1" x14ac:dyDescent="0.35">
      <c r="A206" s="96">
        <v>209</v>
      </c>
      <c r="B206" s="96" t="s">
        <v>2995</v>
      </c>
      <c r="C206" s="96" t="s">
        <v>2996</v>
      </c>
      <c r="D206" s="96" t="s">
        <v>2997</v>
      </c>
      <c r="E206" s="96" t="s">
        <v>2998</v>
      </c>
      <c r="F206" s="96" t="s">
        <v>25</v>
      </c>
      <c r="G206" s="96">
        <v>9</v>
      </c>
      <c r="H206" s="96" t="s">
        <v>52</v>
      </c>
      <c r="I206" s="96" t="s">
        <v>42</v>
      </c>
      <c r="J206" s="96" t="s">
        <v>2319</v>
      </c>
      <c r="K206" s="96" t="s">
        <v>2999</v>
      </c>
      <c r="L206" s="96" t="s">
        <v>45</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5" customHeight="1" x14ac:dyDescent="0.35">
      <c r="A207" s="96">
        <v>210</v>
      </c>
      <c r="B207" s="96" t="s">
        <v>3008</v>
      </c>
      <c r="C207" s="96" t="s">
        <v>3009</v>
      </c>
      <c r="D207" s="96"/>
      <c r="E207" s="96" t="s">
        <v>3010</v>
      </c>
      <c r="F207" s="96" t="s">
        <v>24</v>
      </c>
      <c r="G207" s="96">
        <v>9</v>
      </c>
      <c r="H207" s="96" t="s">
        <v>55</v>
      </c>
      <c r="I207" s="96" t="s">
        <v>43</v>
      </c>
      <c r="J207" s="96" t="s">
        <v>3011</v>
      </c>
      <c r="K207" s="96" t="s">
        <v>3012</v>
      </c>
      <c r="L207" s="96" t="s">
        <v>43</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5" customHeight="1" x14ac:dyDescent="0.35">
      <c r="A208" s="96">
        <v>211</v>
      </c>
      <c r="B208" s="96" t="s">
        <v>3024</v>
      </c>
      <c r="C208" s="96" t="s">
        <v>3025</v>
      </c>
      <c r="D208" s="96"/>
      <c r="E208" s="96" t="s">
        <v>3026</v>
      </c>
      <c r="F208" s="96" t="s">
        <v>25</v>
      </c>
      <c r="G208" s="96">
        <v>9</v>
      </c>
      <c r="H208" s="96" t="s">
        <v>60</v>
      </c>
      <c r="I208" s="96" t="s">
        <v>35</v>
      </c>
      <c r="J208" s="96" t="s">
        <v>3027</v>
      </c>
      <c r="K208" s="96" t="s">
        <v>3028</v>
      </c>
      <c r="L208" s="96" t="s">
        <v>35</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5" customHeight="1" x14ac:dyDescent="0.35">
      <c r="A209" s="96">
        <v>212</v>
      </c>
      <c r="B209" s="96" t="s">
        <v>3038</v>
      </c>
      <c r="C209" s="96" t="s">
        <v>3039</v>
      </c>
      <c r="D209" s="96"/>
      <c r="E209" s="96" t="s">
        <v>3040</v>
      </c>
      <c r="F209" s="96" t="s">
        <v>24</v>
      </c>
      <c r="G209" s="96">
        <v>9</v>
      </c>
      <c r="H209" s="96" t="s">
        <v>58</v>
      </c>
      <c r="I209" s="96" t="s">
        <v>45</v>
      </c>
      <c r="J209" s="96" t="s">
        <v>2746</v>
      </c>
      <c r="K209" s="96" t="s">
        <v>2746</v>
      </c>
      <c r="L209" s="96" t="s">
        <v>45</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5" customHeight="1" x14ac:dyDescent="0.35">
      <c r="A210" s="96">
        <v>213</v>
      </c>
      <c r="B210" s="96" t="s">
        <v>3053</v>
      </c>
      <c r="C210" s="96" t="s">
        <v>3054</v>
      </c>
      <c r="D210" s="96" t="s">
        <v>3055</v>
      </c>
      <c r="E210" s="96" t="s">
        <v>3056</v>
      </c>
      <c r="F210" s="96" t="s">
        <v>24</v>
      </c>
      <c r="G210" s="96">
        <v>9</v>
      </c>
      <c r="H210" s="96" t="s">
        <v>54</v>
      </c>
      <c r="I210" s="96" t="s">
        <v>39</v>
      </c>
      <c r="J210" s="96" t="s">
        <v>3057</v>
      </c>
      <c r="K210" s="96" t="s">
        <v>290</v>
      </c>
      <c r="L210" s="96" t="s">
        <v>31</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5" customHeight="1" x14ac:dyDescent="0.35">
      <c r="A211" s="96">
        <v>214</v>
      </c>
      <c r="B211" s="96" t="s">
        <v>3066</v>
      </c>
      <c r="C211" s="96" t="s">
        <v>3067</v>
      </c>
      <c r="D211" s="96" t="s">
        <v>3068</v>
      </c>
      <c r="E211" s="96" t="s">
        <v>3069</v>
      </c>
      <c r="F211" s="96" t="s">
        <v>24</v>
      </c>
      <c r="G211" s="96">
        <v>9</v>
      </c>
      <c r="H211" s="96" t="s">
        <v>54</v>
      </c>
      <c r="I211" s="96" t="s">
        <v>31</v>
      </c>
      <c r="J211" s="96" t="s">
        <v>1175</v>
      </c>
      <c r="K211" s="96" t="s">
        <v>3070</v>
      </c>
      <c r="L211" s="96" t="s">
        <v>31</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1" customHeight="1" x14ac:dyDescent="0.35">
      <c r="A212" s="96">
        <v>215</v>
      </c>
      <c r="B212" s="96" t="s">
        <v>3080</v>
      </c>
      <c r="C212" s="96" t="s">
        <v>3081</v>
      </c>
      <c r="D212" s="96" t="s">
        <v>3082</v>
      </c>
      <c r="E212" s="96" t="s">
        <v>3083</v>
      </c>
      <c r="F212" s="96" t="s">
        <v>24</v>
      </c>
      <c r="G212" s="96">
        <v>9</v>
      </c>
      <c r="H212" s="96" t="s">
        <v>54</v>
      </c>
      <c r="I212" s="96" t="s">
        <v>31</v>
      </c>
      <c r="J212" s="96" t="s">
        <v>3084</v>
      </c>
      <c r="K212" s="96" t="s">
        <v>3085</v>
      </c>
      <c r="L212" s="96" t="s">
        <v>31</v>
      </c>
      <c r="M212" s="96" t="s">
        <v>150</v>
      </c>
      <c r="N212" s="96">
        <v>138807</v>
      </c>
      <c r="O212" s="96" t="s">
        <v>322</v>
      </c>
      <c r="P212" s="96" t="s">
        <v>322</v>
      </c>
      <c r="Q212" s="96"/>
      <c r="R212" s="96" t="s">
        <v>3086</v>
      </c>
      <c r="S212" s="96"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x14ac:dyDescent="0.35">
      <c r="A213" s="96">
        <v>216</v>
      </c>
      <c r="B213" s="96" t="s">
        <v>3098</v>
      </c>
      <c r="C213" s="96" t="s">
        <v>3099</v>
      </c>
      <c r="D213" s="96" t="s">
        <v>3100</v>
      </c>
      <c r="E213" s="96" t="s">
        <v>3101</v>
      </c>
      <c r="F213" s="96" t="s">
        <v>24</v>
      </c>
      <c r="G213" s="96">
        <v>9</v>
      </c>
      <c r="H213" s="96" t="s">
        <v>58</v>
      </c>
      <c r="I213" s="96" t="s">
        <v>45</v>
      </c>
      <c r="J213" s="96" t="s">
        <v>3102</v>
      </c>
      <c r="K213" s="96" t="s">
        <v>3103</v>
      </c>
      <c r="L213" s="96" t="s">
        <v>45</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5" customHeight="1" x14ac:dyDescent="0.35">
      <c r="A214" s="91">
        <v>217</v>
      </c>
      <c r="B214" s="91" t="s">
        <v>3115</v>
      </c>
      <c r="C214" s="91" t="s">
        <v>3116</v>
      </c>
      <c r="D214" s="91" t="s">
        <v>3117</v>
      </c>
      <c r="E214" s="91" t="s">
        <v>3118</v>
      </c>
      <c r="F214" s="91" t="s">
        <v>24</v>
      </c>
      <c r="G214" s="91">
        <v>9</v>
      </c>
      <c r="H214" s="91" t="s">
        <v>52</v>
      </c>
      <c r="I214" s="91" t="s">
        <v>42</v>
      </c>
      <c r="J214" s="91" t="s">
        <v>2679</v>
      </c>
      <c r="K214" s="91" t="s">
        <v>3119</v>
      </c>
      <c r="L214" s="91" t="s">
        <v>42</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5" customHeight="1" x14ac:dyDescent="0.35">
      <c r="A215" s="96">
        <v>218</v>
      </c>
      <c r="B215" s="96" t="s">
        <v>3131</v>
      </c>
      <c r="C215" s="96" t="s">
        <v>3132</v>
      </c>
      <c r="D215" s="96" t="s">
        <v>2651</v>
      </c>
      <c r="E215" s="96" t="s">
        <v>3133</v>
      </c>
      <c r="F215" s="96" t="s">
        <v>24</v>
      </c>
      <c r="G215" s="96">
        <v>9</v>
      </c>
      <c r="H215" s="96" t="s">
        <v>54</v>
      </c>
      <c r="I215" s="96" t="s">
        <v>31</v>
      </c>
      <c r="J215" s="96" t="s">
        <v>3134</v>
      </c>
      <c r="K215" s="96" t="s">
        <v>3134</v>
      </c>
      <c r="L215" s="96" t="s">
        <v>45</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5" customHeight="1" x14ac:dyDescent="0.35">
      <c r="A216" s="96">
        <v>219</v>
      </c>
      <c r="B216" s="96" t="s">
        <v>3144</v>
      </c>
      <c r="C216" s="96" t="s">
        <v>3145</v>
      </c>
      <c r="D216" s="96" t="s">
        <v>3146</v>
      </c>
      <c r="E216" s="96" t="s">
        <v>3147</v>
      </c>
      <c r="F216" s="96" t="s">
        <v>25</v>
      </c>
      <c r="G216" s="96">
        <v>9</v>
      </c>
      <c r="H216" s="96" t="s">
        <v>52</v>
      </c>
      <c r="I216" s="96" t="s">
        <v>37</v>
      </c>
      <c r="J216" s="96" t="s">
        <v>3148</v>
      </c>
      <c r="K216" s="96" t="s">
        <v>3149</v>
      </c>
      <c r="L216" s="96" t="s">
        <v>45</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5" customHeight="1" x14ac:dyDescent="0.35">
      <c r="A217" s="96">
        <v>220</v>
      </c>
      <c r="B217" s="96" t="s">
        <v>3160</v>
      </c>
      <c r="C217" s="96" t="s">
        <v>3161</v>
      </c>
      <c r="D217" s="96" t="s">
        <v>3162</v>
      </c>
      <c r="E217" s="96" t="s">
        <v>3163</v>
      </c>
      <c r="F217" s="96" t="s">
        <v>24</v>
      </c>
      <c r="G217" s="96">
        <v>9</v>
      </c>
      <c r="H217" s="96" t="s">
        <v>54</v>
      </c>
      <c r="I217" s="96" t="s">
        <v>39</v>
      </c>
      <c r="J217" s="96" t="s">
        <v>3164</v>
      </c>
      <c r="K217" s="96" t="s">
        <v>3165</v>
      </c>
      <c r="L217" s="96" t="s">
        <v>39</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5" customHeight="1" x14ac:dyDescent="0.35">
      <c r="A218" s="96">
        <v>221</v>
      </c>
      <c r="B218" s="96" t="s">
        <v>3175</v>
      </c>
      <c r="C218" s="96" t="s">
        <v>3176</v>
      </c>
      <c r="D218" s="96" t="s">
        <v>619</v>
      </c>
      <c r="E218" s="96" t="s">
        <v>3177</v>
      </c>
      <c r="F218" s="96" t="s">
        <v>25</v>
      </c>
      <c r="G218" s="96">
        <v>9</v>
      </c>
      <c r="H218" s="96" t="s">
        <v>59</v>
      </c>
      <c r="I218" s="96" t="s">
        <v>40</v>
      </c>
      <c r="J218" s="96" t="s">
        <v>1128</v>
      </c>
      <c r="K218" s="96" t="s">
        <v>3178</v>
      </c>
      <c r="L218" s="96" t="s">
        <v>45</v>
      </c>
      <c r="M218" s="96" t="s">
        <v>163</v>
      </c>
      <c r="N218" s="96"/>
      <c r="O218" s="96" t="s">
        <v>151</v>
      </c>
      <c r="P218" s="96" t="s">
        <v>151</v>
      </c>
      <c r="Q218" s="96"/>
      <c r="R218" s="96"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5" customHeight="1" x14ac:dyDescent="0.35">
      <c r="A219" s="96">
        <v>222</v>
      </c>
      <c r="B219" s="96" t="s">
        <v>3190</v>
      </c>
      <c r="C219" s="96" t="s">
        <v>3191</v>
      </c>
      <c r="D219" s="96"/>
      <c r="E219" s="96" t="s">
        <v>3192</v>
      </c>
      <c r="F219" s="96" t="s">
        <v>24</v>
      </c>
      <c r="G219" s="96">
        <v>9</v>
      </c>
      <c r="H219" s="96" t="s">
        <v>53</v>
      </c>
      <c r="I219" s="96" t="s">
        <v>46</v>
      </c>
      <c r="J219" s="96" t="s">
        <v>3193</v>
      </c>
      <c r="K219" s="96" t="s">
        <v>3194</v>
      </c>
      <c r="L219" s="96" t="s">
        <v>44</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5" customHeight="1" x14ac:dyDescent="0.35">
      <c r="A220" s="96">
        <v>223</v>
      </c>
      <c r="B220" s="96" t="s">
        <v>3204</v>
      </c>
      <c r="C220" s="96" t="s">
        <v>3205</v>
      </c>
      <c r="D220" s="96"/>
      <c r="E220" s="96" t="s">
        <v>3206</v>
      </c>
      <c r="F220" s="96" t="s">
        <v>24</v>
      </c>
      <c r="G220" s="96">
        <v>9</v>
      </c>
      <c r="H220" s="96" t="s">
        <v>54</v>
      </c>
      <c r="I220" s="96" t="s">
        <v>31</v>
      </c>
      <c r="J220" s="96" t="s">
        <v>3207</v>
      </c>
      <c r="K220" s="96" t="s">
        <v>3208</v>
      </c>
      <c r="L220" s="96" t="s">
        <v>31</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5" customHeight="1" x14ac:dyDescent="0.35">
      <c r="A221" s="96">
        <v>224</v>
      </c>
      <c r="B221" s="91" t="s">
        <v>3218</v>
      </c>
      <c r="C221" s="91" t="s">
        <v>3219</v>
      </c>
      <c r="D221" s="91" t="s">
        <v>3220</v>
      </c>
      <c r="E221" s="91" t="s">
        <v>3221</v>
      </c>
      <c r="F221" s="91" t="s">
        <v>24</v>
      </c>
      <c r="G221" s="91">
        <v>9</v>
      </c>
      <c r="H221" s="91" t="s">
        <v>60</v>
      </c>
      <c r="I221" s="91" t="s">
        <v>35</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5" customHeight="1" x14ac:dyDescent="0.35">
      <c r="A222" s="202">
        <v>225</v>
      </c>
      <c r="B222" s="202" t="s">
        <v>3228</v>
      </c>
      <c r="C222" s="202" t="s">
        <v>3229</v>
      </c>
      <c r="D222" s="202"/>
      <c r="E222" s="202" t="s">
        <v>3230</v>
      </c>
      <c r="F222" s="202" t="s">
        <v>24</v>
      </c>
      <c r="G222" s="202">
        <v>10</v>
      </c>
      <c r="H222" s="202" t="s">
        <v>55</v>
      </c>
      <c r="I222" s="202" t="s">
        <v>43</v>
      </c>
      <c r="J222" s="202" t="s">
        <v>1421</v>
      </c>
      <c r="K222" s="202" t="s">
        <v>3231</v>
      </c>
      <c r="L222" s="202" t="s">
        <v>45</v>
      </c>
      <c r="M222" s="202" t="s">
        <v>163</v>
      </c>
      <c r="N222" s="202"/>
      <c r="O222" s="202" t="s">
        <v>151</v>
      </c>
      <c r="P222" s="202" t="s">
        <v>151</v>
      </c>
      <c r="Q222" s="202"/>
      <c r="R222" s="202" t="s">
        <v>3232</v>
      </c>
      <c r="S222" s="20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5" customHeight="1" x14ac:dyDescent="0.35">
      <c r="A223" s="202">
        <v>226</v>
      </c>
      <c r="B223" s="202" t="s">
        <v>3241</v>
      </c>
      <c r="C223" s="202" t="s">
        <v>3242</v>
      </c>
      <c r="D223" s="202"/>
      <c r="E223" s="202" t="s">
        <v>3243</v>
      </c>
      <c r="F223" s="202" t="s">
        <v>24</v>
      </c>
      <c r="G223" s="202">
        <v>10</v>
      </c>
      <c r="H223" s="202" t="s">
        <v>55</v>
      </c>
      <c r="I223" s="202" t="s">
        <v>43</v>
      </c>
      <c r="J223" s="202" t="s">
        <v>602</v>
      </c>
      <c r="K223" s="202" t="s">
        <v>3244</v>
      </c>
      <c r="L223" s="202" t="s">
        <v>45</v>
      </c>
      <c r="M223" s="202" t="s">
        <v>163</v>
      </c>
      <c r="N223" s="202">
        <v>2477108</v>
      </c>
      <c r="O223" s="202" t="s">
        <v>151</v>
      </c>
      <c r="P223" s="202" t="s">
        <v>151</v>
      </c>
      <c r="Q223" s="202"/>
      <c r="R223" s="202" t="s">
        <v>3245</v>
      </c>
      <c r="S223" s="20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5" customHeight="1" x14ac:dyDescent="0.35">
      <c r="A224" s="202">
        <v>227</v>
      </c>
      <c r="B224" s="202" t="s">
        <v>3253</v>
      </c>
      <c r="C224" s="202" t="s">
        <v>3254</v>
      </c>
      <c r="D224" s="202" t="s">
        <v>3255</v>
      </c>
      <c r="E224" s="202" t="s">
        <v>3256</v>
      </c>
      <c r="F224" s="202" t="s">
        <v>24</v>
      </c>
      <c r="G224" s="202">
        <v>10</v>
      </c>
      <c r="H224" s="202" t="s">
        <v>59</v>
      </c>
      <c r="I224" s="202" t="s">
        <v>40</v>
      </c>
      <c r="J224" s="202" t="s">
        <v>2139</v>
      </c>
      <c r="K224" s="202" t="s">
        <v>3257</v>
      </c>
      <c r="L224" s="202" t="s">
        <v>45</v>
      </c>
      <c r="M224" s="202" t="s">
        <v>163</v>
      </c>
      <c r="N224" s="202"/>
      <c r="O224" s="202" t="s">
        <v>322</v>
      </c>
      <c r="P224" s="202" t="s">
        <v>322</v>
      </c>
      <c r="Q224" s="202"/>
      <c r="R224" s="202" t="s">
        <v>3258</v>
      </c>
      <c r="S224" s="20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5" customHeight="1" x14ac:dyDescent="0.35">
      <c r="A225" s="202">
        <v>228</v>
      </c>
      <c r="B225" s="202" t="s">
        <v>3266</v>
      </c>
      <c r="C225" s="202" t="s">
        <v>629</v>
      </c>
      <c r="D225" s="202" t="s">
        <v>3267</v>
      </c>
      <c r="E225" s="202" t="s">
        <v>3268</v>
      </c>
      <c r="F225" s="202" t="s">
        <v>24</v>
      </c>
      <c r="G225" s="202">
        <v>10</v>
      </c>
      <c r="H225" s="202" t="s">
        <v>54</v>
      </c>
      <c r="I225" s="202" t="s">
        <v>31</v>
      </c>
      <c r="J225" s="202" t="s">
        <v>3269</v>
      </c>
      <c r="K225" s="202" t="s">
        <v>3270</v>
      </c>
      <c r="L225" s="202" t="s">
        <v>31</v>
      </c>
      <c r="M225" s="202" t="s">
        <v>150</v>
      </c>
      <c r="N225" s="202"/>
      <c r="O225" s="202" t="s">
        <v>322</v>
      </c>
      <c r="P225" s="202" t="s">
        <v>322</v>
      </c>
      <c r="Q225" s="202"/>
      <c r="R225" s="202" t="s">
        <v>3271</v>
      </c>
      <c r="S225" s="20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5" customHeight="1" x14ac:dyDescent="0.35">
      <c r="A226" s="202">
        <v>229</v>
      </c>
      <c r="B226" s="202" t="s">
        <v>3278</v>
      </c>
      <c r="C226" s="202" t="s">
        <v>3279</v>
      </c>
      <c r="D226" s="202" t="s">
        <v>3280</v>
      </c>
      <c r="E226" s="202" t="s">
        <v>3281</v>
      </c>
      <c r="F226" s="202" t="s">
        <v>24</v>
      </c>
      <c r="G226" s="202">
        <v>10</v>
      </c>
      <c r="H226" s="202" t="s">
        <v>53</v>
      </c>
      <c r="I226" s="202" t="s">
        <v>46</v>
      </c>
      <c r="J226" s="202" t="s">
        <v>1421</v>
      </c>
      <c r="K226" s="202" t="s">
        <v>3282</v>
      </c>
      <c r="L226" s="202" t="s">
        <v>45</v>
      </c>
      <c r="M226" s="202" t="s">
        <v>163</v>
      </c>
      <c r="N226" s="202"/>
      <c r="O226" s="202" t="s">
        <v>151</v>
      </c>
      <c r="P226" s="202" t="s">
        <v>151</v>
      </c>
      <c r="Q226" s="202"/>
      <c r="R226" s="202" t="s">
        <v>3283</v>
      </c>
      <c r="S226" s="20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c r="BN226" s="202" t="s">
        <v>17</v>
      </c>
      <c r="BO226" s="270"/>
      <c r="BP226" s="270"/>
      <c r="BQ226" s="202"/>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5" customHeight="1" x14ac:dyDescent="0.35">
      <c r="A227" s="202">
        <v>230</v>
      </c>
      <c r="B227" s="202" t="s">
        <v>3290</v>
      </c>
      <c r="C227" s="202" t="s">
        <v>3291</v>
      </c>
      <c r="D227" s="202" t="s">
        <v>3292</v>
      </c>
      <c r="E227" s="202" t="s">
        <v>3293</v>
      </c>
      <c r="F227" s="202" t="s">
        <v>24</v>
      </c>
      <c r="G227" s="202">
        <v>10</v>
      </c>
      <c r="H227" s="202" t="s">
        <v>52</v>
      </c>
      <c r="I227" s="202" t="s">
        <v>37</v>
      </c>
      <c r="J227" s="202" t="s">
        <v>3294</v>
      </c>
      <c r="K227" s="202" t="s">
        <v>3295</v>
      </c>
      <c r="L227" s="202" t="s">
        <v>45</v>
      </c>
      <c r="M227" s="202" t="s">
        <v>163</v>
      </c>
      <c r="N227" s="202"/>
      <c r="O227" s="202" t="s">
        <v>1303</v>
      </c>
      <c r="P227" s="202" t="s">
        <v>1303</v>
      </c>
      <c r="Q227" s="202"/>
      <c r="R227" s="202" t="s">
        <v>3296</v>
      </c>
      <c r="S227" s="202" t="s">
        <v>3297</v>
      </c>
      <c r="T227" s="354" t="s">
        <v>3298</v>
      </c>
      <c r="U227" s="203" t="s">
        <v>3299</v>
      </c>
      <c r="V227" s="203">
        <v>31132</v>
      </c>
      <c r="W227" s="269" t="s">
        <v>3300</v>
      </c>
      <c r="X227" s="269" t="s">
        <v>179</v>
      </c>
      <c r="Y227" s="269"/>
      <c r="Z227" s="269"/>
      <c r="AA227" s="202"/>
      <c r="AB227" s="203">
        <v>44013</v>
      </c>
      <c r="AC227" s="289">
        <v>43891</v>
      </c>
      <c r="AD227" s="203"/>
      <c r="AE227" s="203" t="s">
        <v>3301</v>
      </c>
      <c r="AF227" s="203" t="s">
        <v>3302</v>
      </c>
      <c r="AG227" s="203" t="s">
        <v>3302</v>
      </c>
      <c r="AH227" s="202">
        <f t="shared" si="70"/>
        <v>3</v>
      </c>
      <c r="AI227" s="203"/>
      <c r="AJ227" s="203"/>
      <c r="AK227" s="203"/>
      <c r="AL227" s="203"/>
      <c r="AM227" s="203"/>
      <c r="AN227" s="203"/>
      <c r="AO227" s="203" t="s">
        <v>164</v>
      </c>
      <c r="AP227" s="203" t="s">
        <v>875</v>
      </c>
      <c r="AQ227" s="203" t="s">
        <v>3303</v>
      </c>
      <c r="AR227" s="203" t="s">
        <v>150</v>
      </c>
      <c r="AS227" s="203"/>
      <c r="AT227" s="422" t="s">
        <v>3304</v>
      </c>
      <c r="AU227" s="202" t="s">
        <v>3305</v>
      </c>
      <c r="AV227" s="203"/>
      <c r="AW227" s="204">
        <v>43897</v>
      </c>
      <c r="AX227" s="316" t="s">
        <v>3239</v>
      </c>
      <c r="AY227" s="204" t="s">
        <v>150</v>
      </c>
      <c r="AZ227" s="204">
        <v>44161</v>
      </c>
      <c r="BA227" s="204">
        <v>44214</v>
      </c>
      <c r="BB227" s="204"/>
      <c r="BC227" s="204"/>
      <c r="BD227" s="204"/>
      <c r="BE227" s="205" t="s">
        <v>3300</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3306</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5" customHeight="1" x14ac:dyDescent="0.35">
      <c r="A228" s="202">
        <v>231</v>
      </c>
      <c r="B228" s="202" t="s">
        <v>3307</v>
      </c>
      <c r="C228" s="202" t="s">
        <v>3308</v>
      </c>
      <c r="D228" s="202" t="s">
        <v>3309</v>
      </c>
      <c r="E228" s="202" t="s">
        <v>3310</v>
      </c>
      <c r="F228" s="202" t="s">
        <v>24</v>
      </c>
      <c r="G228" s="202">
        <v>10</v>
      </c>
      <c r="H228" s="202" t="s">
        <v>54</v>
      </c>
      <c r="I228" s="202" t="s">
        <v>31</v>
      </c>
      <c r="J228" s="202" t="s">
        <v>3311</v>
      </c>
      <c r="K228" s="202" t="s">
        <v>1744</v>
      </c>
      <c r="L228" s="202" t="s">
        <v>31</v>
      </c>
      <c r="M228" s="202" t="s">
        <v>163</v>
      </c>
      <c r="N228" s="202"/>
      <c r="O228" s="202" t="s">
        <v>151</v>
      </c>
      <c r="P228" s="202" t="s">
        <v>151</v>
      </c>
      <c r="Q228" s="202" t="s">
        <v>151</v>
      </c>
      <c r="R228" s="202" t="s">
        <v>3312</v>
      </c>
      <c r="S228" s="202" t="s">
        <v>3313</v>
      </c>
      <c r="T228" s="354" t="s">
        <v>3314</v>
      </c>
      <c r="U228" s="203" t="s">
        <v>3315</v>
      </c>
      <c r="V228" s="203">
        <v>29362</v>
      </c>
      <c r="W228" s="269" t="s">
        <v>3316</v>
      </c>
      <c r="X228" s="269" t="s">
        <v>2498</v>
      </c>
      <c r="Y228" s="269"/>
      <c r="Z228" s="269"/>
      <c r="AA228" s="202"/>
      <c r="AB228" s="203"/>
      <c r="AC228" s="289">
        <v>43891</v>
      </c>
      <c r="AD228" s="203"/>
      <c r="AE228" s="203" t="s">
        <v>3317</v>
      </c>
      <c r="AF228" s="203" t="s">
        <v>3318</v>
      </c>
      <c r="AG228" s="203" t="s">
        <v>3319</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3320</v>
      </c>
      <c r="AV228" s="203"/>
      <c r="AW228" s="204">
        <v>43898</v>
      </c>
      <c r="AX228" s="204">
        <v>44136</v>
      </c>
      <c r="AY228" s="204" t="s">
        <v>150</v>
      </c>
      <c r="AZ228" s="204"/>
      <c r="BA228" s="204"/>
      <c r="BB228" s="204"/>
      <c r="BC228" s="204"/>
      <c r="BD228" s="204"/>
      <c r="BE228" s="205" t="s">
        <v>3316</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78">
        <v>4</v>
      </c>
      <c r="CI228" s="202">
        <v>4</v>
      </c>
      <c r="CJ228" s="202"/>
      <c r="CK228" s="202" t="s">
        <v>809</v>
      </c>
      <c r="CL228"/>
    </row>
    <row r="229" spans="1:90" s="53" customFormat="1" ht="25" customHeight="1" x14ac:dyDescent="0.35">
      <c r="A229" s="202">
        <v>232</v>
      </c>
      <c r="B229" s="91" t="s">
        <v>3323</v>
      </c>
      <c r="C229" s="91" t="s">
        <v>3324</v>
      </c>
      <c r="D229" s="91" t="s">
        <v>3325</v>
      </c>
      <c r="E229" s="91" t="s">
        <v>3326</v>
      </c>
      <c r="F229" s="91" t="s">
        <v>25</v>
      </c>
      <c r="G229" s="91">
        <v>10</v>
      </c>
      <c r="H229" s="91" t="s">
        <v>52</v>
      </c>
      <c r="I229" s="91" t="s">
        <v>42</v>
      </c>
      <c r="J229" s="91" t="s">
        <v>3327</v>
      </c>
      <c r="K229" s="91" t="s">
        <v>2290</v>
      </c>
      <c r="L229" s="91" t="s">
        <v>42</v>
      </c>
      <c r="M229" s="91" t="s">
        <v>150</v>
      </c>
      <c r="N229" s="91"/>
      <c r="O229" s="91" t="s">
        <v>322</v>
      </c>
      <c r="P229" s="91" t="s">
        <v>322</v>
      </c>
      <c r="Q229" s="91"/>
      <c r="R229" s="91" t="s">
        <v>3328</v>
      </c>
      <c r="S229" s="91" t="s">
        <v>3329</v>
      </c>
      <c r="T229" s="341" t="s">
        <v>3330</v>
      </c>
      <c r="U229" s="92" t="s">
        <v>3331</v>
      </c>
      <c r="V229" s="92">
        <v>30207</v>
      </c>
      <c r="W229" s="164" t="s">
        <v>3332</v>
      </c>
      <c r="X229" s="164" t="s">
        <v>2379</v>
      </c>
      <c r="Y229" s="164"/>
      <c r="Z229" s="164"/>
      <c r="AA229" s="91"/>
      <c r="AB229" s="92"/>
      <c r="AC229" s="281">
        <v>43891</v>
      </c>
      <c r="AD229" s="92">
        <v>45107</v>
      </c>
      <c r="AE229" s="92" t="s">
        <v>3333</v>
      </c>
      <c r="AF229" s="91"/>
      <c r="AG229" s="91"/>
      <c r="AH229" s="91">
        <f t="shared" si="70"/>
        <v>1</v>
      </c>
      <c r="AI229" s="92"/>
      <c r="AJ229" s="92"/>
      <c r="AK229" s="92"/>
      <c r="AL229" s="92"/>
      <c r="AM229" s="92"/>
      <c r="AN229" s="92"/>
      <c r="AO229" s="92" t="s">
        <v>164</v>
      </c>
      <c r="AP229" s="92"/>
      <c r="AQ229" s="92"/>
      <c r="AR229" s="92"/>
      <c r="AS229" s="92"/>
      <c r="AT229" s="400" t="s">
        <v>420</v>
      </c>
      <c r="AU229" s="91" t="s">
        <v>3334</v>
      </c>
      <c r="AV229" s="92"/>
      <c r="AW229" s="93">
        <v>43899</v>
      </c>
      <c r="AX229" s="93">
        <v>44136</v>
      </c>
      <c r="AY229" s="93" t="s">
        <v>150</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5" customHeight="1" x14ac:dyDescent="0.35">
      <c r="A230" s="202">
        <v>233</v>
      </c>
      <c r="B230" s="202" t="s">
        <v>3335</v>
      </c>
      <c r="C230" s="202" t="s">
        <v>3336</v>
      </c>
      <c r="D230" s="202" t="s">
        <v>3337</v>
      </c>
      <c r="E230" s="202" t="s">
        <v>3338</v>
      </c>
      <c r="F230" s="202" t="s">
        <v>24</v>
      </c>
      <c r="G230" s="202">
        <v>10</v>
      </c>
      <c r="H230" s="202" t="s">
        <v>54</v>
      </c>
      <c r="I230" s="202" t="s">
        <v>39</v>
      </c>
      <c r="J230" s="202" t="s">
        <v>2801</v>
      </c>
      <c r="K230" s="202" t="s">
        <v>3339</v>
      </c>
      <c r="L230" s="202" t="s">
        <v>45</v>
      </c>
      <c r="M230" s="202" t="s">
        <v>163</v>
      </c>
      <c r="N230" s="202"/>
      <c r="O230" s="202" t="s">
        <v>151</v>
      </c>
      <c r="P230" s="202" t="s">
        <v>151</v>
      </c>
      <c r="Q230" s="202"/>
      <c r="R230" s="202" t="s">
        <v>3340</v>
      </c>
      <c r="S230" s="392" t="s">
        <v>3341</v>
      </c>
      <c r="T230" s="354" t="s">
        <v>3342</v>
      </c>
      <c r="U230" s="203" t="s">
        <v>789</v>
      </c>
      <c r="V230" s="203">
        <v>29652</v>
      </c>
      <c r="W230" s="269" t="s">
        <v>3343</v>
      </c>
      <c r="X230" s="269" t="s">
        <v>2379</v>
      </c>
      <c r="Y230" s="269"/>
      <c r="Z230" s="269"/>
      <c r="AA230" s="202"/>
      <c r="AB230" s="203">
        <v>44305</v>
      </c>
      <c r="AC230" s="289">
        <v>43891</v>
      </c>
      <c r="AD230" s="203"/>
      <c r="AE230" s="203" t="s">
        <v>3344</v>
      </c>
      <c r="AF230" s="203" t="s">
        <v>3345</v>
      </c>
      <c r="AG230" s="203" t="s">
        <v>3346</v>
      </c>
      <c r="AH230" s="202">
        <f t="shared" si="70"/>
        <v>3</v>
      </c>
      <c r="AI230" s="203"/>
      <c r="AJ230" s="203"/>
      <c r="AK230" s="203"/>
      <c r="AL230" s="203"/>
      <c r="AM230" s="203"/>
      <c r="AN230" s="203"/>
      <c r="AO230" s="203" t="s">
        <v>164</v>
      </c>
      <c r="AP230" s="203" t="s">
        <v>1440</v>
      </c>
      <c r="AQ230" s="203" t="s">
        <v>1969</v>
      </c>
      <c r="AR230" s="203" t="s">
        <v>150</v>
      </c>
      <c r="AS230" s="203"/>
      <c r="AT230" s="422" t="s">
        <v>285</v>
      </c>
      <c r="AU230" s="202" t="s">
        <v>3347</v>
      </c>
      <c r="AV230" s="203"/>
      <c r="AW230" s="204">
        <v>43909</v>
      </c>
      <c r="AX230" s="204">
        <v>44136</v>
      </c>
      <c r="AY230" s="204" t="s">
        <v>150</v>
      </c>
      <c r="AZ230" s="204">
        <v>44391</v>
      </c>
      <c r="BA230" s="204">
        <v>44355</v>
      </c>
      <c r="BB230" s="204"/>
      <c r="BC230" s="204"/>
      <c r="BD230" s="204"/>
      <c r="BE230" s="205" t="s">
        <v>3343</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3348</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5" customHeight="1" x14ac:dyDescent="0.35">
      <c r="A231" s="202">
        <v>234</v>
      </c>
      <c r="B231" s="202" t="s">
        <v>3349</v>
      </c>
      <c r="C231" s="202" t="s">
        <v>3350</v>
      </c>
      <c r="D231" s="202"/>
      <c r="E231" s="202" t="s">
        <v>3351</v>
      </c>
      <c r="F231" s="202" t="s">
        <v>25</v>
      </c>
      <c r="G231" s="202">
        <v>10</v>
      </c>
      <c r="H231" s="202" t="s">
        <v>60</v>
      </c>
      <c r="I231" s="202" t="s">
        <v>35</v>
      </c>
      <c r="J231" s="202" t="s">
        <v>602</v>
      </c>
      <c r="K231" s="202" t="s">
        <v>2982</v>
      </c>
      <c r="L231" s="202" t="s">
        <v>35</v>
      </c>
      <c r="M231" s="202" t="s">
        <v>150</v>
      </c>
      <c r="N231" s="202"/>
      <c r="O231" s="202" t="s">
        <v>151</v>
      </c>
      <c r="P231" s="202" t="s">
        <v>151</v>
      </c>
      <c r="Q231" s="202"/>
      <c r="R231" s="202" t="s">
        <v>3352</v>
      </c>
      <c r="S231" s="202" t="s">
        <v>3353</v>
      </c>
      <c r="T231" s="354" t="s">
        <v>3354</v>
      </c>
      <c r="U231" s="203" t="s">
        <v>817</v>
      </c>
      <c r="V231" s="203">
        <v>31343</v>
      </c>
      <c r="W231" s="269" t="s">
        <v>3355</v>
      </c>
      <c r="X231" s="269" t="s">
        <v>179</v>
      </c>
      <c r="Y231" s="269"/>
      <c r="Z231" s="269"/>
      <c r="AA231" s="202"/>
      <c r="AB231" s="203">
        <v>44074</v>
      </c>
      <c r="AC231" s="289">
        <v>43891</v>
      </c>
      <c r="AD231" s="203"/>
      <c r="AE231" s="203" t="s">
        <v>3356</v>
      </c>
      <c r="AF231" s="203" t="s">
        <v>3357</v>
      </c>
      <c r="AG231" s="203" t="s">
        <v>3358</v>
      </c>
      <c r="AH231" s="202">
        <f t="shared" si="70"/>
        <v>3</v>
      </c>
      <c r="AI231" s="203"/>
      <c r="AJ231" s="203"/>
      <c r="AK231" s="203"/>
      <c r="AL231" s="203"/>
      <c r="AM231" s="203"/>
      <c r="AN231" s="203"/>
      <c r="AO231" s="203" t="s">
        <v>182</v>
      </c>
      <c r="AP231" s="203" t="s">
        <v>1835</v>
      </c>
      <c r="AQ231" s="203"/>
      <c r="AR231" s="203" t="s">
        <v>150</v>
      </c>
      <c r="AS231" s="203"/>
      <c r="AT231" s="422" t="s">
        <v>580</v>
      </c>
      <c r="AU231" s="202" t="s">
        <v>3359</v>
      </c>
      <c r="AV231" s="203"/>
      <c r="AW231" s="204">
        <v>43901</v>
      </c>
      <c r="AX231" s="204">
        <v>44136</v>
      </c>
      <c r="AY231" s="204" t="s">
        <v>150</v>
      </c>
      <c r="AZ231" s="204">
        <v>44271</v>
      </c>
      <c r="BA231" s="204">
        <v>44593</v>
      </c>
      <c r="BB231" s="204"/>
      <c r="BC231" s="204"/>
      <c r="BD231" s="204"/>
      <c r="BE231" s="205" t="s">
        <v>3355</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3360</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5" customHeight="1" x14ac:dyDescent="0.35">
      <c r="A232" s="202">
        <v>235</v>
      </c>
      <c r="B232" s="202" t="s">
        <v>3361</v>
      </c>
      <c r="C232" s="202" t="s">
        <v>3362</v>
      </c>
      <c r="D232" s="202" t="s">
        <v>3363</v>
      </c>
      <c r="E232" s="202" t="s">
        <v>3364</v>
      </c>
      <c r="F232" s="202" t="s">
        <v>24</v>
      </c>
      <c r="G232" s="202">
        <v>10</v>
      </c>
      <c r="H232" s="202" t="s">
        <v>54</v>
      </c>
      <c r="I232" s="202" t="s">
        <v>39</v>
      </c>
      <c r="J232" s="202" t="s">
        <v>3365</v>
      </c>
      <c r="K232" s="202" t="s">
        <v>3366</v>
      </c>
      <c r="L232" s="202" t="s">
        <v>31</v>
      </c>
      <c r="M232" s="202" t="s">
        <v>163</v>
      </c>
      <c r="N232" s="202"/>
      <c r="O232" s="202" t="s">
        <v>151</v>
      </c>
      <c r="P232" s="202" t="s">
        <v>151</v>
      </c>
      <c r="Q232" s="202"/>
      <c r="R232" s="202" t="s">
        <v>3367</v>
      </c>
      <c r="S232" s="202" t="s">
        <v>3368</v>
      </c>
      <c r="T232" s="354" t="s">
        <v>3369</v>
      </c>
      <c r="U232" s="203" t="s">
        <v>817</v>
      </c>
      <c r="V232" s="203">
        <v>27714</v>
      </c>
      <c r="W232" s="269" t="s">
        <v>3370</v>
      </c>
      <c r="X232" s="269" t="s">
        <v>156</v>
      </c>
      <c r="Y232" s="269"/>
      <c r="Z232" s="269"/>
      <c r="AA232" s="202"/>
      <c r="AB232" s="203">
        <v>44217</v>
      </c>
      <c r="AC232" s="289">
        <v>43891</v>
      </c>
      <c r="AD232" s="203"/>
      <c r="AE232" s="203" t="s">
        <v>3371</v>
      </c>
      <c r="AF232" s="203" t="s">
        <v>3372</v>
      </c>
      <c r="AG232" s="203"/>
      <c r="AH232" s="202">
        <f t="shared" si="70"/>
        <v>2</v>
      </c>
      <c r="AI232" s="203"/>
      <c r="AJ232" s="203"/>
      <c r="AK232" s="203"/>
      <c r="AL232" s="203"/>
      <c r="AM232" s="203"/>
      <c r="AN232" s="203"/>
      <c r="AO232" s="203" t="s">
        <v>182</v>
      </c>
      <c r="AP232" s="203" t="s">
        <v>250</v>
      </c>
      <c r="AQ232" s="203" t="s">
        <v>3373</v>
      </c>
      <c r="AR232" s="203" t="s">
        <v>150</v>
      </c>
      <c r="AS232" s="203"/>
      <c r="AT232" s="422" t="s">
        <v>285</v>
      </c>
      <c r="AU232" s="202" t="s">
        <v>3374</v>
      </c>
      <c r="AV232" s="203"/>
      <c r="AW232" s="204">
        <v>43910</v>
      </c>
      <c r="AX232" s="316" t="s">
        <v>3239</v>
      </c>
      <c r="AY232" s="204" t="s">
        <v>150</v>
      </c>
      <c r="AZ232" s="204">
        <v>44888</v>
      </c>
      <c r="BA232" s="204">
        <v>44780</v>
      </c>
      <c r="BB232" s="204"/>
      <c r="BC232" s="204"/>
      <c r="BD232" s="204"/>
      <c r="BE232" s="205" t="s">
        <v>3370</v>
      </c>
      <c r="BF232" s="204">
        <v>45061</v>
      </c>
      <c r="BG232" s="204" t="s">
        <v>163</v>
      </c>
      <c r="BH232" s="204">
        <v>45476</v>
      </c>
      <c r="BI232" s="204" t="s">
        <v>150</v>
      </c>
      <c r="BJ232" s="203"/>
      <c r="BK232" s="203">
        <v>46058</v>
      </c>
      <c r="BL232" s="203">
        <v>46094</v>
      </c>
      <c r="BM232" s="206">
        <v>46094</v>
      </c>
      <c r="BN232" s="202" t="s">
        <v>16</v>
      </c>
      <c r="BO232" s="270">
        <f t="shared" si="73"/>
        <v>72</v>
      </c>
      <c r="BP232" s="202"/>
      <c r="BQ232" s="202"/>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5" customHeight="1" x14ac:dyDescent="0.35">
      <c r="A233" s="202">
        <v>236</v>
      </c>
      <c r="B233" s="202" t="s">
        <v>3375</v>
      </c>
      <c r="C233" s="202" t="s">
        <v>3376</v>
      </c>
      <c r="D233" s="202"/>
      <c r="E233" s="202" t="s">
        <v>3377</v>
      </c>
      <c r="F233" s="202" t="s">
        <v>25</v>
      </c>
      <c r="G233" s="202">
        <v>10</v>
      </c>
      <c r="H233" s="202" t="s">
        <v>60</v>
      </c>
      <c r="I233" s="202" t="s">
        <v>35</v>
      </c>
      <c r="J233" s="202" t="s">
        <v>2692</v>
      </c>
      <c r="K233" s="202" t="s">
        <v>3378</v>
      </c>
      <c r="L233" s="202" t="s">
        <v>35</v>
      </c>
      <c r="M233" s="202" t="s">
        <v>150</v>
      </c>
      <c r="N233" s="202"/>
      <c r="O233" s="202" t="s">
        <v>151</v>
      </c>
      <c r="P233" s="202" t="s">
        <v>151</v>
      </c>
      <c r="Q233" s="202"/>
      <c r="R233" s="202" t="s">
        <v>3379</v>
      </c>
      <c r="S233" s="202" t="s">
        <v>3380</v>
      </c>
      <c r="T233" s="354" t="s">
        <v>3381</v>
      </c>
      <c r="U233" s="203" t="s">
        <v>3382</v>
      </c>
      <c r="V233" s="203">
        <v>34002</v>
      </c>
      <c r="W233" s="269" t="s">
        <v>3383</v>
      </c>
      <c r="X233" s="269" t="s">
        <v>2498</v>
      </c>
      <c r="Y233" s="269"/>
      <c r="Z233" s="269"/>
      <c r="AA233" s="202"/>
      <c r="AB233" s="203">
        <v>44580</v>
      </c>
      <c r="AC233" s="289">
        <v>43891</v>
      </c>
      <c r="AD233" s="203"/>
      <c r="AE233" s="203" t="s">
        <v>3384</v>
      </c>
      <c r="AF233" s="203" t="s">
        <v>3385</v>
      </c>
      <c r="AG233" s="203" t="s">
        <v>3386</v>
      </c>
      <c r="AH233" s="202">
        <f t="shared" si="70"/>
        <v>3</v>
      </c>
      <c r="AI233" s="203"/>
      <c r="AJ233" s="203"/>
      <c r="AK233" s="203"/>
      <c r="AL233" s="203"/>
      <c r="AM233" s="203"/>
      <c r="AN233" s="203"/>
      <c r="AO233" s="203" t="s">
        <v>164</v>
      </c>
      <c r="AP233" s="203" t="s">
        <v>1835</v>
      </c>
      <c r="AQ233" s="203"/>
      <c r="AR233" s="203"/>
      <c r="AS233" s="203"/>
      <c r="AT233" s="422" t="s">
        <v>580</v>
      </c>
      <c r="AU233" s="202" t="s">
        <v>3387</v>
      </c>
      <c r="AV233" s="203"/>
      <c r="AW233" s="204">
        <v>43903</v>
      </c>
      <c r="AX233" s="316" t="s">
        <v>3239</v>
      </c>
      <c r="AY233" s="204" t="s">
        <v>150</v>
      </c>
      <c r="AZ233" s="204">
        <v>44566</v>
      </c>
      <c r="BA233" s="204">
        <v>44582</v>
      </c>
      <c r="BB233" s="204"/>
      <c r="BC233" s="204"/>
      <c r="BD233" s="204"/>
      <c r="BE233" s="205" t="s">
        <v>3383</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3388</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5" customHeight="1" x14ac:dyDescent="0.35">
      <c r="A234" s="202">
        <v>237</v>
      </c>
      <c r="B234" s="202" t="s">
        <v>3389</v>
      </c>
      <c r="C234" s="202" t="s">
        <v>3390</v>
      </c>
      <c r="D234" s="202"/>
      <c r="E234" s="202" t="s">
        <v>3391</v>
      </c>
      <c r="F234" s="202" t="s">
        <v>24</v>
      </c>
      <c r="G234" s="202">
        <v>10</v>
      </c>
      <c r="H234" s="202" t="s">
        <v>61</v>
      </c>
      <c r="I234" s="202" t="s">
        <v>45</v>
      </c>
      <c r="J234" s="304" t="s">
        <v>602</v>
      </c>
      <c r="K234" s="202" t="s">
        <v>3392</v>
      </c>
      <c r="L234" s="202" t="s">
        <v>45</v>
      </c>
      <c r="M234" s="202" t="s">
        <v>150</v>
      </c>
      <c r="N234" s="202"/>
      <c r="O234" s="202" t="s">
        <v>151</v>
      </c>
      <c r="P234" s="202" t="s">
        <v>151</v>
      </c>
      <c r="Q234" s="202"/>
      <c r="R234" s="202" t="s">
        <v>3393</v>
      </c>
      <c r="S234" s="202" t="s">
        <v>3394</v>
      </c>
      <c r="T234" s="354" t="s">
        <v>3395</v>
      </c>
      <c r="U234" s="203" t="s">
        <v>3396</v>
      </c>
      <c r="V234" s="203">
        <v>30016</v>
      </c>
      <c r="W234" s="305" t="s">
        <v>3397</v>
      </c>
      <c r="X234" s="269" t="s">
        <v>179</v>
      </c>
      <c r="Y234" s="269"/>
      <c r="Z234" s="269"/>
      <c r="AA234" s="202"/>
      <c r="AB234" s="203">
        <v>44265</v>
      </c>
      <c r="AC234" s="289">
        <v>43891</v>
      </c>
      <c r="AD234" s="203"/>
      <c r="AE234" s="203" t="s">
        <v>3398</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3399</v>
      </c>
      <c r="AV234" s="203"/>
      <c r="AW234" s="204">
        <v>43911</v>
      </c>
      <c r="AX234" s="316" t="s">
        <v>3239</v>
      </c>
      <c r="AY234" s="204" t="s">
        <v>150</v>
      </c>
      <c r="AZ234" s="204">
        <v>44407</v>
      </c>
      <c r="BA234" s="204">
        <v>44508</v>
      </c>
      <c r="BB234" s="204"/>
      <c r="BC234" s="204"/>
      <c r="BD234" s="204"/>
      <c r="BE234" s="205" t="s">
        <v>3397</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3400</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3401</v>
      </c>
      <c r="CL234"/>
    </row>
    <row r="235" spans="1:90" s="53" customFormat="1" ht="26.15" customHeight="1" x14ac:dyDescent="0.35">
      <c r="A235" s="202">
        <v>238</v>
      </c>
      <c r="B235" s="202" t="s">
        <v>3402</v>
      </c>
      <c r="C235" s="202" t="s">
        <v>3403</v>
      </c>
      <c r="D235" s="202"/>
      <c r="E235" s="202" t="s">
        <v>3404</v>
      </c>
      <c r="F235" s="202" t="s">
        <v>24</v>
      </c>
      <c r="G235" s="202">
        <v>10</v>
      </c>
      <c r="H235" s="202" t="s">
        <v>61</v>
      </c>
      <c r="I235" s="202" t="s">
        <v>45</v>
      </c>
      <c r="J235" s="202" t="s">
        <v>362</v>
      </c>
      <c r="K235" s="202" t="s">
        <v>3405</v>
      </c>
      <c r="L235" s="202" t="s">
        <v>45</v>
      </c>
      <c r="M235" s="202" t="s">
        <v>150</v>
      </c>
      <c r="N235" s="202"/>
      <c r="O235" s="202" t="s">
        <v>151</v>
      </c>
      <c r="P235" s="202" t="s">
        <v>151</v>
      </c>
      <c r="Q235" s="202"/>
      <c r="R235" s="202" t="s">
        <v>3406</v>
      </c>
      <c r="S235" s="202" t="s">
        <v>3407</v>
      </c>
      <c r="T235" s="354" t="s">
        <v>3408</v>
      </c>
      <c r="U235" s="203" t="s">
        <v>3409</v>
      </c>
      <c r="V235" s="203">
        <v>31616</v>
      </c>
      <c r="W235" s="269" t="s">
        <v>3410</v>
      </c>
      <c r="X235" s="269" t="s">
        <v>179</v>
      </c>
      <c r="Y235" s="269"/>
      <c r="Z235" s="269"/>
      <c r="AA235" s="202"/>
      <c r="AB235" s="203">
        <v>43865</v>
      </c>
      <c r="AC235" s="289">
        <v>43891</v>
      </c>
      <c r="AD235" s="203"/>
      <c r="AE235" s="203" t="s">
        <v>3411</v>
      </c>
      <c r="AF235" s="203"/>
      <c r="AG235" s="203"/>
      <c r="AH235" s="202">
        <f t="shared" si="70"/>
        <v>1</v>
      </c>
      <c r="AI235" s="203"/>
      <c r="AJ235" s="203"/>
      <c r="AK235" s="203"/>
      <c r="AL235" s="203"/>
      <c r="AM235" s="203"/>
      <c r="AN235" s="203"/>
      <c r="AO235" s="203" t="s">
        <v>164</v>
      </c>
      <c r="AP235" s="203" t="s">
        <v>3412</v>
      </c>
      <c r="AQ235" s="203" t="s">
        <v>3413</v>
      </c>
      <c r="AR235" s="203" t="s">
        <v>150</v>
      </c>
      <c r="AS235" s="203"/>
      <c r="AT235" s="422" t="s">
        <v>372</v>
      </c>
      <c r="AU235" s="202" t="s">
        <v>3414</v>
      </c>
      <c r="AV235" s="203"/>
      <c r="AW235" s="204">
        <v>43905</v>
      </c>
      <c r="AX235" s="316" t="s">
        <v>3239</v>
      </c>
      <c r="AY235" s="204" t="s">
        <v>150</v>
      </c>
      <c r="AZ235" s="204"/>
      <c r="BA235" s="204"/>
      <c r="BB235" s="204"/>
      <c r="BC235" s="204"/>
      <c r="BD235" s="204"/>
      <c r="BE235" s="205" t="s">
        <v>3410</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78">
        <v>1</v>
      </c>
      <c r="CI235" s="202"/>
      <c r="CJ235" s="202"/>
      <c r="CK235" s="202" t="s">
        <v>3401</v>
      </c>
      <c r="CL235"/>
    </row>
    <row r="236" spans="1:90" s="53" customFormat="1" ht="26.15" customHeight="1" x14ac:dyDescent="0.35">
      <c r="A236" s="202">
        <v>239</v>
      </c>
      <c r="B236" s="202" t="s">
        <v>3417</v>
      </c>
      <c r="C236" s="202" t="s">
        <v>3418</v>
      </c>
      <c r="D236" s="202" t="s">
        <v>3419</v>
      </c>
      <c r="E236" s="202" t="s">
        <v>3420</v>
      </c>
      <c r="F236" s="202" t="s">
        <v>24</v>
      </c>
      <c r="G236" s="202">
        <v>10</v>
      </c>
      <c r="H236" s="202" t="s">
        <v>54</v>
      </c>
      <c r="I236" s="202" t="s">
        <v>31</v>
      </c>
      <c r="J236" s="202" t="s">
        <v>2319</v>
      </c>
      <c r="K236" s="202" t="s">
        <v>3421</v>
      </c>
      <c r="L236" s="202" t="s">
        <v>31</v>
      </c>
      <c r="M236" s="202" t="s">
        <v>150</v>
      </c>
      <c r="N236" s="202"/>
      <c r="O236" s="202" t="s">
        <v>3422</v>
      </c>
      <c r="P236" s="202" t="s">
        <v>3423</v>
      </c>
      <c r="Q236" s="202"/>
      <c r="R236" s="202" t="s">
        <v>3424</v>
      </c>
      <c r="S236" s="202" t="s">
        <v>3425</v>
      </c>
      <c r="T236" s="354" t="s">
        <v>3426</v>
      </c>
      <c r="U236" s="203" t="s">
        <v>3427</v>
      </c>
      <c r="V236" s="203">
        <v>27485</v>
      </c>
      <c r="W236" s="269" t="s">
        <v>3428</v>
      </c>
      <c r="X236" s="269" t="s">
        <v>156</v>
      </c>
      <c r="Y236" s="269"/>
      <c r="Z236" s="269"/>
      <c r="AA236" s="202"/>
      <c r="AB236" s="203">
        <v>44182</v>
      </c>
      <c r="AC236" s="289">
        <v>43891</v>
      </c>
      <c r="AD236" s="203"/>
      <c r="AE236" s="203" t="s">
        <v>3429</v>
      </c>
      <c r="AF236" s="203" t="s">
        <v>3430</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3431</v>
      </c>
      <c r="AV236" s="203"/>
      <c r="AW236" s="204">
        <v>43912</v>
      </c>
      <c r="AX236" s="316" t="s">
        <v>3239</v>
      </c>
      <c r="AY236" s="204" t="s">
        <v>150</v>
      </c>
      <c r="AZ236" s="204">
        <v>44335</v>
      </c>
      <c r="BA236" s="204">
        <v>44370</v>
      </c>
      <c r="BB236" s="204"/>
      <c r="BC236" s="204"/>
      <c r="BD236" s="204"/>
      <c r="BE236" s="205" t="s">
        <v>3428</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3432</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5" customHeight="1" x14ac:dyDescent="0.35">
      <c r="A237" s="202">
        <v>240</v>
      </c>
      <c r="B237" s="202" t="s">
        <v>3433</v>
      </c>
      <c r="C237" s="202" t="s">
        <v>3434</v>
      </c>
      <c r="D237" s="202"/>
      <c r="E237" s="202" t="s">
        <v>3435</v>
      </c>
      <c r="F237" s="202" t="s">
        <v>24</v>
      </c>
      <c r="G237" s="202">
        <v>10</v>
      </c>
      <c r="H237" s="202" t="s">
        <v>58</v>
      </c>
      <c r="I237" s="202" t="s">
        <v>45</v>
      </c>
      <c r="J237" s="202" t="s">
        <v>3436</v>
      </c>
      <c r="K237" s="202" t="s">
        <v>3437</v>
      </c>
      <c r="L237" s="202" t="s">
        <v>45</v>
      </c>
      <c r="M237" s="202" t="s">
        <v>150</v>
      </c>
      <c r="N237" s="202"/>
      <c r="O237" s="202" t="s">
        <v>151</v>
      </c>
      <c r="P237" s="202" t="s">
        <v>151</v>
      </c>
      <c r="Q237" s="202"/>
      <c r="R237" s="202" t="s">
        <v>3438</v>
      </c>
      <c r="S237" s="209" t="s">
        <v>3439</v>
      </c>
      <c r="T237" s="354" t="s">
        <v>3440</v>
      </c>
      <c r="U237" s="203" t="s">
        <v>3441</v>
      </c>
      <c r="V237" s="203">
        <v>32413</v>
      </c>
      <c r="W237" s="269" t="s">
        <v>3442</v>
      </c>
      <c r="X237" s="269" t="s">
        <v>179</v>
      </c>
      <c r="Y237" s="269"/>
      <c r="Z237" s="269"/>
      <c r="AA237" s="202"/>
      <c r="AB237" s="203">
        <v>43678</v>
      </c>
      <c r="AC237" s="289">
        <v>43891</v>
      </c>
      <c r="AD237" s="203"/>
      <c r="AE237" s="203" t="s">
        <v>3443</v>
      </c>
      <c r="AF237" s="203" t="s">
        <v>3444</v>
      </c>
      <c r="AG237" s="203"/>
      <c r="AH237" s="202">
        <f t="shared" si="70"/>
        <v>2</v>
      </c>
      <c r="AI237" s="203"/>
      <c r="AJ237" s="203"/>
      <c r="AK237" s="203"/>
      <c r="AL237" s="203"/>
      <c r="AM237" s="203"/>
      <c r="AN237" s="203"/>
      <c r="AO237" s="203" t="s">
        <v>164</v>
      </c>
      <c r="AP237" s="203" t="s">
        <v>3445</v>
      </c>
      <c r="AQ237" s="203" t="s">
        <v>3445</v>
      </c>
      <c r="AR237" s="203"/>
      <c r="AS237" s="203"/>
      <c r="AT237" s="422" t="s">
        <v>372</v>
      </c>
      <c r="AU237" s="202" t="s">
        <v>3446</v>
      </c>
      <c r="AV237" s="203"/>
      <c r="AW237" s="204">
        <v>43913</v>
      </c>
      <c r="AX237" s="316" t="s">
        <v>3239</v>
      </c>
      <c r="AY237" s="204" t="s">
        <v>150</v>
      </c>
      <c r="AZ237" s="204">
        <v>44462</v>
      </c>
      <c r="BA237" s="204">
        <v>44505</v>
      </c>
      <c r="BB237" s="204"/>
      <c r="BC237" s="204"/>
      <c r="BD237" s="204"/>
      <c r="BE237" s="205" t="s">
        <v>3442</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3401</v>
      </c>
      <c r="CL237"/>
    </row>
    <row r="238" spans="1:90" s="53" customFormat="1" ht="26.15" customHeight="1" x14ac:dyDescent="0.35">
      <c r="A238" s="202">
        <v>241</v>
      </c>
      <c r="B238" s="202" t="s">
        <v>3447</v>
      </c>
      <c r="C238" s="202" t="s">
        <v>3448</v>
      </c>
      <c r="D238" s="202" t="s">
        <v>3449</v>
      </c>
      <c r="E238" s="202" t="s">
        <v>3450</v>
      </c>
      <c r="F238" s="202" t="s">
        <v>24</v>
      </c>
      <c r="G238" s="202">
        <v>10</v>
      </c>
      <c r="H238" s="202" t="s">
        <v>53</v>
      </c>
      <c r="I238" s="202" t="s">
        <v>46</v>
      </c>
      <c r="J238" s="202" t="s">
        <v>3451</v>
      </c>
      <c r="K238" s="202" t="s">
        <v>2272</v>
      </c>
      <c r="L238" s="202" t="s">
        <v>45</v>
      </c>
      <c r="M238" s="202" t="s">
        <v>150</v>
      </c>
      <c r="N238" s="202"/>
      <c r="O238" s="202" t="s">
        <v>322</v>
      </c>
      <c r="P238" s="202" t="s">
        <v>322</v>
      </c>
      <c r="Q238" s="202"/>
      <c r="R238" s="202" t="s">
        <v>3452</v>
      </c>
      <c r="S238" s="202" t="s">
        <v>3453</v>
      </c>
      <c r="T238" s="354" t="s">
        <v>3454</v>
      </c>
      <c r="U238" s="203" t="s">
        <v>3455</v>
      </c>
      <c r="V238" s="203">
        <v>33810</v>
      </c>
      <c r="W238" s="269" t="s">
        <v>3456</v>
      </c>
      <c r="X238" s="269" t="s">
        <v>179</v>
      </c>
      <c r="Y238" s="269"/>
      <c r="Z238" s="269"/>
      <c r="AA238" s="202"/>
      <c r="AB238" s="203">
        <v>44479</v>
      </c>
      <c r="AC238" s="289">
        <v>43891</v>
      </c>
      <c r="AD238" s="203"/>
      <c r="AE238" s="203" t="s">
        <v>3457</v>
      </c>
      <c r="AF238" s="203" t="s">
        <v>3458</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3459</v>
      </c>
      <c r="AV238" s="203"/>
      <c r="AW238" s="204">
        <v>43914</v>
      </c>
      <c r="AX238" s="316" t="s">
        <v>3239</v>
      </c>
      <c r="AY238" s="204" t="s">
        <v>150</v>
      </c>
      <c r="AZ238" s="204"/>
      <c r="BA238" s="204"/>
      <c r="BB238" s="204"/>
      <c r="BC238" s="204"/>
      <c r="BD238" s="204"/>
      <c r="BE238" s="205" t="s">
        <v>3456</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5" customHeight="1" x14ac:dyDescent="0.35">
      <c r="A239" s="202">
        <v>242</v>
      </c>
      <c r="B239" s="202" t="s">
        <v>3460</v>
      </c>
      <c r="C239" s="202" t="s">
        <v>3461</v>
      </c>
      <c r="D239" s="202" t="s">
        <v>3462</v>
      </c>
      <c r="E239" s="202" t="s">
        <v>3463</v>
      </c>
      <c r="F239" s="202" t="s">
        <v>24</v>
      </c>
      <c r="G239" s="202">
        <v>10</v>
      </c>
      <c r="H239" s="202" t="s">
        <v>54</v>
      </c>
      <c r="I239" s="202" t="s">
        <v>31</v>
      </c>
      <c r="J239" s="202" t="s">
        <v>3464</v>
      </c>
      <c r="K239" s="202" t="s">
        <v>3465</v>
      </c>
      <c r="L239" s="202" t="s">
        <v>42</v>
      </c>
      <c r="M239" s="202" t="s">
        <v>163</v>
      </c>
      <c r="N239" s="202"/>
      <c r="O239" s="202" t="s">
        <v>322</v>
      </c>
      <c r="P239" s="202" t="s">
        <v>3466</v>
      </c>
      <c r="Q239" s="202"/>
      <c r="R239" s="202" t="s">
        <v>3467</v>
      </c>
      <c r="S239" s="202" t="s">
        <v>3468</v>
      </c>
      <c r="T239" s="354" t="s">
        <v>3469</v>
      </c>
      <c r="U239" s="203" t="s">
        <v>3470</v>
      </c>
      <c r="V239" s="203">
        <v>28305</v>
      </c>
      <c r="W239" s="269" t="s">
        <v>3471</v>
      </c>
      <c r="X239" s="269" t="s">
        <v>2498</v>
      </c>
      <c r="Y239" s="269"/>
      <c r="Z239" s="269"/>
      <c r="AA239" s="202"/>
      <c r="AB239" s="203">
        <v>44432</v>
      </c>
      <c r="AC239" s="289">
        <v>43891</v>
      </c>
      <c r="AD239" s="203"/>
      <c r="AE239" s="203" t="s">
        <v>3472</v>
      </c>
      <c r="AF239" s="203" t="s">
        <v>3473</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3474</v>
      </c>
      <c r="AV239" s="203"/>
      <c r="AW239" s="204">
        <v>43916</v>
      </c>
      <c r="AX239" s="316" t="s">
        <v>3239</v>
      </c>
      <c r="AY239" s="204" t="s">
        <v>150</v>
      </c>
      <c r="AZ239" s="204"/>
      <c r="BA239" s="204"/>
      <c r="BB239" s="204"/>
      <c r="BC239" s="204"/>
      <c r="BD239" s="204"/>
      <c r="BE239" s="205" t="s">
        <v>3471</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5" customHeight="1" x14ac:dyDescent="0.35">
      <c r="A240" s="202">
        <v>243</v>
      </c>
      <c r="B240" s="202" t="s">
        <v>3475</v>
      </c>
      <c r="C240" s="202" t="s">
        <v>3476</v>
      </c>
      <c r="D240" s="202" t="s">
        <v>3477</v>
      </c>
      <c r="E240" s="202" t="s">
        <v>3478</v>
      </c>
      <c r="F240" s="202" t="s">
        <v>25</v>
      </c>
      <c r="G240" s="202">
        <v>10</v>
      </c>
      <c r="H240" s="202" t="s">
        <v>55</v>
      </c>
      <c r="I240" s="202" t="s">
        <v>43</v>
      </c>
      <c r="J240" s="202" t="s">
        <v>3479</v>
      </c>
      <c r="K240" s="202" t="s">
        <v>2788</v>
      </c>
      <c r="L240" s="202" t="s">
        <v>43</v>
      </c>
      <c r="M240" s="202" t="s">
        <v>150</v>
      </c>
      <c r="N240" s="202"/>
      <c r="O240" s="202" t="s">
        <v>151</v>
      </c>
      <c r="P240" s="202" t="s">
        <v>151</v>
      </c>
      <c r="Q240" s="202"/>
      <c r="R240" s="202" t="s">
        <v>3480</v>
      </c>
      <c r="S240" s="202" t="s">
        <v>3481</v>
      </c>
      <c r="T240" s="354" t="s">
        <v>3482</v>
      </c>
      <c r="U240" s="203" t="s">
        <v>3483</v>
      </c>
      <c r="V240" s="203">
        <v>29588</v>
      </c>
      <c r="W240" s="269" t="s">
        <v>3484</v>
      </c>
      <c r="X240" s="269" t="s">
        <v>2888</v>
      </c>
      <c r="Y240" s="269"/>
      <c r="Z240" s="269"/>
      <c r="AA240" s="202"/>
      <c r="AB240" s="203">
        <v>43840</v>
      </c>
      <c r="AC240" s="289">
        <v>43891</v>
      </c>
      <c r="AD240" s="203"/>
      <c r="AE240" s="203" t="s">
        <v>3485</v>
      </c>
      <c r="AF240" s="203" t="s">
        <v>3486</v>
      </c>
      <c r="AG240" s="203"/>
      <c r="AH240" s="202">
        <f t="shared" si="70"/>
        <v>2</v>
      </c>
      <c r="AI240" s="203"/>
      <c r="AJ240" s="203"/>
      <c r="AK240" s="203"/>
      <c r="AL240" s="203"/>
      <c r="AM240" s="203"/>
      <c r="AN240" s="203"/>
      <c r="AO240" s="203" t="s">
        <v>182</v>
      </c>
      <c r="AP240" s="203" t="s">
        <v>3487</v>
      </c>
      <c r="AQ240" s="203" t="s">
        <v>250</v>
      </c>
      <c r="AR240" s="203" t="s">
        <v>150</v>
      </c>
      <c r="AS240" s="383" t="s">
        <v>3488</v>
      </c>
      <c r="AT240" s="422" t="s">
        <v>219</v>
      </c>
      <c r="AU240" s="202" t="s">
        <v>3489</v>
      </c>
      <c r="AV240" s="203"/>
      <c r="AW240" s="204">
        <v>43894</v>
      </c>
      <c r="AX240" s="316" t="s">
        <v>3239</v>
      </c>
      <c r="AY240" s="204" t="s">
        <v>150</v>
      </c>
      <c r="AZ240" s="204">
        <v>44593</v>
      </c>
      <c r="BA240" s="204">
        <v>44602</v>
      </c>
      <c r="BB240" s="204"/>
      <c r="BC240" s="204"/>
      <c r="BD240" s="204"/>
      <c r="BE240" s="205" t="s">
        <v>3484</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5" customHeight="1" x14ac:dyDescent="0.35">
      <c r="A241" s="202">
        <v>244</v>
      </c>
      <c r="B241" s="202" t="s">
        <v>3490</v>
      </c>
      <c r="C241" s="202" t="s">
        <v>3491</v>
      </c>
      <c r="D241" s="202"/>
      <c r="E241" s="202" t="s">
        <v>3492</v>
      </c>
      <c r="F241" s="202" t="s">
        <v>25</v>
      </c>
      <c r="G241" s="202">
        <v>10</v>
      </c>
      <c r="H241" s="202" t="s">
        <v>53</v>
      </c>
      <c r="I241" s="202" t="s">
        <v>46</v>
      </c>
      <c r="J241" s="202" t="s">
        <v>3493</v>
      </c>
      <c r="K241" s="202" t="s">
        <v>517</v>
      </c>
      <c r="L241" s="202" t="s">
        <v>45</v>
      </c>
      <c r="M241" s="202" t="s">
        <v>163</v>
      </c>
      <c r="N241" s="202"/>
      <c r="O241" s="202" t="s">
        <v>322</v>
      </c>
      <c r="P241" s="202" t="s">
        <v>151</v>
      </c>
      <c r="Q241" s="202"/>
      <c r="R241" s="202" t="s">
        <v>3494</v>
      </c>
      <c r="S241" s="202" t="s">
        <v>3495</v>
      </c>
      <c r="T241" s="354" t="s">
        <v>3496</v>
      </c>
      <c r="U241" s="203" t="s">
        <v>3497</v>
      </c>
      <c r="V241" s="203">
        <v>32014</v>
      </c>
      <c r="W241" s="269" t="s">
        <v>3498</v>
      </c>
      <c r="X241" s="269" t="s">
        <v>179</v>
      </c>
      <c r="Y241" s="269"/>
      <c r="Z241" s="269"/>
      <c r="AA241" s="202"/>
      <c r="AB241" s="203">
        <v>44424</v>
      </c>
      <c r="AC241" s="289">
        <v>43891</v>
      </c>
      <c r="AD241" s="203"/>
      <c r="AE241" s="203" t="s">
        <v>3499</v>
      </c>
      <c r="AF241" s="203" t="s">
        <v>3500</v>
      </c>
      <c r="AG241" s="203"/>
      <c r="AH241" s="202">
        <f t="shared" si="70"/>
        <v>2</v>
      </c>
      <c r="AI241" s="203"/>
      <c r="AJ241" s="203"/>
      <c r="AK241" s="203"/>
      <c r="AL241" s="203"/>
      <c r="AM241" s="203"/>
      <c r="AN241" s="203"/>
      <c r="AO241" s="203" t="s">
        <v>959</v>
      </c>
      <c r="AP241" s="203" t="s">
        <v>3501</v>
      </c>
      <c r="AQ241" s="203"/>
      <c r="AR241" s="203"/>
      <c r="AS241" s="203"/>
      <c r="AT241" s="422" t="s">
        <v>298</v>
      </c>
      <c r="AU241" s="202" t="s">
        <v>3502</v>
      </c>
      <c r="AV241" s="203"/>
      <c r="AW241" s="204">
        <v>43896</v>
      </c>
      <c r="AX241" s="316" t="s">
        <v>3239</v>
      </c>
      <c r="AY241" s="204" t="s">
        <v>150</v>
      </c>
      <c r="AZ241" s="204">
        <v>44708</v>
      </c>
      <c r="BA241" s="204">
        <v>44811</v>
      </c>
      <c r="BB241" s="204"/>
      <c r="BC241" s="204"/>
      <c r="BD241" s="204"/>
      <c r="BE241" s="205" t="s">
        <v>3498</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5" customHeight="1" x14ac:dyDescent="0.35">
      <c r="A242" s="202">
        <v>245</v>
      </c>
      <c r="B242" s="202" t="s">
        <v>3503</v>
      </c>
      <c r="C242" s="202" t="s">
        <v>825</v>
      </c>
      <c r="D242" s="202"/>
      <c r="E242" s="202" t="s">
        <v>3504</v>
      </c>
      <c r="F242" s="202" t="s">
        <v>25</v>
      </c>
      <c r="G242" s="202">
        <v>10</v>
      </c>
      <c r="H242" s="202" t="s">
        <v>55</v>
      </c>
      <c r="I242" s="202" t="s">
        <v>43</v>
      </c>
      <c r="J242" s="202" t="s">
        <v>2319</v>
      </c>
      <c r="K242" s="202" t="s">
        <v>3505</v>
      </c>
      <c r="L242" s="202" t="s">
        <v>45</v>
      </c>
      <c r="M242" s="202" t="s">
        <v>163</v>
      </c>
      <c r="N242" s="202"/>
      <c r="O242" s="202" t="s">
        <v>322</v>
      </c>
      <c r="P242" s="202" t="s">
        <v>322</v>
      </c>
      <c r="Q242" s="202"/>
      <c r="R242" s="202" t="s">
        <v>3506</v>
      </c>
      <c r="S242" s="202" t="s">
        <v>3507</v>
      </c>
      <c r="T242" s="354" t="s">
        <v>3508</v>
      </c>
      <c r="U242" s="203" t="s">
        <v>3509</v>
      </c>
      <c r="V242" s="203">
        <v>33695</v>
      </c>
      <c r="W242" s="269" t="s">
        <v>3510</v>
      </c>
      <c r="X242" s="269" t="s">
        <v>179</v>
      </c>
      <c r="Y242" s="269"/>
      <c r="Z242" s="269"/>
      <c r="AA242" s="202"/>
      <c r="AB242" s="203">
        <v>43983</v>
      </c>
      <c r="AC242" s="289">
        <v>43891</v>
      </c>
      <c r="AD242" s="203"/>
      <c r="AE242" s="203" t="s">
        <v>3511</v>
      </c>
      <c r="AF242" s="203" t="s">
        <v>3512</v>
      </c>
      <c r="AG242" s="203" t="s">
        <v>3513</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3514</v>
      </c>
      <c r="AV242" s="203"/>
      <c r="AW242" s="204">
        <v>43900</v>
      </c>
      <c r="AX242" s="316" t="s">
        <v>3239</v>
      </c>
      <c r="AY242" s="204" t="s">
        <v>150</v>
      </c>
      <c r="AZ242" s="204">
        <v>44579</v>
      </c>
      <c r="BA242" s="204">
        <v>44617</v>
      </c>
      <c r="BB242" s="204"/>
      <c r="BC242" s="204"/>
      <c r="BD242" s="204"/>
      <c r="BE242" s="205" t="s">
        <v>3510</v>
      </c>
      <c r="BF242" s="204">
        <v>44872</v>
      </c>
      <c r="BG242" s="204" t="s">
        <v>150</v>
      </c>
      <c r="BH242" s="204">
        <v>45476</v>
      </c>
      <c r="BI242" s="204" t="s">
        <v>150</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5" customHeight="1" x14ac:dyDescent="0.35">
      <c r="A243" s="202">
        <v>246</v>
      </c>
      <c r="B243" s="202" t="s">
        <v>3516</v>
      </c>
      <c r="C243" s="202" t="s">
        <v>3376</v>
      </c>
      <c r="D243" s="202" t="s">
        <v>3517</v>
      </c>
      <c r="E243" s="202" t="s">
        <v>3518</v>
      </c>
      <c r="F243" s="202" t="s">
        <v>25</v>
      </c>
      <c r="G243" s="202">
        <v>10</v>
      </c>
      <c r="H243" s="202" t="s">
        <v>52</v>
      </c>
      <c r="I243" s="202" t="s">
        <v>42</v>
      </c>
      <c r="J243" s="202" t="s">
        <v>2953</v>
      </c>
      <c r="K243" s="202" t="s">
        <v>3519</v>
      </c>
      <c r="L243" s="202" t="s">
        <v>42</v>
      </c>
      <c r="M243" s="202" t="s">
        <v>150</v>
      </c>
      <c r="N243" s="202"/>
      <c r="O243" s="202" t="s">
        <v>151</v>
      </c>
      <c r="P243" s="202" t="s">
        <v>151</v>
      </c>
      <c r="Q243" s="202"/>
      <c r="R243" s="202" t="s">
        <v>3520</v>
      </c>
      <c r="S243" s="202" t="s">
        <v>3521</v>
      </c>
      <c r="T243" s="354" t="s">
        <v>3522</v>
      </c>
      <c r="U243" s="203" t="s">
        <v>3523</v>
      </c>
      <c r="V243" s="203">
        <v>31757</v>
      </c>
      <c r="W243" s="269" t="s">
        <v>3524</v>
      </c>
      <c r="X243" s="269" t="s">
        <v>2379</v>
      </c>
      <c r="Y243" s="269"/>
      <c r="Z243" s="269"/>
      <c r="AA243" s="202"/>
      <c r="AB243" s="203">
        <v>44245</v>
      </c>
      <c r="AC243" s="289">
        <v>43891</v>
      </c>
      <c r="AD243" s="203"/>
      <c r="AE243" s="203" t="s">
        <v>3525</v>
      </c>
      <c r="AF243" s="203" t="s">
        <v>3526</v>
      </c>
      <c r="AG243" s="203" t="s">
        <v>3527</v>
      </c>
      <c r="AH243" s="202">
        <f t="shared" si="70"/>
        <v>3</v>
      </c>
      <c r="AI243" s="203"/>
      <c r="AJ243" s="203"/>
      <c r="AK243" s="203"/>
      <c r="AL243" s="203"/>
      <c r="AM243" s="203"/>
      <c r="AN243" s="203"/>
      <c r="AO243" s="203" t="s">
        <v>164</v>
      </c>
      <c r="AP243" s="203" t="s">
        <v>3528</v>
      </c>
      <c r="AQ243" s="203"/>
      <c r="AR243" s="203"/>
      <c r="AS243" s="203"/>
      <c r="AT243" s="422" t="s">
        <v>420</v>
      </c>
      <c r="AU243" s="202" t="s">
        <v>3529</v>
      </c>
      <c r="AV243" s="203"/>
      <c r="AW243" s="204">
        <v>43902</v>
      </c>
      <c r="AX243" s="316" t="s">
        <v>3239</v>
      </c>
      <c r="AY243" s="204" t="s">
        <v>150</v>
      </c>
      <c r="AZ243" s="204">
        <v>44214</v>
      </c>
      <c r="BA243" s="204">
        <v>44613</v>
      </c>
      <c r="BB243" s="204"/>
      <c r="BC243" s="204"/>
      <c r="BD243" s="204"/>
      <c r="BE243" s="205" t="s">
        <v>3524</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5" customHeight="1" x14ac:dyDescent="0.35">
      <c r="A244" s="202">
        <v>247</v>
      </c>
      <c r="B244" s="202" t="s">
        <v>3530</v>
      </c>
      <c r="C244" s="202" t="s">
        <v>3531</v>
      </c>
      <c r="D244" s="202" t="s">
        <v>20</v>
      </c>
      <c r="E244" s="202" t="s">
        <v>3532</v>
      </c>
      <c r="F244" s="202" t="s">
        <v>25</v>
      </c>
      <c r="G244" s="202">
        <v>10</v>
      </c>
      <c r="H244" s="202" t="s">
        <v>58</v>
      </c>
      <c r="I244" s="202" t="s">
        <v>45</v>
      </c>
      <c r="J244" s="202" t="s">
        <v>3451</v>
      </c>
      <c r="K244" s="202" t="s">
        <v>3533</v>
      </c>
      <c r="L244" s="202" t="s">
        <v>45</v>
      </c>
      <c r="M244" s="202" t="s">
        <v>150</v>
      </c>
      <c r="N244" s="202">
        <v>1897532</v>
      </c>
      <c r="O244" s="202" t="s">
        <v>322</v>
      </c>
      <c r="P244" s="202" t="s">
        <v>322</v>
      </c>
      <c r="Q244" s="202"/>
      <c r="R244" s="202" t="s">
        <v>3534</v>
      </c>
      <c r="S244" s="202" t="s">
        <v>3535</v>
      </c>
      <c r="T244" s="354" t="s">
        <v>3536</v>
      </c>
      <c r="U244" s="203" t="s">
        <v>3537</v>
      </c>
      <c r="V244" s="203">
        <v>33727</v>
      </c>
      <c r="W244" s="202" t="s">
        <v>3538</v>
      </c>
      <c r="X244" s="269" t="s">
        <v>179</v>
      </c>
      <c r="Y244" s="269"/>
      <c r="Z244" s="269"/>
      <c r="AA244" s="202"/>
      <c r="AB244" s="203">
        <v>43660</v>
      </c>
      <c r="AC244" s="289">
        <v>43891</v>
      </c>
      <c r="AD244" s="203"/>
      <c r="AE244" s="203" t="s">
        <v>3539</v>
      </c>
      <c r="AF244" s="203" t="s">
        <v>3540</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3541</v>
      </c>
      <c r="AV244" s="203"/>
      <c r="AW244" s="204">
        <v>43904</v>
      </c>
      <c r="AX244" s="316" t="s">
        <v>3239</v>
      </c>
      <c r="AY244" s="204" t="s">
        <v>150</v>
      </c>
      <c r="AZ244" s="204">
        <v>44013</v>
      </c>
      <c r="BA244" s="204">
        <v>44249</v>
      </c>
      <c r="BB244" s="204"/>
      <c r="BC244" s="204"/>
      <c r="BD244" s="204"/>
      <c r="BE244" s="205" t="s">
        <v>3538</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3401</v>
      </c>
      <c r="CL244"/>
    </row>
    <row r="245" spans="1:90" s="53" customFormat="1" ht="26.15" customHeight="1" x14ac:dyDescent="0.35">
      <c r="A245" s="202">
        <v>248</v>
      </c>
      <c r="B245" s="202" t="s">
        <v>3543</v>
      </c>
      <c r="C245" s="202" t="s">
        <v>3544</v>
      </c>
      <c r="D245" s="202" t="s">
        <v>3545</v>
      </c>
      <c r="E245" s="202" t="s">
        <v>3546</v>
      </c>
      <c r="F245" s="202" t="s">
        <v>25</v>
      </c>
      <c r="G245" s="202">
        <v>10</v>
      </c>
      <c r="H245" s="202" t="s">
        <v>54</v>
      </c>
      <c r="I245" s="202" t="s">
        <v>39</v>
      </c>
      <c r="J245" s="202" t="s">
        <v>406</v>
      </c>
      <c r="K245" s="202" t="s">
        <v>290</v>
      </c>
      <c r="L245" s="202" t="s">
        <v>31</v>
      </c>
      <c r="M245" s="202" t="s">
        <v>163</v>
      </c>
      <c r="N245" s="202"/>
      <c r="O245" s="202" t="s">
        <v>151</v>
      </c>
      <c r="P245" s="202" t="s">
        <v>151</v>
      </c>
      <c r="Q245" s="202"/>
      <c r="R245" s="202" t="s">
        <v>3547</v>
      </c>
      <c r="S245" s="202" t="s">
        <v>3548</v>
      </c>
      <c r="T245" s="354" t="s">
        <v>3549</v>
      </c>
      <c r="U245" s="203" t="s">
        <v>3550</v>
      </c>
      <c r="V245" s="203">
        <v>31740</v>
      </c>
      <c r="W245" s="269" t="s">
        <v>3551</v>
      </c>
      <c r="X245" s="269" t="s">
        <v>2498</v>
      </c>
      <c r="Y245" s="269"/>
      <c r="Z245" s="269"/>
      <c r="AA245" s="202"/>
      <c r="AB245" s="203">
        <v>44267</v>
      </c>
      <c r="AC245" s="289">
        <v>43891</v>
      </c>
      <c r="AD245" s="203"/>
      <c r="AE245" s="202" t="s">
        <v>3552</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3553</v>
      </c>
      <c r="AV245" s="203"/>
      <c r="AW245" s="204">
        <v>43908</v>
      </c>
      <c r="AX245" s="316" t="s">
        <v>3239</v>
      </c>
      <c r="AY245" s="204" t="s">
        <v>150</v>
      </c>
      <c r="AZ245" s="204">
        <v>44874</v>
      </c>
      <c r="BA245" s="204">
        <v>44811</v>
      </c>
      <c r="BB245" s="204"/>
      <c r="BC245" s="204"/>
      <c r="BD245" s="204"/>
      <c r="BE245" s="205" t="s">
        <v>3551</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5" customHeight="1" x14ac:dyDescent="0.35">
      <c r="A246" s="202">
        <v>249</v>
      </c>
      <c r="B246" s="208" t="s">
        <v>3554</v>
      </c>
      <c r="C246" s="208" t="s">
        <v>3555</v>
      </c>
      <c r="D246" s="208" t="s">
        <v>3556</v>
      </c>
      <c r="E246" s="208" t="s">
        <v>933</v>
      </c>
      <c r="F246" s="208" t="s">
        <v>25</v>
      </c>
      <c r="G246" s="208">
        <v>10</v>
      </c>
      <c r="H246" s="208" t="s">
        <v>54</v>
      </c>
      <c r="I246" s="208" t="s">
        <v>39</v>
      </c>
      <c r="J246" s="208" t="s">
        <v>3557</v>
      </c>
      <c r="K246" s="208" t="s">
        <v>290</v>
      </c>
      <c r="L246" s="202" t="s">
        <v>45</v>
      </c>
      <c r="M246" s="208" t="s">
        <v>163</v>
      </c>
      <c r="N246" s="208"/>
      <c r="O246" s="208" t="s">
        <v>151</v>
      </c>
      <c r="P246" s="208" t="s">
        <v>151</v>
      </c>
      <c r="Q246" s="208"/>
      <c r="R246" s="208" t="s">
        <v>3558</v>
      </c>
      <c r="S246" s="208" t="s">
        <v>3559</v>
      </c>
      <c r="T246" s="355" t="s">
        <v>3560</v>
      </c>
      <c r="U246" s="320" t="s">
        <v>789</v>
      </c>
      <c r="V246" s="320">
        <v>30185</v>
      </c>
      <c r="W246" s="321" t="s">
        <v>3561</v>
      </c>
      <c r="X246" s="321" t="s">
        <v>179</v>
      </c>
      <c r="Y246" s="321"/>
      <c r="Z246" s="321"/>
      <c r="AA246" s="208"/>
      <c r="AB246" s="320">
        <v>44622</v>
      </c>
      <c r="AC246" s="322">
        <v>43891</v>
      </c>
      <c r="AD246" s="320"/>
      <c r="AE246" s="320" t="s">
        <v>3562</v>
      </c>
      <c r="AF246" s="320" t="s">
        <v>3563</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3564</v>
      </c>
      <c r="AV246" s="320"/>
      <c r="AW246" s="323">
        <v>43915</v>
      </c>
      <c r="AX246" s="324" t="s">
        <v>3239</v>
      </c>
      <c r="AY246" s="323" t="s">
        <v>150</v>
      </c>
      <c r="AZ246" s="323">
        <v>44797</v>
      </c>
      <c r="BA246" s="323">
        <v>44839</v>
      </c>
      <c r="BB246" s="323"/>
      <c r="BC246" s="323"/>
      <c r="BD246" s="323"/>
      <c r="BE246" s="325" t="s">
        <v>3561</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x14ac:dyDescent="0.35">
      <c r="A247" s="330">
        <v>250</v>
      </c>
      <c r="B247" s="330" t="s">
        <v>3565</v>
      </c>
      <c r="C247" s="330" t="s">
        <v>3566</v>
      </c>
      <c r="D247" s="330" t="s">
        <v>3555</v>
      </c>
      <c r="E247" s="330" t="s">
        <v>3567</v>
      </c>
      <c r="F247" s="330" t="s">
        <v>24</v>
      </c>
      <c r="G247" s="329">
        <v>11</v>
      </c>
      <c r="H247" s="329" t="s">
        <v>54</v>
      </c>
      <c r="I247" s="329" t="s">
        <v>31</v>
      </c>
      <c r="J247" s="329" t="s">
        <v>3568</v>
      </c>
      <c r="K247" s="329" t="s">
        <v>3569</v>
      </c>
      <c r="L247" s="329" t="s">
        <v>31</v>
      </c>
      <c r="M247" s="329" t="s">
        <v>150</v>
      </c>
      <c r="N247" s="331"/>
      <c r="O247" s="331" t="s">
        <v>151</v>
      </c>
      <c r="P247" s="331"/>
      <c r="Q247" s="329"/>
      <c r="R247" s="330" t="s">
        <v>3570</v>
      </c>
      <c r="S247" s="330" t="s">
        <v>3571</v>
      </c>
      <c r="T247" s="356" t="s">
        <v>3572</v>
      </c>
      <c r="U247" s="330" t="s">
        <v>3573</v>
      </c>
      <c r="V247" s="332">
        <v>31207</v>
      </c>
      <c r="W247" s="391" t="s">
        <v>3574</v>
      </c>
      <c r="X247" s="333" t="s">
        <v>3575</v>
      </c>
      <c r="Y247" s="333"/>
      <c r="Z247" s="333"/>
      <c r="AA247" s="329"/>
      <c r="AB247" s="361">
        <v>45670</v>
      </c>
      <c r="AC247" s="361">
        <v>45719</v>
      </c>
      <c r="AD247" s="329"/>
      <c r="AE247" s="329" t="s">
        <v>3576</v>
      </c>
      <c r="AF247" s="329" t="s">
        <v>3577</v>
      </c>
      <c r="AG247" s="329" t="s">
        <v>3578</v>
      </c>
      <c r="AH247" s="334">
        <v>3</v>
      </c>
      <c r="AI247" s="329" t="s">
        <v>161</v>
      </c>
      <c r="AJ247" s="329" t="s">
        <v>161</v>
      </c>
      <c r="AK247" s="329" t="s">
        <v>161</v>
      </c>
      <c r="AL247" s="334"/>
      <c r="AM247" s="334"/>
      <c r="AN247" s="334"/>
      <c r="AO247" s="335"/>
      <c r="AP247" s="332"/>
      <c r="AQ247" s="335"/>
      <c r="AR247" s="334"/>
      <c r="AS247" s="329"/>
      <c r="AT247" s="424"/>
      <c r="AU247" s="329" t="s">
        <v>3579</v>
      </c>
      <c r="AV247" s="329"/>
      <c r="AW247" s="362">
        <v>45719</v>
      </c>
      <c r="AX247" s="329"/>
      <c r="AY247" s="334"/>
      <c r="AZ247" s="329"/>
      <c r="BA247" s="329"/>
      <c r="BB247" s="329"/>
      <c r="BC247" s="439"/>
      <c r="BD247" s="439"/>
      <c r="BE247" s="440" t="s">
        <v>3580</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x14ac:dyDescent="0.35">
      <c r="A248" s="330">
        <v>251</v>
      </c>
      <c r="B248" s="330" t="s">
        <v>3581</v>
      </c>
      <c r="C248" s="330" t="s">
        <v>3582</v>
      </c>
      <c r="D248" s="330" t="s">
        <v>3583</v>
      </c>
      <c r="E248" s="330" t="s">
        <v>1771</v>
      </c>
      <c r="F248" s="330" t="s">
        <v>24</v>
      </c>
      <c r="G248" s="329">
        <v>11</v>
      </c>
      <c r="H248" s="329" t="s">
        <v>57</v>
      </c>
      <c r="I248" s="329" t="s">
        <v>47</v>
      </c>
      <c r="J248" s="329" t="s">
        <v>3584</v>
      </c>
      <c r="K248" s="329" t="s">
        <v>3585</v>
      </c>
      <c r="L248" s="329"/>
      <c r="M248" s="329"/>
      <c r="N248" s="331"/>
      <c r="O248" s="331" t="s">
        <v>151</v>
      </c>
      <c r="P248" s="331"/>
      <c r="Q248" s="329"/>
      <c r="R248" s="330" t="s">
        <v>3586</v>
      </c>
      <c r="S248" s="330" t="s">
        <v>3587</v>
      </c>
      <c r="T248" s="356" t="s">
        <v>3588</v>
      </c>
      <c r="U248" s="330" t="s">
        <v>3589</v>
      </c>
      <c r="V248" s="332">
        <v>33239</v>
      </c>
      <c r="W248" s="391" t="s">
        <v>3590</v>
      </c>
      <c r="X248" s="333" t="s">
        <v>3575</v>
      </c>
      <c r="Y248" s="333"/>
      <c r="Z248" s="333"/>
      <c r="AA248" s="329"/>
      <c r="AB248" s="361">
        <v>45869</v>
      </c>
      <c r="AC248" s="361">
        <v>45719</v>
      </c>
      <c r="AD248" s="329"/>
      <c r="AE248" s="329" t="s">
        <v>3591</v>
      </c>
      <c r="AF248" s="329" t="s">
        <v>3592</v>
      </c>
      <c r="AG248" s="329" t="s">
        <v>3593</v>
      </c>
      <c r="AH248" s="334">
        <v>3</v>
      </c>
      <c r="AI248" s="329" t="s">
        <v>162</v>
      </c>
      <c r="AJ248" s="329" t="s">
        <v>162</v>
      </c>
      <c r="AK248" s="329" t="s">
        <v>162</v>
      </c>
      <c r="AL248" s="334"/>
      <c r="AM248" s="334"/>
      <c r="AN248" s="334"/>
      <c r="AO248" s="335"/>
      <c r="AP248" s="335"/>
      <c r="AQ248" s="335"/>
      <c r="AR248" s="334"/>
      <c r="AS248" s="329"/>
      <c r="AT248" s="424"/>
      <c r="AU248" s="329" t="s">
        <v>3594</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x14ac:dyDescent="0.35">
      <c r="A249" s="330">
        <v>252</v>
      </c>
      <c r="B249" s="330" t="s">
        <v>3595</v>
      </c>
      <c r="C249" s="330" t="s">
        <v>3596</v>
      </c>
      <c r="D249" s="330"/>
      <c r="E249" s="330" t="s">
        <v>3597</v>
      </c>
      <c r="F249" s="330" t="s">
        <v>24</v>
      </c>
      <c r="G249" s="329">
        <v>11</v>
      </c>
      <c r="H249" s="329" t="s">
        <v>60</v>
      </c>
      <c r="I249" s="329" t="s">
        <v>35</v>
      </c>
      <c r="J249" s="329" t="s">
        <v>602</v>
      </c>
      <c r="K249" s="329" t="s">
        <v>3598</v>
      </c>
      <c r="L249" s="329" t="s">
        <v>35</v>
      </c>
      <c r="M249" s="329" t="s">
        <v>150</v>
      </c>
      <c r="N249" s="331"/>
      <c r="O249" s="331" t="s">
        <v>151</v>
      </c>
      <c r="P249" s="331"/>
      <c r="Q249" s="329"/>
      <c r="R249" s="330" t="s">
        <v>3599</v>
      </c>
      <c r="S249" s="330" t="s">
        <v>3600</v>
      </c>
      <c r="T249" s="356" t="s">
        <v>3601</v>
      </c>
      <c r="U249" s="330" t="s">
        <v>3602</v>
      </c>
      <c r="V249" s="332">
        <v>34108</v>
      </c>
      <c r="W249" s="391" t="s">
        <v>3603</v>
      </c>
      <c r="X249" s="333" t="s">
        <v>3575</v>
      </c>
      <c r="Y249" s="333"/>
      <c r="Z249" s="333"/>
      <c r="AA249" s="329"/>
      <c r="AB249" s="361">
        <v>45524</v>
      </c>
      <c r="AC249" s="361">
        <v>45719</v>
      </c>
      <c r="AD249" s="329"/>
      <c r="AE249" s="329" t="s">
        <v>3604</v>
      </c>
      <c r="AF249" s="329" t="s">
        <v>3605</v>
      </c>
      <c r="AG249" s="329" t="s">
        <v>3606</v>
      </c>
      <c r="AH249" s="334">
        <v>3</v>
      </c>
      <c r="AI249" s="329" t="s">
        <v>161</v>
      </c>
      <c r="AJ249" s="329" t="s">
        <v>161</v>
      </c>
      <c r="AK249" s="329" t="s">
        <v>161</v>
      </c>
      <c r="AL249" s="334"/>
      <c r="AM249" s="334"/>
      <c r="AN249" s="334"/>
      <c r="AO249" s="335"/>
      <c r="AP249" s="335"/>
      <c r="AQ249" s="335"/>
      <c r="AR249" s="334"/>
      <c r="AS249" s="329"/>
      <c r="AT249" s="424"/>
      <c r="AU249" s="329" t="s">
        <v>3607</v>
      </c>
      <c r="AV249" s="329"/>
      <c r="AW249" s="362">
        <v>45719</v>
      </c>
      <c r="AX249" s="329"/>
      <c r="AY249" s="334"/>
      <c r="AZ249" s="329"/>
      <c r="BA249" s="329"/>
      <c r="BB249" s="329"/>
      <c r="BC249" s="439"/>
      <c r="BD249" s="439"/>
      <c r="BE249" s="440" t="s">
        <v>3608</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x14ac:dyDescent="0.35">
      <c r="A250" s="330">
        <v>253</v>
      </c>
      <c r="B250" s="330" t="s">
        <v>3609</v>
      </c>
      <c r="C250" s="330" t="s">
        <v>2996</v>
      </c>
      <c r="D250" s="330" t="s">
        <v>3610</v>
      </c>
      <c r="E250" s="330" t="s">
        <v>3611</v>
      </c>
      <c r="F250" s="330" t="s">
        <v>25</v>
      </c>
      <c r="G250" s="329">
        <v>11</v>
      </c>
      <c r="H250" s="329" t="s">
        <v>61</v>
      </c>
      <c r="I250" s="329" t="s">
        <v>36</v>
      </c>
      <c r="J250" s="329" t="s">
        <v>3612</v>
      </c>
      <c r="K250" s="329" t="s">
        <v>3613</v>
      </c>
      <c r="L250" s="329" t="s">
        <v>45</v>
      </c>
      <c r="M250" s="329" t="s">
        <v>163</v>
      </c>
      <c r="N250" s="331"/>
      <c r="O250" s="331" t="s">
        <v>322</v>
      </c>
      <c r="P250" s="331"/>
      <c r="Q250" s="329"/>
      <c r="R250" s="330" t="s">
        <v>3614</v>
      </c>
      <c r="S250" s="330" t="s">
        <v>3615</v>
      </c>
      <c r="T250" s="356" t="s">
        <v>3616</v>
      </c>
      <c r="U250" s="330" t="s">
        <v>3617</v>
      </c>
      <c r="V250" s="332">
        <v>34467</v>
      </c>
      <c r="W250" s="391" t="s">
        <v>3618</v>
      </c>
      <c r="X250" s="333" t="s">
        <v>3575</v>
      </c>
      <c r="Y250" s="331"/>
      <c r="Z250" s="331"/>
      <c r="AA250" s="329"/>
      <c r="AB250" s="361">
        <v>45323</v>
      </c>
      <c r="AC250" s="361">
        <v>45719</v>
      </c>
      <c r="AD250" s="329"/>
      <c r="AE250" s="329" t="s">
        <v>3619</v>
      </c>
      <c r="AF250" s="329" t="s">
        <v>3620</v>
      </c>
      <c r="AG250" s="329" t="s">
        <v>3621</v>
      </c>
      <c r="AH250" s="334">
        <v>3</v>
      </c>
      <c r="AI250" s="329" t="s">
        <v>162</v>
      </c>
      <c r="AJ250" s="329" t="s">
        <v>161</v>
      </c>
      <c r="AK250" s="329" t="s">
        <v>162</v>
      </c>
      <c r="AL250" s="334"/>
      <c r="AM250" s="334"/>
      <c r="AN250" s="334"/>
      <c r="AO250" s="335"/>
      <c r="AP250" s="335"/>
      <c r="AQ250" s="335"/>
      <c r="AR250" s="334"/>
      <c r="AS250" s="329"/>
      <c r="AT250" s="424"/>
      <c r="AU250" s="329" t="s">
        <v>3622</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x14ac:dyDescent="0.35">
      <c r="A251" s="330">
        <v>254</v>
      </c>
      <c r="B251" s="330" t="s">
        <v>3623</v>
      </c>
      <c r="C251" s="330" t="s">
        <v>3624</v>
      </c>
      <c r="D251" s="330" t="s">
        <v>1946</v>
      </c>
      <c r="E251" s="330" t="s">
        <v>1900</v>
      </c>
      <c r="F251" s="330" t="s">
        <v>24</v>
      </c>
      <c r="G251" s="329">
        <v>11</v>
      </c>
      <c r="H251" s="329" t="s">
        <v>54</v>
      </c>
      <c r="I251" s="329" t="s">
        <v>31</v>
      </c>
      <c r="J251" s="329" t="s">
        <v>2319</v>
      </c>
      <c r="K251" s="329" t="s">
        <v>3625</v>
      </c>
      <c r="L251" s="329" t="s">
        <v>31</v>
      </c>
      <c r="M251" s="329" t="s">
        <v>150</v>
      </c>
      <c r="N251" s="331"/>
      <c r="O251" s="331" t="s">
        <v>151</v>
      </c>
      <c r="P251" s="331"/>
      <c r="Q251" s="329"/>
      <c r="R251" s="330" t="s">
        <v>3626</v>
      </c>
      <c r="S251" s="330" t="s">
        <v>3627</v>
      </c>
      <c r="T251" s="356" t="s">
        <v>3628</v>
      </c>
      <c r="U251" s="330" t="s">
        <v>3629</v>
      </c>
      <c r="V251" s="332">
        <v>30376</v>
      </c>
      <c r="W251" s="391" t="s">
        <v>3630</v>
      </c>
      <c r="X251" s="333" t="s">
        <v>2765</v>
      </c>
      <c r="Y251" s="331"/>
      <c r="Z251" s="331"/>
      <c r="AA251" s="329"/>
      <c r="AB251" s="361">
        <v>45616</v>
      </c>
      <c r="AC251" s="361">
        <v>45719</v>
      </c>
      <c r="AD251" s="329"/>
      <c r="AE251" s="329" t="s">
        <v>3631</v>
      </c>
      <c r="AF251" s="329" t="s">
        <v>3632</v>
      </c>
      <c r="AG251" s="329"/>
      <c r="AH251" s="334">
        <v>2</v>
      </c>
      <c r="AI251" s="329" t="s">
        <v>161</v>
      </c>
      <c r="AJ251" s="329" t="s">
        <v>161</v>
      </c>
      <c r="AK251" s="329"/>
      <c r="AL251" s="334"/>
      <c r="AM251" s="334"/>
      <c r="AN251" s="334"/>
      <c r="AO251" s="335"/>
      <c r="AP251" s="335"/>
      <c r="AQ251" s="335"/>
      <c r="AR251" s="334"/>
      <c r="AS251" s="329"/>
      <c r="AT251" s="424"/>
      <c r="AU251" s="329" t="s">
        <v>3633</v>
      </c>
      <c r="AV251" s="329"/>
      <c r="AW251" s="362">
        <v>45719</v>
      </c>
      <c r="AX251" s="329"/>
      <c r="AY251" s="334"/>
      <c r="AZ251" s="329"/>
      <c r="BA251" s="329"/>
      <c r="BB251" s="329"/>
      <c r="BC251" s="439"/>
      <c r="BD251" s="439"/>
      <c r="BE251" s="440" t="s">
        <v>3634</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x14ac:dyDescent="0.35">
      <c r="A252" s="330">
        <v>255</v>
      </c>
      <c r="B252" s="330" t="s">
        <v>3635</v>
      </c>
      <c r="C252" s="330" t="s">
        <v>3636</v>
      </c>
      <c r="D252" s="330" t="s">
        <v>3637</v>
      </c>
      <c r="E252" s="330" t="s">
        <v>3638</v>
      </c>
      <c r="F252" s="330" t="s">
        <v>25</v>
      </c>
      <c r="G252" s="329">
        <v>11</v>
      </c>
      <c r="H252" s="329" t="s">
        <v>53</v>
      </c>
      <c r="I252" s="329" t="s">
        <v>46</v>
      </c>
      <c r="J252" s="329" t="s">
        <v>2272</v>
      </c>
      <c r="K252" s="329" t="s">
        <v>3639</v>
      </c>
      <c r="L252" s="337" t="s">
        <v>45</v>
      </c>
      <c r="M252" s="337"/>
      <c r="N252" s="331"/>
      <c r="O252" s="331" t="s">
        <v>322</v>
      </c>
      <c r="P252" s="331"/>
      <c r="Q252" s="329"/>
      <c r="R252" s="330" t="s">
        <v>3640</v>
      </c>
      <c r="S252" s="330" t="s">
        <v>3641</v>
      </c>
      <c r="T252" s="356" t="s">
        <v>3642</v>
      </c>
      <c r="U252" s="330" t="s">
        <v>3643</v>
      </c>
      <c r="V252" s="332">
        <v>33992</v>
      </c>
      <c r="W252" s="391" t="s">
        <v>3644</v>
      </c>
      <c r="X252" s="333" t="s">
        <v>3645</v>
      </c>
      <c r="Y252" s="331"/>
      <c r="Z252" s="331"/>
      <c r="AA252" s="329"/>
      <c r="AB252" s="361">
        <v>45719</v>
      </c>
      <c r="AC252" s="361">
        <v>45719</v>
      </c>
      <c r="AD252" s="329"/>
      <c r="AE252" s="329" t="s">
        <v>3646</v>
      </c>
      <c r="AF252" s="329" t="s">
        <v>3647</v>
      </c>
      <c r="AG252" s="329" t="s">
        <v>3648</v>
      </c>
      <c r="AH252" s="334">
        <v>3</v>
      </c>
      <c r="AI252" s="329" t="s">
        <v>162</v>
      </c>
      <c r="AJ252" s="329" t="s">
        <v>162</v>
      </c>
      <c r="AK252" s="329" t="s">
        <v>202</v>
      </c>
      <c r="AL252" s="334"/>
      <c r="AM252" s="334"/>
      <c r="AN252" s="334"/>
      <c r="AO252" s="335"/>
      <c r="AP252" s="335"/>
      <c r="AQ252" s="335"/>
      <c r="AR252" s="334"/>
      <c r="AS252" s="329"/>
      <c r="AT252" s="424"/>
      <c r="AU252" s="329" t="s">
        <v>3649</v>
      </c>
      <c r="AV252" s="329"/>
      <c r="AW252" s="362">
        <v>45719</v>
      </c>
      <c r="AX252" s="329"/>
      <c r="AY252" s="334"/>
      <c r="AZ252" s="329"/>
      <c r="BA252" s="329"/>
      <c r="BB252" s="329"/>
      <c r="BC252" s="439"/>
      <c r="BD252" s="439"/>
      <c r="BE252" s="440" t="s">
        <v>3650</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x14ac:dyDescent="0.35">
      <c r="A253" s="330">
        <v>256</v>
      </c>
      <c r="B253" s="330" t="s">
        <v>3651</v>
      </c>
      <c r="C253" s="330" t="s">
        <v>2331</v>
      </c>
      <c r="D253" s="330" t="s">
        <v>3652</v>
      </c>
      <c r="E253" s="330" t="s">
        <v>3653</v>
      </c>
      <c r="F253" s="330" t="s">
        <v>24</v>
      </c>
      <c r="G253" s="329">
        <v>11</v>
      </c>
      <c r="H253" s="329" t="s">
        <v>54</v>
      </c>
      <c r="I253" s="329" t="s">
        <v>39</v>
      </c>
      <c r="J253" s="329" t="s">
        <v>3654</v>
      </c>
      <c r="K253" s="329" t="s">
        <v>2788</v>
      </c>
      <c r="L253" s="337"/>
      <c r="M253" s="337"/>
      <c r="N253" s="331"/>
      <c r="O253" s="331" t="s">
        <v>151</v>
      </c>
      <c r="P253" s="331"/>
      <c r="Q253" s="329"/>
      <c r="R253" s="330" t="s">
        <v>3655</v>
      </c>
      <c r="S253" s="330" t="s">
        <v>3656</v>
      </c>
      <c r="T253" s="356" t="s">
        <v>3657</v>
      </c>
      <c r="U253" s="330" t="s">
        <v>3658</v>
      </c>
      <c r="V253" s="332">
        <v>31085</v>
      </c>
      <c r="W253" s="391" t="s">
        <v>3659</v>
      </c>
      <c r="X253" s="333" t="s">
        <v>156</v>
      </c>
      <c r="Y253" s="331"/>
      <c r="Z253" s="331"/>
      <c r="AA253" s="329"/>
      <c r="AB253" s="361">
        <v>45902</v>
      </c>
      <c r="AC253" s="361">
        <v>45719</v>
      </c>
      <c r="AD253" s="329"/>
      <c r="AE253" s="329" t="s">
        <v>3660</v>
      </c>
      <c r="AF253" s="329" t="s">
        <v>3661</v>
      </c>
      <c r="AG253" s="329" t="s">
        <v>3662</v>
      </c>
      <c r="AH253" s="334">
        <v>3</v>
      </c>
      <c r="AI253" s="329" t="s">
        <v>162</v>
      </c>
      <c r="AJ253" s="329" t="s">
        <v>162</v>
      </c>
      <c r="AK253" s="329" t="s">
        <v>161</v>
      </c>
      <c r="AL253" s="334"/>
      <c r="AM253" s="334"/>
      <c r="AN253" s="334"/>
      <c r="AO253" s="335"/>
      <c r="AP253" s="335"/>
      <c r="AQ253" s="335"/>
      <c r="AR253" s="334"/>
      <c r="AS253" s="329"/>
      <c r="AT253" s="424"/>
      <c r="AU253" s="329" t="s">
        <v>3663</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x14ac:dyDescent="0.35">
      <c r="A254" s="330">
        <v>257</v>
      </c>
      <c r="B254" s="330" t="s">
        <v>3664</v>
      </c>
      <c r="C254" s="330" t="s">
        <v>3665</v>
      </c>
      <c r="D254" s="330" t="s">
        <v>3666</v>
      </c>
      <c r="E254" s="330" t="s">
        <v>3583</v>
      </c>
      <c r="F254" s="330" t="s">
        <v>25</v>
      </c>
      <c r="G254" s="329">
        <v>11</v>
      </c>
      <c r="H254" s="329" t="s">
        <v>57</v>
      </c>
      <c r="I254" s="329" t="s">
        <v>47</v>
      </c>
      <c r="J254" s="329" t="s">
        <v>3294</v>
      </c>
      <c r="K254" s="329" t="s">
        <v>3667</v>
      </c>
      <c r="L254" s="337"/>
      <c r="M254" s="337"/>
      <c r="N254" s="331"/>
      <c r="O254" s="331" t="s">
        <v>151</v>
      </c>
      <c r="P254" s="331"/>
      <c r="Q254" s="329"/>
      <c r="R254" s="330" t="s">
        <v>3668</v>
      </c>
      <c r="S254" s="357"/>
      <c r="T254" s="358" t="s">
        <v>193</v>
      </c>
      <c r="U254" s="330" t="s">
        <v>3669</v>
      </c>
      <c r="V254" s="332">
        <v>32143</v>
      </c>
      <c r="W254" s="391" t="s">
        <v>3670</v>
      </c>
      <c r="X254" s="333" t="s">
        <v>3575</v>
      </c>
      <c r="Y254" s="331"/>
      <c r="Z254" s="331"/>
      <c r="AA254" s="329"/>
      <c r="AB254" s="361">
        <v>45762</v>
      </c>
      <c r="AC254" s="361">
        <v>45719</v>
      </c>
      <c r="AD254" s="329"/>
      <c r="AE254" s="329" t="s">
        <v>3671</v>
      </c>
      <c r="AF254" s="329" t="s">
        <v>3672</v>
      </c>
      <c r="AG254" s="329" t="s">
        <v>3673</v>
      </c>
      <c r="AH254" s="334">
        <v>3</v>
      </c>
      <c r="AI254" s="329" t="s">
        <v>162</v>
      </c>
      <c r="AJ254" s="329" t="s">
        <v>162</v>
      </c>
      <c r="AK254" s="329" t="s">
        <v>161</v>
      </c>
      <c r="AL254" s="334"/>
      <c r="AM254" s="334"/>
      <c r="AN254" s="334"/>
      <c r="AO254" s="335"/>
      <c r="AP254" s="335"/>
      <c r="AQ254" s="335"/>
      <c r="AR254" s="334"/>
      <c r="AS254" s="329"/>
      <c r="AT254" s="424"/>
      <c r="AU254" s="329" t="s">
        <v>3674</v>
      </c>
      <c r="AV254" s="329"/>
      <c r="AW254" s="362">
        <v>45719</v>
      </c>
      <c r="AX254" s="329"/>
      <c r="AY254" s="334"/>
      <c r="AZ254" s="329"/>
      <c r="BA254" s="329"/>
      <c r="BB254" s="329"/>
      <c r="BC254" s="439"/>
      <c r="BD254" s="439"/>
      <c r="BE254" s="440" t="s">
        <v>3675</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x14ac:dyDescent="0.35">
      <c r="A255" s="330">
        <v>258</v>
      </c>
      <c r="B255" s="330" t="s">
        <v>3676</v>
      </c>
      <c r="C255" s="330" t="s">
        <v>3677</v>
      </c>
      <c r="D255" s="330"/>
      <c r="E255" s="330" t="s">
        <v>3678</v>
      </c>
      <c r="F255" s="330" t="s">
        <v>25</v>
      </c>
      <c r="G255" s="329">
        <v>11</v>
      </c>
      <c r="H255" s="329" t="s">
        <v>60</v>
      </c>
      <c r="I255" s="329" t="s">
        <v>35</v>
      </c>
      <c r="J255" s="329" t="s">
        <v>3679</v>
      </c>
      <c r="K255" s="329" t="s">
        <v>3680</v>
      </c>
      <c r="L255" s="329" t="s">
        <v>35</v>
      </c>
      <c r="M255" s="329" t="s">
        <v>150</v>
      </c>
      <c r="N255" s="331"/>
      <c r="O255" s="331" t="s">
        <v>322</v>
      </c>
      <c r="P255" s="331"/>
      <c r="Q255" s="329"/>
      <c r="R255" s="330" t="s">
        <v>3681</v>
      </c>
      <c r="S255" s="330" t="s">
        <v>3682</v>
      </c>
      <c r="T255" s="356" t="s">
        <v>3683</v>
      </c>
      <c r="U255" s="330" t="s">
        <v>3684</v>
      </c>
      <c r="V255" s="332">
        <v>35384</v>
      </c>
      <c r="W255" s="391" t="s">
        <v>3685</v>
      </c>
      <c r="X255" s="333" t="s">
        <v>3686</v>
      </c>
      <c r="Y255" s="331"/>
      <c r="Z255" s="331"/>
      <c r="AA255" s="329"/>
      <c r="AB255" s="361">
        <v>45762</v>
      </c>
      <c r="AC255" s="361">
        <v>45719</v>
      </c>
      <c r="AD255" s="329"/>
      <c r="AE255" s="329" t="s">
        <v>3687</v>
      </c>
      <c r="AF255" s="329" t="s">
        <v>3688</v>
      </c>
      <c r="AG255" s="329" t="s">
        <v>3689</v>
      </c>
      <c r="AH255" s="334">
        <v>3</v>
      </c>
      <c r="AI255" s="329" t="s">
        <v>161</v>
      </c>
      <c r="AJ255" s="329" t="s">
        <v>161</v>
      </c>
      <c r="AK255" s="329" t="s">
        <v>202</v>
      </c>
      <c r="AL255" s="334"/>
      <c r="AM255" s="334"/>
      <c r="AN255" s="334"/>
      <c r="AO255" s="335"/>
      <c r="AP255" s="335"/>
      <c r="AQ255" s="335"/>
      <c r="AR255" s="334"/>
      <c r="AS255" s="329"/>
      <c r="AT255" s="424"/>
      <c r="AU255" s="329" t="s">
        <v>3690</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x14ac:dyDescent="0.35">
      <c r="A256" s="330">
        <v>259</v>
      </c>
      <c r="B256" s="330" t="s">
        <v>3691</v>
      </c>
      <c r="C256" s="330" t="s">
        <v>3692</v>
      </c>
      <c r="D256" s="330" t="s">
        <v>3117</v>
      </c>
      <c r="E256" s="330" t="s">
        <v>3693</v>
      </c>
      <c r="F256" s="330" t="s">
        <v>24</v>
      </c>
      <c r="G256" s="329">
        <v>11</v>
      </c>
      <c r="H256" s="329" t="s">
        <v>52</v>
      </c>
      <c r="I256" s="329" t="s">
        <v>42</v>
      </c>
      <c r="J256" s="329" t="s">
        <v>3694</v>
      </c>
      <c r="K256" s="329" t="s">
        <v>3695</v>
      </c>
      <c r="L256" s="329" t="s">
        <v>42</v>
      </c>
      <c r="M256" s="329" t="s">
        <v>150</v>
      </c>
      <c r="N256" s="331"/>
      <c r="O256" s="331" t="s">
        <v>322</v>
      </c>
      <c r="P256" s="331"/>
      <c r="Q256" s="329"/>
      <c r="R256" s="330" t="s">
        <v>3696</v>
      </c>
      <c r="S256" s="330" t="s">
        <v>3697</v>
      </c>
      <c r="T256" s="356" t="s">
        <v>3698</v>
      </c>
      <c r="U256" s="330" t="s">
        <v>3699</v>
      </c>
      <c r="V256" s="332">
        <v>33077</v>
      </c>
      <c r="W256" s="391" t="s">
        <v>3700</v>
      </c>
      <c r="X256" s="333" t="s">
        <v>3701</v>
      </c>
      <c r="Y256" s="331"/>
      <c r="Z256" s="331"/>
      <c r="AA256" s="329"/>
      <c r="AB256" s="361">
        <v>44991</v>
      </c>
      <c r="AC256" s="361">
        <v>45719</v>
      </c>
      <c r="AD256" s="329"/>
      <c r="AE256" s="329" t="s">
        <v>3702</v>
      </c>
      <c r="AF256" s="329" t="s">
        <v>3703</v>
      </c>
      <c r="AG256" s="329" t="s">
        <v>3704</v>
      </c>
      <c r="AH256" s="334">
        <v>3</v>
      </c>
      <c r="AI256" s="329" t="s">
        <v>161</v>
      </c>
      <c r="AJ256" s="329" t="s">
        <v>161</v>
      </c>
      <c r="AK256" s="329" t="s">
        <v>161</v>
      </c>
      <c r="AL256" s="334"/>
      <c r="AM256" s="334"/>
      <c r="AN256" s="334"/>
      <c r="AO256" s="335"/>
      <c r="AP256" s="335"/>
      <c r="AQ256" s="335"/>
      <c r="AR256" s="334"/>
      <c r="AS256" s="329"/>
      <c r="AT256" s="424"/>
      <c r="AU256" s="329" t="s">
        <v>3705</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x14ac:dyDescent="0.35">
      <c r="A257" s="330">
        <v>260</v>
      </c>
      <c r="B257" s="330" t="s">
        <v>3706</v>
      </c>
      <c r="C257" s="330" t="s">
        <v>629</v>
      </c>
      <c r="D257" s="330" t="s">
        <v>3707</v>
      </c>
      <c r="E257" s="330" t="s">
        <v>3708</v>
      </c>
      <c r="F257" s="330" t="s">
        <v>24</v>
      </c>
      <c r="G257" s="329">
        <v>11</v>
      </c>
      <c r="H257" s="329" t="s">
        <v>52</v>
      </c>
      <c r="I257" s="329" t="s">
        <v>42</v>
      </c>
      <c r="J257" s="329" t="s">
        <v>2289</v>
      </c>
      <c r="K257" s="329" t="s">
        <v>3709</v>
      </c>
      <c r="L257" s="329"/>
      <c r="M257" s="329"/>
      <c r="N257" s="331"/>
      <c r="O257" s="331" t="s">
        <v>151</v>
      </c>
      <c r="P257" s="331"/>
      <c r="Q257" s="329"/>
      <c r="R257" s="330" t="s">
        <v>3710</v>
      </c>
      <c r="S257" s="330" t="s">
        <v>3711</v>
      </c>
      <c r="T257" s="356" t="s">
        <v>3712</v>
      </c>
      <c r="U257" s="330" t="s">
        <v>3713</v>
      </c>
      <c r="V257" s="332">
        <v>30619</v>
      </c>
      <c r="W257" s="391" t="s">
        <v>3714</v>
      </c>
      <c r="X257" s="333" t="s">
        <v>156</v>
      </c>
      <c r="Y257" s="331"/>
      <c r="Z257" s="331"/>
      <c r="AA257" s="329"/>
      <c r="AB257" s="361">
        <v>45901</v>
      </c>
      <c r="AC257" s="361">
        <v>45719</v>
      </c>
      <c r="AD257" s="329"/>
      <c r="AE257" s="329" t="s">
        <v>3715</v>
      </c>
      <c r="AF257" s="329" t="s">
        <v>3716</v>
      </c>
      <c r="AG257" s="329"/>
      <c r="AH257" s="334">
        <v>2</v>
      </c>
      <c r="AI257" s="329" t="s">
        <v>161</v>
      </c>
      <c r="AJ257" s="329" t="s">
        <v>161</v>
      </c>
      <c r="AK257" s="329"/>
      <c r="AL257" s="334"/>
      <c r="AM257" s="334"/>
      <c r="AN257" s="334"/>
      <c r="AO257" s="335"/>
      <c r="AP257" s="335"/>
      <c r="AQ257" s="335"/>
      <c r="AR257" s="334"/>
      <c r="AS257" s="329"/>
      <c r="AT257" s="424"/>
      <c r="AU257" s="329" t="s">
        <v>3717</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x14ac:dyDescent="0.35">
      <c r="A258" s="330">
        <v>261</v>
      </c>
      <c r="B258" s="330" t="s">
        <v>3718</v>
      </c>
      <c r="C258" s="330" t="s">
        <v>3719</v>
      </c>
      <c r="D258" s="330" t="s">
        <v>3720</v>
      </c>
      <c r="E258" s="330" t="s">
        <v>3721</v>
      </c>
      <c r="F258" s="330" t="s">
        <v>25</v>
      </c>
      <c r="G258" s="329">
        <v>11</v>
      </c>
      <c r="H258" s="329" t="s">
        <v>54</v>
      </c>
      <c r="I258" s="329" t="s">
        <v>31</v>
      </c>
      <c r="J258" s="329" t="s">
        <v>3722</v>
      </c>
      <c r="K258" s="329" t="s">
        <v>1561</v>
      </c>
      <c r="L258" s="329" t="s">
        <v>31</v>
      </c>
      <c r="M258" s="329" t="s">
        <v>150</v>
      </c>
      <c r="N258" s="331"/>
      <c r="O258" s="331" t="s">
        <v>151</v>
      </c>
      <c r="P258" s="331"/>
      <c r="Q258" s="329"/>
      <c r="R258" s="330" t="s">
        <v>3723</v>
      </c>
      <c r="S258" s="359" t="s">
        <v>3724</v>
      </c>
      <c r="T258" s="360" t="s">
        <v>3725</v>
      </c>
      <c r="U258" s="330" t="s">
        <v>3726</v>
      </c>
      <c r="V258" s="332">
        <v>31080</v>
      </c>
      <c r="W258" s="391" t="s">
        <v>3727</v>
      </c>
      <c r="X258" s="333" t="s">
        <v>3686</v>
      </c>
      <c r="Y258" s="331"/>
      <c r="Z258" s="331"/>
      <c r="AA258" s="329"/>
      <c r="AB258" s="361">
        <v>43647</v>
      </c>
      <c r="AC258" s="361">
        <v>45719</v>
      </c>
      <c r="AD258" s="329"/>
      <c r="AE258" s="329" t="s">
        <v>3728</v>
      </c>
      <c r="AF258" s="329" t="s">
        <v>3729</v>
      </c>
      <c r="AG258" s="329"/>
      <c r="AH258" s="334">
        <v>2</v>
      </c>
      <c r="AI258" s="329" t="s">
        <v>161</v>
      </c>
      <c r="AJ258" s="329" t="s">
        <v>161</v>
      </c>
      <c r="AK258" s="329"/>
      <c r="AL258" s="334"/>
      <c r="AM258" s="334"/>
      <c r="AN258" s="334"/>
      <c r="AO258" s="335"/>
      <c r="AP258" s="335"/>
      <c r="AQ258" s="335"/>
      <c r="AR258" s="334"/>
      <c r="AS258" s="329"/>
      <c r="AT258" s="424"/>
      <c r="AU258" s="329" t="s">
        <v>3730</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x14ac:dyDescent="0.35">
      <c r="A259" s="330">
        <v>262</v>
      </c>
      <c r="B259" s="330" t="s">
        <v>3731</v>
      </c>
      <c r="C259" s="330" t="s">
        <v>3732</v>
      </c>
      <c r="D259" s="330" t="s">
        <v>3733</v>
      </c>
      <c r="E259" s="330" t="s">
        <v>3734</v>
      </c>
      <c r="F259" s="330" t="s">
        <v>24</v>
      </c>
      <c r="G259" s="329">
        <v>11</v>
      </c>
      <c r="H259" s="329" t="s">
        <v>52</v>
      </c>
      <c r="I259" s="329" t="s">
        <v>37</v>
      </c>
      <c r="J259" s="329" t="s">
        <v>3735</v>
      </c>
      <c r="K259" s="329" t="s">
        <v>3736</v>
      </c>
      <c r="L259" s="329" t="s">
        <v>37</v>
      </c>
      <c r="M259" s="329" t="s">
        <v>150</v>
      </c>
      <c r="N259" s="331"/>
      <c r="O259" s="331" t="s">
        <v>151</v>
      </c>
      <c r="P259" s="331"/>
      <c r="Q259" s="329"/>
      <c r="R259" s="330" t="s">
        <v>3737</v>
      </c>
      <c r="S259" s="330" t="s">
        <v>3738</v>
      </c>
      <c r="T259" s="356" t="s">
        <v>3739</v>
      </c>
      <c r="U259" s="330" t="s">
        <v>3740</v>
      </c>
      <c r="V259" s="332">
        <v>34463</v>
      </c>
      <c r="W259" s="391" t="s">
        <v>3741</v>
      </c>
      <c r="X259" s="333" t="s">
        <v>3575</v>
      </c>
      <c r="Y259" s="331"/>
      <c r="Z259" s="331"/>
      <c r="AA259" s="329"/>
      <c r="AB259" s="361">
        <v>45537</v>
      </c>
      <c r="AC259" s="361">
        <v>45719</v>
      </c>
      <c r="AD259" s="329"/>
      <c r="AE259" s="329" t="s">
        <v>3742</v>
      </c>
      <c r="AF259" s="329" t="s">
        <v>3743</v>
      </c>
      <c r="AG259" s="329" t="s">
        <v>3744</v>
      </c>
      <c r="AH259" s="334">
        <v>3</v>
      </c>
      <c r="AI259" s="329" t="s">
        <v>161</v>
      </c>
      <c r="AJ259" s="329" t="s">
        <v>161</v>
      </c>
      <c r="AK259" s="329" t="s">
        <v>161</v>
      </c>
      <c r="AL259" s="334"/>
      <c r="AM259" s="334"/>
      <c r="AN259" s="334"/>
      <c r="AO259" s="335"/>
      <c r="AP259" s="335"/>
      <c r="AQ259" s="335"/>
      <c r="AR259" s="334"/>
      <c r="AS259" s="329"/>
      <c r="AT259" s="424"/>
      <c r="AU259" s="329" t="s">
        <v>3745</v>
      </c>
      <c r="AV259" s="329"/>
      <c r="AW259" s="362">
        <v>45719</v>
      </c>
      <c r="AX259" s="329"/>
      <c r="AY259" s="334"/>
      <c r="AZ259" s="329"/>
      <c r="BA259" s="329"/>
      <c r="BB259" s="329"/>
      <c r="BC259" s="439"/>
      <c r="BD259" s="439"/>
      <c r="BE259" s="440" t="s">
        <v>3746</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3747</v>
      </c>
    </row>
    <row r="260" spans="1:89" ht="21" customHeight="1" x14ac:dyDescent="0.35">
      <c r="A260" s="330">
        <v>263</v>
      </c>
      <c r="B260" s="330" t="s">
        <v>3748</v>
      </c>
      <c r="C260" s="330" t="s">
        <v>3749</v>
      </c>
      <c r="D260" s="330" t="s">
        <v>3750</v>
      </c>
      <c r="E260" s="330" t="s">
        <v>3751</v>
      </c>
      <c r="F260" s="330" t="s">
        <v>25</v>
      </c>
      <c r="G260" s="329">
        <v>11</v>
      </c>
      <c r="H260" s="329" t="s">
        <v>53</v>
      </c>
      <c r="I260" s="329" t="s">
        <v>46</v>
      </c>
      <c r="J260" s="329" t="s">
        <v>3752</v>
      </c>
      <c r="K260" s="329" t="s">
        <v>3753</v>
      </c>
      <c r="L260" s="329" t="s">
        <v>44</v>
      </c>
      <c r="M260" s="329" t="s">
        <v>150</v>
      </c>
      <c r="N260" s="331"/>
      <c r="O260" s="331" t="s">
        <v>322</v>
      </c>
      <c r="P260" s="331"/>
      <c r="Q260" s="329"/>
      <c r="R260" s="330" t="s">
        <v>3754</v>
      </c>
      <c r="S260" s="330" t="s">
        <v>3755</v>
      </c>
      <c r="T260" s="356" t="s">
        <v>3756</v>
      </c>
      <c r="U260" s="330" t="s">
        <v>3757</v>
      </c>
      <c r="V260" s="332">
        <v>33558</v>
      </c>
      <c r="W260" s="391" t="s">
        <v>3758</v>
      </c>
      <c r="X260" s="333" t="s">
        <v>3575</v>
      </c>
      <c r="Y260" s="331"/>
      <c r="Z260" s="331"/>
      <c r="AA260" s="329"/>
      <c r="AB260" s="361">
        <v>45719</v>
      </c>
      <c r="AC260" s="361">
        <v>45719</v>
      </c>
      <c r="AD260" s="329"/>
      <c r="AE260" s="329" t="s">
        <v>3759</v>
      </c>
      <c r="AF260" s="329" t="s">
        <v>3760</v>
      </c>
      <c r="AG260" s="329"/>
      <c r="AH260" s="334">
        <v>2</v>
      </c>
      <c r="AI260" s="329" t="s">
        <v>161</v>
      </c>
      <c r="AJ260" s="329" t="s">
        <v>162</v>
      </c>
      <c r="AK260" s="329"/>
      <c r="AL260" s="334"/>
      <c r="AM260" s="334"/>
      <c r="AN260" s="334"/>
      <c r="AO260" s="335"/>
      <c r="AP260" s="335"/>
      <c r="AQ260" s="335"/>
      <c r="AR260" s="334"/>
      <c r="AS260" s="329"/>
      <c r="AT260" s="424"/>
      <c r="AU260" s="329" t="s">
        <v>3761</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3747</v>
      </c>
    </row>
    <row r="261" spans="1:89" ht="20.25" customHeight="1" x14ac:dyDescent="0.35">
      <c r="A261" s="330">
        <v>264</v>
      </c>
      <c r="B261" s="330" t="s">
        <v>3762</v>
      </c>
      <c r="C261" s="330" t="s">
        <v>3763</v>
      </c>
      <c r="D261" s="330" t="s">
        <v>3764</v>
      </c>
      <c r="E261" s="330" t="s">
        <v>3765</v>
      </c>
      <c r="F261" s="330" t="s">
        <v>25</v>
      </c>
      <c r="G261" s="329">
        <v>11</v>
      </c>
      <c r="H261" s="329" t="s">
        <v>52</v>
      </c>
      <c r="I261" s="329" t="s">
        <v>42</v>
      </c>
      <c r="J261" s="329" t="s">
        <v>3766</v>
      </c>
      <c r="K261" s="329" t="s">
        <v>3695</v>
      </c>
      <c r="L261" s="329" t="s">
        <v>42</v>
      </c>
      <c r="M261" s="329" t="s">
        <v>150</v>
      </c>
      <c r="N261" s="331"/>
      <c r="O261" s="331" t="s">
        <v>151</v>
      </c>
      <c r="P261" s="331"/>
      <c r="Q261" s="329"/>
      <c r="R261" s="330" t="s">
        <v>3767</v>
      </c>
      <c r="S261" s="330" t="s">
        <v>3768</v>
      </c>
      <c r="T261" s="356" t="s">
        <v>3769</v>
      </c>
      <c r="U261" s="330" t="s">
        <v>3770</v>
      </c>
      <c r="V261" s="332">
        <v>34034</v>
      </c>
      <c r="W261" s="391" t="s">
        <v>3771</v>
      </c>
      <c r="X261" s="333" t="s">
        <v>3772</v>
      </c>
      <c r="Y261" s="331"/>
      <c r="Z261" s="331"/>
      <c r="AA261" s="329"/>
      <c r="AB261" s="361">
        <v>45180</v>
      </c>
      <c r="AC261" s="361">
        <v>45719</v>
      </c>
      <c r="AD261" s="329"/>
      <c r="AE261" s="329" t="s">
        <v>3773</v>
      </c>
      <c r="AF261" s="329" t="s">
        <v>3774</v>
      </c>
      <c r="AG261" s="329" t="s">
        <v>3775</v>
      </c>
      <c r="AH261" s="334">
        <v>3</v>
      </c>
      <c r="AI261" s="329" t="s">
        <v>161</v>
      </c>
      <c r="AJ261" s="329" t="s">
        <v>161</v>
      </c>
      <c r="AK261" s="329" t="s">
        <v>161</v>
      </c>
      <c r="AL261" s="334"/>
      <c r="AM261" s="334"/>
      <c r="AN261" s="334"/>
      <c r="AO261" s="335"/>
      <c r="AP261" s="335"/>
      <c r="AQ261" s="335"/>
      <c r="AR261" s="334"/>
      <c r="AS261" s="329"/>
      <c r="AT261" s="424"/>
      <c r="AU261" s="329" t="s">
        <v>3776</v>
      </c>
      <c r="AV261" s="329"/>
      <c r="AW261" s="362">
        <v>45719</v>
      </c>
      <c r="AX261" s="329"/>
      <c r="AY261" s="334"/>
      <c r="AZ261" s="329"/>
      <c r="BA261" s="329"/>
      <c r="BB261" s="329"/>
      <c r="BC261" s="439"/>
      <c r="BD261" s="439"/>
      <c r="BE261" s="440" t="s">
        <v>3777</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x14ac:dyDescent="0.35">
      <c r="A262" s="330">
        <v>265</v>
      </c>
      <c r="B262" s="330" t="s">
        <v>3778</v>
      </c>
      <c r="C262" s="330" t="s">
        <v>3779</v>
      </c>
      <c r="D262" s="330" t="s">
        <v>3279</v>
      </c>
      <c r="E262" s="330" t="s">
        <v>3780</v>
      </c>
      <c r="F262" s="330" t="s">
        <v>24</v>
      </c>
      <c r="G262" s="329">
        <v>11</v>
      </c>
      <c r="H262" s="329" t="s">
        <v>54</v>
      </c>
      <c r="I262" s="329" t="s">
        <v>39</v>
      </c>
      <c r="J262" s="329" t="s">
        <v>3781</v>
      </c>
      <c r="K262" s="329" t="s">
        <v>3782</v>
      </c>
      <c r="L262" s="329" t="s">
        <v>39</v>
      </c>
      <c r="M262" s="329" t="s">
        <v>150</v>
      </c>
      <c r="N262" s="331"/>
      <c r="O262" s="331" t="s">
        <v>322</v>
      </c>
      <c r="P262" s="331"/>
      <c r="Q262" s="329"/>
      <c r="R262" s="330" t="s">
        <v>3783</v>
      </c>
      <c r="S262" s="330" t="s">
        <v>3784</v>
      </c>
      <c r="T262" s="356" t="s">
        <v>3785</v>
      </c>
      <c r="U262" s="330" t="s">
        <v>3786</v>
      </c>
      <c r="V262" s="332">
        <v>32059</v>
      </c>
      <c r="W262" s="391" t="s">
        <v>3787</v>
      </c>
      <c r="X262" s="333" t="s">
        <v>156</v>
      </c>
      <c r="Y262" s="331"/>
      <c r="Z262" s="331"/>
      <c r="AA262" s="329"/>
      <c r="AB262" s="361">
        <v>45611</v>
      </c>
      <c r="AC262" s="361">
        <v>45719</v>
      </c>
      <c r="AD262" s="329"/>
      <c r="AE262" s="329" t="s">
        <v>3788</v>
      </c>
      <c r="AF262" s="329" t="s">
        <v>3789</v>
      </c>
      <c r="AG262" s="329"/>
      <c r="AH262" s="334">
        <v>2</v>
      </c>
      <c r="AI262" s="329" t="s">
        <v>161</v>
      </c>
      <c r="AJ262" s="329" t="s">
        <v>161</v>
      </c>
      <c r="AK262" s="329"/>
      <c r="AL262" s="334"/>
      <c r="AM262" s="334"/>
      <c r="AN262" s="334"/>
      <c r="AO262" s="335"/>
      <c r="AP262" s="335"/>
      <c r="AQ262" s="335"/>
      <c r="AR262" s="334"/>
      <c r="AS262" s="329"/>
      <c r="AT262" s="424"/>
      <c r="AU262" s="329" t="s">
        <v>3790</v>
      </c>
      <c r="AV262" s="329"/>
      <c r="AW262" s="362">
        <v>45719</v>
      </c>
      <c r="AX262" s="329"/>
      <c r="AY262" s="334"/>
      <c r="AZ262" s="329"/>
      <c r="BA262" s="329"/>
      <c r="BB262" s="329"/>
      <c r="BC262" s="439"/>
      <c r="BD262" s="439"/>
      <c r="BE262" s="440" t="s">
        <v>3791</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x14ac:dyDescent="0.35">
      <c r="A263" s="330">
        <v>266</v>
      </c>
      <c r="B263" s="330" t="s">
        <v>3792</v>
      </c>
      <c r="C263" s="330" t="s">
        <v>3793</v>
      </c>
      <c r="D263" s="330" t="s">
        <v>3794</v>
      </c>
      <c r="E263" s="330" t="s">
        <v>3795</v>
      </c>
      <c r="F263" s="330" t="s">
        <v>25</v>
      </c>
      <c r="G263" s="329">
        <v>11</v>
      </c>
      <c r="H263" s="329" t="s">
        <v>53</v>
      </c>
      <c r="I263" s="329" t="s">
        <v>46</v>
      </c>
      <c r="J263" s="329" t="s">
        <v>602</v>
      </c>
      <c r="K263" s="329" t="s">
        <v>3796</v>
      </c>
      <c r="L263" s="337" t="s">
        <v>45</v>
      </c>
      <c r="M263" s="337" t="s">
        <v>163</v>
      </c>
      <c r="N263" s="331"/>
      <c r="O263" s="331" t="s">
        <v>151</v>
      </c>
      <c r="P263" s="331"/>
      <c r="Q263" s="329"/>
      <c r="R263" s="330" t="s">
        <v>3797</v>
      </c>
      <c r="S263" s="330" t="s">
        <v>3798</v>
      </c>
      <c r="T263" s="356" t="s">
        <v>3799</v>
      </c>
      <c r="U263" s="330" t="s">
        <v>3800</v>
      </c>
      <c r="V263" s="332">
        <v>31592</v>
      </c>
      <c r="W263" s="391" t="s">
        <v>3801</v>
      </c>
      <c r="X263" s="333" t="s">
        <v>3575</v>
      </c>
      <c r="Y263" s="331"/>
      <c r="Z263" s="331"/>
      <c r="AA263" s="329"/>
      <c r="AB263" s="361">
        <v>45839</v>
      </c>
      <c r="AC263" s="361">
        <v>45719</v>
      </c>
      <c r="AD263" s="329"/>
      <c r="AE263" s="329" t="s">
        <v>3802</v>
      </c>
      <c r="AF263" s="329" t="s">
        <v>3803</v>
      </c>
      <c r="AG263" s="329" t="s">
        <v>3804</v>
      </c>
      <c r="AH263" s="334">
        <v>3</v>
      </c>
      <c r="AI263" s="329" t="s">
        <v>162</v>
      </c>
      <c r="AJ263" s="329" t="s">
        <v>161</v>
      </c>
      <c r="AK263" s="329" t="s">
        <v>202</v>
      </c>
      <c r="AL263" s="334"/>
      <c r="AM263" s="334"/>
      <c r="AN263" s="334"/>
      <c r="AO263" s="335"/>
      <c r="AP263" s="335"/>
      <c r="AQ263" s="335"/>
      <c r="AR263" s="334"/>
      <c r="AS263" s="329"/>
      <c r="AT263" s="424"/>
      <c r="AU263" s="329" t="s">
        <v>3805</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x14ac:dyDescent="0.35">
      <c r="A264" s="357">
        <v>267</v>
      </c>
      <c r="B264" s="357" t="s">
        <v>3806</v>
      </c>
      <c r="C264" s="357" t="s">
        <v>3807</v>
      </c>
      <c r="D264" s="357"/>
      <c r="E264" s="357" t="s">
        <v>3808</v>
      </c>
      <c r="F264" s="357" t="s">
        <v>25</v>
      </c>
      <c r="G264" s="337">
        <v>11</v>
      </c>
      <c r="H264" s="337" t="s">
        <v>55</v>
      </c>
      <c r="I264" s="337" t="s">
        <v>43</v>
      </c>
      <c r="J264" s="337" t="s">
        <v>3809</v>
      </c>
      <c r="K264" s="337" t="s">
        <v>3810</v>
      </c>
      <c r="L264" s="337"/>
      <c r="M264" s="337"/>
      <c r="N264" s="428"/>
      <c r="O264" s="428" t="s">
        <v>322</v>
      </c>
      <c r="P264" s="428"/>
      <c r="Q264" s="337"/>
      <c r="R264" s="357" t="s">
        <v>3811</v>
      </c>
      <c r="S264" s="357" t="s">
        <v>3812</v>
      </c>
      <c r="T264" s="358" t="s">
        <v>3813</v>
      </c>
      <c r="U264" s="357" t="s">
        <v>3814</v>
      </c>
      <c r="V264" s="429">
        <v>31315</v>
      </c>
      <c r="W264" s="430" t="s">
        <v>3815</v>
      </c>
      <c r="X264" s="431" t="s">
        <v>3686</v>
      </c>
      <c r="Y264" s="428"/>
      <c r="Z264" s="428"/>
      <c r="AA264" s="337"/>
      <c r="AB264" s="432">
        <v>45930</v>
      </c>
      <c r="AC264" s="432">
        <v>45719</v>
      </c>
      <c r="AD264" s="337" t="s">
        <v>3816</v>
      </c>
      <c r="AE264" s="337"/>
      <c r="AF264" s="337"/>
      <c r="AG264" s="337"/>
      <c r="AH264" s="433"/>
      <c r="AI264" s="337"/>
      <c r="AJ264" s="337"/>
      <c r="AK264" s="337"/>
      <c r="AL264" s="433"/>
      <c r="AM264" s="433"/>
      <c r="AN264" s="433"/>
      <c r="AO264" s="434"/>
      <c r="AP264" s="434"/>
      <c r="AQ264" s="434"/>
      <c r="AR264" s="433"/>
      <c r="AS264" s="337"/>
      <c r="AT264" s="435"/>
      <c r="AU264" s="337" t="s">
        <v>3817</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x14ac:dyDescent="0.35">
      <c r="A265" s="330">
        <v>268</v>
      </c>
      <c r="B265" s="330" t="s">
        <v>3818</v>
      </c>
      <c r="C265" s="330" t="s">
        <v>3819</v>
      </c>
      <c r="D265" s="330"/>
      <c r="E265" s="330" t="s">
        <v>3820</v>
      </c>
      <c r="F265" s="330" t="s">
        <v>24</v>
      </c>
      <c r="G265" s="329">
        <v>11</v>
      </c>
      <c r="H265" s="329" t="s">
        <v>55</v>
      </c>
      <c r="I265" s="329" t="s">
        <v>43</v>
      </c>
      <c r="J265" s="329" t="s">
        <v>602</v>
      </c>
      <c r="K265" s="329" t="s">
        <v>3821</v>
      </c>
      <c r="L265" s="337"/>
      <c r="M265" s="337"/>
      <c r="N265" s="331"/>
      <c r="O265" s="331" t="s">
        <v>151</v>
      </c>
      <c r="P265" s="331"/>
      <c r="Q265" s="329"/>
      <c r="R265" s="330" t="s">
        <v>3822</v>
      </c>
      <c r="S265" s="330" t="s">
        <v>3823</v>
      </c>
      <c r="T265" s="356" t="s">
        <v>3824</v>
      </c>
      <c r="U265" s="330" t="s">
        <v>3825</v>
      </c>
      <c r="V265" s="332">
        <v>32091</v>
      </c>
      <c r="W265" s="391" t="s">
        <v>3826</v>
      </c>
      <c r="X265" s="333"/>
      <c r="Y265" s="331"/>
      <c r="Z265" s="331"/>
      <c r="AA265" s="329"/>
      <c r="AB265" s="361"/>
      <c r="AC265" s="361">
        <v>45719</v>
      </c>
      <c r="AD265" s="329"/>
      <c r="AE265" s="329" t="s">
        <v>3827</v>
      </c>
      <c r="AF265" s="329" t="s">
        <v>3828</v>
      </c>
      <c r="AG265" s="329"/>
      <c r="AH265" s="334">
        <v>2</v>
      </c>
      <c r="AI265" s="329" t="s">
        <v>161</v>
      </c>
      <c r="AJ265" s="329" t="s">
        <v>161</v>
      </c>
      <c r="AK265" s="329"/>
      <c r="AL265" s="334"/>
      <c r="AM265" s="334"/>
      <c r="AN265" s="334"/>
      <c r="AO265" s="335"/>
      <c r="AP265" s="335"/>
      <c r="AQ265" s="335"/>
      <c r="AR265" s="334"/>
      <c r="AS265" s="329"/>
      <c r="AT265" s="424"/>
      <c r="AU265" s="329" t="s">
        <v>3829</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3747</v>
      </c>
    </row>
    <row r="266" spans="1:89" ht="23.25" customHeight="1" x14ac:dyDescent="0.35">
      <c r="A266" s="443">
        <v>269</v>
      </c>
      <c r="B266" s="443" t="s">
        <v>3830</v>
      </c>
      <c r="C266" s="443" t="s">
        <v>3831</v>
      </c>
      <c r="D266" s="443" t="s">
        <v>3832</v>
      </c>
      <c r="E266" s="443" t="s">
        <v>3833</v>
      </c>
      <c r="F266" s="443" t="s">
        <v>24</v>
      </c>
      <c r="G266" s="444">
        <v>11</v>
      </c>
      <c r="H266" s="444" t="s">
        <v>59</v>
      </c>
      <c r="I266" s="444" t="s">
        <v>40</v>
      </c>
      <c r="J266" s="444" t="s">
        <v>3834</v>
      </c>
      <c r="K266" s="444" t="s">
        <v>3835</v>
      </c>
      <c r="L266" s="445"/>
      <c r="M266" s="445"/>
      <c r="N266" s="446"/>
      <c r="O266" s="446" t="s">
        <v>151</v>
      </c>
      <c r="P266" s="446"/>
      <c r="Q266" s="444"/>
      <c r="R266" s="443" t="s">
        <v>3836</v>
      </c>
      <c r="S266" s="443" t="s">
        <v>3837</v>
      </c>
      <c r="T266" s="447" t="s">
        <v>3838</v>
      </c>
      <c r="U266" s="443" t="s">
        <v>3839</v>
      </c>
      <c r="V266" s="448">
        <v>30939</v>
      </c>
      <c r="W266" s="449" t="s">
        <v>3840</v>
      </c>
      <c r="X266" s="450" t="s">
        <v>3575</v>
      </c>
      <c r="Y266" s="446"/>
      <c r="Z266" s="446"/>
      <c r="AA266" s="444"/>
      <c r="AB266" s="451">
        <v>45777</v>
      </c>
      <c r="AC266" s="361">
        <v>45719</v>
      </c>
      <c r="AD266" s="444"/>
      <c r="AE266" s="444" t="s">
        <v>3802</v>
      </c>
      <c r="AF266" s="444" t="s">
        <v>3841</v>
      </c>
      <c r="AG266" s="444" t="s">
        <v>3842</v>
      </c>
      <c r="AH266" s="452">
        <v>3</v>
      </c>
      <c r="AI266" s="444" t="s">
        <v>162</v>
      </c>
      <c r="AJ266" s="444" t="s">
        <v>161</v>
      </c>
      <c r="AK266" s="444" t="s">
        <v>202</v>
      </c>
      <c r="AL266" s="452"/>
      <c r="AM266" s="452"/>
      <c r="AN266" s="452"/>
      <c r="AO266" s="453"/>
      <c r="AP266" s="453"/>
      <c r="AQ266" s="453"/>
      <c r="AR266" s="452"/>
      <c r="AS266" s="444"/>
      <c r="AT266" s="454"/>
      <c r="AU266" s="444" t="s">
        <v>3843</v>
      </c>
      <c r="AV266" s="444"/>
      <c r="AW266" s="455">
        <v>45719</v>
      </c>
      <c r="AX266" s="444"/>
      <c r="AY266" s="452"/>
      <c r="AZ266" s="444"/>
      <c r="BA266" s="444"/>
      <c r="BB266" s="444"/>
      <c r="BC266" s="439"/>
      <c r="BD266" s="439"/>
      <c r="BE266" s="440" t="s">
        <v>3844</v>
      </c>
      <c r="BF266" s="444"/>
      <c r="BG266" s="444"/>
      <c r="BH266" s="444"/>
      <c r="BI266" s="444"/>
      <c r="BJ266" s="444"/>
      <c r="BK266" s="444"/>
      <c r="BL266" s="444"/>
      <c r="BM266" s="448"/>
      <c r="BN266" s="456" t="s">
        <v>17</v>
      </c>
      <c r="BO266" s="452"/>
      <c r="BP266" s="452"/>
      <c r="BQ266" s="457"/>
      <c r="BR266" s="329">
        <v>16</v>
      </c>
      <c r="BS266" s="472"/>
      <c r="BT266" s="444"/>
      <c r="BU266" s="444"/>
      <c r="BV266" s="444"/>
      <c r="BW266" s="444"/>
      <c r="BX266" s="444"/>
      <c r="BY266" s="444"/>
      <c r="BZ266" s="444"/>
      <c r="CA266" s="444"/>
      <c r="CB266" s="444"/>
      <c r="CC266" s="444"/>
      <c r="CD266" s="444"/>
      <c r="CE266" s="444"/>
      <c r="CF266" s="444"/>
      <c r="CG266" s="444"/>
      <c r="CH266" s="457">
        <v>3</v>
      </c>
      <c r="CI266" s="458"/>
      <c r="CJ266" s="458"/>
      <c r="CK266" s="458" t="s">
        <v>809</v>
      </c>
    </row>
    <row r="267" spans="1:89" ht="20.25" customHeight="1" x14ac:dyDescent="0.35">
      <c r="A267" s="474">
        <v>270</v>
      </c>
      <c r="B267" s="460" t="s">
        <v>3845</v>
      </c>
      <c r="C267" s="460" t="s">
        <v>3846</v>
      </c>
      <c r="D267" s="460"/>
      <c r="E267" s="460" t="s">
        <v>3847</v>
      </c>
      <c r="F267" s="460" t="s">
        <v>25</v>
      </c>
      <c r="G267" s="459">
        <v>12</v>
      </c>
      <c r="H267" s="460" t="s">
        <v>59</v>
      </c>
      <c r="I267" s="460" t="s">
        <v>40</v>
      </c>
      <c r="J267" s="484" t="s">
        <v>1128</v>
      </c>
      <c r="K267" s="460"/>
      <c r="L267" s="459"/>
      <c r="M267" s="459"/>
      <c r="N267" s="463"/>
      <c r="O267" s="475" t="s">
        <v>151</v>
      </c>
      <c r="P267" s="463"/>
      <c r="Q267" s="459"/>
      <c r="R267" s="476" t="s">
        <v>3848</v>
      </c>
      <c r="S267" s="477" t="s">
        <v>3849</v>
      </c>
      <c r="T267" s="478"/>
      <c r="U267" s="460" t="s">
        <v>3850</v>
      </c>
      <c r="V267" s="461">
        <v>34635</v>
      </c>
      <c r="W267" s="462" t="s">
        <v>3851</v>
      </c>
      <c r="X267" s="471" t="s">
        <v>156</v>
      </c>
      <c r="Y267" s="463"/>
      <c r="Z267" s="463"/>
      <c r="AA267" s="459"/>
      <c r="AB267" s="459"/>
      <c r="AC267" s="485">
        <v>46083</v>
      </c>
      <c r="AD267" s="464"/>
      <c r="AE267" s="459"/>
      <c r="AF267" s="459"/>
      <c r="AG267" s="459"/>
      <c r="AH267" s="465"/>
      <c r="AI267" s="464"/>
      <c r="AJ267" s="459"/>
      <c r="AK267" s="459"/>
      <c r="AL267" s="465"/>
      <c r="AM267" s="465"/>
      <c r="AN267" s="465"/>
      <c r="AO267" s="466"/>
      <c r="AP267" s="467" t="s">
        <v>3852</v>
      </c>
      <c r="AQ267" s="466"/>
      <c r="AR267" s="465"/>
      <c r="AS267" s="459"/>
      <c r="AT267" s="468"/>
      <c r="AU267" s="479" t="s">
        <v>3853</v>
      </c>
      <c r="AV267" s="459"/>
      <c r="AW267" s="480">
        <v>46083</v>
      </c>
      <c r="AX267" s="459"/>
      <c r="AY267" s="465"/>
      <c r="AZ267" s="459"/>
      <c r="BA267" s="459"/>
      <c r="BB267" s="459"/>
      <c r="BC267" s="459"/>
      <c r="BD267" s="459"/>
      <c r="BE267" s="459"/>
      <c r="BF267" s="459"/>
      <c r="BG267" s="464"/>
      <c r="BH267" s="459"/>
      <c r="BI267" s="459"/>
      <c r="BJ267" s="459"/>
      <c r="BK267" s="459"/>
      <c r="BL267" s="459"/>
      <c r="BM267" s="469"/>
      <c r="BN267" s="479" t="s">
        <v>17</v>
      </c>
      <c r="BO267" s="470"/>
      <c r="BP267" s="465"/>
      <c r="BQ267" s="464"/>
      <c r="BR267" s="460">
        <v>10</v>
      </c>
      <c r="BS267" s="473"/>
      <c r="BT267" s="459"/>
      <c r="BU267" s="459"/>
      <c r="BV267" s="459"/>
      <c r="BW267" s="464"/>
      <c r="BX267" s="459"/>
      <c r="BY267" s="459"/>
      <c r="BZ267" s="459"/>
      <c r="CA267" s="459"/>
      <c r="CB267" s="459"/>
      <c r="CC267" s="464"/>
      <c r="CD267" s="459"/>
      <c r="CE267" s="459"/>
      <c r="CF267" s="459"/>
      <c r="CG267" s="459"/>
      <c r="CH267" s="459"/>
      <c r="CI267" s="464"/>
      <c r="CJ267" s="459"/>
      <c r="CK267" s="459"/>
    </row>
    <row r="268" spans="1:89" ht="20.25" customHeight="1" x14ac:dyDescent="0.35">
      <c r="A268" s="481">
        <v>271</v>
      </c>
      <c r="B268" s="460" t="s">
        <v>3854</v>
      </c>
      <c r="C268" s="460" t="s">
        <v>3855</v>
      </c>
      <c r="D268" s="460"/>
      <c r="E268" s="460" t="s">
        <v>3856</v>
      </c>
      <c r="F268" s="460" t="s">
        <v>24</v>
      </c>
      <c r="G268" s="459">
        <v>12</v>
      </c>
      <c r="H268" s="460" t="s">
        <v>58</v>
      </c>
      <c r="I268" s="460" t="s">
        <v>45</v>
      </c>
      <c r="J268" s="484" t="s">
        <v>602</v>
      </c>
      <c r="K268" s="460" t="s">
        <v>3294</v>
      </c>
      <c r="L268" s="459"/>
      <c r="M268" s="459"/>
      <c r="N268" s="463"/>
      <c r="O268" s="475" t="s">
        <v>151</v>
      </c>
      <c r="P268" s="463"/>
      <c r="Q268" s="459"/>
      <c r="R268" s="476" t="s">
        <v>3857</v>
      </c>
      <c r="S268" s="477" t="s">
        <v>3858</v>
      </c>
      <c r="T268" s="478"/>
      <c r="U268" s="482" t="s">
        <v>3859</v>
      </c>
      <c r="V268" s="461">
        <v>33459</v>
      </c>
      <c r="W268" s="462" t="s">
        <v>3860</v>
      </c>
      <c r="X268" s="471" t="s">
        <v>3575</v>
      </c>
      <c r="Y268" s="463"/>
      <c r="Z268" s="463"/>
      <c r="AA268" s="459"/>
      <c r="AB268" s="459"/>
      <c r="AC268" s="485">
        <v>46083</v>
      </c>
      <c r="AD268" s="464"/>
      <c r="AE268" s="459"/>
      <c r="AF268" s="459"/>
      <c r="AG268" s="459"/>
      <c r="AH268" s="465"/>
      <c r="AI268" s="464"/>
      <c r="AJ268" s="459"/>
      <c r="AK268" s="459"/>
      <c r="AL268" s="465"/>
      <c r="AM268" s="465"/>
      <c r="AN268" s="465"/>
      <c r="AO268" s="466"/>
      <c r="AP268" s="467" t="s">
        <v>203</v>
      </c>
      <c r="AQ268" s="466"/>
      <c r="AR268" s="465"/>
      <c r="AS268" s="459"/>
      <c r="AT268" s="468"/>
      <c r="AU268" s="483" t="s">
        <v>3861</v>
      </c>
      <c r="AV268" s="459"/>
      <c r="AW268" s="480">
        <v>46083</v>
      </c>
      <c r="AX268" s="459"/>
      <c r="AY268" s="465"/>
      <c r="AZ268" s="459"/>
      <c r="BA268" s="459"/>
      <c r="BB268" s="459"/>
      <c r="BC268" s="459"/>
      <c r="BD268" s="459"/>
      <c r="BE268" s="459"/>
      <c r="BF268" s="459"/>
      <c r="BG268" s="464"/>
      <c r="BH268" s="459"/>
      <c r="BI268" s="459"/>
      <c r="BJ268" s="459"/>
      <c r="BK268" s="459"/>
      <c r="BL268" s="459"/>
      <c r="BM268" s="469"/>
      <c r="BN268" s="479" t="s">
        <v>17</v>
      </c>
      <c r="BO268" s="470"/>
      <c r="BP268" s="465"/>
      <c r="BQ268" s="464"/>
      <c r="BR268" s="460">
        <v>6</v>
      </c>
      <c r="BS268" s="473"/>
      <c r="BT268" s="459"/>
      <c r="BU268" s="459"/>
      <c r="BV268" s="459"/>
      <c r="BW268" s="464"/>
      <c r="BX268" s="459"/>
      <c r="BY268" s="459"/>
      <c r="BZ268" s="459"/>
      <c r="CA268" s="459"/>
      <c r="CB268" s="459"/>
      <c r="CC268" s="464"/>
      <c r="CD268" s="459"/>
      <c r="CE268" s="459"/>
      <c r="CF268" s="459"/>
      <c r="CG268" s="459"/>
      <c r="CH268" s="459"/>
      <c r="CI268" s="464"/>
      <c r="CJ268" s="459"/>
      <c r="CK268" s="459"/>
    </row>
    <row r="269" spans="1:89" ht="20.25" customHeight="1" x14ac:dyDescent="0.35">
      <c r="A269" s="474">
        <v>272</v>
      </c>
      <c r="B269" s="460" t="s">
        <v>3862</v>
      </c>
      <c r="C269" s="460" t="s">
        <v>3863</v>
      </c>
      <c r="D269" s="460" t="s">
        <v>3864</v>
      </c>
      <c r="E269" s="460" t="s">
        <v>3865</v>
      </c>
      <c r="F269" s="460" t="s">
        <v>25</v>
      </c>
      <c r="G269" s="459">
        <v>12</v>
      </c>
      <c r="H269" s="460" t="s">
        <v>54</v>
      </c>
      <c r="I269" s="460" t="s">
        <v>31</v>
      </c>
      <c r="J269" s="484" t="s">
        <v>936</v>
      </c>
      <c r="K269" s="460" t="s">
        <v>3866</v>
      </c>
      <c r="L269" s="459"/>
      <c r="M269" s="459"/>
      <c r="N269" s="463"/>
      <c r="O269" s="475" t="s">
        <v>322</v>
      </c>
      <c r="P269" s="463"/>
      <c r="Q269" s="459"/>
      <c r="R269" s="476" t="s">
        <v>3867</v>
      </c>
      <c r="S269" s="477" t="s">
        <v>3868</v>
      </c>
      <c r="T269" s="478"/>
      <c r="U269" s="460" t="s">
        <v>3869</v>
      </c>
      <c r="V269" s="461">
        <v>35044</v>
      </c>
      <c r="W269" s="462" t="s">
        <v>3870</v>
      </c>
      <c r="X269" s="471" t="s">
        <v>3575</v>
      </c>
      <c r="Y269" s="463"/>
      <c r="Z269" s="463"/>
      <c r="AA269" s="459"/>
      <c r="AB269" s="459"/>
      <c r="AC269" s="485">
        <v>46083</v>
      </c>
      <c r="AD269" s="464"/>
      <c r="AE269" s="459"/>
      <c r="AF269" s="459"/>
      <c r="AG269" s="459"/>
      <c r="AH269" s="465"/>
      <c r="AI269" s="464"/>
      <c r="AJ269" s="459"/>
      <c r="AK269" s="459"/>
      <c r="AL269" s="465"/>
      <c r="AM269" s="465"/>
      <c r="AN269" s="465"/>
      <c r="AO269" s="466"/>
      <c r="AP269" s="467" t="s">
        <v>181</v>
      </c>
      <c r="AQ269" s="466"/>
      <c r="AR269" s="465"/>
      <c r="AS269" s="459"/>
      <c r="AT269" s="468"/>
      <c r="AU269" s="479" t="s">
        <v>3871</v>
      </c>
      <c r="AV269" s="459"/>
      <c r="AW269" s="480">
        <v>46083</v>
      </c>
      <c r="AX269" s="459"/>
      <c r="AY269" s="465"/>
      <c r="AZ269" s="459"/>
      <c r="BA269" s="459"/>
      <c r="BB269" s="459"/>
      <c r="BC269" s="459"/>
      <c r="BD269" s="459"/>
      <c r="BE269" s="459"/>
      <c r="BF269" s="459"/>
      <c r="BG269" s="464"/>
      <c r="BH269" s="459"/>
      <c r="BI269" s="459"/>
      <c r="BJ269" s="459"/>
      <c r="BK269" s="459"/>
      <c r="BL269" s="459"/>
      <c r="BM269" s="469"/>
      <c r="BN269" s="479" t="s">
        <v>17</v>
      </c>
      <c r="BO269" s="470"/>
      <c r="BP269" s="465"/>
      <c r="BQ269" s="464"/>
      <c r="BR269" s="460">
        <v>1</v>
      </c>
      <c r="BS269" s="473"/>
      <c r="BT269" s="459"/>
      <c r="BU269" s="459"/>
      <c r="BV269" s="459"/>
      <c r="BW269" s="464"/>
      <c r="BX269" s="459"/>
      <c r="BY269" s="459"/>
      <c r="BZ269" s="459"/>
      <c r="CA269" s="459"/>
      <c r="CB269" s="459"/>
      <c r="CC269" s="464"/>
      <c r="CD269" s="459"/>
      <c r="CE269" s="459"/>
      <c r="CF269" s="459"/>
      <c r="CG269" s="459"/>
      <c r="CH269" s="459"/>
      <c r="CI269" s="464"/>
      <c r="CJ269" s="459"/>
      <c r="CK269" s="459"/>
    </row>
    <row r="270" spans="1:89" ht="20.25" customHeight="1" x14ac:dyDescent="0.35">
      <c r="A270" s="481">
        <v>273</v>
      </c>
      <c r="B270" s="460" t="s">
        <v>3872</v>
      </c>
      <c r="C270" s="460" t="s">
        <v>3873</v>
      </c>
      <c r="D270" s="460"/>
      <c r="E270" s="460" t="s">
        <v>3874</v>
      </c>
      <c r="F270" s="460" t="s">
        <v>24</v>
      </c>
      <c r="G270" s="459">
        <v>12</v>
      </c>
      <c r="H270" s="460" t="s">
        <v>55</v>
      </c>
      <c r="I270" s="460" t="s">
        <v>43</v>
      </c>
      <c r="J270" s="484" t="s">
        <v>3875</v>
      </c>
      <c r="K270" s="460" t="s">
        <v>3876</v>
      </c>
      <c r="L270" s="459"/>
      <c r="M270" s="459"/>
      <c r="N270" s="463"/>
      <c r="O270" s="475" t="s">
        <v>151</v>
      </c>
      <c r="P270" s="463"/>
      <c r="Q270" s="459"/>
      <c r="R270" s="476" t="s">
        <v>3877</v>
      </c>
      <c r="S270" s="477" t="s">
        <v>3878</v>
      </c>
      <c r="T270" s="478"/>
      <c r="U270" s="460">
        <v>2017</v>
      </c>
      <c r="V270" s="461">
        <v>31413</v>
      </c>
      <c r="W270" s="462" t="s">
        <v>3879</v>
      </c>
      <c r="X270" s="471" t="s">
        <v>3575</v>
      </c>
      <c r="Y270" s="463"/>
      <c r="Z270" s="463"/>
      <c r="AA270" s="459"/>
      <c r="AB270" s="459"/>
      <c r="AC270" s="485">
        <v>46083</v>
      </c>
      <c r="AD270" s="464"/>
      <c r="AE270" s="459"/>
      <c r="AF270" s="459"/>
      <c r="AG270" s="459"/>
      <c r="AH270" s="465"/>
      <c r="AI270" s="464"/>
      <c r="AJ270" s="459"/>
      <c r="AK270" s="459"/>
      <c r="AL270" s="465"/>
      <c r="AM270" s="465"/>
      <c r="AN270" s="465"/>
      <c r="AO270" s="466"/>
      <c r="AP270" s="467" t="s">
        <v>181</v>
      </c>
      <c r="AQ270" s="466"/>
      <c r="AR270" s="465"/>
      <c r="AS270" s="459"/>
      <c r="AT270" s="468"/>
      <c r="AU270" s="483" t="s">
        <v>3880</v>
      </c>
      <c r="AV270" s="459"/>
      <c r="AW270" s="480">
        <v>46083</v>
      </c>
      <c r="AX270" s="459"/>
      <c r="AY270" s="465"/>
      <c r="AZ270" s="459"/>
      <c r="BA270" s="459"/>
      <c r="BB270" s="459"/>
      <c r="BC270" s="459"/>
      <c r="BD270" s="459"/>
      <c r="BE270" s="459"/>
      <c r="BF270" s="459"/>
      <c r="BG270" s="464"/>
      <c r="BH270" s="459"/>
      <c r="BI270" s="459"/>
      <c r="BJ270" s="459"/>
      <c r="BK270" s="459"/>
      <c r="BL270" s="459"/>
      <c r="BM270" s="469"/>
      <c r="BN270" s="479" t="s">
        <v>17</v>
      </c>
      <c r="BO270" s="470"/>
      <c r="BP270" s="465"/>
      <c r="BQ270" s="464"/>
      <c r="BR270" s="460">
        <v>4</v>
      </c>
      <c r="BS270" s="473"/>
      <c r="BT270" s="459"/>
      <c r="BU270" s="459"/>
      <c r="BV270" s="459"/>
      <c r="BW270" s="464"/>
      <c r="BX270" s="459"/>
      <c r="BY270" s="459"/>
      <c r="BZ270" s="459"/>
      <c r="CA270" s="459"/>
      <c r="CB270" s="459"/>
      <c r="CC270" s="464"/>
      <c r="CD270" s="459"/>
      <c r="CE270" s="459"/>
      <c r="CF270" s="459"/>
      <c r="CG270" s="459"/>
      <c r="CH270" s="459"/>
      <c r="CI270" s="464"/>
      <c r="CJ270" s="459"/>
      <c r="CK270" s="459"/>
    </row>
    <row r="271" spans="1:89" ht="20.25" customHeight="1" x14ac:dyDescent="0.35">
      <c r="A271" s="474">
        <v>274</v>
      </c>
      <c r="B271" s="460" t="s">
        <v>3881</v>
      </c>
      <c r="C271" s="460" t="s">
        <v>2286</v>
      </c>
      <c r="D271" s="460"/>
      <c r="E271" s="460" t="s">
        <v>3882</v>
      </c>
      <c r="F271" s="460" t="s">
        <v>24</v>
      </c>
      <c r="G271" s="459">
        <v>12</v>
      </c>
      <c r="H271" s="460" t="s">
        <v>53</v>
      </c>
      <c r="I271" s="460" t="s">
        <v>48</v>
      </c>
      <c r="J271" s="484" t="s">
        <v>1421</v>
      </c>
      <c r="K271" s="460"/>
      <c r="L271" s="459"/>
      <c r="M271" s="459"/>
      <c r="N271" s="463"/>
      <c r="O271" s="475" t="s">
        <v>322</v>
      </c>
      <c r="P271" s="463"/>
      <c r="Q271" s="459"/>
      <c r="R271" s="476" t="s">
        <v>3883</v>
      </c>
      <c r="S271" s="477" t="s">
        <v>3884</v>
      </c>
      <c r="T271" s="478"/>
      <c r="U271" s="460" t="s">
        <v>3885</v>
      </c>
      <c r="V271" s="461">
        <v>31905</v>
      </c>
      <c r="W271" s="462" t="s">
        <v>3886</v>
      </c>
      <c r="X271" s="471" t="s">
        <v>3575</v>
      </c>
      <c r="Y271" s="463"/>
      <c r="Z271" s="463"/>
      <c r="AA271" s="459"/>
      <c r="AB271" s="459"/>
      <c r="AC271" s="485">
        <v>46083</v>
      </c>
      <c r="AD271" s="464"/>
      <c r="AE271" s="459"/>
      <c r="AF271" s="459"/>
      <c r="AG271" s="459"/>
      <c r="AH271" s="465"/>
      <c r="AI271" s="464"/>
      <c r="AJ271" s="459"/>
      <c r="AK271" s="459"/>
      <c r="AL271" s="465"/>
      <c r="AM271" s="465"/>
      <c r="AN271" s="465"/>
      <c r="AO271" s="466"/>
      <c r="AP271" s="467" t="s">
        <v>203</v>
      </c>
      <c r="AQ271" s="466"/>
      <c r="AR271" s="465"/>
      <c r="AS271" s="459"/>
      <c r="AT271" s="468"/>
      <c r="AU271" s="479" t="s">
        <v>3887</v>
      </c>
      <c r="AV271" s="459"/>
      <c r="AW271" s="480">
        <v>46083</v>
      </c>
      <c r="AX271" s="459"/>
      <c r="AY271" s="465"/>
      <c r="AZ271" s="459"/>
      <c r="BA271" s="459"/>
      <c r="BB271" s="459"/>
      <c r="BC271" s="459"/>
      <c r="BD271" s="459"/>
      <c r="BE271" s="459"/>
      <c r="BF271" s="459"/>
      <c r="BG271" s="464"/>
      <c r="BH271" s="459"/>
      <c r="BI271" s="459"/>
      <c r="BJ271" s="459"/>
      <c r="BK271" s="459"/>
      <c r="BL271" s="459"/>
      <c r="BM271" s="469"/>
      <c r="BN271" s="479" t="s">
        <v>17</v>
      </c>
      <c r="BO271" s="470"/>
      <c r="BP271" s="465"/>
      <c r="BQ271" s="464"/>
      <c r="BR271" s="460">
        <v>4</v>
      </c>
      <c r="BS271" s="473"/>
      <c r="BT271" s="459"/>
      <c r="BU271" s="459"/>
      <c r="BV271" s="459"/>
      <c r="BW271" s="464"/>
      <c r="BX271" s="459"/>
      <c r="BY271" s="459"/>
      <c r="BZ271" s="459"/>
      <c r="CA271" s="459"/>
      <c r="CB271" s="459"/>
      <c r="CC271" s="464"/>
      <c r="CD271" s="459"/>
      <c r="CE271" s="459"/>
      <c r="CF271" s="459"/>
      <c r="CG271" s="459"/>
      <c r="CH271" s="459"/>
      <c r="CI271" s="464"/>
      <c r="CJ271" s="459"/>
      <c r="CK271" s="459"/>
    </row>
    <row r="272" spans="1:89" ht="20.25" customHeight="1" x14ac:dyDescent="0.35">
      <c r="A272" s="481">
        <v>275</v>
      </c>
      <c r="B272" s="460" t="s">
        <v>3888</v>
      </c>
      <c r="C272" s="460" t="s">
        <v>1599</v>
      </c>
      <c r="D272" s="460"/>
      <c r="E272" s="460" t="s">
        <v>3889</v>
      </c>
      <c r="F272" s="460" t="s">
        <v>24</v>
      </c>
      <c r="G272" s="459">
        <v>12</v>
      </c>
      <c r="H272" s="460" t="s">
        <v>60</v>
      </c>
      <c r="I272" s="460" t="s">
        <v>35</v>
      </c>
      <c r="J272" s="484" t="s">
        <v>3890</v>
      </c>
      <c r="K272" s="460" t="s">
        <v>3891</v>
      </c>
      <c r="L272" s="459"/>
      <c r="M272" s="459"/>
      <c r="N272" s="463"/>
      <c r="O272" s="475" t="s">
        <v>322</v>
      </c>
      <c r="P272" s="463"/>
      <c r="Q272" s="459"/>
      <c r="R272" s="476" t="s">
        <v>3892</v>
      </c>
      <c r="S272" s="477" t="s">
        <v>3893</v>
      </c>
      <c r="T272" s="478"/>
      <c r="U272" s="482" t="s">
        <v>3894</v>
      </c>
      <c r="V272" s="461">
        <v>30496</v>
      </c>
      <c r="W272" s="462" t="s">
        <v>3895</v>
      </c>
      <c r="X272" s="471" t="s">
        <v>3686</v>
      </c>
      <c r="Y272" s="463"/>
      <c r="Z272" s="463"/>
      <c r="AA272" s="459"/>
      <c r="AB272" s="459"/>
      <c r="AC272" s="485">
        <v>46083</v>
      </c>
      <c r="AD272" s="464"/>
      <c r="AE272" s="459"/>
      <c r="AF272" s="459"/>
      <c r="AG272" s="459"/>
      <c r="AH272" s="465"/>
      <c r="AI272" s="464"/>
      <c r="AJ272" s="459"/>
      <c r="AK272" s="459"/>
      <c r="AL272" s="465"/>
      <c r="AM272" s="465"/>
      <c r="AN272" s="465"/>
      <c r="AO272" s="466"/>
      <c r="AP272" s="467" t="s">
        <v>181</v>
      </c>
      <c r="AQ272" s="466"/>
      <c r="AR272" s="465"/>
      <c r="AS272" s="459"/>
      <c r="AT272" s="468"/>
      <c r="AU272" s="479" t="s">
        <v>3896</v>
      </c>
      <c r="AV272" s="459"/>
      <c r="AW272" s="480">
        <v>46083</v>
      </c>
      <c r="AX272" s="459"/>
      <c r="AY272" s="465"/>
      <c r="AZ272" s="459"/>
      <c r="BA272" s="459"/>
      <c r="BB272" s="459"/>
      <c r="BC272" s="459"/>
      <c r="BD272" s="459"/>
      <c r="BE272" s="459"/>
      <c r="BF272" s="459"/>
      <c r="BG272" s="464"/>
      <c r="BH272" s="459"/>
      <c r="BI272" s="459"/>
      <c r="BJ272" s="459"/>
      <c r="BK272" s="459"/>
      <c r="BL272" s="459"/>
      <c r="BM272" s="469"/>
      <c r="BN272" s="479" t="s">
        <v>17</v>
      </c>
      <c r="BO272" s="470"/>
      <c r="BP272" s="465"/>
      <c r="BQ272" s="464"/>
      <c r="BR272" s="460">
        <v>5</v>
      </c>
      <c r="BS272" s="473"/>
      <c r="BT272" s="459"/>
      <c r="BU272" s="459"/>
      <c r="BV272" s="459"/>
      <c r="BW272" s="464"/>
      <c r="BX272" s="459"/>
      <c r="BY272" s="459"/>
      <c r="BZ272" s="459"/>
      <c r="CA272" s="459"/>
      <c r="CB272" s="459"/>
      <c r="CC272" s="464"/>
      <c r="CD272" s="459"/>
      <c r="CE272" s="459"/>
      <c r="CF272" s="459"/>
      <c r="CG272" s="459"/>
      <c r="CH272" s="459"/>
      <c r="CI272" s="464"/>
      <c r="CJ272" s="459"/>
      <c r="CK272" s="459"/>
    </row>
    <row r="273" spans="1:89" ht="20.25" customHeight="1" x14ac:dyDescent="0.35">
      <c r="A273" s="474">
        <v>276</v>
      </c>
      <c r="B273" s="460" t="s">
        <v>3897</v>
      </c>
      <c r="C273" s="460" t="s">
        <v>3898</v>
      </c>
      <c r="D273" s="460"/>
      <c r="E273" s="460" t="s">
        <v>3899</v>
      </c>
      <c r="F273" s="460" t="s">
        <v>25</v>
      </c>
      <c r="G273" s="459">
        <v>12</v>
      </c>
      <c r="H273" s="460" t="s">
        <v>55</v>
      </c>
      <c r="I273" s="460" t="s">
        <v>43</v>
      </c>
      <c r="J273" s="484" t="s">
        <v>3900</v>
      </c>
      <c r="K273" s="460" t="s">
        <v>2013</v>
      </c>
      <c r="L273" s="459"/>
      <c r="M273" s="459"/>
      <c r="N273" s="463"/>
      <c r="O273" s="475" t="s">
        <v>151</v>
      </c>
      <c r="P273" s="463"/>
      <c r="Q273" s="459"/>
      <c r="R273" s="476" t="s">
        <v>3901</v>
      </c>
      <c r="S273" s="477" t="s">
        <v>3902</v>
      </c>
      <c r="T273" s="478"/>
      <c r="U273" s="460">
        <v>2022</v>
      </c>
      <c r="V273" s="461">
        <v>32173</v>
      </c>
      <c r="W273" s="462" t="s">
        <v>3903</v>
      </c>
      <c r="X273" s="471" t="s">
        <v>3575</v>
      </c>
      <c r="Y273" s="463"/>
      <c r="Z273" s="463"/>
      <c r="AA273" s="459"/>
      <c r="AB273" s="459"/>
      <c r="AC273" s="485">
        <v>46083</v>
      </c>
      <c r="AD273" s="464"/>
      <c r="AE273" s="459"/>
      <c r="AF273" s="459"/>
      <c r="AG273" s="459"/>
      <c r="AH273" s="465"/>
      <c r="AI273" s="464"/>
      <c r="AJ273" s="459"/>
      <c r="AK273" s="459"/>
      <c r="AL273" s="465"/>
      <c r="AM273" s="465"/>
      <c r="AN273" s="465"/>
      <c r="AO273" s="466"/>
      <c r="AP273" s="467" t="s">
        <v>2170</v>
      </c>
      <c r="AQ273" s="466"/>
      <c r="AR273" s="465"/>
      <c r="AS273" s="459"/>
      <c r="AT273" s="468"/>
      <c r="AU273" s="479" t="s">
        <v>3904</v>
      </c>
      <c r="AV273" s="459"/>
      <c r="AW273" s="480">
        <v>46083</v>
      </c>
      <c r="AX273" s="459"/>
      <c r="AY273" s="465"/>
      <c r="AZ273" s="459"/>
      <c r="BA273" s="459"/>
      <c r="BB273" s="459"/>
      <c r="BC273" s="459"/>
      <c r="BD273" s="459"/>
      <c r="BE273" s="459"/>
      <c r="BF273" s="459"/>
      <c r="BG273" s="464"/>
      <c r="BH273" s="459"/>
      <c r="BI273" s="459"/>
      <c r="BJ273" s="459"/>
      <c r="BK273" s="459"/>
      <c r="BL273" s="459"/>
      <c r="BM273" s="469"/>
      <c r="BN273" s="479" t="s">
        <v>17</v>
      </c>
      <c r="BO273" s="470"/>
      <c r="BP273" s="465"/>
      <c r="BQ273" s="464"/>
      <c r="BR273" s="460">
        <v>15</v>
      </c>
      <c r="BS273" s="473"/>
      <c r="BT273" s="459"/>
      <c r="BU273" s="459"/>
      <c r="BV273" s="459"/>
      <c r="BW273" s="464"/>
      <c r="BX273" s="459"/>
      <c r="BY273" s="459"/>
      <c r="BZ273" s="459"/>
      <c r="CA273" s="459"/>
      <c r="CB273" s="459"/>
      <c r="CC273" s="464"/>
      <c r="CD273" s="459"/>
      <c r="CE273" s="459"/>
      <c r="CF273" s="459"/>
      <c r="CG273" s="459"/>
      <c r="CH273" s="459"/>
      <c r="CI273" s="464"/>
      <c r="CJ273" s="459"/>
      <c r="CK273" s="459"/>
    </row>
    <row r="274" spans="1:89" ht="20.25" customHeight="1" x14ac:dyDescent="0.35">
      <c r="A274" s="481">
        <v>277</v>
      </c>
      <c r="B274" s="460" t="s">
        <v>3905</v>
      </c>
      <c r="C274" s="460" t="s">
        <v>3906</v>
      </c>
      <c r="D274" s="460"/>
      <c r="E274" s="460" t="s">
        <v>2558</v>
      </c>
      <c r="F274" s="460" t="s">
        <v>25</v>
      </c>
      <c r="G274" s="459">
        <v>12</v>
      </c>
      <c r="H274" s="460" t="s">
        <v>55</v>
      </c>
      <c r="I274" s="460" t="s">
        <v>43</v>
      </c>
      <c r="J274" s="484" t="s">
        <v>3907</v>
      </c>
      <c r="K274" s="460" t="s">
        <v>3908</v>
      </c>
      <c r="L274" s="459"/>
      <c r="M274" s="459"/>
      <c r="N274" s="463"/>
      <c r="O274" s="475" t="s">
        <v>322</v>
      </c>
      <c r="P274" s="463"/>
      <c r="Q274" s="459"/>
      <c r="R274" s="476" t="s">
        <v>3909</v>
      </c>
      <c r="S274" s="477" t="s">
        <v>3910</v>
      </c>
      <c r="T274" s="478"/>
      <c r="U274" s="460" t="s">
        <v>3911</v>
      </c>
      <c r="V274" s="461">
        <v>32197</v>
      </c>
      <c r="W274" s="462" t="s">
        <v>3912</v>
      </c>
      <c r="X274" s="471" t="s">
        <v>3913</v>
      </c>
      <c r="Y274" s="463"/>
      <c r="Z274" s="463"/>
      <c r="AA274" s="459"/>
      <c r="AB274" s="459"/>
      <c r="AC274" s="485">
        <v>46083</v>
      </c>
      <c r="AD274" s="464"/>
      <c r="AE274" s="459"/>
      <c r="AF274" s="459"/>
      <c r="AG274" s="459"/>
      <c r="AH274" s="465"/>
      <c r="AI274" s="464"/>
      <c r="AJ274" s="459"/>
      <c r="AK274" s="459"/>
      <c r="AL274" s="465"/>
      <c r="AM274" s="465"/>
      <c r="AN274" s="465"/>
      <c r="AO274" s="466"/>
      <c r="AP274" s="467" t="s">
        <v>249</v>
      </c>
      <c r="AQ274" s="466"/>
      <c r="AR274" s="465"/>
      <c r="AS274" s="459"/>
      <c r="AT274" s="468"/>
      <c r="AU274" s="479" t="s">
        <v>3914</v>
      </c>
      <c r="AV274" s="459"/>
      <c r="AW274" s="480">
        <v>46083</v>
      </c>
      <c r="AX274" s="459"/>
      <c r="AY274" s="465"/>
      <c r="AZ274" s="459"/>
      <c r="BA274" s="459"/>
      <c r="BB274" s="459"/>
      <c r="BC274" s="459"/>
      <c r="BD274" s="459"/>
      <c r="BE274" s="459"/>
      <c r="BF274" s="459"/>
      <c r="BG274" s="464"/>
      <c r="BH274" s="459"/>
      <c r="BI274" s="459"/>
      <c r="BJ274" s="459"/>
      <c r="BK274" s="459"/>
      <c r="BL274" s="459"/>
      <c r="BM274" s="469"/>
      <c r="BN274" s="479" t="s">
        <v>17</v>
      </c>
      <c r="BO274" s="470"/>
      <c r="BP274" s="465"/>
      <c r="BQ274" s="464"/>
      <c r="BR274" s="460">
        <v>3</v>
      </c>
      <c r="BS274" s="473"/>
      <c r="BT274" s="459"/>
      <c r="BU274" s="459"/>
      <c r="BV274" s="459"/>
      <c r="BW274" s="464"/>
      <c r="BX274" s="459"/>
      <c r="BY274" s="459"/>
      <c r="BZ274" s="459"/>
      <c r="CA274" s="459"/>
      <c r="CB274" s="459"/>
      <c r="CC274" s="464"/>
      <c r="CD274" s="459"/>
      <c r="CE274" s="459"/>
      <c r="CF274" s="459"/>
      <c r="CG274" s="459"/>
      <c r="CH274" s="459"/>
      <c r="CI274" s="464"/>
      <c r="CJ274" s="459"/>
      <c r="CK274" s="459"/>
    </row>
    <row r="275" spans="1:89" ht="20.25" customHeight="1" x14ac:dyDescent="0.35">
      <c r="A275" s="474">
        <v>278</v>
      </c>
      <c r="B275" s="460" t="s">
        <v>3915</v>
      </c>
      <c r="C275" s="460" t="s">
        <v>3916</v>
      </c>
      <c r="D275" s="460"/>
      <c r="E275" s="460" t="s">
        <v>3917</v>
      </c>
      <c r="F275" s="460" t="s">
        <v>25</v>
      </c>
      <c r="G275" s="459">
        <v>12</v>
      </c>
      <c r="H275" s="460" t="s">
        <v>53</v>
      </c>
      <c r="I275" s="460" t="s">
        <v>36</v>
      </c>
      <c r="J275" s="484" t="s">
        <v>602</v>
      </c>
      <c r="K275" s="460"/>
      <c r="L275" s="459"/>
      <c r="M275" s="459"/>
      <c r="N275" s="463"/>
      <c r="O275" s="475" t="s">
        <v>151</v>
      </c>
      <c r="P275" s="463"/>
      <c r="Q275" s="459"/>
      <c r="R275" s="476" t="s">
        <v>3918</v>
      </c>
      <c r="S275" s="477" t="s">
        <v>3919</v>
      </c>
      <c r="T275" s="478"/>
      <c r="U275" s="460" t="s">
        <v>3920</v>
      </c>
      <c r="V275" s="461">
        <v>34209</v>
      </c>
      <c r="W275" s="462" t="s">
        <v>3921</v>
      </c>
      <c r="X275" s="471" t="s">
        <v>3575</v>
      </c>
      <c r="Y275" s="463"/>
      <c r="Z275" s="463"/>
      <c r="AA275" s="459"/>
      <c r="AB275" s="459"/>
      <c r="AC275" s="485">
        <v>46083</v>
      </c>
      <c r="AD275" s="464"/>
      <c r="AE275" s="459"/>
      <c r="AF275" s="459"/>
      <c r="AG275" s="459"/>
      <c r="AH275" s="465"/>
      <c r="AI275" s="464"/>
      <c r="AJ275" s="459"/>
      <c r="AK275" s="459"/>
      <c r="AL275" s="465"/>
      <c r="AM275" s="465"/>
      <c r="AN275" s="465"/>
      <c r="AO275" s="466"/>
      <c r="AP275" s="467" t="s">
        <v>3922</v>
      </c>
      <c r="AQ275" s="466"/>
      <c r="AR275" s="465"/>
      <c r="AS275" s="459"/>
      <c r="AT275" s="468"/>
      <c r="AU275" s="479" t="s">
        <v>3923</v>
      </c>
      <c r="AV275" s="459"/>
      <c r="AW275" s="480">
        <v>46083</v>
      </c>
      <c r="AX275" s="459"/>
      <c r="AY275" s="465"/>
      <c r="AZ275" s="459"/>
      <c r="BA275" s="459"/>
      <c r="BB275" s="459"/>
      <c r="BC275" s="459"/>
      <c r="BD275" s="459"/>
      <c r="BE275" s="459"/>
      <c r="BF275" s="459"/>
      <c r="BG275" s="464"/>
      <c r="BH275" s="459"/>
      <c r="BI275" s="459"/>
      <c r="BJ275" s="459"/>
      <c r="BK275" s="459"/>
      <c r="BL275" s="459"/>
      <c r="BM275" s="469"/>
      <c r="BN275" s="479" t="s">
        <v>17</v>
      </c>
      <c r="BO275" s="470"/>
      <c r="BP275" s="465"/>
      <c r="BQ275" s="464"/>
      <c r="BR275" s="460">
        <v>4</v>
      </c>
      <c r="BS275" s="473"/>
      <c r="BT275" s="459"/>
      <c r="BU275" s="459"/>
      <c r="BV275" s="459"/>
      <c r="BW275" s="464"/>
      <c r="BX275" s="459"/>
      <c r="BY275" s="459"/>
      <c r="BZ275" s="459"/>
      <c r="CA275" s="459"/>
      <c r="CB275" s="459"/>
      <c r="CC275" s="464"/>
      <c r="CD275" s="459"/>
      <c r="CE275" s="459"/>
      <c r="CF275" s="459"/>
      <c r="CG275" s="459"/>
      <c r="CH275" s="459"/>
      <c r="CI275" s="464"/>
      <c r="CJ275" s="459"/>
      <c r="CK275" s="459"/>
    </row>
    <row r="276" spans="1:89" ht="20.25" customHeight="1" x14ac:dyDescent="0.35">
      <c r="A276" s="481">
        <v>279</v>
      </c>
      <c r="B276" s="460" t="s">
        <v>3924</v>
      </c>
      <c r="C276" s="460" t="s">
        <v>332</v>
      </c>
      <c r="D276" s="460" t="s">
        <v>3925</v>
      </c>
      <c r="E276" s="460" t="s">
        <v>3926</v>
      </c>
      <c r="F276" s="460" t="s">
        <v>25</v>
      </c>
      <c r="G276" s="459">
        <v>12</v>
      </c>
      <c r="H276" s="460" t="s">
        <v>53</v>
      </c>
      <c r="I276" s="460" t="s">
        <v>48</v>
      </c>
      <c r="J276" s="484" t="s">
        <v>3927</v>
      </c>
      <c r="K276" s="482" t="s">
        <v>3928</v>
      </c>
      <c r="L276" s="459"/>
      <c r="M276" s="459"/>
      <c r="N276" s="463"/>
      <c r="O276" s="475" t="s">
        <v>151</v>
      </c>
      <c r="P276" s="463"/>
      <c r="Q276" s="459"/>
      <c r="R276" s="476" t="s">
        <v>3929</v>
      </c>
      <c r="S276" s="477" t="s">
        <v>3930</v>
      </c>
      <c r="T276" s="478"/>
      <c r="U276" s="460" t="s">
        <v>3931</v>
      </c>
      <c r="V276" s="461">
        <v>33814</v>
      </c>
      <c r="W276" s="462" t="s">
        <v>3932</v>
      </c>
      <c r="X276" s="471" t="s">
        <v>156</v>
      </c>
      <c r="Y276" s="463"/>
      <c r="Z276" s="463"/>
      <c r="AA276" s="459"/>
      <c r="AB276" s="459"/>
      <c r="AC276" s="485">
        <v>46083</v>
      </c>
      <c r="AD276" s="464"/>
      <c r="AE276" s="459"/>
      <c r="AF276" s="459"/>
      <c r="AG276" s="459"/>
      <c r="AH276" s="465"/>
      <c r="AI276" s="464"/>
      <c r="AJ276" s="459"/>
      <c r="AK276" s="459"/>
      <c r="AL276" s="465"/>
      <c r="AM276" s="465"/>
      <c r="AN276" s="465"/>
      <c r="AO276" s="466"/>
      <c r="AP276" s="467" t="s">
        <v>3933</v>
      </c>
      <c r="AQ276" s="466"/>
      <c r="AR276" s="465"/>
      <c r="AS276" s="459"/>
      <c r="AT276" s="468"/>
      <c r="AU276" s="479" t="s">
        <v>3934</v>
      </c>
      <c r="AV276" s="459"/>
      <c r="AW276" s="480">
        <v>46083</v>
      </c>
      <c r="AX276" s="459"/>
      <c r="AY276" s="465"/>
      <c r="AZ276" s="459"/>
      <c r="BA276" s="459"/>
      <c r="BB276" s="459"/>
      <c r="BC276" s="459"/>
      <c r="BD276" s="459"/>
      <c r="BE276" s="459"/>
      <c r="BF276" s="459"/>
      <c r="BG276" s="464"/>
      <c r="BH276" s="459"/>
      <c r="BI276" s="459"/>
      <c r="BJ276" s="459"/>
      <c r="BK276" s="459"/>
      <c r="BL276" s="459"/>
      <c r="BM276" s="469"/>
      <c r="BN276" s="479" t="s">
        <v>17</v>
      </c>
      <c r="BO276" s="470"/>
      <c r="BP276" s="465"/>
      <c r="BQ276" s="464"/>
      <c r="BR276" s="460">
        <v>2</v>
      </c>
      <c r="BS276" s="473"/>
      <c r="BT276" s="459"/>
      <c r="BU276" s="459"/>
      <c r="BV276" s="459"/>
      <c r="BW276" s="464"/>
      <c r="BX276" s="459"/>
      <c r="BY276" s="459"/>
      <c r="BZ276" s="459"/>
      <c r="CA276" s="459"/>
      <c r="CB276" s="459"/>
      <c r="CC276" s="464"/>
      <c r="CD276" s="459"/>
      <c r="CE276" s="459"/>
      <c r="CF276" s="459"/>
      <c r="CG276" s="459"/>
      <c r="CH276" s="459"/>
      <c r="CI276" s="464"/>
      <c r="CJ276" s="459"/>
      <c r="CK276" s="459"/>
    </row>
    <row r="277" spans="1:89" ht="20.25" customHeight="1" x14ac:dyDescent="0.35">
      <c r="A277" s="474">
        <v>280</v>
      </c>
      <c r="B277" s="460" t="s">
        <v>3935</v>
      </c>
      <c r="C277" s="460" t="s">
        <v>2396</v>
      </c>
      <c r="D277" s="460"/>
      <c r="E277" s="460" t="s">
        <v>2816</v>
      </c>
      <c r="F277" s="460" t="s">
        <v>24</v>
      </c>
      <c r="G277" s="459">
        <v>12</v>
      </c>
      <c r="H277" s="460" t="s">
        <v>53</v>
      </c>
      <c r="I277" s="460" t="s">
        <v>48</v>
      </c>
      <c r="J277" s="484" t="s">
        <v>3936</v>
      </c>
      <c r="K277" s="460"/>
      <c r="L277" s="459"/>
      <c r="M277" s="459"/>
      <c r="N277" s="463"/>
      <c r="O277" s="475" t="s">
        <v>151</v>
      </c>
      <c r="P277" s="463"/>
      <c r="Q277" s="459"/>
      <c r="R277" s="476" t="s">
        <v>3937</v>
      </c>
      <c r="S277" s="477" t="s">
        <v>3938</v>
      </c>
      <c r="T277" s="478"/>
      <c r="U277" s="460">
        <v>2016</v>
      </c>
      <c r="V277" s="461">
        <v>30578</v>
      </c>
      <c r="W277" s="462" t="s">
        <v>3939</v>
      </c>
      <c r="X277" s="471" t="s">
        <v>156</v>
      </c>
      <c r="Y277" s="463"/>
      <c r="Z277" s="463"/>
      <c r="AA277" s="459"/>
      <c r="AB277" s="459"/>
      <c r="AC277" s="485">
        <v>46083</v>
      </c>
      <c r="AD277" s="464"/>
      <c r="AE277" s="459"/>
      <c r="AF277" s="459"/>
      <c r="AG277" s="459"/>
      <c r="AH277" s="465"/>
      <c r="AI277" s="464"/>
      <c r="AJ277" s="459"/>
      <c r="AK277" s="459"/>
      <c r="AL277" s="465"/>
      <c r="AM277" s="465"/>
      <c r="AN277" s="465"/>
      <c r="AO277" s="466"/>
      <c r="AP277" s="467" t="s">
        <v>3940</v>
      </c>
      <c r="AQ277" s="466"/>
      <c r="AR277" s="465"/>
      <c r="AS277" s="459"/>
      <c r="AT277" s="468"/>
      <c r="AU277" s="479" t="s">
        <v>3941</v>
      </c>
      <c r="AV277" s="459"/>
      <c r="AW277" s="480">
        <v>46083</v>
      </c>
      <c r="AX277" s="459"/>
      <c r="AY277" s="465"/>
      <c r="AZ277" s="459"/>
      <c r="BA277" s="459"/>
      <c r="BB277" s="459"/>
      <c r="BC277" s="459"/>
      <c r="BD277" s="459"/>
      <c r="BE277" s="459"/>
      <c r="BF277" s="459"/>
      <c r="BG277" s="464"/>
      <c r="BH277" s="459"/>
      <c r="BI277" s="459"/>
      <c r="BJ277" s="459"/>
      <c r="BK277" s="459"/>
      <c r="BL277" s="459"/>
      <c r="BM277" s="469"/>
      <c r="BN277" s="479" t="s">
        <v>17</v>
      </c>
      <c r="BO277" s="470"/>
      <c r="BP277" s="465"/>
      <c r="BQ277" s="464"/>
      <c r="BR277" s="460">
        <v>8</v>
      </c>
      <c r="BS277" s="473"/>
      <c r="BT277" s="459"/>
      <c r="BU277" s="459"/>
      <c r="BV277" s="459"/>
      <c r="BW277" s="464"/>
      <c r="BX277" s="459"/>
      <c r="BY277" s="459"/>
      <c r="BZ277" s="459"/>
      <c r="CA277" s="459"/>
      <c r="CB277" s="459"/>
      <c r="CC277" s="464"/>
      <c r="CD277" s="459"/>
      <c r="CE277" s="459"/>
      <c r="CF277" s="459"/>
      <c r="CG277" s="459"/>
      <c r="CH277" s="459"/>
      <c r="CI277" s="464"/>
      <c r="CJ277" s="459"/>
      <c r="CK277" s="459"/>
    </row>
    <row r="278" spans="1:89" ht="20.25" customHeight="1" x14ac:dyDescent="0.35">
      <c r="A278" s="481">
        <v>281</v>
      </c>
      <c r="B278" s="460" t="s">
        <v>3942</v>
      </c>
      <c r="C278" s="460" t="s">
        <v>2396</v>
      </c>
      <c r="D278" s="460" t="s">
        <v>3943</v>
      </c>
      <c r="E278" s="460" t="s">
        <v>3944</v>
      </c>
      <c r="F278" s="460" t="s">
        <v>24</v>
      </c>
      <c r="G278" s="459">
        <v>12</v>
      </c>
      <c r="H278" s="460" t="s">
        <v>60</v>
      </c>
      <c r="I278" s="460" t="s">
        <v>35</v>
      </c>
      <c r="J278" s="484" t="s">
        <v>602</v>
      </c>
      <c r="K278" s="460" t="s">
        <v>3945</v>
      </c>
      <c r="L278" s="459"/>
      <c r="M278" s="459"/>
      <c r="N278" s="463"/>
      <c r="O278" s="475" t="s">
        <v>322</v>
      </c>
      <c r="P278" s="463"/>
      <c r="Q278" s="459"/>
      <c r="R278" s="476" t="s">
        <v>3946</v>
      </c>
      <c r="S278" s="477" t="s">
        <v>3947</v>
      </c>
      <c r="T278" s="478"/>
      <c r="U278" s="460" t="s">
        <v>3948</v>
      </c>
      <c r="V278" s="461">
        <v>33274</v>
      </c>
      <c r="W278" s="462" t="s">
        <v>3949</v>
      </c>
      <c r="X278" s="471" t="s">
        <v>3913</v>
      </c>
      <c r="Y278" s="463"/>
      <c r="Z278" s="463"/>
      <c r="AA278" s="459"/>
      <c r="AB278" s="459"/>
      <c r="AC278" s="485">
        <v>46083</v>
      </c>
      <c r="AD278" s="464"/>
      <c r="AE278" s="459"/>
      <c r="AF278" s="459"/>
      <c r="AG278" s="459"/>
      <c r="AH278" s="465"/>
      <c r="AI278" s="464"/>
      <c r="AJ278" s="459"/>
      <c r="AK278" s="459"/>
      <c r="AL278" s="465"/>
      <c r="AM278" s="465"/>
      <c r="AN278" s="465"/>
      <c r="AO278" s="466"/>
      <c r="AP278" s="467" t="s">
        <v>181</v>
      </c>
      <c r="AQ278" s="466"/>
      <c r="AR278" s="465"/>
      <c r="AS278" s="459"/>
      <c r="AT278" s="468"/>
      <c r="AU278" s="479" t="s">
        <v>3950</v>
      </c>
      <c r="AV278" s="459"/>
      <c r="AW278" s="480">
        <v>46083</v>
      </c>
      <c r="AX278" s="459"/>
      <c r="AY278" s="465"/>
      <c r="AZ278" s="459"/>
      <c r="BA278" s="459"/>
      <c r="BB278" s="459"/>
      <c r="BC278" s="459"/>
      <c r="BD278" s="459"/>
      <c r="BE278" s="459"/>
      <c r="BF278" s="459"/>
      <c r="BG278" s="464"/>
      <c r="BH278" s="459"/>
      <c r="BI278" s="459"/>
      <c r="BJ278" s="459"/>
      <c r="BK278" s="459"/>
      <c r="BL278" s="459"/>
      <c r="BM278" s="469"/>
      <c r="BN278" s="479" t="s">
        <v>17</v>
      </c>
      <c r="BO278" s="470"/>
      <c r="BP278" s="465"/>
      <c r="BQ278" s="464"/>
      <c r="BR278" s="460">
        <v>0</v>
      </c>
      <c r="BS278" s="473"/>
      <c r="BT278" s="459"/>
      <c r="BU278" s="459"/>
      <c r="BV278" s="459"/>
      <c r="BW278" s="464"/>
      <c r="BX278" s="459"/>
      <c r="BY278" s="459"/>
      <c r="BZ278" s="459"/>
      <c r="CA278" s="459"/>
      <c r="CB278" s="459"/>
      <c r="CC278" s="464"/>
      <c r="CD278" s="459"/>
      <c r="CE278" s="459"/>
      <c r="CF278" s="459"/>
      <c r="CG278" s="459"/>
      <c r="CH278" s="459"/>
      <c r="CI278" s="464"/>
      <c r="CJ278" s="459"/>
      <c r="CK278" s="459"/>
    </row>
    <row r="279" spans="1:89" ht="20.25" customHeight="1" x14ac:dyDescent="0.35">
      <c r="A279" s="474">
        <v>282</v>
      </c>
      <c r="B279" s="460" t="s">
        <v>3951</v>
      </c>
      <c r="C279" s="460" t="s">
        <v>3952</v>
      </c>
      <c r="D279" s="460" t="s">
        <v>3953</v>
      </c>
      <c r="E279" s="460" t="s">
        <v>2605</v>
      </c>
      <c r="F279" s="460" t="s">
        <v>24</v>
      </c>
      <c r="G279" s="459">
        <v>12</v>
      </c>
      <c r="H279" s="460" t="s">
        <v>52</v>
      </c>
      <c r="I279" s="460" t="s">
        <v>42</v>
      </c>
      <c r="J279" s="484" t="s">
        <v>3954</v>
      </c>
      <c r="K279" s="460" t="s">
        <v>1160</v>
      </c>
      <c r="L279" s="459"/>
      <c r="M279" s="459"/>
      <c r="N279" s="463"/>
      <c r="O279" s="475" t="s">
        <v>322</v>
      </c>
      <c r="P279" s="463"/>
      <c r="Q279" s="459"/>
      <c r="R279" s="476" t="s">
        <v>3955</v>
      </c>
      <c r="S279" s="477" t="s">
        <v>3956</v>
      </c>
      <c r="T279" s="478"/>
      <c r="U279" s="460" t="s">
        <v>3957</v>
      </c>
      <c r="V279" s="461">
        <v>32423</v>
      </c>
      <c r="W279" s="462" t="s">
        <v>3958</v>
      </c>
      <c r="X279" s="471" t="s">
        <v>3913</v>
      </c>
      <c r="Y279" s="463"/>
      <c r="Z279" s="463"/>
      <c r="AA279" s="459"/>
      <c r="AB279" s="459"/>
      <c r="AC279" s="485">
        <v>46083</v>
      </c>
      <c r="AD279" s="464"/>
      <c r="AE279" s="459"/>
      <c r="AF279" s="459"/>
      <c r="AG279" s="459"/>
      <c r="AH279" s="465"/>
      <c r="AI279" s="464"/>
      <c r="AJ279" s="459"/>
      <c r="AK279" s="459"/>
      <c r="AL279" s="465"/>
      <c r="AM279" s="465"/>
      <c r="AN279" s="465"/>
      <c r="AO279" s="466"/>
      <c r="AP279" s="467" t="s">
        <v>1183</v>
      </c>
      <c r="AQ279" s="466"/>
      <c r="AR279" s="465"/>
      <c r="AS279" s="459"/>
      <c r="AT279" s="468"/>
      <c r="AU279" s="479" t="s">
        <v>3959</v>
      </c>
      <c r="AV279" s="459"/>
      <c r="AW279" s="480">
        <v>46083</v>
      </c>
      <c r="AX279" s="459"/>
      <c r="AY279" s="465"/>
      <c r="AZ279" s="459"/>
      <c r="BA279" s="459"/>
      <c r="BB279" s="459"/>
      <c r="BC279" s="459"/>
      <c r="BD279" s="459"/>
      <c r="BE279" s="459"/>
      <c r="BF279" s="459"/>
      <c r="BG279" s="464"/>
      <c r="BH279" s="459"/>
      <c r="BI279" s="459"/>
      <c r="BJ279" s="459"/>
      <c r="BK279" s="459"/>
      <c r="BL279" s="459"/>
      <c r="BM279" s="469"/>
      <c r="BN279" s="479" t="s">
        <v>17</v>
      </c>
      <c r="BO279" s="470"/>
      <c r="BP279" s="465"/>
      <c r="BQ279" s="464"/>
      <c r="BR279" s="460">
        <v>1</v>
      </c>
      <c r="BS279" s="473"/>
      <c r="BT279" s="459"/>
      <c r="BU279" s="459"/>
      <c r="BV279" s="459"/>
      <c r="BW279" s="464"/>
      <c r="BX279" s="459"/>
      <c r="BY279" s="459"/>
      <c r="BZ279" s="459"/>
      <c r="CA279" s="459"/>
      <c r="CB279" s="459"/>
      <c r="CC279" s="464"/>
      <c r="CD279" s="459"/>
      <c r="CE279" s="459"/>
      <c r="CF279" s="459"/>
      <c r="CG279" s="459"/>
      <c r="CH279" s="459"/>
      <c r="CI279" s="464"/>
      <c r="CJ279" s="459"/>
      <c r="CK279" s="459"/>
    </row>
    <row r="280" spans="1:89" ht="20.25" customHeight="1" x14ac:dyDescent="0.35">
      <c r="A280" s="481">
        <v>283</v>
      </c>
      <c r="B280" s="460" t="s">
        <v>3960</v>
      </c>
      <c r="C280" s="460" t="s">
        <v>3961</v>
      </c>
      <c r="D280" s="460" t="s">
        <v>571</v>
      </c>
      <c r="E280" s="460" t="s">
        <v>3962</v>
      </c>
      <c r="F280" s="460" t="s">
        <v>25</v>
      </c>
      <c r="G280" s="459">
        <v>12</v>
      </c>
      <c r="H280" s="460" t="s">
        <v>54</v>
      </c>
      <c r="I280" s="460" t="s">
        <v>31</v>
      </c>
      <c r="J280" s="484" t="s">
        <v>2692</v>
      </c>
      <c r="K280" s="460" t="s">
        <v>2692</v>
      </c>
      <c r="L280" s="459"/>
      <c r="M280" s="459"/>
      <c r="N280" s="463"/>
      <c r="O280" s="475" t="s">
        <v>151</v>
      </c>
      <c r="P280" s="463"/>
      <c r="Q280" s="459"/>
      <c r="R280" s="476" t="s">
        <v>3963</v>
      </c>
      <c r="S280" s="477" t="s">
        <v>3964</v>
      </c>
      <c r="T280" s="478"/>
      <c r="U280" s="460" t="s">
        <v>3965</v>
      </c>
      <c r="V280" s="461">
        <v>32371</v>
      </c>
      <c r="W280" s="462" t="s">
        <v>3966</v>
      </c>
      <c r="X280" s="471" t="s">
        <v>3686</v>
      </c>
      <c r="Y280" s="463"/>
      <c r="Z280" s="463"/>
      <c r="AA280" s="459"/>
      <c r="AB280" s="459"/>
      <c r="AC280" s="485">
        <v>46083</v>
      </c>
      <c r="AD280" s="464"/>
      <c r="AE280" s="459"/>
      <c r="AF280" s="459"/>
      <c r="AG280" s="459"/>
      <c r="AH280" s="465"/>
      <c r="AI280" s="464"/>
      <c r="AJ280" s="459"/>
      <c r="AK280" s="459"/>
      <c r="AL280" s="465"/>
      <c r="AM280" s="465"/>
      <c r="AN280" s="465"/>
      <c r="AO280" s="466"/>
      <c r="AP280" s="467" t="s">
        <v>203</v>
      </c>
      <c r="AQ280" s="466"/>
      <c r="AR280" s="465"/>
      <c r="AS280" s="459"/>
      <c r="AT280" s="468"/>
      <c r="AU280" s="479" t="s">
        <v>3967</v>
      </c>
      <c r="AV280" s="459"/>
      <c r="AW280" s="480">
        <v>46083</v>
      </c>
      <c r="AX280" s="459"/>
      <c r="AY280" s="465"/>
      <c r="AZ280" s="459"/>
      <c r="BA280" s="459"/>
      <c r="BB280" s="459"/>
      <c r="BC280" s="459"/>
      <c r="BD280" s="459"/>
      <c r="BE280" s="459"/>
      <c r="BF280" s="459"/>
      <c r="BG280" s="464"/>
      <c r="BH280" s="459"/>
      <c r="BI280" s="459"/>
      <c r="BJ280" s="459"/>
      <c r="BK280" s="459"/>
      <c r="BL280" s="459"/>
      <c r="BM280" s="469"/>
      <c r="BN280" s="479" t="s">
        <v>17</v>
      </c>
      <c r="BO280" s="470"/>
      <c r="BP280" s="465"/>
      <c r="BQ280" s="464"/>
      <c r="BR280" s="460">
        <v>43</v>
      </c>
      <c r="BS280" s="473"/>
      <c r="BT280" s="459"/>
      <c r="BU280" s="459"/>
      <c r="BV280" s="459"/>
      <c r="BW280" s="464"/>
      <c r="BX280" s="459"/>
      <c r="BY280" s="459"/>
      <c r="BZ280" s="459"/>
      <c r="CA280" s="459"/>
      <c r="CB280" s="459"/>
      <c r="CC280" s="464"/>
      <c r="CD280" s="459"/>
      <c r="CE280" s="459"/>
      <c r="CF280" s="459"/>
      <c r="CG280" s="459"/>
      <c r="CH280" s="459"/>
      <c r="CI280" s="464"/>
      <c r="CJ280" s="459"/>
      <c r="CK280" s="459"/>
    </row>
    <row r="281" spans="1:89" ht="20.25" customHeight="1" x14ac:dyDescent="0.35">
      <c r="A281" s="474">
        <v>284</v>
      </c>
      <c r="B281" s="460" t="s">
        <v>3968</v>
      </c>
      <c r="C281" s="460" t="s">
        <v>3556</v>
      </c>
      <c r="D281" s="460" t="s">
        <v>3969</v>
      </c>
      <c r="E281" s="460" t="s">
        <v>3970</v>
      </c>
      <c r="F281" s="460" t="s">
        <v>25</v>
      </c>
      <c r="G281" s="459">
        <v>12</v>
      </c>
      <c r="H281" s="460" t="s">
        <v>54</v>
      </c>
      <c r="I281" s="460" t="s">
        <v>31</v>
      </c>
      <c r="J281" s="484" t="s">
        <v>3339</v>
      </c>
      <c r="K281" s="460"/>
      <c r="L281" s="459"/>
      <c r="M281" s="459"/>
      <c r="N281" s="463"/>
      <c r="O281" s="475" t="s">
        <v>151</v>
      </c>
      <c r="P281" s="463"/>
      <c r="Q281" s="459"/>
      <c r="R281" s="476" t="s">
        <v>3971</v>
      </c>
      <c r="S281" s="477" t="s">
        <v>3972</v>
      </c>
      <c r="T281" s="478"/>
      <c r="U281" s="460" t="s">
        <v>3973</v>
      </c>
      <c r="V281" s="461"/>
      <c r="W281" s="462" t="s">
        <v>3974</v>
      </c>
      <c r="X281" s="471" t="s">
        <v>156</v>
      </c>
      <c r="Y281" s="463"/>
      <c r="Z281" s="463"/>
      <c r="AA281" s="459"/>
      <c r="AB281" s="459"/>
      <c r="AC281" s="485">
        <v>46083</v>
      </c>
      <c r="AD281" s="464"/>
      <c r="AE281" s="459"/>
      <c r="AF281" s="459"/>
      <c r="AG281" s="459"/>
      <c r="AH281" s="465"/>
      <c r="AI281" s="464"/>
      <c r="AJ281" s="459"/>
      <c r="AK281" s="459"/>
      <c r="AL281" s="465"/>
      <c r="AM281" s="465"/>
      <c r="AN281" s="465"/>
      <c r="AO281" s="466"/>
      <c r="AP281" s="467" t="s">
        <v>2202</v>
      </c>
      <c r="AQ281" s="466"/>
      <c r="AR281" s="465"/>
      <c r="AS281" s="459"/>
      <c r="AT281" s="468"/>
      <c r="AU281" s="479" t="s">
        <v>3975</v>
      </c>
      <c r="AV281" s="459"/>
      <c r="AW281" s="480">
        <v>46083</v>
      </c>
      <c r="AX281" s="459"/>
      <c r="AY281" s="465"/>
      <c r="AZ281" s="459"/>
      <c r="BA281" s="459"/>
      <c r="BB281" s="459"/>
      <c r="BC281" s="459"/>
      <c r="BD281" s="459"/>
      <c r="BE281" s="459"/>
      <c r="BF281" s="459"/>
      <c r="BG281" s="464"/>
      <c r="BH281" s="459"/>
      <c r="BI281" s="459"/>
      <c r="BJ281" s="459"/>
      <c r="BK281" s="459"/>
      <c r="BL281" s="459"/>
      <c r="BM281" s="469"/>
      <c r="BN281" s="479" t="s">
        <v>17</v>
      </c>
      <c r="BO281" s="470"/>
      <c r="BP281" s="465"/>
      <c r="BQ281" s="464"/>
      <c r="BR281" s="460">
        <v>15</v>
      </c>
      <c r="BS281" s="473"/>
      <c r="BT281" s="459"/>
      <c r="BU281" s="459"/>
      <c r="BV281" s="459"/>
      <c r="BW281" s="464"/>
      <c r="BX281" s="459"/>
      <c r="BY281" s="459"/>
      <c r="BZ281" s="459"/>
      <c r="CA281" s="459"/>
      <c r="CB281" s="459"/>
      <c r="CC281" s="464"/>
      <c r="CD281" s="459"/>
      <c r="CE281" s="459"/>
      <c r="CF281" s="459"/>
      <c r="CG281" s="459"/>
      <c r="CH281" s="459"/>
      <c r="CI281" s="464"/>
      <c r="CJ281" s="459"/>
      <c r="CK281" s="459"/>
    </row>
    <row r="282" spans="1:89" ht="20.25" customHeight="1" x14ac:dyDescent="0.35">
      <c r="A282" s="481">
        <v>285</v>
      </c>
      <c r="B282" s="460" t="s">
        <v>3976</v>
      </c>
      <c r="C282" s="460" t="s">
        <v>3977</v>
      </c>
      <c r="D282" s="460" t="s">
        <v>3978</v>
      </c>
      <c r="E282" s="460" t="s">
        <v>3979</v>
      </c>
      <c r="F282" s="460" t="s">
        <v>25</v>
      </c>
      <c r="G282" s="459">
        <v>12</v>
      </c>
      <c r="H282" s="460" t="s">
        <v>54</v>
      </c>
      <c r="I282" s="460" t="s">
        <v>31</v>
      </c>
      <c r="J282" s="484" t="s">
        <v>3980</v>
      </c>
      <c r="K282" s="460" t="s">
        <v>3980</v>
      </c>
      <c r="L282" s="459"/>
      <c r="M282" s="459"/>
      <c r="N282" s="463"/>
      <c r="O282" s="475" t="s">
        <v>151</v>
      </c>
      <c r="P282" s="463"/>
      <c r="Q282" s="459"/>
      <c r="R282" s="476" t="s">
        <v>3981</v>
      </c>
      <c r="S282" s="477" t="s">
        <v>3982</v>
      </c>
      <c r="T282" s="478"/>
      <c r="U282" s="482" t="s">
        <v>3983</v>
      </c>
      <c r="V282" s="461">
        <v>33414</v>
      </c>
      <c r="W282" s="462" t="s">
        <v>3984</v>
      </c>
      <c r="X282" s="471" t="s">
        <v>3913</v>
      </c>
      <c r="Y282" s="463"/>
      <c r="Z282" s="463"/>
      <c r="AA282" s="459"/>
      <c r="AB282" s="459"/>
      <c r="AC282" s="485">
        <v>46083</v>
      </c>
      <c r="AD282" s="464"/>
      <c r="AE282" s="459"/>
      <c r="AF282" s="459"/>
      <c r="AG282" s="459"/>
      <c r="AH282" s="465"/>
      <c r="AI282" s="464"/>
      <c r="AJ282" s="459"/>
      <c r="AK282" s="459"/>
      <c r="AL282" s="465"/>
      <c r="AM282" s="465"/>
      <c r="AN282" s="465"/>
      <c r="AO282" s="466"/>
      <c r="AP282" s="467" t="s">
        <v>181</v>
      </c>
      <c r="AQ282" s="466"/>
      <c r="AR282" s="465"/>
      <c r="AS282" s="459"/>
      <c r="AT282" s="468"/>
      <c r="AU282" s="479" t="s">
        <v>3985</v>
      </c>
      <c r="AV282" s="459"/>
      <c r="AW282" s="480">
        <v>46083</v>
      </c>
      <c r="AX282" s="459"/>
      <c r="AY282" s="465"/>
      <c r="AZ282" s="459"/>
      <c r="BA282" s="459"/>
      <c r="BB282" s="459"/>
      <c r="BC282" s="459"/>
      <c r="BD282" s="459"/>
      <c r="BE282" s="459"/>
      <c r="BF282" s="459"/>
      <c r="BG282" s="464"/>
      <c r="BH282" s="459"/>
      <c r="BI282" s="459"/>
      <c r="BJ282" s="459"/>
      <c r="BK282" s="459"/>
      <c r="BL282" s="459"/>
      <c r="BM282" s="469"/>
      <c r="BN282" s="479" t="s">
        <v>17</v>
      </c>
      <c r="BO282" s="470"/>
      <c r="BP282" s="465"/>
      <c r="BQ282" s="464"/>
      <c r="BR282" s="460">
        <v>16</v>
      </c>
      <c r="BS282" s="473"/>
      <c r="BT282" s="459"/>
      <c r="BU282" s="459"/>
      <c r="BV282" s="459"/>
      <c r="BW282" s="464"/>
      <c r="BX282" s="459"/>
      <c r="BY282" s="459"/>
      <c r="BZ282" s="459"/>
      <c r="CA282" s="459"/>
      <c r="CB282" s="459"/>
      <c r="CC282" s="464"/>
      <c r="CD282" s="459"/>
      <c r="CE282" s="459"/>
      <c r="CF282" s="459"/>
      <c r="CG282" s="459"/>
      <c r="CH282" s="459"/>
      <c r="CI282" s="464"/>
      <c r="CJ282" s="459"/>
      <c r="CK282" s="459"/>
    </row>
    <row r="283" spans="1:89" ht="20.25" customHeight="1" x14ac:dyDescent="0.35">
      <c r="A283" s="474">
        <v>286</v>
      </c>
      <c r="B283" s="460" t="s">
        <v>3986</v>
      </c>
      <c r="C283" s="460" t="s">
        <v>3987</v>
      </c>
      <c r="D283" s="460"/>
      <c r="E283" s="460" t="s">
        <v>3988</v>
      </c>
      <c r="F283" s="460" t="s">
        <v>25</v>
      </c>
      <c r="G283" s="459">
        <v>12</v>
      </c>
      <c r="H283" s="460" t="s">
        <v>52</v>
      </c>
      <c r="I283" s="460" t="s">
        <v>38</v>
      </c>
      <c r="J283" s="484" t="s">
        <v>602</v>
      </c>
      <c r="K283" s="460"/>
      <c r="L283" s="459"/>
      <c r="M283" s="459"/>
      <c r="N283" s="463"/>
      <c r="O283" s="475" t="s">
        <v>322</v>
      </c>
      <c r="P283" s="463"/>
      <c r="Q283" s="459"/>
      <c r="R283" s="476" t="s">
        <v>3989</v>
      </c>
      <c r="S283" s="477" t="s">
        <v>3990</v>
      </c>
      <c r="T283" s="478"/>
      <c r="U283" s="460" t="s">
        <v>3991</v>
      </c>
      <c r="V283" s="461">
        <v>33824</v>
      </c>
      <c r="W283" s="462" t="s">
        <v>3992</v>
      </c>
      <c r="X283" s="471" t="s">
        <v>3575</v>
      </c>
      <c r="Y283" s="463"/>
      <c r="Z283" s="463"/>
      <c r="AA283" s="459"/>
      <c r="AB283" s="459"/>
      <c r="AC283" s="485">
        <v>46083</v>
      </c>
      <c r="AD283" s="464"/>
      <c r="AE283" s="459"/>
      <c r="AF283" s="459"/>
      <c r="AG283" s="459"/>
      <c r="AH283" s="465"/>
      <c r="AI283" s="464"/>
      <c r="AJ283" s="459"/>
      <c r="AK283" s="459"/>
      <c r="AL283" s="465"/>
      <c r="AM283" s="465"/>
      <c r="AN283" s="465"/>
      <c r="AO283" s="466"/>
      <c r="AP283" s="467" t="s">
        <v>3993</v>
      </c>
      <c r="AQ283" s="466"/>
      <c r="AR283" s="465"/>
      <c r="AS283" s="459"/>
      <c r="AT283" s="468"/>
      <c r="AU283" s="479" t="s">
        <v>3994</v>
      </c>
      <c r="AV283" s="459"/>
      <c r="AW283" s="480">
        <v>46083</v>
      </c>
      <c r="AX283" s="459"/>
      <c r="AY283" s="465"/>
      <c r="AZ283" s="459"/>
      <c r="BA283" s="459"/>
      <c r="BB283" s="459"/>
      <c r="BC283" s="459"/>
      <c r="BD283" s="459"/>
      <c r="BE283" s="459"/>
      <c r="BF283" s="459"/>
      <c r="BG283" s="464"/>
      <c r="BH283" s="459"/>
      <c r="BI283" s="459"/>
      <c r="BJ283" s="459"/>
      <c r="BK283" s="459"/>
      <c r="BL283" s="459"/>
      <c r="BM283" s="469"/>
      <c r="BN283" s="479" t="s">
        <v>17</v>
      </c>
      <c r="BO283" s="470"/>
      <c r="BP283" s="465"/>
      <c r="BQ283" s="464"/>
      <c r="BR283" s="460">
        <v>12</v>
      </c>
      <c r="BS283" s="473"/>
      <c r="BT283" s="459"/>
      <c r="BU283" s="459"/>
      <c r="BV283" s="459"/>
      <c r="BW283" s="464"/>
      <c r="BX283" s="459"/>
      <c r="BY283" s="459"/>
      <c r="BZ283" s="459"/>
      <c r="CA283" s="459"/>
      <c r="CB283" s="459"/>
      <c r="CC283" s="464"/>
      <c r="CD283" s="459"/>
      <c r="CE283" s="459"/>
      <c r="CF283" s="459"/>
      <c r="CG283" s="459"/>
      <c r="CH283" s="459"/>
      <c r="CI283" s="464"/>
      <c r="CJ283" s="459"/>
      <c r="CK283" s="459"/>
    </row>
    <row r="284" spans="1:89" ht="20.25" customHeight="1" x14ac:dyDescent="0.35">
      <c r="A284" s="481">
        <v>287</v>
      </c>
      <c r="B284" s="460" t="s">
        <v>3995</v>
      </c>
      <c r="C284" s="460" t="s">
        <v>3996</v>
      </c>
      <c r="D284" s="460"/>
      <c r="E284" s="460" t="s">
        <v>3997</v>
      </c>
      <c r="F284" s="460" t="s">
        <v>24</v>
      </c>
      <c r="G284" s="459">
        <v>12</v>
      </c>
      <c r="H284" s="460" t="s">
        <v>60</v>
      </c>
      <c r="I284" s="460" t="s">
        <v>35</v>
      </c>
      <c r="J284" s="484" t="s">
        <v>3270</v>
      </c>
      <c r="K284" s="460" t="s">
        <v>3998</v>
      </c>
      <c r="L284" s="459"/>
      <c r="M284" s="459"/>
      <c r="N284" s="463"/>
      <c r="O284" s="475" t="s">
        <v>151</v>
      </c>
      <c r="P284" s="463"/>
      <c r="Q284" s="459"/>
      <c r="R284" s="476" t="s">
        <v>3999</v>
      </c>
      <c r="S284" s="477" t="s">
        <v>4000</v>
      </c>
      <c r="T284" s="478"/>
      <c r="U284" s="460">
        <v>2018</v>
      </c>
      <c r="V284" s="461">
        <v>31835</v>
      </c>
      <c r="W284" s="462" t="s">
        <v>4001</v>
      </c>
      <c r="X284" s="471" t="s">
        <v>156</v>
      </c>
      <c r="Y284" s="463"/>
      <c r="Z284" s="463"/>
      <c r="AA284" s="459"/>
      <c r="AB284" s="459"/>
      <c r="AC284" s="485">
        <v>46083</v>
      </c>
      <c r="AD284" s="464"/>
      <c r="AE284" s="459"/>
      <c r="AF284" s="459"/>
      <c r="AG284" s="459"/>
      <c r="AH284" s="465"/>
      <c r="AI284" s="464"/>
      <c r="AJ284" s="459"/>
      <c r="AK284" s="459"/>
      <c r="AL284" s="465"/>
      <c r="AM284" s="465"/>
      <c r="AN284" s="465"/>
      <c r="AO284" s="466"/>
      <c r="AP284" s="467" t="s">
        <v>4002</v>
      </c>
      <c r="AQ284" s="466"/>
      <c r="AR284" s="465"/>
      <c r="AS284" s="459"/>
      <c r="AT284" s="468"/>
      <c r="AU284" s="479" t="s">
        <v>4003</v>
      </c>
      <c r="AV284" s="459"/>
      <c r="AW284" s="480">
        <v>46083</v>
      </c>
      <c r="AX284" s="459"/>
      <c r="AY284" s="465"/>
      <c r="AZ284" s="459"/>
      <c r="BA284" s="459"/>
      <c r="BB284" s="459"/>
      <c r="BC284" s="459"/>
      <c r="BD284" s="459"/>
      <c r="BE284" s="459"/>
      <c r="BF284" s="459"/>
      <c r="BG284" s="464"/>
      <c r="BH284" s="459"/>
      <c r="BI284" s="459"/>
      <c r="BJ284" s="459"/>
      <c r="BK284" s="459"/>
      <c r="BL284" s="459"/>
      <c r="BM284" s="469"/>
      <c r="BN284" s="479" t="s">
        <v>17</v>
      </c>
      <c r="BO284" s="470"/>
      <c r="BP284" s="465"/>
      <c r="BQ284" s="464"/>
      <c r="BR284" s="460">
        <v>18</v>
      </c>
      <c r="BS284" s="473"/>
      <c r="BT284" s="459"/>
      <c r="BU284" s="459"/>
      <c r="BV284" s="459"/>
      <c r="BW284" s="464"/>
      <c r="BX284" s="459"/>
      <c r="BY284" s="459"/>
      <c r="BZ284" s="459"/>
      <c r="CA284" s="459"/>
      <c r="CB284" s="459"/>
      <c r="CC284" s="464"/>
      <c r="CD284" s="459"/>
      <c r="CE284" s="459"/>
      <c r="CF284" s="459"/>
      <c r="CG284" s="459"/>
      <c r="CH284" s="459"/>
      <c r="CI284" s="464"/>
      <c r="CJ284" s="459"/>
      <c r="CK284" s="459"/>
    </row>
    <row r="285" spans="1:89" ht="20.25" customHeight="1" x14ac:dyDescent="0.35">
      <c r="A285" s="474">
        <v>288</v>
      </c>
      <c r="B285" s="460" t="s">
        <v>4004</v>
      </c>
      <c r="C285" s="460" t="s">
        <v>4005</v>
      </c>
      <c r="D285" s="460" t="s">
        <v>4006</v>
      </c>
      <c r="E285" s="460" t="s">
        <v>4007</v>
      </c>
      <c r="F285" s="460" t="s">
        <v>24</v>
      </c>
      <c r="G285" s="459">
        <v>12</v>
      </c>
      <c r="H285" s="460" t="s">
        <v>53</v>
      </c>
      <c r="I285" s="460" t="s">
        <v>48</v>
      </c>
      <c r="J285" s="484" t="s">
        <v>602</v>
      </c>
      <c r="K285" s="460"/>
      <c r="L285" s="459"/>
      <c r="M285" s="459"/>
      <c r="N285" s="463"/>
      <c r="O285" s="475" t="s">
        <v>151</v>
      </c>
      <c r="P285" s="463"/>
      <c r="Q285" s="459"/>
      <c r="R285" s="476" t="s">
        <v>4008</v>
      </c>
      <c r="S285" s="477" t="s">
        <v>4009</v>
      </c>
      <c r="T285" s="478"/>
      <c r="U285" s="460" t="s">
        <v>4010</v>
      </c>
      <c r="V285" s="461">
        <v>33563</v>
      </c>
      <c r="W285" s="462" t="s">
        <v>4011</v>
      </c>
      <c r="X285" s="471" t="s">
        <v>156</v>
      </c>
      <c r="Y285" s="463"/>
      <c r="Z285" s="463"/>
      <c r="AA285" s="459"/>
      <c r="AB285" s="459"/>
      <c r="AC285" s="485">
        <v>46083</v>
      </c>
      <c r="AD285" s="464"/>
      <c r="AE285" s="459"/>
      <c r="AF285" s="459"/>
      <c r="AG285" s="459"/>
      <c r="AH285" s="465"/>
      <c r="AI285" s="464"/>
      <c r="AJ285" s="459"/>
      <c r="AK285" s="459"/>
      <c r="AL285" s="465"/>
      <c r="AM285" s="465"/>
      <c r="AN285" s="465"/>
      <c r="AO285" s="466"/>
      <c r="AP285" s="467" t="s">
        <v>4012</v>
      </c>
      <c r="AQ285" s="466"/>
      <c r="AR285" s="465"/>
      <c r="AS285" s="459"/>
      <c r="AT285" s="468"/>
      <c r="AU285" s="479" t="s">
        <v>4013</v>
      </c>
      <c r="AV285" s="459"/>
      <c r="AW285" s="480">
        <v>46083</v>
      </c>
      <c r="AX285" s="459"/>
      <c r="AY285" s="465"/>
      <c r="AZ285" s="459"/>
      <c r="BA285" s="459"/>
      <c r="BB285" s="459"/>
      <c r="BC285" s="459"/>
      <c r="BD285" s="459"/>
      <c r="BE285" s="459"/>
      <c r="BF285" s="459"/>
      <c r="BG285" s="464"/>
      <c r="BH285" s="459"/>
      <c r="BI285" s="459"/>
      <c r="BJ285" s="459"/>
      <c r="BK285" s="459"/>
      <c r="BL285" s="459"/>
      <c r="BM285" s="469"/>
      <c r="BN285" s="479" t="s">
        <v>17</v>
      </c>
      <c r="BO285" s="470"/>
      <c r="BP285" s="465"/>
      <c r="BQ285" s="464"/>
      <c r="BR285" s="460">
        <v>10</v>
      </c>
      <c r="BS285" s="473"/>
      <c r="BT285" s="459"/>
      <c r="BU285" s="459"/>
      <c r="BV285" s="459"/>
      <c r="BW285" s="464"/>
      <c r="BX285" s="459"/>
      <c r="BY285" s="459"/>
      <c r="BZ285" s="459"/>
      <c r="CA285" s="459"/>
      <c r="CB285" s="459"/>
      <c r="CC285" s="464"/>
      <c r="CD285" s="459"/>
      <c r="CE285" s="459"/>
      <c r="CF285" s="459"/>
      <c r="CG285" s="459"/>
      <c r="CH285" s="459"/>
      <c r="CI285" s="464"/>
      <c r="CJ285" s="459"/>
      <c r="CK285" s="459"/>
    </row>
    <row r="286" spans="1:89" ht="20.25" customHeight="1" x14ac:dyDescent="0.35">
      <c r="A286" s="481">
        <v>289</v>
      </c>
      <c r="B286" s="460" t="s">
        <v>4014</v>
      </c>
      <c r="C286" s="460" t="s">
        <v>4015</v>
      </c>
      <c r="D286" s="460"/>
      <c r="E286" s="460" t="s">
        <v>4016</v>
      </c>
      <c r="F286" s="460" t="s">
        <v>25</v>
      </c>
      <c r="G286" s="459">
        <v>12</v>
      </c>
      <c r="H286" s="460" t="s">
        <v>55</v>
      </c>
      <c r="I286" s="460" t="s">
        <v>43</v>
      </c>
      <c r="J286" s="484" t="s">
        <v>4017</v>
      </c>
      <c r="K286" s="460" t="s">
        <v>4018</v>
      </c>
      <c r="L286" s="459"/>
      <c r="M286" s="459"/>
      <c r="N286" s="463"/>
      <c r="O286" s="475" t="s">
        <v>151</v>
      </c>
      <c r="P286" s="463"/>
      <c r="Q286" s="459"/>
      <c r="R286" s="476" t="s">
        <v>4019</v>
      </c>
      <c r="S286" s="477" t="s">
        <v>4020</v>
      </c>
      <c r="T286" s="478"/>
      <c r="U286" s="460" t="s">
        <v>4021</v>
      </c>
      <c r="V286" s="461">
        <v>32156</v>
      </c>
      <c r="W286" s="462" t="s">
        <v>4022</v>
      </c>
      <c r="X286" s="471" t="s">
        <v>3686</v>
      </c>
      <c r="Y286" s="463"/>
      <c r="Z286" s="463"/>
      <c r="AA286" s="459"/>
      <c r="AB286" s="459"/>
      <c r="AC286" s="485">
        <v>46083</v>
      </c>
      <c r="AD286" s="464"/>
      <c r="AE286" s="459"/>
      <c r="AF286" s="459"/>
      <c r="AG286" s="459"/>
      <c r="AH286" s="465"/>
      <c r="AI286" s="464"/>
      <c r="AJ286" s="459"/>
      <c r="AK286" s="459"/>
      <c r="AL286" s="465"/>
      <c r="AM286" s="465"/>
      <c r="AN286" s="465"/>
      <c r="AO286" s="466"/>
      <c r="AP286" s="467" t="s">
        <v>4023</v>
      </c>
      <c r="AQ286" s="466"/>
      <c r="AR286" s="465"/>
      <c r="AS286" s="459"/>
      <c r="AT286" s="468"/>
      <c r="AU286" s="479" t="s">
        <v>4024</v>
      </c>
      <c r="AV286" s="459"/>
      <c r="AW286" s="480">
        <v>46083</v>
      </c>
      <c r="AX286" s="459"/>
      <c r="AY286" s="465"/>
      <c r="AZ286" s="459"/>
      <c r="BA286" s="459"/>
      <c r="BB286" s="459"/>
      <c r="BC286" s="459"/>
      <c r="BD286" s="459"/>
      <c r="BE286" s="459"/>
      <c r="BF286" s="459"/>
      <c r="BG286" s="464"/>
      <c r="BH286" s="459"/>
      <c r="BI286" s="459"/>
      <c r="BJ286" s="459"/>
      <c r="BK286" s="459"/>
      <c r="BL286" s="459"/>
      <c r="BM286" s="469"/>
      <c r="BN286" s="479" t="s">
        <v>17</v>
      </c>
      <c r="BO286" s="470"/>
      <c r="BP286" s="465"/>
      <c r="BQ286" s="464"/>
      <c r="BR286" s="460">
        <v>10</v>
      </c>
      <c r="BS286" s="473"/>
      <c r="BT286" s="459"/>
      <c r="BU286" s="459"/>
      <c r="BV286" s="459"/>
      <c r="BW286" s="464"/>
      <c r="BX286" s="459"/>
      <c r="BY286" s="459"/>
      <c r="BZ286" s="459"/>
      <c r="CA286" s="459"/>
      <c r="CB286" s="459"/>
      <c r="CC286" s="464"/>
      <c r="CD286" s="459"/>
      <c r="CE286" s="459"/>
      <c r="CF286" s="459"/>
      <c r="CG286" s="459"/>
      <c r="CH286" s="459"/>
      <c r="CI286" s="464"/>
      <c r="CJ286" s="459"/>
      <c r="CK286" s="459"/>
    </row>
    <row r="287" spans="1:89" ht="20.25" customHeight="1" x14ac:dyDescent="0.35">
      <c r="A287" s="474">
        <v>290</v>
      </c>
      <c r="B287" s="460" t="s">
        <v>4025</v>
      </c>
      <c r="C287" s="460" t="s">
        <v>4026</v>
      </c>
      <c r="D287" s="460" t="s">
        <v>4027</v>
      </c>
      <c r="E287" s="460" t="s">
        <v>4028</v>
      </c>
      <c r="F287" s="460" t="s">
        <v>24</v>
      </c>
      <c r="G287" s="459">
        <v>12</v>
      </c>
      <c r="H287" s="460" t="s">
        <v>52</v>
      </c>
      <c r="I287" s="460" t="s">
        <v>37</v>
      </c>
      <c r="J287" s="484" t="s">
        <v>4029</v>
      </c>
      <c r="K287" s="482" t="s">
        <v>602</v>
      </c>
      <c r="L287" s="459"/>
      <c r="M287" s="459"/>
      <c r="N287" s="463"/>
      <c r="O287" s="475" t="s">
        <v>151</v>
      </c>
      <c r="P287" s="463"/>
      <c r="Q287" s="459"/>
      <c r="R287" s="476" t="s">
        <v>4030</v>
      </c>
      <c r="S287" s="477" t="s">
        <v>4031</v>
      </c>
      <c r="T287" s="478"/>
      <c r="U287" s="460" t="s">
        <v>4032</v>
      </c>
      <c r="V287" s="461">
        <v>32625</v>
      </c>
      <c r="W287" s="462" t="s">
        <v>4033</v>
      </c>
      <c r="X287" s="471" t="s">
        <v>3913</v>
      </c>
      <c r="Y287" s="463"/>
      <c r="Z287" s="463"/>
      <c r="AA287" s="459"/>
      <c r="AB287" s="459"/>
      <c r="AC287" s="485">
        <v>46083</v>
      </c>
      <c r="AD287" s="464"/>
      <c r="AE287" s="459"/>
      <c r="AF287" s="459"/>
      <c r="AG287" s="459"/>
      <c r="AH287" s="465"/>
      <c r="AI287" s="464"/>
      <c r="AJ287" s="459"/>
      <c r="AK287" s="459"/>
      <c r="AL287" s="465"/>
      <c r="AM287" s="465"/>
      <c r="AN287" s="465"/>
      <c r="AO287" s="466"/>
      <c r="AP287" s="467" t="s">
        <v>2262</v>
      </c>
      <c r="AQ287" s="466"/>
      <c r="AR287" s="465"/>
      <c r="AS287" s="459"/>
      <c r="AT287" s="468"/>
      <c r="AU287" s="479" t="s">
        <v>4034</v>
      </c>
      <c r="AV287" s="459"/>
      <c r="AW287" s="480">
        <v>46083</v>
      </c>
      <c r="AX287" s="459"/>
      <c r="AY287" s="465"/>
      <c r="AZ287" s="459"/>
      <c r="BA287" s="459"/>
      <c r="BB287" s="459"/>
      <c r="BC287" s="459"/>
      <c r="BD287" s="459"/>
      <c r="BE287" s="459"/>
      <c r="BF287" s="459"/>
      <c r="BG287" s="464"/>
      <c r="BH287" s="459"/>
      <c r="BI287" s="459"/>
      <c r="BJ287" s="459"/>
      <c r="BK287" s="459"/>
      <c r="BL287" s="459"/>
      <c r="BM287" s="469"/>
      <c r="BN287" s="479" t="s">
        <v>17</v>
      </c>
      <c r="BO287" s="470"/>
      <c r="BP287" s="465"/>
      <c r="BQ287" s="464"/>
      <c r="BR287" s="460">
        <v>15</v>
      </c>
      <c r="BS287" s="473"/>
      <c r="BT287" s="459"/>
      <c r="BU287" s="459"/>
      <c r="BV287" s="459"/>
      <c r="BW287" s="464"/>
      <c r="BX287" s="459"/>
      <c r="BY287" s="459"/>
      <c r="BZ287" s="459"/>
      <c r="CA287" s="459"/>
      <c r="CB287" s="459"/>
      <c r="CC287" s="464"/>
      <c r="CD287" s="459"/>
      <c r="CE287" s="459"/>
      <c r="CF287" s="459"/>
      <c r="CG287" s="459"/>
      <c r="CH287" s="459"/>
      <c r="CI287" s="464"/>
      <c r="CJ287" s="459"/>
      <c r="CK287" s="459"/>
    </row>
    <row r="288" spans="1:89" ht="20.25" customHeight="1" x14ac:dyDescent="0.35">
      <c r="A288" s="481">
        <v>291</v>
      </c>
      <c r="B288" s="460" t="s">
        <v>4035</v>
      </c>
      <c r="C288" s="460" t="s">
        <v>4036</v>
      </c>
      <c r="D288" s="460"/>
      <c r="E288" s="460" t="s">
        <v>4037</v>
      </c>
      <c r="F288" s="460" t="s">
        <v>25</v>
      </c>
      <c r="G288" s="459">
        <v>12</v>
      </c>
      <c r="H288" s="460" t="s">
        <v>60</v>
      </c>
      <c r="I288" s="460" t="s">
        <v>35</v>
      </c>
      <c r="J288" s="484" t="s">
        <v>4038</v>
      </c>
      <c r="K288" s="460" t="s">
        <v>2666</v>
      </c>
      <c r="L288" s="459"/>
      <c r="M288" s="459"/>
      <c r="N288" s="463"/>
      <c r="O288" s="475" t="s">
        <v>151</v>
      </c>
      <c r="P288" s="463"/>
      <c r="Q288" s="459"/>
      <c r="R288" s="476" t="s">
        <v>4039</v>
      </c>
      <c r="S288" s="477" t="s">
        <v>4040</v>
      </c>
      <c r="T288" s="478"/>
      <c r="U288" s="460" t="s">
        <v>4041</v>
      </c>
      <c r="V288" s="461">
        <v>34820</v>
      </c>
      <c r="W288" s="462" t="s">
        <v>4042</v>
      </c>
      <c r="X288" s="471" t="s">
        <v>3913</v>
      </c>
      <c r="Y288" s="463"/>
      <c r="Z288" s="463"/>
      <c r="AA288" s="459"/>
      <c r="AB288" s="459"/>
      <c r="AC288" s="485">
        <v>46083</v>
      </c>
      <c r="AD288" s="464"/>
      <c r="AE288" s="459"/>
      <c r="AF288" s="459"/>
      <c r="AG288" s="459"/>
      <c r="AH288" s="465"/>
      <c r="AI288" s="464"/>
      <c r="AJ288" s="459"/>
      <c r="AK288" s="459"/>
      <c r="AL288" s="465"/>
      <c r="AM288" s="465"/>
      <c r="AN288" s="465"/>
      <c r="AO288" s="466"/>
      <c r="AP288" s="467" t="s">
        <v>4043</v>
      </c>
      <c r="AQ288" s="466"/>
      <c r="AR288" s="465"/>
      <c r="AS288" s="459"/>
      <c r="AT288" s="468"/>
      <c r="AU288" s="479" t="s">
        <v>4044</v>
      </c>
      <c r="AV288" s="459"/>
      <c r="AW288" s="480">
        <v>46083</v>
      </c>
      <c r="AX288" s="459"/>
      <c r="AY288" s="465"/>
      <c r="AZ288" s="459"/>
      <c r="BA288" s="459"/>
      <c r="BB288" s="459"/>
      <c r="BC288" s="459"/>
      <c r="BD288" s="459"/>
      <c r="BE288" s="459"/>
      <c r="BF288" s="459"/>
      <c r="BG288" s="464"/>
      <c r="BH288" s="459"/>
      <c r="BI288" s="459"/>
      <c r="BJ288" s="459"/>
      <c r="BK288" s="459"/>
      <c r="BL288" s="459"/>
      <c r="BM288" s="469"/>
      <c r="BN288" s="479" t="s">
        <v>17</v>
      </c>
      <c r="BO288" s="470"/>
      <c r="BP288" s="465"/>
      <c r="BQ288" s="464"/>
      <c r="BR288" s="460">
        <v>2</v>
      </c>
      <c r="BS288" s="473"/>
      <c r="BT288" s="459"/>
      <c r="BU288" s="459"/>
      <c r="BV288" s="459"/>
      <c r="BW288" s="464"/>
      <c r="BX288" s="459"/>
      <c r="BY288" s="459"/>
      <c r="BZ288" s="459"/>
      <c r="CA288" s="459"/>
      <c r="CB288" s="459"/>
      <c r="CC288" s="464"/>
      <c r="CD288" s="459"/>
      <c r="CE288" s="459"/>
      <c r="CF288" s="459"/>
      <c r="CG288" s="459"/>
      <c r="CH288" s="459"/>
      <c r="CI288" s="464"/>
      <c r="CJ288" s="459"/>
      <c r="CK288" s="459"/>
    </row>
    <row r="296" spans="1:2" ht="15" customHeight="1" x14ac:dyDescent="0.35">
      <c r="A296" s="46" t="s">
        <v>4045</v>
      </c>
      <c r="B296" s="46" t="s">
        <v>15</v>
      </c>
    </row>
    <row r="297" spans="1:2" ht="15" customHeight="1" x14ac:dyDescent="0.35">
      <c r="A297" s="1"/>
      <c r="B297" s="24">
        <v>1</v>
      </c>
    </row>
    <row r="298" spans="1:2" ht="15" customHeight="1" x14ac:dyDescent="0.35">
      <c r="A298" s="11"/>
      <c r="B298" s="24">
        <v>2</v>
      </c>
    </row>
    <row r="299" spans="1:2" ht="15" customHeight="1" x14ac:dyDescent="0.35">
      <c r="A299" s="17"/>
      <c r="B299" s="24">
        <v>3</v>
      </c>
    </row>
    <row r="300" spans="1:2" ht="15" customHeight="1" x14ac:dyDescent="0.35">
      <c r="A300" s="26"/>
      <c r="B300" s="24">
        <v>4</v>
      </c>
    </row>
    <row r="301" spans="1:2" ht="15" customHeight="1" x14ac:dyDescent="0.35">
      <c r="A301" s="30"/>
      <c r="B301" s="24">
        <v>5</v>
      </c>
    </row>
    <row r="302" spans="1:2" ht="15" customHeight="1" x14ac:dyDescent="0.35">
      <c r="A302" s="36"/>
      <c r="B302" s="24">
        <v>6</v>
      </c>
    </row>
    <row r="303" spans="1:2" ht="15" customHeight="1" x14ac:dyDescent="0.35">
      <c r="A303" s="39"/>
      <c r="B303" s="24">
        <v>7</v>
      </c>
    </row>
    <row r="304" spans="1:2" ht="15" customHeight="1" x14ac:dyDescent="0.35">
      <c r="A304" s="26"/>
      <c r="B304" s="24">
        <v>8</v>
      </c>
    </row>
    <row r="305" spans="1:2" ht="15" customHeight="1" x14ac:dyDescent="0.35">
      <c r="A305" s="11"/>
      <c r="B305" s="24">
        <v>9</v>
      </c>
    </row>
    <row r="306" spans="1:2" ht="15" customHeight="1" x14ac:dyDescent="0.35">
      <c r="A306" s="40"/>
      <c r="B306" s="24">
        <v>10</v>
      </c>
    </row>
    <row r="307" spans="1:2" ht="15" customHeight="1" x14ac:dyDescent="0.35">
      <c r="A307" s="40"/>
      <c r="B307" s="24">
        <v>11</v>
      </c>
    </row>
    <row r="308" spans="1:2" ht="15" customHeight="1" x14ac:dyDescent="0.35">
      <c r="A308" s="10"/>
      <c r="B308" s="47" t="s">
        <v>18</v>
      </c>
    </row>
    <row r="309" spans="1:2" ht="15" customHeight="1" x14ac:dyDescent="0.35">
      <c r="A309" s="55"/>
      <c r="B309" s="47" t="s">
        <v>4046</v>
      </c>
    </row>
    <row r="310" spans="1:2" ht="15" customHeight="1" x14ac:dyDescent="0.35">
      <c r="A310" s="24" t="s">
        <v>168</v>
      </c>
      <c r="B310" s="47" t="s">
        <v>4047</v>
      </c>
    </row>
    <row r="311" spans="1:2" ht="15" customHeight="1" x14ac:dyDescent="0.35">
      <c r="A311" s="292"/>
      <c r="B311" s="393" t="s">
        <v>4048</v>
      </c>
    </row>
  </sheetData>
  <autoFilter ref="A1:CX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s>
  <pageMargins left="0.7" right="0.7" top="0.75" bottom="0.75" header="0.3" footer="0.3"/>
  <pageSetup orientation="portrait" r:id="rId144"/>
  <legacyDrawing r:id="rId14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5" x14ac:dyDescent="0.35"/>
  <cols>
    <col min="1" max="1" width="4.54296875" customWidth="1"/>
    <col min="2" max="2" width="24.453125" customWidth="1"/>
    <col min="3" max="3" width="27.1796875" customWidth="1"/>
    <col min="4" max="4" width="9.26953125" customWidth="1"/>
    <col min="5" max="5" width="10.7265625" customWidth="1"/>
    <col min="6" max="6" width="19.7265625" customWidth="1"/>
    <col min="7" max="7" width="19.54296875" customWidth="1"/>
    <col min="8" max="8" width="11.453125" customWidth="1"/>
    <col min="9" max="9" width="28.7265625" customWidth="1"/>
    <col min="10" max="10" width="51.1796875" customWidth="1"/>
    <col min="11" max="11" width="61.1796875" customWidth="1"/>
  </cols>
  <sheetData>
    <row r="1" spans="1:10" ht="28.5" customHeight="1" x14ac:dyDescent="0.35">
      <c r="A1" s="61" t="s">
        <v>4049</v>
      </c>
      <c r="B1" s="62" t="s">
        <v>4050</v>
      </c>
      <c r="C1" s="62" t="s">
        <v>4051</v>
      </c>
      <c r="D1" s="62" t="s">
        <v>29</v>
      </c>
      <c r="E1" s="63" t="s">
        <v>15</v>
      </c>
      <c r="F1" s="63" t="s">
        <v>4052</v>
      </c>
      <c r="G1" s="64" t="s">
        <v>4053</v>
      </c>
      <c r="H1" s="64" t="s">
        <v>4054</v>
      </c>
      <c r="I1" s="65" t="s">
        <v>4055</v>
      </c>
      <c r="J1" s="66" t="s">
        <v>4056</v>
      </c>
    </row>
    <row r="2" spans="1:10" ht="25" customHeight="1" x14ac:dyDescent="0.35">
      <c r="A2" s="24">
        <v>1</v>
      </c>
      <c r="B2" s="24" t="s">
        <v>4057</v>
      </c>
      <c r="C2" s="24" t="s">
        <v>4058</v>
      </c>
      <c r="D2" s="24" t="s">
        <v>25</v>
      </c>
      <c r="E2" s="67">
        <v>3</v>
      </c>
      <c r="F2" s="67"/>
      <c r="G2" s="67">
        <v>2014</v>
      </c>
      <c r="H2" s="67">
        <v>2014</v>
      </c>
      <c r="I2" s="24" t="s">
        <v>4059</v>
      </c>
      <c r="J2" s="24"/>
    </row>
    <row r="3" spans="1:10" ht="25" customHeight="1" x14ac:dyDescent="0.35">
      <c r="A3" s="24">
        <v>2</v>
      </c>
      <c r="B3" s="24" t="s">
        <v>4060</v>
      </c>
      <c r="C3" s="24" t="s">
        <v>40</v>
      </c>
      <c r="D3" s="24" t="s">
        <v>25</v>
      </c>
      <c r="E3" s="67">
        <v>3</v>
      </c>
      <c r="F3" s="67"/>
      <c r="G3" s="67">
        <v>2016</v>
      </c>
      <c r="H3" s="67">
        <v>2016</v>
      </c>
      <c r="I3" s="24" t="s">
        <v>4059</v>
      </c>
      <c r="J3" s="24"/>
    </row>
    <row r="4" spans="1:10" ht="25" customHeight="1" x14ac:dyDescent="0.35">
      <c r="A4" s="24">
        <v>3</v>
      </c>
      <c r="B4" s="24" t="s">
        <v>4061</v>
      </c>
      <c r="C4" s="24" t="s">
        <v>42</v>
      </c>
      <c r="D4" s="24" t="s">
        <v>25</v>
      </c>
      <c r="E4" s="67">
        <v>1</v>
      </c>
      <c r="F4" s="67" t="s">
        <v>150</v>
      </c>
      <c r="G4" s="68">
        <v>42583</v>
      </c>
      <c r="H4" s="67">
        <v>2016</v>
      </c>
      <c r="I4" s="24" t="s">
        <v>4059</v>
      </c>
      <c r="J4" s="24"/>
    </row>
    <row r="5" spans="1:10" ht="25" customHeight="1" x14ac:dyDescent="0.35">
      <c r="A5" s="24">
        <v>4</v>
      </c>
      <c r="B5" s="24" t="s">
        <v>4062</v>
      </c>
      <c r="C5" s="24" t="s">
        <v>42</v>
      </c>
      <c r="D5" s="24" t="s">
        <v>24</v>
      </c>
      <c r="E5" s="67">
        <v>2</v>
      </c>
      <c r="F5" s="67" t="s">
        <v>4063</v>
      </c>
      <c r="G5" s="67" t="s">
        <v>4064</v>
      </c>
      <c r="H5" s="67">
        <v>2016</v>
      </c>
      <c r="I5" s="24" t="s">
        <v>4065</v>
      </c>
      <c r="J5" s="24"/>
    </row>
    <row r="6" spans="1:10" ht="25" customHeight="1" x14ac:dyDescent="0.35">
      <c r="A6" s="24">
        <v>5</v>
      </c>
      <c r="B6" s="24" t="s">
        <v>4066</v>
      </c>
      <c r="C6" s="24" t="s">
        <v>43</v>
      </c>
      <c r="D6" s="24" t="s">
        <v>25</v>
      </c>
      <c r="E6" s="67">
        <v>7</v>
      </c>
      <c r="F6" s="67" t="s">
        <v>4067</v>
      </c>
      <c r="G6" s="67">
        <v>2017</v>
      </c>
      <c r="H6" s="67">
        <v>2017</v>
      </c>
      <c r="I6" s="24" t="s">
        <v>4059</v>
      </c>
      <c r="J6" s="24"/>
    </row>
    <row r="7" spans="1:10" ht="25" customHeight="1" x14ac:dyDescent="0.35">
      <c r="A7" s="24">
        <v>6</v>
      </c>
      <c r="B7" s="24" t="s">
        <v>4068</v>
      </c>
      <c r="C7" s="24" t="s">
        <v>46</v>
      </c>
      <c r="D7" s="24" t="s">
        <v>25</v>
      </c>
      <c r="E7" s="67">
        <v>5</v>
      </c>
      <c r="F7" s="67" t="s">
        <v>4069</v>
      </c>
      <c r="G7" s="67">
        <v>2017</v>
      </c>
      <c r="H7" s="67">
        <v>2017</v>
      </c>
      <c r="I7" s="24" t="s">
        <v>4070</v>
      </c>
      <c r="J7" s="24"/>
    </row>
    <row r="8" spans="1:10" ht="25" customHeight="1" x14ac:dyDescent="0.35">
      <c r="A8" s="24">
        <v>7</v>
      </c>
      <c r="B8" s="24" t="s">
        <v>4071</v>
      </c>
      <c r="C8" s="24" t="s">
        <v>42</v>
      </c>
      <c r="D8" s="24" t="s">
        <v>24</v>
      </c>
      <c r="E8" s="67">
        <v>5</v>
      </c>
      <c r="F8" s="67" t="s">
        <v>4069</v>
      </c>
      <c r="G8" s="67">
        <v>2018</v>
      </c>
      <c r="H8" s="67">
        <v>2018</v>
      </c>
      <c r="I8" s="24" t="s">
        <v>4059</v>
      </c>
      <c r="J8" s="24"/>
    </row>
    <row r="9" spans="1:10" ht="25" customHeight="1" x14ac:dyDescent="0.35">
      <c r="A9" s="24">
        <v>8</v>
      </c>
      <c r="B9" s="24" t="s">
        <v>4072</v>
      </c>
      <c r="C9" s="24" t="s">
        <v>37</v>
      </c>
      <c r="D9" s="24" t="s">
        <v>25</v>
      </c>
      <c r="E9" s="67">
        <v>6</v>
      </c>
      <c r="F9" s="67"/>
      <c r="G9" s="67">
        <v>2018</v>
      </c>
      <c r="H9" s="67">
        <v>2018</v>
      </c>
      <c r="I9" s="24" t="s">
        <v>4059</v>
      </c>
      <c r="J9" s="24"/>
    </row>
    <row r="10" spans="1:10" ht="25" customHeight="1" x14ac:dyDescent="0.35">
      <c r="A10" s="24">
        <v>9</v>
      </c>
      <c r="B10" s="24" t="s">
        <v>4073</v>
      </c>
      <c r="C10" s="24" t="s">
        <v>41</v>
      </c>
      <c r="D10" s="24" t="s">
        <v>25</v>
      </c>
      <c r="E10" s="67">
        <v>5</v>
      </c>
      <c r="F10" s="67" t="s">
        <v>157</v>
      </c>
      <c r="G10" s="67">
        <v>2018</v>
      </c>
      <c r="H10" s="67">
        <v>2018</v>
      </c>
      <c r="I10" s="24" t="s">
        <v>4059</v>
      </c>
      <c r="J10" s="24"/>
    </row>
    <row r="11" spans="1:10" ht="25" customHeight="1" x14ac:dyDescent="0.35">
      <c r="A11" s="24">
        <v>10</v>
      </c>
      <c r="B11" s="24" t="s">
        <v>4074</v>
      </c>
      <c r="C11" s="24" t="s">
        <v>42</v>
      </c>
      <c r="D11" s="24" t="s">
        <v>24</v>
      </c>
      <c r="E11" s="67">
        <v>1</v>
      </c>
      <c r="F11" s="67" t="s">
        <v>4075</v>
      </c>
      <c r="G11" s="67" t="s">
        <v>4076</v>
      </c>
      <c r="H11" s="67"/>
      <c r="I11" s="24" t="s">
        <v>4059</v>
      </c>
      <c r="J11" s="24"/>
    </row>
    <row r="12" spans="1:10" ht="25" customHeight="1" x14ac:dyDescent="0.35">
      <c r="A12" s="24">
        <v>11</v>
      </c>
      <c r="B12" s="24" t="s">
        <v>4077</v>
      </c>
      <c r="C12" s="24" t="s">
        <v>41</v>
      </c>
      <c r="D12" s="24" t="s">
        <v>24</v>
      </c>
      <c r="E12" s="67">
        <v>1</v>
      </c>
      <c r="F12" s="67" t="s">
        <v>4078</v>
      </c>
      <c r="G12" s="67" t="s">
        <v>4076</v>
      </c>
      <c r="H12" s="67"/>
      <c r="I12" s="24" t="s">
        <v>4059</v>
      </c>
      <c r="J12" s="24"/>
    </row>
    <row r="13" spans="1:10" ht="25" customHeight="1" x14ac:dyDescent="0.35">
      <c r="A13" s="24">
        <v>12</v>
      </c>
      <c r="B13" s="24" t="s">
        <v>4079</v>
      </c>
      <c r="C13" s="24" t="s">
        <v>46</v>
      </c>
      <c r="D13" s="24" t="s">
        <v>25</v>
      </c>
      <c r="E13" s="67">
        <v>4</v>
      </c>
      <c r="F13" s="67"/>
      <c r="G13" s="69">
        <v>43867</v>
      </c>
      <c r="H13" s="67">
        <v>2020</v>
      </c>
      <c r="I13" s="24" t="s">
        <v>4059</v>
      </c>
      <c r="J13" s="24"/>
    </row>
    <row r="14" spans="1:10" ht="25" customHeight="1" x14ac:dyDescent="0.35">
      <c r="A14" s="24">
        <v>13</v>
      </c>
      <c r="B14" s="24" t="s">
        <v>4080</v>
      </c>
      <c r="C14" s="24" t="s">
        <v>35</v>
      </c>
      <c r="D14" s="24" t="s">
        <v>24</v>
      </c>
      <c r="E14" s="67">
        <v>8</v>
      </c>
      <c r="F14" s="67"/>
      <c r="G14" s="69">
        <v>43867</v>
      </c>
      <c r="H14" s="67">
        <v>2020</v>
      </c>
      <c r="I14" s="24" t="s">
        <v>4081</v>
      </c>
      <c r="J14" s="70" t="s">
        <v>4082</v>
      </c>
    </row>
    <row r="15" spans="1:10" ht="25" customHeight="1" x14ac:dyDescent="0.35">
      <c r="A15" s="24">
        <v>14</v>
      </c>
      <c r="B15" s="24" t="s">
        <v>4083</v>
      </c>
      <c r="C15" s="24" t="s">
        <v>35</v>
      </c>
      <c r="D15" s="24" t="s">
        <v>25</v>
      </c>
      <c r="E15" s="67">
        <v>5</v>
      </c>
      <c r="F15" s="67"/>
      <c r="G15" s="69">
        <v>43930</v>
      </c>
      <c r="H15" s="67">
        <v>2020</v>
      </c>
      <c r="I15" s="24" t="s">
        <v>4059</v>
      </c>
      <c r="J15" s="70"/>
    </row>
    <row r="16" spans="1:10" ht="25" customHeight="1" x14ac:dyDescent="0.35">
      <c r="A16" s="24">
        <v>15</v>
      </c>
      <c r="B16" s="24" t="s">
        <v>4084</v>
      </c>
      <c r="C16" s="24" t="s">
        <v>38</v>
      </c>
      <c r="D16" s="24" t="s">
        <v>25</v>
      </c>
      <c r="E16" s="67">
        <v>7</v>
      </c>
      <c r="F16" s="67"/>
      <c r="G16" s="69">
        <v>43930</v>
      </c>
      <c r="H16" s="67">
        <v>2020</v>
      </c>
      <c r="I16" s="24" t="s">
        <v>4059</v>
      </c>
      <c r="J16" s="70" t="s">
        <v>4085</v>
      </c>
    </row>
    <row r="17" spans="1:10" ht="25" customHeight="1" x14ac:dyDescent="0.35">
      <c r="A17" s="24">
        <v>16</v>
      </c>
      <c r="B17" s="24" t="s">
        <v>4086</v>
      </c>
      <c r="C17" s="24" t="s">
        <v>42</v>
      </c>
      <c r="D17" s="24" t="s">
        <v>24</v>
      </c>
      <c r="E17" s="67">
        <v>7</v>
      </c>
      <c r="F17" s="67"/>
      <c r="G17" s="69">
        <v>44214</v>
      </c>
      <c r="H17" s="67">
        <v>2021</v>
      </c>
      <c r="I17" s="24" t="s">
        <v>4087</v>
      </c>
      <c r="J17" s="70" t="s">
        <v>4088</v>
      </c>
    </row>
    <row r="18" spans="1:10" ht="25" customHeight="1" x14ac:dyDescent="0.35">
      <c r="A18" s="24">
        <v>17</v>
      </c>
      <c r="B18" s="24" t="s">
        <v>4089</v>
      </c>
      <c r="C18" s="24" t="s">
        <v>46</v>
      </c>
      <c r="D18" s="24" t="s">
        <v>25</v>
      </c>
      <c r="E18" s="67">
        <v>8</v>
      </c>
      <c r="F18" s="67"/>
      <c r="G18" s="69">
        <v>44400</v>
      </c>
      <c r="H18" s="67">
        <v>2021</v>
      </c>
      <c r="I18" s="24" t="s">
        <v>4059</v>
      </c>
      <c r="J18" s="70" t="s">
        <v>4090</v>
      </c>
    </row>
    <row r="19" spans="1:10" ht="25" customHeight="1" x14ac:dyDescent="0.35">
      <c r="A19" s="24">
        <v>18</v>
      </c>
      <c r="B19" s="24" t="s">
        <v>4091</v>
      </c>
      <c r="C19" s="24" t="s">
        <v>35</v>
      </c>
      <c r="D19" s="24" t="s">
        <v>25</v>
      </c>
      <c r="E19" s="67">
        <v>8</v>
      </c>
      <c r="F19" s="67"/>
      <c r="G19" s="69">
        <v>44651</v>
      </c>
      <c r="H19" s="67">
        <v>2022</v>
      </c>
      <c r="I19" s="24" t="s">
        <v>4092</v>
      </c>
      <c r="J19" s="70" t="s">
        <v>4093</v>
      </c>
    </row>
    <row r="20" spans="1:10" ht="25" customHeight="1" x14ac:dyDescent="0.35">
      <c r="A20" s="24">
        <v>19</v>
      </c>
      <c r="B20" s="24" t="s">
        <v>4094</v>
      </c>
      <c r="C20" s="24" t="s">
        <v>42</v>
      </c>
      <c r="D20" s="24" t="s">
        <v>24</v>
      </c>
      <c r="E20" s="67">
        <v>9</v>
      </c>
      <c r="F20" s="67"/>
      <c r="G20" s="69">
        <v>44818</v>
      </c>
      <c r="H20" s="67">
        <v>2022</v>
      </c>
      <c r="I20" s="24" t="s">
        <v>4087</v>
      </c>
      <c r="J20" s="70" t="s">
        <v>4095</v>
      </c>
    </row>
    <row r="21" spans="1:10" ht="25" customHeight="1" x14ac:dyDescent="0.35">
      <c r="A21" s="24">
        <v>20</v>
      </c>
      <c r="B21" s="24" t="s">
        <v>4096</v>
      </c>
      <c r="C21" s="24" t="s">
        <v>35</v>
      </c>
      <c r="D21" s="24" t="s">
        <v>24</v>
      </c>
      <c r="E21" s="67">
        <v>9</v>
      </c>
      <c r="F21" s="67"/>
      <c r="G21" s="69">
        <v>44818</v>
      </c>
      <c r="H21" s="67">
        <v>2022</v>
      </c>
      <c r="I21" s="24" t="s">
        <v>4059</v>
      </c>
      <c r="J21" s="70" t="s">
        <v>4097</v>
      </c>
    </row>
    <row r="22" spans="1:10" ht="25" customHeight="1" x14ac:dyDescent="0.35">
      <c r="A22" s="24">
        <v>21</v>
      </c>
      <c r="B22" s="24" t="s">
        <v>4098</v>
      </c>
      <c r="C22" s="24" t="s">
        <v>35</v>
      </c>
      <c r="D22" s="24" t="s">
        <v>25</v>
      </c>
      <c r="E22" s="67">
        <v>10</v>
      </c>
      <c r="F22" s="67"/>
      <c r="G22" s="69">
        <v>45107</v>
      </c>
      <c r="H22" s="67">
        <v>2023</v>
      </c>
      <c r="I22" s="24" t="s">
        <v>4059</v>
      </c>
      <c r="J22" s="70" t="s">
        <v>4099</v>
      </c>
    </row>
    <row r="23" spans="1:10" ht="25" customHeight="1" x14ac:dyDescent="0.35">
      <c r="A23" s="24">
        <v>22</v>
      </c>
      <c r="B23" s="24" t="s">
        <v>4100</v>
      </c>
      <c r="C23" s="24" t="s">
        <v>4058</v>
      </c>
      <c r="D23" s="24"/>
      <c r="E23" s="67">
        <v>2</v>
      </c>
      <c r="F23" s="67"/>
      <c r="G23" s="69">
        <v>45741</v>
      </c>
      <c r="H23" s="67">
        <v>2025</v>
      </c>
      <c r="I23" s="70" t="s">
        <v>4101</v>
      </c>
      <c r="J23" s="70"/>
    </row>
    <row r="24" spans="1:10" ht="25" customHeight="1" x14ac:dyDescent="0.35">
      <c r="A24" s="24">
        <v>23</v>
      </c>
      <c r="B24" s="24" t="s">
        <v>4102</v>
      </c>
      <c r="C24" s="24" t="s">
        <v>4058</v>
      </c>
      <c r="D24" s="24"/>
      <c r="E24" s="67">
        <v>2</v>
      </c>
      <c r="F24" s="67"/>
      <c r="G24" s="69">
        <v>45741</v>
      </c>
      <c r="H24" s="67">
        <v>2025</v>
      </c>
      <c r="I24" s="70" t="s">
        <v>4103</v>
      </c>
      <c r="J24" s="70"/>
    </row>
    <row r="25" spans="1:10" ht="25" customHeight="1" x14ac:dyDescent="0.35">
      <c r="A25" s="24">
        <v>24</v>
      </c>
      <c r="B25" s="24" t="s">
        <v>4104</v>
      </c>
      <c r="C25" s="24" t="s">
        <v>4058</v>
      </c>
      <c r="D25" s="24"/>
      <c r="E25" s="67">
        <v>3</v>
      </c>
      <c r="F25" s="67"/>
      <c r="G25" s="69">
        <v>45741</v>
      </c>
      <c r="H25" s="67">
        <v>2025</v>
      </c>
      <c r="I25" s="70" t="s">
        <v>4105</v>
      </c>
      <c r="J25" s="70"/>
    </row>
    <row r="26" spans="1:10" ht="25" customHeight="1" x14ac:dyDescent="0.35">
      <c r="A26" s="24">
        <v>25</v>
      </c>
      <c r="B26" s="24" t="s">
        <v>4106</v>
      </c>
      <c r="C26" s="24" t="s">
        <v>4058</v>
      </c>
      <c r="D26" s="24"/>
      <c r="E26" s="67">
        <v>5</v>
      </c>
      <c r="F26" s="67"/>
      <c r="G26" s="69">
        <v>45741</v>
      </c>
      <c r="H26" s="67">
        <v>2025</v>
      </c>
      <c r="I26" s="70" t="s">
        <v>4107</v>
      </c>
      <c r="J26" s="70"/>
    </row>
    <row r="27" spans="1:10" x14ac:dyDescent="0.35">
      <c r="A27" s="24">
        <v>26</v>
      </c>
      <c r="B27" s="24" t="s">
        <v>4108</v>
      </c>
      <c r="C27" s="24" t="s">
        <v>43</v>
      </c>
      <c r="D27" s="24" t="s">
        <v>25</v>
      </c>
      <c r="E27" s="67">
        <v>11</v>
      </c>
      <c r="F27" s="67"/>
      <c r="G27" s="69" t="s">
        <v>4109</v>
      </c>
      <c r="H27" s="67">
        <v>2025</v>
      </c>
      <c r="I27" s="24" t="s">
        <v>4110</v>
      </c>
      <c r="J27" s="24" t="s">
        <v>4111</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A16" workbookViewId="0">
      <selection activeCell="K17" sqref="K17"/>
    </sheetView>
  </sheetViews>
  <sheetFormatPr defaultRowHeight="14.5" x14ac:dyDescent="0.35"/>
  <cols>
    <col min="5" max="5" width="41.81640625" customWidth="1"/>
    <col min="6" max="6" width="10.81640625" customWidth="1"/>
    <col min="7" max="7" width="5.7265625" customWidth="1"/>
    <col min="8" max="8" width="11.7265625" bestFit="1" customWidth="1"/>
    <col min="9" max="9" width="9.26953125" bestFit="1" customWidth="1"/>
    <col min="10" max="10" width="10.7265625" bestFit="1" customWidth="1"/>
  </cols>
  <sheetData>
    <row r="2" spans="5:8" x14ac:dyDescent="0.35">
      <c r="E2" s="54" t="s">
        <v>120</v>
      </c>
      <c r="F2" t="s">
        <v>4112</v>
      </c>
    </row>
    <row r="4" spans="5:8" x14ac:dyDescent="0.35">
      <c r="E4" s="54" t="s">
        <v>13</v>
      </c>
      <c r="F4" s="54" t="s">
        <v>29</v>
      </c>
      <c r="G4" s="54" t="s">
        <v>14</v>
      </c>
    </row>
    <row r="5" spans="5:8" x14ac:dyDescent="0.35">
      <c r="F5" t="s">
        <v>24</v>
      </c>
      <c r="G5" t="s">
        <v>4113</v>
      </c>
      <c r="H5" t="s">
        <v>19</v>
      </c>
    </row>
    <row r="6" spans="5:8" x14ac:dyDescent="0.35">
      <c r="E6" s="54" t="s">
        <v>34</v>
      </c>
      <c r="F6" t="s">
        <v>16</v>
      </c>
    </row>
    <row r="7" spans="5:8" x14ac:dyDescent="0.35">
      <c r="E7" t="s">
        <v>37</v>
      </c>
      <c r="F7">
        <v>1</v>
      </c>
      <c r="G7">
        <v>1</v>
      </c>
      <c r="H7">
        <v>1</v>
      </c>
    </row>
    <row r="8" spans="5:8" x14ac:dyDescent="0.35">
      <c r="E8" t="s">
        <v>39</v>
      </c>
      <c r="F8">
        <v>1</v>
      </c>
      <c r="G8">
        <v>1</v>
      </c>
      <c r="H8">
        <v>1</v>
      </c>
    </row>
    <row r="9" spans="5:8" x14ac:dyDescent="0.35">
      <c r="E9" t="s">
        <v>31</v>
      </c>
      <c r="F9">
        <v>1</v>
      </c>
      <c r="G9">
        <v>1</v>
      </c>
      <c r="H9">
        <v>1</v>
      </c>
    </row>
    <row r="10" spans="5:8" x14ac:dyDescent="0.35">
      <c r="E10" t="s">
        <v>42</v>
      </c>
      <c r="F10">
        <v>1</v>
      </c>
      <c r="G10">
        <v>1</v>
      </c>
      <c r="H10">
        <v>1</v>
      </c>
    </row>
    <row r="11" spans="5:8" x14ac:dyDescent="0.35">
      <c r="E11" t="s">
        <v>45</v>
      </c>
      <c r="F11">
        <v>2</v>
      </c>
      <c r="G11">
        <v>2</v>
      </c>
      <c r="H11">
        <v>2</v>
      </c>
    </row>
    <row r="12" spans="5:8" x14ac:dyDescent="0.35">
      <c r="E12" t="s">
        <v>19</v>
      </c>
      <c r="F12">
        <v>6</v>
      </c>
      <c r="G12">
        <v>6</v>
      </c>
      <c r="H12">
        <v>6</v>
      </c>
    </row>
    <row r="24" spans="5:8" x14ac:dyDescent="0.35">
      <c r="E24" s="54" t="s">
        <v>14</v>
      </c>
      <c r="F24" t="s">
        <v>30</v>
      </c>
    </row>
    <row r="26" spans="5:8" x14ac:dyDescent="0.35">
      <c r="E26" s="54" t="s">
        <v>21</v>
      </c>
      <c r="F26" s="54" t="s">
        <v>29</v>
      </c>
    </row>
    <row r="27" spans="5:8" x14ac:dyDescent="0.35">
      <c r="E27" s="54" t="s">
        <v>34</v>
      </c>
      <c r="F27" t="s">
        <v>24</v>
      </c>
      <c r="G27" t="s">
        <v>25</v>
      </c>
      <c r="H27" t="s">
        <v>19</v>
      </c>
    </row>
    <row r="28" spans="5:8" x14ac:dyDescent="0.35">
      <c r="E28" t="s">
        <v>36</v>
      </c>
      <c r="G28">
        <v>2</v>
      </c>
      <c r="H28">
        <v>2</v>
      </c>
    </row>
    <row r="29" spans="5:8" x14ac:dyDescent="0.35">
      <c r="E29" t="s">
        <v>38</v>
      </c>
      <c r="F29">
        <v>1</v>
      </c>
      <c r="G29">
        <v>4</v>
      </c>
      <c r="H29">
        <v>5</v>
      </c>
    </row>
    <row r="30" spans="5:8" x14ac:dyDescent="0.35">
      <c r="E30" t="s">
        <v>40</v>
      </c>
      <c r="F30">
        <v>6</v>
      </c>
      <c r="G30">
        <v>3</v>
      </c>
      <c r="H30">
        <v>9</v>
      </c>
    </row>
    <row r="31" spans="5:8" x14ac:dyDescent="0.35">
      <c r="E31" t="s">
        <v>35</v>
      </c>
      <c r="F31">
        <v>11</v>
      </c>
      <c r="G31">
        <v>16</v>
      </c>
      <c r="H31">
        <v>27</v>
      </c>
    </row>
    <row r="32" spans="5:8" x14ac:dyDescent="0.35">
      <c r="E32" t="s">
        <v>37</v>
      </c>
      <c r="F32">
        <v>16</v>
      </c>
      <c r="G32">
        <v>5</v>
      </c>
      <c r="H32">
        <v>21</v>
      </c>
    </row>
    <row r="33" spans="5:8" x14ac:dyDescent="0.35">
      <c r="E33" t="s">
        <v>39</v>
      </c>
      <c r="F33">
        <v>18</v>
      </c>
      <c r="G33">
        <v>15</v>
      </c>
      <c r="H33">
        <v>33</v>
      </c>
    </row>
    <row r="34" spans="5:8" x14ac:dyDescent="0.35">
      <c r="E34" t="s">
        <v>41</v>
      </c>
      <c r="F34">
        <v>3</v>
      </c>
      <c r="G34">
        <v>3</v>
      </c>
      <c r="H34">
        <v>6</v>
      </c>
    </row>
    <row r="35" spans="5:8" x14ac:dyDescent="0.35">
      <c r="E35" t="s">
        <v>31</v>
      </c>
      <c r="F35">
        <v>23</v>
      </c>
      <c r="G35">
        <v>16</v>
      </c>
      <c r="H35">
        <v>39</v>
      </c>
    </row>
    <row r="36" spans="5:8" x14ac:dyDescent="0.35">
      <c r="E36" t="s">
        <v>46</v>
      </c>
      <c r="F36">
        <v>12</v>
      </c>
      <c r="G36">
        <v>21</v>
      </c>
      <c r="H36">
        <v>33</v>
      </c>
    </row>
    <row r="37" spans="5:8" x14ac:dyDescent="0.35">
      <c r="E37" t="s">
        <v>42</v>
      </c>
      <c r="F37">
        <v>23</v>
      </c>
      <c r="G37">
        <v>7</v>
      </c>
      <c r="H37">
        <v>30</v>
      </c>
    </row>
    <row r="38" spans="5:8" x14ac:dyDescent="0.35">
      <c r="E38" t="s">
        <v>43</v>
      </c>
      <c r="F38">
        <v>11</v>
      </c>
      <c r="G38">
        <v>16</v>
      </c>
      <c r="H38">
        <v>27</v>
      </c>
    </row>
    <row r="39" spans="5:8" x14ac:dyDescent="0.35">
      <c r="E39" t="s">
        <v>45</v>
      </c>
      <c r="F39">
        <v>22</v>
      </c>
      <c r="G39">
        <v>9</v>
      </c>
      <c r="H39">
        <v>31</v>
      </c>
    </row>
    <row r="40" spans="5:8" x14ac:dyDescent="0.35">
      <c r="E40" t="s">
        <v>47</v>
      </c>
      <c r="F40">
        <v>1</v>
      </c>
      <c r="G40">
        <v>1</v>
      </c>
      <c r="H40">
        <v>2</v>
      </c>
    </row>
    <row r="41" spans="5:8" x14ac:dyDescent="0.35">
      <c r="E41" t="s">
        <v>19</v>
      </c>
      <c r="F41">
        <v>147</v>
      </c>
      <c r="G41">
        <v>118</v>
      </c>
      <c r="H41">
        <v>265</v>
      </c>
    </row>
    <row r="46" spans="5:8" x14ac:dyDescent="0.35">
      <c r="E46" s="54" t="s">
        <v>99</v>
      </c>
      <c r="F46" t="s">
        <v>30</v>
      </c>
    </row>
    <row r="48" spans="5:8" x14ac:dyDescent="0.35">
      <c r="E48" s="54" t="s">
        <v>21</v>
      </c>
      <c r="F48" s="54" t="s">
        <v>29</v>
      </c>
    </row>
    <row r="49" spans="5:8" x14ac:dyDescent="0.35">
      <c r="E49" s="54" t="s">
        <v>34</v>
      </c>
      <c r="F49" t="s">
        <v>24</v>
      </c>
      <c r="G49" t="s">
        <v>25</v>
      </c>
      <c r="H49" t="s">
        <v>19</v>
      </c>
    </row>
    <row r="50" spans="5:8" x14ac:dyDescent="0.35">
      <c r="E50" t="s">
        <v>36</v>
      </c>
      <c r="G50">
        <v>2</v>
      </c>
      <c r="H50">
        <v>2</v>
      </c>
    </row>
    <row r="51" spans="5:8" x14ac:dyDescent="0.35">
      <c r="E51" t="s">
        <v>38</v>
      </c>
      <c r="F51">
        <v>1</v>
      </c>
      <c r="G51">
        <v>4</v>
      </c>
      <c r="H51">
        <v>5</v>
      </c>
    </row>
    <row r="52" spans="5:8" x14ac:dyDescent="0.35">
      <c r="E52" t="s">
        <v>40</v>
      </c>
      <c r="F52">
        <v>6</v>
      </c>
      <c r="G52">
        <v>3</v>
      </c>
      <c r="H52">
        <v>9</v>
      </c>
    </row>
    <row r="53" spans="5:8" x14ac:dyDescent="0.35">
      <c r="E53" t="s">
        <v>35</v>
      </c>
      <c r="F53">
        <v>11</v>
      </c>
      <c r="G53">
        <v>16</v>
      </c>
      <c r="H53">
        <v>27</v>
      </c>
    </row>
    <row r="54" spans="5:8" x14ac:dyDescent="0.35">
      <c r="E54" t="s">
        <v>37</v>
      </c>
      <c r="F54">
        <v>16</v>
      </c>
      <c r="G54">
        <v>5</v>
      </c>
      <c r="H54">
        <v>21</v>
      </c>
    </row>
    <row r="55" spans="5:8" x14ac:dyDescent="0.35">
      <c r="E55" t="s">
        <v>39</v>
      </c>
      <c r="F55">
        <v>18</v>
      </c>
      <c r="G55">
        <v>15</v>
      </c>
      <c r="H55">
        <v>33</v>
      </c>
    </row>
    <row r="56" spans="5:8" x14ac:dyDescent="0.35">
      <c r="E56" t="s">
        <v>47</v>
      </c>
      <c r="F56">
        <v>1</v>
      </c>
      <c r="G56">
        <v>1</v>
      </c>
      <c r="H56">
        <v>2</v>
      </c>
    </row>
    <row r="57" spans="5:8" x14ac:dyDescent="0.35">
      <c r="E57" t="s">
        <v>41</v>
      </c>
      <c r="F57">
        <v>3</v>
      </c>
      <c r="G57">
        <v>3</v>
      </c>
      <c r="H57">
        <v>6</v>
      </c>
    </row>
    <row r="58" spans="5:8" x14ac:dyDescent="0.35">
      <c r="E58" t="s">
        <v>31</v>
      </c>
      <c r="F58">
        <v>23</v>
      </c>
      <c r="G58">
        <v>16</v>
      </c>
      <c r="H58">
        <v>39</v>
      </c>
    </row>
    <row r="59" spans="5:8" x14ac:dyDescent="0.35">
      <c r="E59" t="s">
        <v>46</v>
      </c>
      <c r="F59">
        <v>12</v>
      </c>
      <c r="G59">
        <v>21</v>
      </c>
      <c r="H59">
        <v>33</v>
      </c>
    </row>
    <row r="60" spans="5:8" x14ac:dyDescent="0.35">
      <c r="E60" t="s">
        <v>42</v>
      </c>
      <c r="F60">
        <v>23</v>
      </c>
      <c r="G60">
        <v>7</v>
      </c>
      <c r="H60">
        <v>30</v>
      </c>
    </row>
    <row r="61" spans="5:8" x14ac:dyDescent="0.35">
      <c r="E61" t="s">
        <v>43</v>
      </c>
      <c r="F61">
        <v>11</v>
      </c>
      <c r="G61">
        <v>16</v>
      </c>
      <c r="H61">
        <v>27</v>
      </c>
    </row>
    <row r="62" spans="5:8" x14ac:dyDescent="0.35">
      <c r="E62" t="s">
        <v>45</v>
      </c>
      <c r="F62">
        <v>22</v>
      </c>
      <c r="G62">
        <v>9</v>
      </c>
      <c r="H62">
        <v>31</v>
      </c>
    </row>
    <row r="63" spans="5:8" x14ac:dyDescent="0.35">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5" x14ac:dyDescent="0.35"/>
  <cols>
    <col min="1" max="1" width="36.453125" bestFit="1" customWidth="1"/>
    <col min="2" max="2" width="13" bestFit="1" customWidth="1"/>
    <col min="3" max="3" width="14.1796875" bestFit="1" customWidth="1"/>
    <col min="4" max="5" width="11.7265625" bestFit="1" customWidth="1"/>
  </cols>
  <sheetData>
    <row r="1" spans="1:2" x14ac:dyDescent="0.35">
      <c r="A1" s="54" t="s">
        <v>120</v>
      </c>
      <c r="B1" t="s">
        <v>30</v>
      </c>
    </row>
    <row r="3" spans="1:2" x14ac:dyDescent="0.35">
      <c r="A3" s="54" t="s">
        <v>14</v>
      </c>
      <c r="B3" t="s">
        <v>21</v>
      </c>
    </row>
    <row r="4" spans="1:2" x14ac:dyDescent="0.35">
      <c r="A4" t="s">
        <v>16</v>
      </c>
      <c r="B4">
        <v>195</v>
      </c>
    </row>
    <row r="5" spans="1:2" x14ac:dyDescent="0.35">
      <c r="A5" t="s">
        <v>17</v>
      </c>
      <c r="B5">
        <v>44</v>
      </c>
    </row>
    <row r="6" spans="1:2" x14ac:dyDescent="0.35">
      <c r="A6" t="s">
        <v>18</v>
      </c>
      <c r="B6">
        <v>26</v>
      </c>
    </row>
    <row r="7" spans="1:2" x14ac:dyDescent="0.35">
      <c r="A7" t="s">
        <v>19</v>
      </c>
      <c r="B7">
        <v>265</v>
      </c>
    </row>
    <row r="14" spans="1:2" x14ac:dyDescent="0.35">
      <c r="A14" s="54" t="s">
        <v>120</v>
      </c>
      <c r="B14" t="s">
        <v>30</v>
      </c>
    </row>
    <row r="15" spans="1:2" x14ac:dyDescent="0.35">
      <c r="A15" s="54" t="s">
        <v>15</v>
      </c>
      <c r="B15" t="s">
        <v>30</v>
      </c>
    </row>
    <row r="17" spans="1:2" x14ac:dyDescent="0.35">
      <c r="A17" s="54" t="s">
        <v>50</v>
      </c>
      <c r="B17" t="s">
        <v>21</v>
      </c>
    </row>
    <row r="18" spans="1:2" x14ac:dyDescent="0.35">
      <c r="A18" t="s">
        <v>52</v>
      </c>
      <c r="B18" s="486">
        <v>58</v>
      </c>
    </row>
    <row r="19" spans="1:2" x14ac:dyDescent="0.35">
      <c r="A19" t="s">
        <v>53</v>
      </c>
      <c r="B19" s="486">
        <v>39</v>
      </c>
    </row>
    <row r="20" spans="1:2" x14ac:dyDescent="0.35">
      <c r="A20" t="s">
        <v>54</v>
      </c>
      <c r="B20" s="486">
        <v>78</v>
      </c>
    </row>
    <row r="21" spans="1:2" x14ac:dyDescent="0.35">
      <c r="A21" t="s">
        <v>55</v>
      </c>
      <c r="B21" s="486">
        <v>31</v>
      </c>
    </row>
    <row r="22" spans="1:2" x14ac:dyDescent="0.35">
      <c r="A22" t="s">
        <v>56</v>
      </c>
      <c r="B22" s="486">
        <v>1</v>
      </c>
    </row>
    <row r="23" spans="1:2" x14ac:dyDescent="0.35">
      <c r="A23" t="s">
        <v>57</v>
      </c>
      <c r="B23" s="486">
        <v>2</v>
      </c>
    </row>
    <row r="24" spans="1:2" x14ac:dyDescent="0.35">
      <c r="A24" t="s">
        <v>58</v>
      </c>
      <c r="B24" s="486">
        <v>28</v>
      </c>
    </row>
    <row r="25" spans="1:2" x14ac:dyDescent="0.35">
      <c r="A25" t="s">
        <v>59</v>
      </c>
      <c r="B25" s="486">
        <v>16</v>
      </c>
    </row>
    <row r="26" spans="1:2" x14ac:dyDescent="0.35">
      <c r="A26" t="s">
        <v>60</v>
      </c>
      <c r="B26" s="486">
        <v>31</v>
      </c>
    </row>
    <row r="27" spans="1:2" x14ac:dyDescent="0.35">
      <c r="A27" t="s">
        <v>61</v>
      </c>
      <c r="B27" s="486">
        <v>3</v>
      </c>
    </row>
    <row r="28" spans="1:2" x14ac:dyDescent="0.35">
      <c r="A28" t="s">
        <v>19</v>
      </c>
      <c r="B28" s="486">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Sheet2</vt:lpstr>
      <vt:lpstr>Pivot Analysis</vt:lpstr>
      <vt:lpstr>Fellows</vt:lpstr>
      <vt:lpstr>Terminations</vt:lpstr>
      <vt:lpstr>Promotions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2026-06-29T08:15:19Z</dcterms:modified>
  <cp:category/>
  <cp:contentStatus/>
</cp:coreProperties>
</file>
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285" documentId="13_ncr:1_{4D0E5611-347A-4675-B69B-D50AC6A875FD}" xr6:coauthVersionLast="47" xr6:coauthVersionMax="47" xr10:uidLastSave="{73608118-6365-4A9D-BEA6-372092E5E60A}"/>
  <bookViews>
    <workbookView xWindow="-110" yWindow="-110" windowWidth="19420" windowHeight="10300" firstSheet="2"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5" r:id="rId8"/>
    <pivotCache cacheId="6" r:id="rId9"/>
    <pivotCache cacheId="7" r:id="rId10"/>
    <pivotCache cacheId="2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<sst xmlns="http://schemas.openxmlformats.org/spreadsheetml/2006/main" count="10669" uniqueCount="4115">
  <si>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</si>
  <si>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</si>
  <si>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</si>
  <si>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</si>
  <si>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</si>
  <si>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</si>
  <si>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</si>
  <si>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</si>
  <si>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</si>
  <si>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</si>
  <si>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</si>
  <si>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</si>
  <si>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</si>
  <si>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</si>
  <si>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</si>
  <si>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</si>
  <si>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</si>
  <si>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</si>
  <si>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</si>
  <si>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</si>
  <si>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</si>
  <si>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</si>
  <si>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</si>
  <si>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</si>
  <si>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</si>
  <si>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</si>
  <si>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</si>
  <si>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</si>
  <si>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</si>
  <si>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</si>
  <si>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</si>
  <si>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</si>
  <si>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</si>
  <si>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</si>
  <si>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</si>
  <si>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</si>
  <si>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</si>
  <si>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</si>
  <si>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</si>
  <si>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</si>
  <si>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</si>
  <si>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</si>
  <si>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</si>
  <si>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</si>
  <si>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</si>
  <si>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</si>
  <si>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</si>
  <si>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</si>
  <si>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</si>
  <si>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</si>
  <si>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</si>
  <si>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</si>
  <si>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</si>
  <si>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</si>
  <si>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</si>
  <si>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</si>
  <si>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</si>
  <si>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</si>
  <si>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</si>
  <si>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</si>
  <si>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</si>
  <si>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</si>
  <si>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</si>
  <si>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</si>
  <si>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</si>
  <si>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</si>
  <si>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</si>
  <si>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</si>
  <si>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</si>
  <si>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</si>
  <si>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</si>
  <si>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</si>
  <si>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</si>
  <si>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</si>
  <si>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</si>
  <si>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</si>
  <si>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</si>
  <si>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</si>
  <si>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</si>
  <si>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</si>
  <si>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</si>
  <si>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</si>
  <si>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</si>
  <si>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</si>
  <si>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</si>
  <si>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</si>
  <si>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</si>
  <si>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</si>
  <si>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</si>
  <si>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</si>
  <si>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</si>
  <si>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</si>
  <si>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</si>
  <si>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</si>
  <si>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</si>
  <si>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</si>
  <si>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</si>
  <si>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</si>
  <si>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</si>
  <si>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</si>
  <si>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</si>
  <si>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</si>
  <si>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</si>
  <si>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</si>
  <si>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</si>
  <si>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</si>
  <si>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</si>
  <si>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</si>
  <si>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</si>
  <si>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</si>
  <si>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</si>
  <si>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</si>
  <si>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</si>
  <si>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</si>
  <si>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</si>
  <si>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</si>
  <si>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</si>
  <si>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</si>
  <si>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</si>
  <si>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</si>
  <si>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</si>
  <si>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</si>
  <si>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</si>
  <si>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</si>
  <si>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</si>
  <si>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</si>
  <si>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</si>
  <si>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</si>
  <si>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</si>
  <si>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</si>
  <si>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</si>
  <si>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</si>
  <si>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</si>
  <si>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</si>
  <si>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</si>
  <si>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</si>
  <si>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</si>
  <si>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</si>
  <si>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</si>
  <si>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</si>
  <si>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</si>
  <si>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</si>
  <si>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</si>
  <si>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</si>
  <si>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</si>
  <si>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</si>
  <si>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</si>
  <si>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</si>
  <si>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</si>
  <si>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</si>
  <si>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</si>
  <si>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</si>
  <si>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</si>
  <si>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</si>
  <si>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</si>
  <si>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</si>
  <si>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</si>
  <si>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</si>
  <si>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</si>
  <si>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</si>
  <si>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</si>
  <si>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</si>
  <si>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</si>
  <si>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</si>
  <si>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</si>
  <si>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</si>
  <si>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</si>
  <si>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</si>
  <si>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</si>
  <si>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</si>
  <si>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</si>
  <si>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</si>
  <si>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</si>
  <si>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</si>
  <si>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</si>
  <si>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</si>
  <si>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</si>
  <si>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</si>
  <si>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</si>
  <si>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</si>
  <si>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</si>
  <si>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</si>
  <si>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</si>
  <si>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</si>
  <si>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</si>
  <si>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</si>
  <si>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</si>
  <si>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</si>
  <si>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</si>
  <si>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</si>
  <si>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</si>
  <si>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</si>
  <si>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</si>
  <si>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</si>
  <si>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</si>
  <si>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</si>
  <si>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</si>
  <si>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</si>
  <si>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</si>
  <si>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</si>
  <si>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</si>
  <si>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</si>
  <si>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</si>
  <si>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</si>
  <si>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</si>
  <si>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</si>
  <si>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</si>
  <si>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</si>
  <si>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</si>
  <si>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</si>
  <si>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</si>
  <si>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</si>
  <si>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</si>
  <si>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</si>
  <si>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</si>
  <si>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</si>
  <si>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</si>
  <si>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</si>
  <si>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</si>
  <si>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</si>
  <si>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</si>
  <si>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</si>
  <si>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</si>
  <si>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</si>
  <si>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</si>
  <si>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</si>
  <si>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</si>
  <si>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</si>
  <si>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</si>
  <si>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</si>
  <si>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</si>
  <si>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</si>
  <si>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</si>
  <si>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</si>
  <si>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</si>
  <si>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</si>
  <si>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</si>
  <si>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</si>
  <si>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</si>
  <si>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</si>
  <si>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</si>
  <si>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</si>
  <si>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</si>
  <si>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</si>
  <si>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</si>
  <si>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</si>
  <si>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</si>
  <si>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</si>
  <si>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</si>
  <si>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</si>
  <si>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</si>
  <si>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</si>
  <si>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</si>
  <si>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</si>
  <si>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</si>
  <si>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</si>
  <si>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</si>
  <si>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</si>
  <si>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</si>
  <si>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</si>
  <si>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</si>
  <si>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</si>
  <si>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</si>
  <si>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</si>
  <si>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</si>
  <si>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</si>
  <si>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</si>
  <si>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</si>
  <si>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</si>
  <si>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</si>
  <si>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</si>
  <si>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</si>
  <si>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</si>
  <si>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</si>
  <si>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</si>
  <si>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</si>
  <si>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</si>
  <si>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</si>
  <si>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</si>
  <si>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</si>
  <si>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</si>
  <si>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</si>
  <si>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</si>
  <si>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</si>
  <si>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</si>
  <si>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</si>
  <si>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</si>
  <si>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</si>
  <si>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</si>
  <si>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</si>
  <si>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</si>
  <si>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</si>
  <si>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</si>
  <si>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</si>
  <si>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</si>
  <si>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</si>
  <si>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</si>
  <si>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</si>
  <si>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</si>
  <si>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</si>
  <si>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</si>
  <si>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</si>
  <si>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</si>
  <si>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</si>
  <si>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</si>
  <si>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</si>
  <si>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</si>
  <si>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</si>
  <si>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</si>
  <si>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</si>
  <si>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</si>
  <si>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</si>
  <si>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</si>
  <si>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</si>
  <si>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</si>
  <si>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</si>
  <si>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</si>
  <si>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</si>
  <si>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</si>
  <si>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</si>
  <si>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</si>
  <si>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</si>
  <si>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</si>
  <si>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</si>
  <si>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</si>
  <si>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</si>
  <si>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</si>
  <si>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</si>
  <si>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</si>
  <si>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</si>
  <si>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</si>
  <si>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</si>
  <si>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</si>
  <si>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</si>
  <si>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</si>
  <si>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</si>
  <si>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</si>
  <si>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</si>
  <si>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</si>
  <si>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</si>
  <si>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</si>
  <si>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</si>
  <si>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</si>
  <si>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</si>
  <si>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</si>
  <si>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</si>
  <si>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</si>
  <si>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</si>
  <si>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</si>
  <si>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</si>
  <si>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</si>
  <si>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</si>
  <si>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</si>
  <si>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</si>
  <si>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</si>
  <si>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</si>
  <si>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</si>
  <si>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</si>
  <si>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</si>
  <si>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</si>
  <si>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</si>
  <si>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</si>
  <si>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</si>
  <si>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</si>
  <si>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</si>
  <si>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</si>
  <si>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</si>
  <si>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</si>
  <si>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</si>
  <si>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</si>
  <si>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</si>
  <si>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</si>
  <si>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</si>
  <si>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</si>
  <si>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</si>
  <si>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</si>
  <si>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</si>
  <si>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</si>
  <si>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</si>
  <si>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</si>
  <si>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</si>
  <si>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</si>
  <si>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</si>
  <si>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</si>
  <si>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</si>
  <si>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</si>
  <si>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</si>
  <si>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</si>
  <si>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</si>
  <si>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</si>
  <si>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</si>
  <si>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</si>
  <si>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</si>
  <si>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</si>
  <si>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</si>
  <si>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</si>
  <si>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</si>
  <si>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</si>
  <si>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</si>
  <si>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</si>
  <si>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</si>
  <si>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</si>
  <si>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</si>
  <si>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</si>
  <si>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</si>
  <si>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</si>
  <si>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</si>
  <si>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</si>
  <si>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</si>
  <si>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</si>
  <si>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</si>
  <si>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</si>
  <si>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</si>
  <si>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</si>
  <si>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</si>
  <si>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</si>
  <si>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</si>
  <si>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</si>
  <si>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</si>
  <si>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</si>
  <si>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</si>
  <si>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</si>
  <si>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</si>
  <si>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</si>
  <si>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</si>
  <si>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</si>
  <si>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</si>
  <si>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</si>
  <si>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</si>
  <si>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</si>
  <si>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</si>
  <si>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</si>
  <si>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</si>
  <si>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</si>
  <si>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</si>
  <si>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</si>
  <si>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</si>
  <si>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</si>
  <si>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</si>
  <si>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</si>
  <si>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</si>
  <si>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</si>
  <si>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</si>
  <si>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</si>
  <si>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</si>
  <si>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</si>
  <si>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</si>
  <si>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</si>
  <si>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</si>
  <si>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</si>
  <si>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</si>
  <si>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</si>
  <si>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</si>
  <si>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</si>
  <si>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</si>
  <si>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</si>
  <si>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</si>
  <si>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</si>
  <si>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</si>
  <si>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</si>
  <si>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</si>
  <si>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</si>
  <si>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</si>
  <si>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</si>
  <si>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</si>
  <si>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</si>
  <si>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</si>
  <si>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</si>
  <si>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</si>
  <si>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</si>
  <si>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</si>
  <si>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</si>
  <si>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</si>
  <si>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</si>
  <si>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</si>
  <si>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</si>
  <si>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</si>
  <si>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</si>
  <si>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</si>
  <si>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</si>
  <si>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</si>
  <si>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</si>
  <si>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</si>
  <si>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</si>
  <si>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</si>
  <si>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</si>
  <si>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</si>
  <si>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</si>
  <si>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</si>
  <si>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</si>
  <si>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</si>
  <si>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</si>
  <si>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</si>
  <si>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</si>
  <si>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</si>
  <si>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</si>
  <si>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</si>
  <si>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</si>
  <si>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</si>
  <si>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</si>
  <si>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</si>
  <si>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</si>
  <si>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</si>
  <si>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</si>
  <si>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</si>
  <si>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</si>
  <si>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</si>
  <si>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</si>
  <si>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</si>
  <si>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</si>
  <si>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</si>
  <si>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</si>
  <si>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</si>
  <si>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</si>
  <si>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</si>
  <si>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</si>
  <si>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</si>
  <si>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</si>
  <si>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</si>
  <si>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</si>
  <si>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</si>
  <si>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</si>
  <si>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</si>
  <si>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</si>
  <si>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</si>
  <si>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</si>
  <si>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</si>
  <si>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</si>
  <si>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</si>
  <si>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</si>
  <si>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</si>
  <si>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</si>
  <si>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</si>
  <si>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</si>
  <si>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</si>
  <si>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</si>
  <si>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</si>
  <si>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</si>
  <si>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</si>
  <si>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</si>
  <si>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</si>
  <si>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</si>
  <si>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</si>
  <si>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</si>
  <si>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</si>
  <si>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</si>
  <si>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</si>
  <si>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</si>
  <si>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</si>
  <si>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</si>
  <si>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</si>
  <si>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</si>
  <si>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</si>
  <si>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</si>
  <si>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</si>
  <si>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</si>
  <si>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</si>
  <si>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</si>
  <si>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</si>
  <si>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</si>
  <si>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</si>
  <si>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</si>
  <si>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</si>
  <si>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</si>
  <si>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</si>
  <si>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</si>
  <si>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</si>
  <si>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</si>
  <si>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</si>
  <si>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</si>
  <si>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</si>
  <si>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</si>
  <si>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</si>
  <si>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</si>
  <si>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</si>
  <si>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</si>
  <si>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</si>
  <si>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</si>
  <si>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</si>
  <si>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</si>
  <si>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</si>
  <si>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</si>
  <si>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</si>
  <si>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</si>
  <si>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</si>
  <si>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</si>
  <si>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</si>
  <si>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</si>
  <si>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</si>
  <si>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</si>
  <si>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</si>
  <si>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</si>
  <si>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</si>
  <si>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</si>
  <si>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</si>
  <si>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</si>
  <si>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</si>
  <si>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</si>
  <si>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</si>
  <si>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</si>
  <si>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</si>
  <si>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</si>
  <si>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</si>
  <si>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</si>
  <si>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</si>
  <si>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</si>
  <si>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</si>
  <si>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</si>
  <si>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</si>
  <si>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</si>
  <si>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</si>
  <si>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</si>
  <si>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</si>
  <si>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</si>
  <si>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</si>
  <si>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</si>
  <si>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</si>
  <si>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</si>
  <si>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</si>
  <si>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</si>
  <si>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</si>
  <si>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</si>
  <si>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</si>
  <si>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</si>
  <si>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</si>
  <si>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</si>
  <si>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</si>
  <si>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</si>
  <si>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</si>
  <si>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</si>
  <si>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</si>
  <si>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</si>
  <si>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</si>
  <si>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</si>
  <si>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</si>
  <si>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</si>
  <si>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</si>
  <si>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</si>
  <si>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</si>
  <si>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</si>
  <si>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</si>
  <si>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</si>
  <si>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</si>
  <si>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</si>
  <si>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</si>
  <si>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</si>
  <si>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</si>
  <si>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</si>
  <si>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</si>
  <si>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</si>
  <si>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</si>
  <si>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</si>
  <si>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</si>
  <si>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</si>
  <si>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</si>
  <si>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</si>
  <si>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</si>
  <si>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</si>
  <si>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</si>
  <si>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</si>
  <si>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</si>
  <si>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</si>
  <si>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</si>
  <si>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</si>
  <si>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</si>
  <si>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</si>
  <si>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</si>
  <si>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</si>
  <si>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</si>
  <si>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</si>
  <si>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</si>
  <si>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</si>
  <si>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</si>
  <si>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</si>
  <si>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</si>
  <si>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</si>
  <si>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</si>
  <si>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</si>
  <si>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</si>
  <si>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</si>
  <si>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</si>
  <si>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</si>
  <si>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</si>
  <si>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</si>
  <si>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</si>
  <si>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</si>
  <si>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</si>
  <si>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</si>
  <si>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</si>
  <si>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</si>
  <si>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</si>
  <si>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</si>
  <si>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</si>
  <si>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</si>
  <si>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</si>
  <si>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</si>
  <si>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</si>
  <si>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</si>
  <si>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</si>
  <si>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</si>
  <si>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</si>
  <si>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</si>
  <si>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</si>
  <si>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</si>
  <si>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</si>
  <si>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</si>
  <si>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</si>
  <si>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</si>
  <si>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</si>
  <si>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</si>
  <si>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</si>
  <si>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</si>
  <si>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</si>
  <si>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</si>
  <si>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</si>
  <si>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</si>
  <si>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</si>
  <si>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</si>
  <si>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</si>
  <si>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</si>
  <si>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</si>
  <si>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</si>
  <si>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</si>
  <si>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</si>
  <si>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</si>
  <si>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</si>
  <si>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</si>
  <si>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</si>
  <si>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</si>
  <si>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</si>
  <si>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</si>
  <si>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</si>
  <si>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</si>
  <si>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</si>
  <si>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</si>
  <si>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</si>
  <si>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</si>
  <si>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</si>
  <si>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</si>
  <si>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</si>
  <si>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</si>
  <si>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</si>
  <si>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</si>
  <si>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</si>
  <si>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</si>
  <si>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</si>
  <si>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</si>
  <si>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</si>
  <si>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</si>
  <si>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</si>
  <si>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</si>
  <si>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</si>
  <si>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</si>
  <si>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</si>
  <si>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</si>
  <si>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</si>
  <si>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</si>
  <si>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</si>
  <si>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</si>
  <si>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</si>
  <si>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</si>
  <si>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</si>
  <si>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</si>
  <si>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</si>
  <si>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</si>
  <si>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</si>
  <si>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</si>
  <si>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</si>
  <si>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</si>
  <si>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</si>
  <si>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</si>
  <si>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</si>
  <si>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</si>
  <si>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</si>
  <si>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</si>
  <si>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</si>
  <si>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</si>
  <si>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</si>
  <si>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</si>
  <si>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</si>
  <si>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</si>
  <si>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</si>
  <si>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</si>
  <si>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</si>
  <si>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</si>
  <si>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</si>
  <si>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</si>
  <si>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</si>
  <si>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</si>
  <si>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</si>
  <si>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</si>
  <si>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</si>
  <si>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</si>
  <si>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</si>
  <si>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</si>
  <si>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</si>
  <si>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</si>
  <si>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</si>
  <si>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</si>
  <si>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</si>
  <si>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</si>
  <si>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</si>
  <si>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</si>
  <si>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</si>
  <si>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</si>
  <si>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</si>
  <si>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</si>
  <si>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</si>
  <si>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</si>
  <si>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</si>
  <si>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</si>
  <si>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</si>
  <si>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</si>
  <si>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</si>
  <si>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</si>
  <si>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</si>
  <si>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</si>
  <si>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</si>
  <si>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</si>
  <si>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</si>
  <si>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</si>
  <si>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</si>
  <si>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</si>
  <si>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</si>
  <si>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</si>
  <si>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</si>
  <si>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</si>
  <si>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</si>
  <si>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</si>
  <si>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</si>
  <si>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</si>
  <si>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</si>
  <si>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</si>
  <si>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</si>
  <si>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</si>
  <si>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</si>
  <si>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</si>
  <si>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</si>
  <si>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</si>
  <si>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</si>
  <si>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</si>
  <si>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</si>
  <si>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</si>
  <si>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</si>
  <si>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</si>
  <si>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</si>
  <si>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</si>
  <si>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</si>
  <si>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</si>
  <si>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</si>
  <si>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</si>
  <si>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</si>
  <si>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</si>
  <si>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</si>
  <si>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</si>
  <si>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</si>
  <si>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</si>
  <si>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</si>
  <si>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</si>
  <si>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</si>
  <si>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</si>
  <si>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</si>
  <si>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</si>
  <si>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</si>
  <si>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</si>
  <si>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</si>
  <si>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</si>
  <si>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</si>
  <si>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</si>
  <si>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</si>
  <si>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</si>
  <si>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</si>
  <si>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</si>
  <si>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</si>
  <si>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</si>
  <si>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</si>
  <si>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</si>
  <si>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</si>
  <si>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</si>
  <si>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</si>
  <si>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</si>
  <si>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</si>
  <si>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</si>
  <si>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</si>
  <si>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</si>
  <si>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</si>
  <si>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</si>
  <si>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</si>
  <si>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</si>
  <si>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</si>
  <si>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</si>
  <si>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</si>
  <si>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</si>
  <si>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</si>
  <si>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</si>
  <si>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</si>
  <si>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</si>
  <si>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</si>
  <si>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</si>
  <si>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</si>
  <si>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</si>
  <si>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</si>
  <si>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</si>
  <si>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</si>
  <si>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</si>
  <si>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</si>
  <si>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</si>
  <si>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</si>
  <si>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</si>
  <si>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</si>
  <si>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</si>
  <si>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</si>
  <si>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</si>
  <si>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</si>
  <si>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</si>
  <si>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</si>
  <si>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</si>
  <si>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</si>
  <si>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</si>
  <si>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</si>
  <si>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</si>
  <si>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</si>
  <si>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</si>
  <si>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</si>
  <si>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</si>
  <si>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</si>
  <si>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</si>
  <si>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</si>
  <si>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</si>
  <si>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</si>
  <si>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</si>
  <si>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</si>
  <si>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</si>
  <si>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</si>
  <si>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</si>
  <si>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</si>
  <si>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</si>
  <si>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</si>
  <si>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</si>
  <si>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</si>
  <si>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</si>
  <si>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</si>
  <si>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</si>
  <si>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</si>
  <si>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</si>
  <si>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</si>
  <si>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</si>
  <si>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</si>
  <si>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</si>
  <si>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</si>
  <si>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</si>
  <si>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</si>
  <si>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</si>
  <si>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</si>
  <si>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</si>
  <si>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</si>
  <si>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</si>
  <si>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</si>
  <si>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</si>
  <si>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</si>
  <si>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</si>
  <si>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</si>
  <si>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</si>
  <si>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</si>
  <si>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</si>
  <si>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</si>
  <si>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</si>
  <si>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</si>
  <si>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</si>
  <si>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</si>
  <si>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</si>
  <si>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</si>
  <si>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</si>
  <si>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</si>
  <si>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</si>
  <si>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</si>
  <si>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</si>
  <si>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</si>
  <si>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</si>
  <si>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</si>
  <si>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</si>
  <si>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</si>
  <si>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</si>
  <si>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</si>
  <si>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</si>
  <si>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</si>
  <si>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</si>
  <si>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</si>
  <si>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</si>
  <si>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</si>
  <si>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</si>
  <si>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</si>
  <si>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</si>
  <si>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</si>
  <si>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</si>
  <si>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</si>
  <si>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</si>
  <si>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</si>
  <si>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</si>
  <si>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</si>
  <si>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</si>
  <si>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</si>
  <si>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</si>
  <si>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</si>
  <si>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</si>
  <si>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</si>
  <si>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</si>
  <si>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</si>
  <si>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</si>
  <si>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</si>
  <si>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</si>
  <si>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</si>
  <si>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</si>
  <si>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</si>
  <si>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</si>
  <si>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</si>
  <si>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</si>
  <si>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</si>
  <si>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</si>
  <si>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</si>
  <si>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</si>
  <si>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</si>
  <si>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</si>
  <si>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</si>
  <si>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</si>
  <si>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</si>
  <si>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</si>
  <si>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</si>
  <si>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</si>
  <si>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</si>
  <si>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</si>
  <si>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</si>
  <si>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</si>
  <si>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</si>
  <si>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</si>
  <si>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</si>
  <si>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</si>
  <si>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</si>
  <si>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</si>
  <si>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</si>
  <si>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</si>
  <si>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</si>
  <si>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</si>
  <si>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</si>
  <si>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</si>
  <si>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</si>
  <si>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</si>
  <si>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</si>
  <si>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</si>
  <si>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</si>
  <si>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</si>
  <si>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</si>
  <si>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</si>
  <si>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</si>
  <si>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</si>
  <si>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</si>
  <si>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</si>
  <si>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</si>
  <si>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</si>
  <si>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</si>
  <si>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</si>
  <si>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</si>
  <si>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</si>
  <si>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</si>
  <si>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</si>
  <si>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</si>
  <si>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</si>
  <si>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</si>
  <si>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</si>
  <si>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</si>
  <si>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</si>
  <si>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</si>
  <si>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</si>
  <si>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</si>
  <si>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</si>
  <si>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</si>
  <si>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</si>
  <si>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</si>
  <si>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</si>
  <si>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</si>
  <si>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</si>
  <si>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</si>
  <si>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</si>
  <si>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</si>
  <si>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</si>
  <si>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</si>
  <si>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</si>
  <si>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</si>
  <si>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</si>
  <si>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</si>
  <si>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</si>
  <si>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</si>
  <si>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</si>
  <si>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</si>
  <si>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</si>
  <si>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</si>
  <si>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</si>
  <si>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</si>
  <si>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</si>
  <si>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</si>
  <si>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</si>
  <si>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</si>
  <si>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</si>
  <si>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</si>
  <si>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</si>
  <si>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</si>
  <si>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</si>
  <si>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</si>
  <si>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</si>
  <si>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</si>
  <si>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</si>
  <si>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</si>
  <si>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</si>
  <si>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</si>
  <si>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</si>
  <si>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</si>
  <si>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</si>
  <si>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</si>
  <si>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</si>
  <si>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</si>
  <si>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</si>
  <si>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</si>
  <si>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</si>
  <si>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</si>
  <si>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</si>
  <si>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</si>
  <si>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</si>
  <si>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</si>
  <si>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</si>
  <si>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</si>
  <si>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</si>
  <si>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</si>
  <si>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</si>
  <si>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</si>
  <si>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</si>
  <si>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</si>
  <si>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</si>
  <si>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</si>
  <si>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</si>
  <si>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</si>
  <si>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</si>
  <si>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</si>
  <si>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</si>
  <si>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</si>
  <si>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</si>
  <si>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</si>
  <si>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</si>
  <si>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</si>
  <si>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</si>
  <si>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</si>
  <si>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</si>
  <si>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</si>
  <si>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</si>
  <si>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</si>
  <si>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</si>
  <si>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</si>
  <si>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</si>
  <si>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</si>
  <si>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</si>
  <si>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</si>
  <si>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</si>
  <si>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</si>
  <si>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</si>
  <si>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</si>
  <si>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</si>
  <si>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</si>
  <si>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</si>
  <si>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</si>
  <si>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</si>
  <si>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</si>
  <si>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</si>
  <si>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</si>
  <si>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</si>
  <si>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</si>
  <si>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</si>
  <si>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</si>
  <si>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</si>
  <si>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</si>
  <si>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</si>
  <si>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</si>
  <si>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</si>
  <si>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</si>
  <si>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</si>
  <si>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</si>
  <si>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</si>
  <si>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</si>
  <si>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</si>
  <si>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</si>
  <si>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</si>
  <si>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</si>
  <si>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</si>
  <si>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</si>
  <si>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</si>
  <si>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</si>
  <si>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</si>
  <si>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</si>
  <si>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</si>
  <si>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</si>
  <si>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</si>
  <si>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</si>
  <si>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</si>
  <si>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</si>
  <si>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</si>
  <si>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</si>
  <si>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</si>
  <si>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</si>
  <si>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</si>
  <si>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</si>
  <si>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</si>
  <si>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</si>
  <si>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</si>
  <si>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</si>
  <si>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</si>
  <si>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</si>
  <si>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</si>
  <si>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</si>
  <si>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</si>
  <si>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</si>
  <si>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</si>
  <si>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</si>
  <si>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</si>
  <si>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</si>
  <si>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</si>
  <si>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</si>
  <si>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</si>
  <si>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</si>
  <si>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</si>
  <si>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</si>
  <si>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</si>
  <si>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</si>
  <si>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</si>
  <si>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</si>
  <si>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</si>
  <si>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</si>
  <si>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</si>
  <si>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</si>
  <si>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</si>
  <si>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</si>
  <si>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</si>
  <si>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</si>
  <si>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</si>
  <si>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</si>
  <si>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</si>
  <si>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</si>
  <si>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</si>
  <si>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</si>
  <si>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</si>
  <si>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</si>
  <si>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</si>
  <si>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</si>
  <si>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</si>
  <si>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</si>
  <si>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</si>
  <si>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</si>
  <si>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</si>
  <si>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</si>
  <si>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</si>
  <si>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</si>
  <si>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</si>
  <si>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</si>
  <si>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</si>
  <si>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</si>
  <si>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</si>
  <si>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</si>
  <si>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</si>
  <si>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</si>
  <si>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</si>
  <si>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</si>
  <si>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</si>
  <si>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</si>
  <si>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</si>
  <si>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</si>
  <si>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</si>
  <si>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</si>
  <si>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</si>
  <si>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</si>
  <si>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</si>
  <si>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</si>
  <si>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</si>
  <si>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</si>
  <si>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</si>
  <si>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</si>
  <si>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</si>
  <si>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</si>
  <si>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</si>
  <si>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</si>
  <si>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</si>
  <si>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</si>
  <si>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</si>
  <si>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</si>
  <si>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</si>
  <si>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</si>
  <si>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</si>
  <si>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</si>
  <si>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</si>
  <si>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</si>
  <si>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</si>
  <si>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</si>
  <si>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</si>
  <si>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</si>
  <si>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</si>
  <si>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</si>
  <si>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</si>
  <si>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</si>
  <si>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</si>
  <si>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</si>
  <si>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</si>
  <si>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</si>
  <si>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</si>
  <si>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</si>
  <si>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</si>
  <si>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</si>
  <si>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</si>
  <si>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</si>
  <si>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</si>
  <si>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</si>
  <si>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</si>
  <si>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</si>
  <si>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</si>
  <si>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</si>
  <si>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</si>
  <si>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</si>
  <si>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</si>
  <si>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</si>
  <si>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</si>
  <si>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</si>
  <si>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</si>
  <si>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</si>
  <si>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</si>
  <si>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</si>
  <si>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</si>
  <si>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</si>
  <si>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</si>
  <si>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</si>
  <si>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</si>
  <si>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</si>
  <si>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</si>
  <si>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</si>
  <si>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</si>
  <si>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</si>
  <si>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</si>
  <si>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</si>
  <si>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</si>
  <si>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</si>
  <si>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</si>
  <si>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</si>
  <si>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</si>
  <si>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</si>
  <si>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</si>
  <si>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</si>
  <si>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</si>
  <si>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</si>
  <si>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</si>
  <si>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</si>
  <si>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</si>
  <si>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</si>
  <si>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</si>
  <si>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</si>
  <si>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</si>
  <si>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</si>
  <si>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</si>
  <si>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</si>
  <si>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</si>
  <si>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</si>
  <si>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</si>
  <si>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</si>
  <si>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</si>
  <si>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</si>
  <si>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</si>
  <si>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</si>
  <si>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</si>
  <si>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</si>
  <si>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</si>
  <si>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</si>
  <si>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</si>
  <si>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</si>
  <si>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</si>
  <si>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</si>
  <si>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</si>
  <si>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</si>
  <si>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</si>
  <si>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</si>
  <si>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</si>
  <si>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</si>
  <si>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</si>
  <si>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</si>
  <si>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</si>
  <si>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</si>
  <si>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</si>
  <si>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</si>
  <si>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</si>
  <si>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</si>
  <si>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</si>
  <si>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</si>
  <si>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</si>
  <si>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</si>
  <si>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</si>
  <si>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</si>
  <si>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</si>
  <si>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</si>
  <si>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</si>
  <si>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</si>
  <si>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</si>
  <si>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</si>
  <si>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</si>
  <si>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</si>
  <si>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</si>
  <si>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</si>
  <si>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</si>
  <si>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</si>
  <si>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</si>
  <si>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</si>
  <si>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</si>
  <si>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</si>
  <si>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</si>
  <si>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</si>
  <si>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</si>
  <si>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</si>
  <si>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</si>
  <si>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</si>
  <si>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</si>
  <si>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</si>
  <si>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</si>
  <si>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</si>
  <si>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</si>
  <si>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</si>
  <si>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</si>
  <si>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</si>
  <si>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</si>
  <si>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</si>
  <si>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</si>
  <si>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</si>
  <si>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</si>
  <si>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</si>
  <si>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</si>
  <si>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</si>
  <si>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</si>
  <si>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</si>
  <si>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</si>
  <si>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</si>
  <si>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</si>
  <si>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</si>
  <si>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</si>
  <si>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</si>
  <si>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</si>
  <si>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</si>
  <si>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</si>
  <si>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</si>
  <si>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</si>
  <si>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</si>
  <si>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</si>
  <si>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</si>
  <si>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</si>
  <si>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</si>
  <si>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</si>
  <si>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</si>
  <si>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</si>
  <si>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</si>
  <si>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</si>
  <si>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</si>
  <si>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</si>
  <si>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</si>
  <si>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</si>
  <si>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</si>
  <si>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</si>
  <si>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</si>
  <si>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</si>
  <si>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</si>
  <si>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</si>
  <si>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</si>
  <si>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</si>
  <si>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</si>
  <si>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</si>
  <si>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</si>
  <si>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</si>
  <si>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</si>
  <si>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</si>
  <si>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</si>
  <si>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</si>
  <si>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</si>
  <si>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</si>
  <si>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</si>
  <si>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</si>
  <si>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</si>
  <si>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</si>
  <si>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</si>
  <si>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</si>
  <si>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</si>
  <si>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</si>
  <si>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</si>
  <si>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</si>
  <si>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</si>
  <si>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</si>
  <si>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</si>
  <si>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</si>
  <si>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</si>
  <si>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</si>
  <si>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</si>
  <si>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</si>
  <si>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</si>
  <si>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</si>
  <si>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</si>
  <si>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</si>
  <si>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</si>
  <si>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</si>
  <si>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</si>
  <si>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</si>
  <si>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</si>
  <si>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</si>
  <si>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</si>
  <si>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</si>
  <si>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</si>
  <si>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</si>
  <si>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</si>
  <si>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</si>
  <si>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</si>
  <si>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</si>
  <si>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</si>
  <si>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</si>
  <si>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</si>
  <si>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</si>
  <si>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</si>
  <si>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</si>
  <si>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</si>
  <si>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</si>
  <si>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</si>
  <si>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</si>
  <si>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</si>
  <si>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</si>
  <si>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</si>
  <si>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</si>
  <si>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</si>
  <si>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</si>
  <si>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</si>
  <si>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</si>
  <si>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</si>
  <si>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</si>
  <si>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</si>
  <si>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</si>
  <si>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</si>
  <si>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</si>
  <si>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</si>
  <si>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</si>
  <si>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</si>
  <si>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</si>
  <si>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</si>
  <si>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</si>
  <si>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</si>
  <si>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</si>
  <si>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</si>
  <si>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</si>
  <si>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</si>
  <si>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</si>
  <si>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</si>
  <si>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</si>
  <si>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</si>
  <si>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</si>
  <si>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</si>
  <si>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</si>
  <si>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</si>
  <si>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</si>
  <si>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</si>
  <si>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</si>
  <si>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</si>
  <si>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</si>
  <si>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</si>
  <si>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</si>
  <si>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</si>
  <si>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</si>
  <si>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</si>
  <si>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</si>
  <si>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</si>
  <si>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</si>
  <si>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</si>
  <si>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</si>
  <si>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</si>
  <si>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</si>
  <si>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</si>
  <si>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</si>
  <si>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</si>
  <si>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</si>
  <si>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</si>
  <si>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</si>
  <si>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</si>
  <si>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</si>
  <si>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</si>
  <si>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</si>
  <si>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</si>
  <si>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</si>
  <si>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</si>
  <si>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</si>
  <si>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</si>
  <si>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</si>
  <si>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</si>
  <si>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</si>
  <si>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</si>
  <si>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</si>
  <si>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</si>
  <si>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</si>
  <si>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</si>
  <si>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</si>
  <si>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</si>
  <si>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</si>
  <si>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</si>
  <si>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</si>
  <si>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</si>
  <si>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</si>
  <si>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</si>
  <si>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</si>
  <si>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</si>
  <si>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</si>
  <si>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</si>
  <si>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</si>
  <si>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</si>
  <si>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</si>
  <si>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</si>
  <si>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</si>
  <si>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</si>
  <si>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</si>
  <si>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</si>
  <si>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</si>
  <si>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</si>
  <si>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</si>
  <si>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</si>
  <si>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</si>
  <si>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</si>
  <si>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</si>
  <si>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</si>
  <si>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</si>
  <si>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</si>
  <si>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</si>
  <si>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</si>
  <si>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</si>
  <si>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</si>
  <si>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</si>
  <si>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</si>
  <si>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</si>
  <si>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</si>
  <si>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</si>
  <si>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</si>
  <si>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</si>
  <si>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</si>
  <si>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</si>
  <si>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</si>
  <si>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</si>
  <si>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</si>
  <si>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</si>
  <si>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</si>
  <si>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</si>
  <si>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</si>
  <si>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</si>
  <si>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</si>
  <si>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</si>
  <si>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</si>
  <si>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</si>
  <si>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</si>
  <si>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</si>
  <si>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</si>
  <si>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</si>
  <si>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</si>
  <si>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</si>
  <si>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</si>
  <si>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</si>
  <si>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</si>
  <si>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</si>
  <si>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</si>
  <si>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</si>
  <si>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</si>
  <si>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</si>
  <si>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</si>
  <si>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</si>
  <si>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</si>
  <si>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</si>
  <si>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</si>
  <si>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</si>
  <si>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</si>
  <si>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</si>
  <si>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</si>
  <si>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</si>
  <si>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</si>
  <si>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</si>
  <si>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</si>
  <si>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</si>
  <si>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</si>
  <si>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</si>
  <si>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</si>
  <si>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</si>
  <si>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</si>
  <si>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</si>
  <si>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</si>
  <si>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</si>
  <si>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</si>
  <si>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</si>
  <si>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</si>
  <si>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</si>
  <si>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</si>
  <si>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</si>
  <si>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</si>
  <si>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</si>
  <si>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</si>
  <si>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</si>
  <si>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</si>
  <si>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</si>
  <si>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</si>
  <si>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</si>
  <si>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</si>
  <si>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</si>
  <si>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</si>
  <si>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</si>
  <si>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</si>
  <si>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</si>
  <si>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</si>
  <si>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</si>
  <si>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</si>
  <si>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</si>
  <si>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</si>
  <si>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</si>
  <si>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</si>
  <si>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</si>
  <si>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</si>
  <si>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</si>
  <si>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</si>
  <si>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</si>
  <si>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</si>
  <si>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</si>
  <si>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</si>
  <si>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</si>
  <si>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</si>
  <si>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</si>
  <si>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</si>
  <si>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</si>
  <si>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</si>
  <si>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</si>
  <si>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</si>
  <si>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</si>
  <si>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</si>
  <si>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</si>
  <si>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</si>
  <si>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</si>
  <si>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</si>
  <si>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</si>
  <si>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</si>
  <si>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</si>
  <si>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</si>
  <si>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</si>
  <si>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</si>
  <si>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</si>
  <si>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</si>
  <si>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</si>
  <si>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</si>
  <si>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</si>
  <si>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</si>
  <si>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</si>
  <si>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</si>
  <si>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</si>
  <si>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</si>
  <si>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</si>
  <si>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</si>
  <si>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</si>
  <si>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</si>
  <si>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</si>
  <si>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</si>
  <si>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</si>
  <si>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</si>
  <si>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</si>
  <si>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</si>
  <si>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</si>
  <si>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</si>
  <si>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</si>
  <si>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</si>
  <si>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</si>
  <si>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</si>
  <si>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</si>
  <si>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</si>
  <si>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</si>
  <si>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</si>
  <si>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</si>
  <si>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</si>
  <si>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</si>
  <si>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</si>
  <si>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</si>
  <si>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</si>
  <si>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</si>
  <si>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</si>
  <si>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</si>
  <si>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</si>
  <si>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</si>
  <si>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</si>
  <si>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</si>
  <si>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</si>
  <si>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</si>
  <si>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</si>
  <si>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</si>
  <si>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</si>
  <si>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</si>
  <si>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</si>
  <si>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</si>
  <si>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</si>
  <si>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</si>
  <si>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</si>
  <si>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</si>
  <si>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</si>
  <si>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</si>
  <si>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</si>
  <si>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</si>
  <si>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</si>
  <si>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</si>
  <si>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</si>
  <si>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</si>
  <si>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</si>
  <si>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</si>
  <si>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</si>
  <si>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</si>
  <si>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</si>
  <si>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</si>
  <si>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</si>
  <si>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</si>
  <si>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</si>
  <si>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</si>
  <si>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</si>
  <si>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</si>
  <si>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</si>
  <si>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</si>
  <si>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</si>
  <si>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</si>
  <si>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</si>
  <si>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</si>
  <si>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</si>
  <si>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</si>
  <si>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</si>
  <si>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</si>
  <si>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</si>
  <si>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</si>
  <si>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</si>
  <si>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</si>
  <si>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</si>
  <si>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</si>
  <si>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</si>
  <si>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</si>
  <si>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</si>
  <si>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</si>
  <si>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</si>
  <si>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</si>
  <si>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</si>
  <si>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</si>
  <si>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</si>
  <si>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</si>
  <si>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</si>
  <si>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</si>
  <si>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</si>
  <si>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</si>
  <si>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</si>
  <si>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</si>
  <si>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</si>
  <si>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</si>
  <si>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</si>
  <si>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</si>
  <si>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</si>
  <si>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</si>
  <si>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</si>
  <si>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</si>
  <si>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</si>
  <si>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</si>
  <si>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</si>
  <si>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</si>
  <si>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</si>
  <si>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</si>
  <si>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</si>
  <si>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</si>
  <si>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</si>
  <si>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</si>
  <si>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</si>
  <si>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</si>
  <si>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</si>
  <si>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</si>
  <si>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</si>
  <si>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</si>
  <si>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</si>
  <si>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</si>
  <si>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</si>
  <si>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</si>
  <si>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</si>
  <si>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</si>
  <si>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</si>
  <si>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</si>
  <si>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</si>
  <si>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</si>
  <si>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</si>
  <si>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</si>
  <si>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</si>
  <si>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</si>
  <si>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</si>
  <si>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</si>
  <si>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</si>
  <si>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</si>
  <si>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</si>
  <si>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</si>
  <si>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</si>
  <si>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</si>
  <si>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</si>
  <si>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</si>
  <si>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</si>
  <si>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</si>
  <si>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</si>
  <si>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</si>
  <si>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</si>
  <si>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</si>
  <si>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</si>
  <si>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</si>
  <si>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</si>
  <si>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</si>
  <si>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</si>
  <si>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</si>
  <si>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</si>
  <si>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</si>
  <si>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</si>
  <si>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</si>
  <si>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</si>
  <si>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</si>
  <si>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</si>
  <si>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</si>
  <si>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</si>
  <si>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</si>
  <si>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</si>
  <si>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</si>
  <si>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</si>
  <si>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</si>
  <si>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</si>
  <si>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</si>
  <si>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</si>
  <si>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</si>
  <si>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</si>
  <si>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</si>
  <si>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</si>
  <si>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</si>
  <si>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</si>
  <si>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</si>
  <si>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</si>
  <si>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</si>
  <si>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</si>
  <si>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</si>
  <si>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</si>
  <si>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</si>
  <si>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</si>
  <si>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</si>
  <si>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</si>
  <si>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</si>
  <si>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</si>
  <si>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</si>
  <si>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</si>
  <si>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</si>
  <si>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</si>
  <si>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</si>
  <si>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</si>
  <si>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</si>
  <si>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</si>
  <si>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</si>
  <si>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</si>
  <si>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</si>
  <si>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</si>
  <si>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</si>
  <si>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</si>
  <si>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</si>
  <si>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</si>
  <si>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</si>
  <si>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</si>
  <si>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</si>
  <si>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</si>
  <si>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</si>
  <si>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</si>
  <si>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</si>
  <si>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</si>
  <si>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</si>
  <si>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</si>
  <si>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</si>
  <si>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</si>
  <si>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</si>
  <si>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</si>
  <si>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</si>
  <si>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</si>
  <si>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</si>
  <si>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</si>
  <si>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</si>
  <si>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</si>
  <si>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</si>
  <si>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</si>
  <si>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</si>
  <si>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</si>
  <si>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</si>
  <si>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</si>
  <si>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</si>
  <si>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</si>
  <si>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</si>
  <si>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</si>
  <si>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</si>
  <si>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</si>
  <si>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</si>
  <si>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</si>
  <si>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</si>
  <si>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</si>
  <si>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</si>
  <si>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</si>
  <si>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</si>
  <si>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</si>
  <si>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</si>
  <si>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</si>
  <si>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</si>
  <si>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</si>
  <si>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</si>
  <si>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</si>
  <si>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</si>
  <si>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</si>
  <si>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</si>
  <si>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</si>
  <si>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</si>
  <si>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</si>
  <si>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</si>
  <si>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</si>
  <si>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</si>
  <si>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</si>
  <si>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</si>
  <si>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</si>
  <si>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</si>
  <si>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</si>
  <si>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</si>
  <si>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</si>
  <si>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</si>
  <si>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</si>
  <si>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</si>
  <si>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</si>
  <si>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</si>
  <si>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</si>
  <si>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</si>
  <si>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</si>
  <si>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</si>
  <si>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</si>
  <si>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</si>
  <si>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</si>
  <si>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</si>
  <si>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</si>
  <si>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</si>
  <si>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</si>
  <si>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</si>
  <si>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</si>
  <si>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</si>
  <si>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</si>
  <si>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</si>
  <si>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</si>
  <si>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</si>
  <si>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</si>
  <si>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</si>
  <si>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</si>
  <si>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</si>
  <si>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</si>
  <si>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</si>
  <si>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</si>
  <si>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</si>
  <si>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</si>
  <si>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</si>
  <si>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</si>
  <si>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</si>
  <si>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</si>
  <si>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</si>
  <si>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</si>
  <si>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</si>
  <si>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</si>
  <si>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</si>
  <si>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</si>
  <si>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</si>
  <si>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</si>
  <si>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</si>
  <si>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</si>
  <si>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</si>
  <si>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</si>
  <si>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</si>
  <si>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</si>
  <si>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</si>
  <si>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</si>
  <si>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</si>
  <si>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</si>
  <si>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</si>
  <si>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</si>
  <si>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</si>
  <si>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</si>
  <si>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</si>
  <si>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</si>
  <si>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</si>
  <si>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</si>
  <si>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</si>
  <si>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</si>
  <si>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</si>
  <si>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</si>
  <si>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</si>
  <si>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</si>
  <si>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</si>
  <si>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</si>
  <si>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</si>
  <si>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</si>
  <si>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</si>
  <si>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</si>
  <si>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</si>
  <si>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</si>
  <si>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</si>
  <si>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</si>
  <si>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</si>
  <si>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</si>
  <si>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</si>
  <si>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</si>
  <si>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</si>
  <si>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</si>
  <si>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</si>
  <si>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</si>
  <si>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</si>
  <si>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</si>
  <si>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</si>
  <si>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</si>
  <si>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</si>
  <si>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</si>
  <si>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</si>
  <si>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</si>
  <si>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</si>
  <si>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</si>
  <si>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</si>
  <si>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</si>
  <si>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</si>
  <si>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</si>
  <si>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</si>
  <si>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</si>
  <si>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</si>
  <si>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</si>
  <si>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</si>
  <si>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</si>
  <si>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</si>
  <si>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</si>
  <si>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</si>
  <si>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</si>
  <si>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</si>
  <si>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</si>
  <si>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</si>
  <si>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</si>
  <si>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</si>
  <si>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</si>
  <si>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</si>
  <si>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</si>
  <si>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</si>
  <si>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</si>
  <si>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</si>
  <si>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</si>
  <si>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</si>
  <si>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</si>
  <si>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</si>
  <si>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</si>
  <si>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</si>
  <si>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</si>
  <si>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</si>
  <si>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</si>
  <si>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</si>
  <si>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</si>
  <si>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</si>
  <si>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</si>
  <si>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</si>
  <si>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</si>
  <si>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</si>
  <si>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</si>
  <si>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</si>
  <si>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</si>
  <si>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</si>
  <si>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</si>
  <si>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</si>
  <si>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</si>
  <si>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</si>
  <si>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</si>
  <si>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</si>
  <si>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</si>
  <si>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</si>
  <si>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</si>
  <si>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</si>
  <si>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</si>
  <si>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</si>
  <si>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</si>
  <si>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</si>
  <si>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</si>
  <si>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</si>
  <si>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</si>
  <si>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</si>
  <si>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</si>
  <si>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</si>
  <si>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</si>
  <si>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</si>
  <si>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</si>
  <si>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</si>
  <si>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</si>
  <si>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</si>
  <si>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</si>
  <si>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</si>
  <si>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</si>
  <si>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</si>
  <si>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</si>
  <si>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</si>
  <si>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</si>
  <si>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</si>
  <si>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</si>
  <si>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</si>
  <si>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</si>
  <si>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</si>
  <si>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</si>
  <si>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</si>
  <si>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</si>
  <si>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</si>
  <si>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</si>
  <si>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</si>
  <si>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</si>
  <si>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</si>
  <si>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</si>
  <si>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</si>
  <si>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</si>
  <si>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</si>
  <si>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</si>
  <si>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</si>
  <si>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</si>
  <si>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</si>
  <si>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</si>
  <si>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</si>
  <si>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</si>
  <si>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</si>
  <si>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</si>
  <si>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</si>
  <si>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</si>
  <si>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</si>
  <si>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</si>
  <si>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</si>
  <si>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</si>
  <si>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</si>
  <si>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</si>
  <si>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</si>
  <si>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</si>
  <si>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</si>
  <si>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</si>
  <si>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</si>
  <si>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</si>
  <si>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</si>
  <si>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</si>
  <si>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</si>
  <si>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</si>
  <si>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</si>
  <si>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</si>
  <si>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</si>
  <si>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</si>
  <si>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</si>
  <si>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</si>
  <si>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</si>
  <si>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</si>
  <si>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</si>
  <si>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</si>
  <si>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</si>
  <si>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</si>
  <si>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</si>
  <si>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</si>
  <si>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</si>
  <si>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</si>
  <si>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</si>
  <si>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</si>
  <si>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</si>
  <si>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</si>
  <si>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</si>
  <si>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</si>
  <si>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</si>
  <si>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</si>
  <si>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</si>
  <si>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</si>
  <si>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</si>
  <si>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</si>
  <si>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</si>
  <si>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</si>
  <si>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</si>
  <si>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</si>
  <si>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</si>
  <si>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</si>
  <si>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</si>
  <si>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</si>
  <si>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</si>
  <si>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</si>
  <si>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</si>
  <si>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</si>
  <si>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</si>
  <si>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</si>
  <si>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</si>
  <si>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</si>
  <si>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</si>
  <si>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</si>
  <si>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</si>
  <si>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</si>
  <si>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</si>
  <si>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</si>
  <si>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</si>
  <si>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</si>
  <si>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</si>
  <si>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</si>
  <si>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</si>
  <si>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</si>
  <si>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</si>
  <si>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</si>
  <si>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</si>
  <si>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</si>
  <si>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</si>
  <si>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</si>
  <si>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</si>
  <si>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</si>
  <si>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</si>
  <si>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</si>
  <si>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</si>
  <si>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</si>
  <si>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</si>
  <si>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</si>
  <si>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</si>
  <si>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</si>
  <si>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</si>
  <si>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</si>
  <si>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</si>
  <si>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</si>
  <si>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</si>
  <si>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</si>
  <si>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</si>
  <si>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</si>
  <si>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</si>
  <si>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</si>
  <si>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</si>
  <si>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</si>
  <si>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</si>
  <si>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</si>
  <si>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</si>
  <si>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</si>
  <si>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</si>
  <si>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</si>
  <si>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</si>
  <si>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</si>
  <si>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</si>
  <si>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</si>
  <si>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</si>
  <si>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</si>
  <si>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</si>
  <si>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</si>
  <si>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</si>
  <si>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</si>
  <si>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</si>
  <si>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</si>
  <si>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</si>
  <si>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</si>
  <si>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</si>
  <si>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</si>
  <si>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</si>
  <si>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</si>
  <si>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</si>
  <si>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</si>
  <si>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</si>
  <si>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</si>
  <si>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</si>
  <si>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</si>
  <si>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</si>
  <si>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</si>
  <si>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</si>
  <si>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</si>
  <si>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</si>
  <si>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</si>
  <si>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</si>
  <si>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</si>
  <si>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</si>
  <si>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</si>
  <si>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</si>
  <si>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</si>
  <si>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</si>
  <si>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</si>
  <si>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</si>
  <si>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</si>
  <si>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</si>
  <si>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</si>
  <si>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</si>
  <si>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</si>
  <si>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</si>
  <si>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</si>
  <si>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</si>
  <si>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</si>
  <si>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</si>
  <si>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</si>
  <si>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</si>
  <si>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</si>
  <si>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</si>
  <si>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</si>
  <si>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</si>
  <si>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</si>
  <si>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</si>
  <si>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</si>
  <si>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</si>
  <si>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</si>
  <si>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</si>
  <si>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</si>
  <si>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</si>
  <si>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</si>
  <si>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</si>
  <si>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</si>
  <si>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</si>
  <si>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</si>
  <si>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</si>
  <si>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</si>
  <si>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</si>
  <si>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</si>
  <si>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</si>
  <si>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</si>
  <si>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</si>
  <si>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</si>
  <si>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</si>
  <si>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</si>
  <si>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</si>
  <si>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</si>
  <si>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</si>
  <si>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</si>
  <si>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</si>
  <si>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</si>
  <si>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</si>
  <si>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</si>
  <si>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</si>
  <si>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</si>
  <si>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</si>
  <si>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</si>
  <si>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</si>
  <si>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</si>
  <si>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</si>
  <si>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</si>
  <si>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</si>
  <si>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</si>
  <si>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</si>
  <si>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</si>
  <si>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</si>
  <si>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</si>
  <si>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</si>
  <si>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</si>
  <si>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</si>
  <si>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</si>
  <si>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</si>
  <si>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</si>
  <si>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</si>
  <si>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</si>
  <si>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</si>
  <si>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</si>
  <si>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</si>
  <si>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</si>
  <si>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</si>
  <si>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</si>
  <si>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</si>
  <si>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</si>
  <si>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</si>
  <si>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</si>
  <si>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</si>
  <si>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</si>
  <si>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</si>
  <si>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</si>
  <si>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</si>
  <si>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</si>
  <si>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</si>
  <si>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</si>
  <si>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</si>
  <si>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</si>
  <si>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</si>
  <si>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</si>
  <si>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</si>
  <si>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</si>
  <si>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</si>
  <si>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</si>
  <si>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</si>
  <si>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</si>
  <si>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</si>
  <si>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</si>
  <si>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</si>
  <si>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</si>
  <si>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</si>
  <si>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</si>
  <si>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</si>
  <si>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</si>
  <si>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</si>
  <si>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</si>
  <si>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</si>
  <si>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</si>
  <si>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</si>
  <si>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</si>
  <si>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</si>
  <si>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</si>
  <si>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</si>
  <si>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</si>
  <si>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</si>
  <si>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</si>
  <si>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</si>
  <si>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</si>
  <si>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</si>
  <si>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</si>
  <si>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</si>
  <si>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</si>
  <si>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</si>
  <si>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</si>
  <si>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</si>
  <si>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</si>
  <si>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</si>
  <si>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</si>
  <si>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</si>
  <si>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</si>
  <si>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</si>
  <si>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</si>
  <si>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</si>
  <si>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</si>
  <si>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</si>
  <si>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</si>
  <si>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</si>
  <si>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</si>
  <si>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</si>
  <si>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</si>
  <si>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</si>
  <si>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</si>
  <si>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</si>
  <si>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</si>
  <si>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</si>
  <si>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</si>
  <si>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</si>
  <si>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</si>
  <si>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</si>
  <si>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</si>
  <si>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</si>
  <si>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</si>
  <si>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</si>
  <si>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</si>
  <si>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</si>
  <si>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</si>
  <si>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</si>
  <si>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</si>
  <si>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</si>
  <si>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</si>
  <si>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</si>
  <si>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</si>
  <si>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</si>
  <si>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</si>
  <si>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</si>
  <si>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</si>
  <si>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</si>
  <si>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</si>
  <si>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</si>
  <si>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</si>
  <si>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</si>
  <si>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</si>
  <si>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</si>
  <si>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</si>
  <si>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</si>
  <si>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</si>
  <si>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</si>
  <si>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</si>
  <si>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</si>
  <si>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</si>
  <si>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</si>
  <si>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</si>
  <si>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</si>
  <si>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</si>
  <si>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</si>
  <si>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</si>
  <si>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</si>
  <si>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</si>
  <si>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</si>
  <si>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</si>
  <si>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</si>
  <si>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</si>
  <si>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</si>
  <si>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</si>
  <si>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</si>
  <si>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</si>
  <si>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</si>
  <si>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</si>
  <si>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</si>
  <si>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</si>
  <si>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</si>
  <si>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</si>
  <si>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</si>
  <si>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</si>
  <si>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</si>
  <si>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</si>
  <si>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</si>
  <si>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</si>
  <si>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</si>
  <si>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</si>
  <si>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</si>
  <si>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</si>
  <si>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</si>
  <si>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</si>
  <si>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</si>
  <si>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</si>
  <si>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</si>
  <si>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</si>
  <si>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</si>
  <si>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</si>
  <si>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</si>
  <si>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</si>
  <si>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</si>
  <si>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</si>
  <si>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</si>
  <si>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</si>
  <si>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</si>
  <si>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</si>
  <si>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</si>
  <si>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</si>
  <si>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</si>
  <si>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</si>
  <si>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</si>
  <si>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</si>
  <si>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</si>
  <si>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</si>
  <si>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</si>
  <si>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</si>
  <si>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</si>
  <si>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</si>
  <si>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</si>
  <si>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</si>
  <si>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</si>
  <si>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</si>
  <si>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</si>
  <si>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</si>
  <si>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</si>
  <si>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</si>
  <si>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</si>
  <si>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</si>
  <si>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</si>
  <si>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</si>
  <si>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</si>
  <si>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</si>
  <si>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</si>
  <si>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</si>
  <si>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</si>
  <si>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</si>
  <si>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</si>
  <si>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</si>
  <si>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</si>
  <si>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</si>
  <si>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</si>
  <si>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</si>
  <si>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</si>
  <si>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</si>
  <si>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</si>
  <si>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</si>
  <si>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</si>
  <si>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</si>
  <si>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</si>
  <si>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</si>
  <si>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</si>
  <si>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</si>
  <si>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</si>
  <si>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</si>
  <si>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</si>
  <si>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</si>
  <si>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</si>
  <si>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</si>
  <si>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</si>
  <si>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</si>
  <si>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</si>
  <si>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</si>
  <si>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</si>
  <si>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</si>
  <si>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</si>
  <si>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</si>
  <si>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</si>
  <si>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</si>
  <si>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</si>
  <si>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</si>
  <si>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</si>
  <si>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</si>
  <si>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</si>
  <si>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</si>
  <si>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</si>
  <si>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</si>
  <si>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</si>
  <si>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</si>
  <si>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</si>
  <si>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</si>
  <si>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</si>
  <si>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</si>
  <si>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</si>
  <si>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</si>
  <si>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</si>
  <si>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</si>
  <si>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</si>
  <si>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</si>
  <si>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</si>
  <si>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</si>
  <si>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</si>
  <si>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</si>
  <si>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</si>
  <si>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</si>
  <si>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</si>
  <si>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</si>
  <si>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</si>
  <si>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</si>
  <si>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</si>
  <si>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</si>
  <si>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</si>
  <si>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</si>
  <si>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</si>
  <si>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</si>
  <si>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</si>
  <si>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</si>
  <si>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</si>
  <si>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</si>
  <si>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</si>
  <si>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</si>
  <si>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</si>
  <si>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</si>
  <si>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</si>
  <si>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</si>
  <si>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</si>
  <si>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</si>
  <si>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</si>
  <si>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</si>
  <si>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</si>
  <si>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</si>
  <si>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</si>
  <si>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</si>
  <si>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</si>
  <si>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</si>
  <si>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</si>
  <si>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</si>
  <si>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</si>
  <si>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</si>
  <si>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</si>
  <si>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</si>
  <si>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</si>
  <si>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</si>
  <si>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</si>
  <si>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</si>
  <si>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</si>
  <si>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</si>
  <si>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</si>
  <si>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</si>
  <si>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</si>
  <si>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</si>
  <si>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</si>
  <si>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</si>
  <si>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</si>
  <si>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</si>
  <si>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</si>
  <si>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</si>
  <si>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</si>
  <si>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</si>
  <si>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</si>
  <si>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</si>
  <si>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</si>
  <si>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</si>
  <si>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</si>
  <si>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</si>
  <si>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</si>
  <si>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</si>
  <si>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</si>
  <si>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</si>
  <si>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</si>
  <si>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</si>
  <si>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</si>
  <si>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</si>
  <si>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</si>
  <si>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</si>
  <si>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</si>
  <si>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</si>
  <si>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</si>
  <si>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</si>
  <si>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</si>
  <si>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</si>
  <si>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</si>
  <si>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</si>
  <si>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</si>
  <si>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</si>
  <si>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</si>
  <si>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</si>
  <si>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</si>
  <si>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</si>
  <si>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</si>
  <si>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</si>
  <si>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</si>
  <si>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</si>
  <si>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</si>
  <si>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</si>
  <si>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</si>
  <si>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</si>
  <si>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</si>
  <si>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</si>
  <si>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</si>
  <si>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</si>
  <si>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</si>
  <si>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</si>
  <si>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</si>
  <si>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</si>
  <si>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</si>
  <si>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</si>
  <si>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</si>
  <si>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</si>
  <si>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</si>
  <si>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</si>
  <si>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</si>
  <si>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</si>
  <si>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</si>
  <si>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</si>
  <si>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</si>
  <si>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</si>
  <si>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</si>
  <si>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</si>
  <si>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</si>
  <si>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</si>
  <si>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</si>
  <si>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</si>
  <si>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</si>
  <si>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</si>
  <si>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</si>
  <si>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</si>
  <si>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</si>
  <si>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</si>
  <si>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</si>
  <si>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</si>
  <si>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</si>
  <si>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</si>
  <si>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</si>
  <si>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</si>
  <si>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</si>
  <si>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</si>
  <si>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</si>
  <si>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</si>
  <si>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</si>
  <si>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</si>
  <si>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</si>
  <si>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</si>
  <si>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</si>
  <si>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</si>
  <si>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</si>
  <si>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</si>
  <si>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</si>
  <si>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</si>
  <si>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</si>
  <si>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</si>
  <si>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</si>
  <si>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</si>
  <si>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</si>
  <si>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</si>
  <si>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</si>
  <si>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</si>
  <si>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</si>
  <si>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</si>
  <si>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</si>
  <si>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</si>
  <si>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</si>
  <si>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</si>
  <si>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</si>
  <si>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</si>
  <si>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</si>
  <si>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</si>
  <si>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</si>
  <si>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</si>
  <si>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</si>
  <si>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</si>
  <si>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</si>
  <si>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</si>
  <si>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</si>
  <si>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</si>
  <si>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</si>
  <si>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</si>
  <si>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</si>
  <si>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</si>
  <si>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</si>
  <si>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</si>
  <si>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</si>
  <si>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</si>
  <si>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</si>
  <si>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</si>
  <si>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</si>
  <si>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</si>
  <si>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</si>
  <si>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</si>
  <si>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</si>
  <si>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</si>
  <si>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</si>
  <si>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</si>
  <si>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</si>
  <si>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</si>
  <si>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</si>
  <si>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</si>
  <si>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</si>
  <si>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</si>
  <si>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</si>
  <si>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</si>
  <si>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</si>
  <si>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</si>
  <si>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</si>
  <si>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</si>
  <si>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</si>
  <si>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</si>
  <si>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</si>
  <si>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</si>
  <si>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</si>
  <si>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</si>
  <si>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</si>
  <si>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</si>
  <si>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</si>
  <si>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</si>
  <si>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</si>
  <si>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</si>
  <si>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</si>
  <si>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</si>
  <si>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</si>
  <si>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</si>
  <si>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</si>
  <si>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</si>
  <si>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</si>
  <si>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</si>
  <si>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</si>
  <si>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</si>
  <si>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</si>
  <si>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</si>
  <si>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</si>
  <si>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</si>
  <si>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</si>
  <si>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</si>
  <si>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</si>
  <si>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</si>
  <si>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</si>
  <si>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</si>
  <si>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</si>
  <si>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</si>
  <si>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</si>
  <si>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</si>
  <si>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</si>
  <si>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</si>
  <si>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</si>
  <si>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</si>
  <si>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</si>
  <si>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</si>
  <si>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</si>
  <si>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</si>
  <si>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</si>
  <si>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</si>
  <si>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</si>
  <si>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</si>
  <si>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</si>
  <si>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</si>
  <si>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</si>
  <si>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</si>
  <si>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</si>
  <si>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</si>
  <si>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</si>
  <si>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</si>
  <si>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</si>
  <si>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</si>
  <si>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</si>
  <si>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</si>
  <si>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</si>
  <si>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</si>
  <si>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</si>
  <si>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</si>
  <si>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</si>
  <si>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</si>
  <si>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</si>
  <si>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</si>
  <si>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</si>
  <si>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</si>
  <si>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</si>
  <si>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</si>
  <si>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</si>
  <si>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</si>
  <si>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</si>
  <si>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</si>
  <si>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</si>
  <si>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</si>
  <si>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</si>
  <si>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</si>
  <si>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</si>
  <si>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</si>
  <si>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</si>
  <si>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</si>
  <si>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</si>
  <si>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</si>
  <si>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</si>
  <si>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</si>
  <si>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</si>
  <si>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</si>
  <si>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</si>
  <si>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</si>
  <si>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</si>
  <si>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</si>
  <si>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</si>
  <si>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</si>
  <si>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</si>
  <si>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</si>
  <si>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</si>
  <si>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</si>
  <si>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</si>
  <si>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</si>
  <si>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</si>
  <si>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</si>
  <si>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</si>
  <si>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</si>
  <si>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</si>
  <si>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</si>
  <si>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</si>
  <si>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</si>
  <si>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</si>
  <si>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</si>
  <si>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</si>
  <si>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</si>
  <si>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</si>
  <si>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</si>
  <si>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</si>
  <si>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</si>
  <si>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</si>
  <si>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</si>
  <si>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</si>
  <si>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</si>
  <si>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</si>
  <si>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</si>
  <si>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</si>
  <si>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</si>
  <si>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</si>
  <si>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</si>
  <si>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</si>
  <si>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</si>
  <si>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</si>
  <si>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</si>
  <si>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</si>
  <si>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</si>
  <si>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</si>
  <si>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</si>
  <si>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</si>
  <si>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</si>
  <si>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</si>
  <si>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</si>
  <si>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</si>
  <si>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</si>
  <si>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</si>
  <si>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</si>
  <si>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</si>
  <si>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</si>
  <si>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</si>
  <si>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</si>
  <si>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</si>
  <si>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</si>
  <si>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</si>
  <si>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</si>
  <si>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</si>
  <si>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</si>
  <si>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</si>
  <si>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</si>
  <si>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</si>
  <si>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</si>
  <si>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</si>
  <si>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</si>
  <si>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</si>
  <si>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</si>
  <si>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</si>
  <si>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</si>
  <si>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</si>
  <si>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</si>
  <si>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</si>
  <si>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</si>
  <si>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</si>
  <si>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</si>
  <si>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</si>
  <si>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</si>
  <si>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</si>
  <si>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</si>
  <si>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</si>
  <si>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</si>
  <si>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</si>
  <si>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</si>
  <si>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</si>
  <si>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</si>
  <si>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</si>
  <si>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</si>
  <si>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</si>
  <si>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</si>
  <si>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</si>
  <si>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</si>
  <si>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</si>
  <si>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</si>
  <si>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</si>
  <si>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</si>
  <si>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</si>
  <si>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</si>
  <si>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</si>
  <si>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</si>
  <si>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</si>
  <si>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</si>
  <si>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</si>
  <si>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</si>
  <si>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</si>
  <si>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</si>
  <si>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</si>
  <si>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</si>
  <si>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</si>
  <si>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</si>
  <si>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</si>
  <si>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</si>
  <si>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</si>
  <si>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</si>
  <si>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</si>
  <si>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</si>
  <si>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</si>
  <si>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</si>
  <si>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</si>
  <si>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</si>
  <si>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</si>
  <si>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</si>
  <si>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</si>
  <si>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</si>
  <si>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</si>
  <si>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</si>
  <si>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</si>
  <si>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</si>
  <si>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</si>
  <si>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</si>
  <si>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</si>
  <si>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</si>
  <si>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</si>
  <si>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</si>
  <si>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</si>
  <si>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</si>
  <si>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</si>
  <si>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</si>
  <si>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</si>
  <si>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</si>
  <si>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</si>
  <si>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</si>
  <si>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</si>
  <si>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</si>
  <si>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</si>
  <si>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</si>
  <si>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</si>
  <si>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</si>
  <si>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</si>
  <si>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</si>
  <si>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</si>
  <si>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</si>
  <si>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</si>
  <si>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</si>
  <si>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</si>
  <si>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</si>
  <si>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</si>
  <si>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</si>
  <si>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</si>
  <si>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</si>
  <si>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</si>
  <si>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</si>
  <si>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</si>
  <si>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</si>
  <si>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</si>
  <si>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</si>
  <si>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</si>
  <si>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</si>
  <si>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</si>
  <si>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</si>
  <si>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</si>
  <si>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</si>
  <si>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</si>
  <si>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</si>
  <si>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</si>
  <si>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</si>
  <si>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</si>
  <si>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</si>
  <si>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</si>
  <si>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</si>
  <si>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</si>
  <si>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</si>
  <si>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</si>
  <si>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</si>
  <si>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</si>
  <si>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</si>
  <si>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</si>
  <si>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</si>
  <si>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</si>
  <si>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</si>
  <si>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</si>
  <si>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</si>
  <si>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</si>
  <si>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</si>
  <si>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</si>
  <si>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</si>
  <si>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</si>
  <si>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</si>
  <si>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</si>
  <si>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</si>
  <si>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</si>
  <si>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</si>
  <si>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</si>
  <si>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</si>
  <si>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</si>
  <si>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</si>
  <si>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</si>
  <si>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</si>
  <si>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</si>
  <si>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</si>
  <si>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</si>
  <si>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</si>
  <si>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</si>
  <si>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</si>
  <si>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</si>
  <si>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</si>
  <si>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</si>
  <si>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</si>
  <si>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</si>
  <si>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</si>
  <si>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</si>
  <si>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</si>
  <si>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</si>
  <si>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</si>
  <si>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</si>
  <si>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</si>
  <si>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</si>
  <si>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</si>
  <si>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</si>
  <si>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</si>
  <si>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</si>
  <si>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</si>
  <si>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</si>
  <si>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</si>
  <si>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</si>
  <si>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</si>
  <si>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</si>
  <si>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</si>
  <si>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</si>
  <si>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</si>
  <si>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</si>
  <si>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</si>
  <si>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</si>
  <si>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</si>
  <si>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</si>
  <si>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</si>
  <si>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</si>
  <si>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</si>
  <si>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</si>
  <si>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</si>
  <si>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</si>
  <si>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</si>
  <si>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</si>
  <si>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</si>
  <si>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</si>
  <si>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</si>
  <si>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</si>
  <si>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</si>
  <si>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</si>
  <si>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</si>
  <si>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</si>
  <si>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</si>
  <si>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</si>
  <si>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</si>
  <si>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</si>
  <si>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</si>
  <si>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</si>
  <si>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</si>
  <si>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</si>
  <si>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</si>
  <si>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</si>
  <si>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</si>
  <si>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</si>
  <si>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</si>
  <si>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</si>
  <si>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</si>
  <si>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</si>
  <si>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</si>
  <si>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</si>
  <si>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</si>
  <si>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</si>
  <si>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</si>
  <si>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</si>
  <si>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</si>
  <si>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</si>
  <si>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</si>
  <si>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</si>
  <si>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</si>
  <si>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</si>
  <si>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</si>
  <si>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</si>
  <si>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</si>
  <si>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</si>
  <si>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</si>
  <si>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</si>
  <si>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</si>
  <si>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</si>
  <si>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</si>
  <si>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</si>
  <si>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</si>
  <si>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</si>
  <si>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</si>
  <si>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</si>
  <si>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</si>
  <si>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</si>
  <si>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</si>
  <si>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</si>
  <si>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</si>
  <si>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</si>
  <si>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</si>
  <si>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</si>
  <si>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</si>
  <si>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</si>
  <si>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</si>
  <si>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</si>
  <si>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</si>
  <si>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</si>
  <si>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</si>
  <si>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</si>
  <si>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</si>
  <si>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</si>
  <si>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</si>
  <si>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</si>
  <si>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</si>
  <si>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</si>
  <si>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</si>
  <si>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</si>
  <si>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</si>
  <si>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</si>
  <si>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</si>
  <si>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</si>
  <si>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</si>
  <si>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</si>
  <si>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</si>
  <si>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</si>
  <si>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</si>
  <si>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</si>
  <si>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</si>
  <si>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</si>
  <si>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</si>
  <si>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</si>
  <si>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</si>
  <si>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</si>
  <si>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</si>
  <si>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</si>
  <si>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</si>
  <si>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</si>
  <si>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</si>
  <si>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</si>
  <si>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</si>
  <si>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</si>
  <si>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</si>
  <si>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</si>
  <si>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</si>
  <si>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</si>
  <si>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</si>
  <si>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</si>
  <si>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</si>
  <si>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</si>
  <si>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</si>
  <si>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</si>
  <si>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</si>
  <si>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</si>
  <si>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</si>
  <si>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</si>
  <si>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</si>
  <si>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</si>
  <si>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</si>
  <si>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</si>
  <si>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</si>
  <si>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</si>
  <si>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</si>
  <si>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</si>
  <si>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</si>
  <si>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</si>
  <si>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</si>
  <si>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</si>
  <si>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</si>
  <si>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</si>
  <si>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</si>
  <si>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</si>
  <si>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</si>
  <si>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</si>
  <si>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</si>
  <si>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</si>
  <si>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</si>
  <si>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</si>
  <si>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</si>
  <si>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</si>
  <si>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</si>
  <si>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</si>
  <si>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</si>
  <si>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</si>
  <si>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</si>
  <si>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</si>
  <si>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</si>
  <si>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</si>
  <si>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</si>
  <si>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</si>
  <si>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</si>
  <si>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</si>
  <si>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</si>
  <si>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</si>
  <si>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</si>
  <si>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</si>
  <si>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</si>
  <si>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</si>
  <si>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</si>
  <si>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</si>
  <si>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</si>
  <si>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</si>
  <si>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</si>
  <si>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</si>
  <si>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</si>
  <si>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</si>
  <si>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</si>
  <si>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</si>
  <si>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</si>
  <si>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</si>
  <si>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</si>
  <si>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</si>
  <si>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</si>
  <si>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</si>
  <si>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</si>
  <si>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</si>
  <si>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</si>
  <si>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</si>
  <si>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</si>
  <si>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</si>
  <si>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</si>
  <si>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</si>
  <si>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</si>
  <si>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</si>
  <si>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</si>
  <si>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</si>
  <si>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</si>
  <si>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</si>
  <si>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</si>
  <si>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</si>
  <si>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</si>
  <si>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</si>
  <si>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</si>
  <si>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</si>
  <si>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</si>
  <si>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</si>
  <si>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</si>
  <si>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</si>
  <si>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</si>
  <si>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</si>
  <si>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</si>
  <si>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</si>
  <si>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</si>
  <si>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</si>
  <si>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</si>
  <si>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</si>
  <si>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</si>
  <si>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</si>
  <si>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</si>
  <si>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</si>
  <si>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</si>
  <si>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</si>
  <si>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</si>
  <si>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</si>
  <si>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</si>
  <si>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</si>
  <si>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</si>
  <si>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</si>
  <si>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</si>
  <si>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</si>
  <si>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</si>
  <si>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</si>
  <si>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</si>
  <si>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</si>
  <si>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</si>
  <si>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</si>
  <si>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</si>
  <si>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</si>
  <si>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</si>
  <si>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</si>
  <si>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</si>
  <si>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</si>
  <si>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</si>
  <si>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</si>
  <si>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</si>
  <si>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</si>
  <si>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</si>
  <si>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</si>
  <si>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</si>
  <si>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</si>
  <si>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</si>
  <si>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</si>
  <si>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</si>
  <si>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</si>
  <si>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</si>
  <si>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</si>
  <si>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</si>
  <si>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</si>
  <si>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</si>
  <si>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</si>
  <si>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</si>
  <si>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</si>
  <si>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</si>
  <si>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</si>
  <si>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</si>
  <si>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</si>
  <si>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</si>
  <si>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</si>
  <si>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</si>
  <si>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</si>
  <si>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</si>
  <si>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</si>
  <si>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</si>
  <si>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</si>
  <si>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</si>
  <si>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</si>
  <si>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</si>
  <si>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</si>
  <si>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</si>
  <si>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</si>
  <si>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</si>
  <si>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</si>
  <si>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</si>
  <si>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</si>
  <si>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</si>
  <si>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</si>
  <si>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</si>
  <si>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</si>
  <si>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</si>
  <si>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</si>
  <si>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</si>
  <si>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</si>
  <si>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</si>
  <si>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</si>
  <si>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</si>
  <si>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</si>
  <si>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</si>
  <si>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</si>
  <si>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</si>
  <si>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</si>
  <si>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</si>
  <si>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</si>
  <si>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</si>
  <si>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</si>
  <si>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</si>
  <si>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</si>
  <si>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</si>
  <si>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</si>
  <si>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</si>
  <si>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</si>
  <si>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</si>
  <si>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</si>
  <si>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</si>
  <si>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</si>
  <si>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</si>
  <si>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</si>
  <si>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</si>
  <si>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</si>
  <si>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</si>
  <si>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</si>
  <si>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</si>
  <si>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</si>
  <si>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</si>
  <si>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</si>
  <si>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</si>
  <si>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</si>
  <si>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</si>
  <si>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</si>
  <si>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</si>
  <si>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</si>
  <si>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</si>
  <si>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</si>
  <si>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</si>
  <si>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</si>
  <si>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</si>
  <si>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</si>
  <si>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</si>
  <si>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</si>
  <si>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</si>
  <si>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</si>
  <si>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</si>
  <si>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</si>
  <si>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</si>
  <si>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</si>
  <si>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</si>
  <si>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</si>
  <si>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</si>
  <si>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</si>
  <si>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</si>
  <si>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</si>
  <si>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</si>
  <si>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</si>
  <si>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</si>
  <si>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</si>
  <si>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</si>
  <si>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</si>
  <si>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</si>
  <si>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</si>
  <si>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</si>
  <si>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</si>
  <si>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</si>
  <si>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</si>
  <si>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</si>
  <si>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</si>
  <si>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</si>
  <si>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</si>
  <si>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</si>
  <si>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</si>
  <si>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</si>
  <si>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</si>
  <si>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</si>
  <si>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</si>
  <si>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</si>
  <si>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</si>
  <si>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</si>
  <si>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</si>
  <si>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</si>
  <si>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</si>
  <si>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</si>
  <si>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</si>
  <si>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</si>
  <si>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</si>
  <si>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</si>
  <si>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</si>
  <si>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</si>
  <si>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</si>
  <si>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</si>
  <si>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</si>
  <si>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</si>
  <si>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</si>
  <si>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</si>
  <si>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</si>
  <si>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</si>
  <si>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</si>
  <si>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</si>
  <si>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</si>
  <si>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</si>
  <si>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</si>
  <si>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</si>
  <si>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</si>
  <si>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</si>
  <si>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</si>
  <si>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</si>
  <si>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</si>
  <si>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</si>
  <si>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</si>
  <si>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</si>
  <si>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</si>
  <si>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</si>
  <si>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</si>
  <si>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</si>
  <si>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</si>
  <si>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</si>
  <si>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</si>
  <si>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</si>
  <si>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</si>
  <si>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</si>
  <si>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</si>
  <si>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</si>
  <si>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</si>
  <si>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</si>
  <si>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</si>
  <si>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</si>
  <si>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</si>
  <si>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</si>
  <si>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</si>
  <si>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</si>
  <si>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</si>
  <si>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</si>
  <si>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</si>
  <si>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</si>
  <si>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</si>
  <si>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</si>
  <si>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</si>
  <si>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</si>
  <si>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</si>
  <si>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</si>
  <si>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</si>
  <si>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</si>
  <si>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</si>
  <si>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</si>
  <si>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</si>
  <si>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</si>
  <si>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</si>
  <si>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</si>
  <si>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</si>
  <si>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</si>
  <si>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</si>
  <si>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</si>
  <si>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</si>
  <si>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</si>
  <si>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</si>
  <si>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</si>
  <si>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</si>
  <si>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</si>
  <si>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</si>
  <si>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</si>
  <si>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</si>
  <si>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</si>
  <si>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</si>
  <si>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</si>
  <si>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</si>
  <si>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</si>
  <si>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</si>
  <si>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</si>
  <si>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</si>
  <si>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</si>
  <si>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</si>
  <si>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</si>
  <si>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</si>
  <si>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</si>
  <si>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</si>
  <si>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</si>
  <si>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</si>
  <si>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</si>
  <si>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</si>
  <si>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</si>
  <si>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</si>
  <si>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</si>
  <si>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</si>
  <si>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</si>
  <si>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</si>
  <si>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</si>
  <si>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</si>
  <si>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</si>
  <si>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</si>
  <si>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</si>
  <si>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</si>
  <si>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</si>
  <si>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</si>
  <si>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</si>
  <si>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</si>
  <si>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</si>
  <si>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</si>
  <si>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</si>
  <si>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</si>
  <si>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</si>
  <si>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</si>
  <si>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</si>
  <si>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</si>
  <si>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</si>
  <si>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</si>
  <si>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</si>
  <si>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</si>
  <si>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</si>
  <si>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</si>
  <si>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</si>
  <si>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</si>
  <si>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</si>
  <si>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</si>
  <si>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</si>
  <si>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</si>
  <si>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</si>
  <si>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</si>
  <si>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</si>
  <si>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</si>
  <si>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</si>
  <si>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</si>
  <si>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</si>
  <si>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</si>
  <si>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</si>
  <si>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</si>
  <si>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</si>
  <si>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</si>
  <si>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</si>
  <si>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</si>
  <si>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</si>
  <si>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</si>
  <si>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</si>
  <si>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</si>
  <si>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</si>
  <si>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</si>
  <si>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</si>
  <si>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</si>
  <si>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</si>
  <si>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</si>
  <si>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</si>
  <si>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</si>
  <si>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</si>
  <si>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</si>
  <si>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</si>
  <si>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</si>
  <si>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</si>
  <si>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</si>
  <si>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</si>
  <si>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</si>
  <si>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</si>
  <si>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</si>
  <si>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</si>
  <si>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</si>
  <si>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</si>
  <si>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</si>
  <si>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</si>
  <si>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</si>
  <si>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</si>
  <si>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</si>
  <si>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</si>
  <si>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</si>
  <si>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</si>
  <si>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</si>
  <si>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</si>
  <si>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</si>
  <si>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</si>
  <si>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</si>
  <si>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</si>
  <si>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</si>
  <si>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</si>
  <si>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</si>
  <si>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</si>
  <si>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</si>
  <si>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</si>
  <si>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</si>
  <si>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</si>
  <si>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</si>
  <si>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</si>
  <si>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</si>
  <si>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</si>
  <si>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</si>
  <si>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</si>
  <si>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</si>
  <si>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</si>
  <si>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</si>
  <si>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</si>
  <si>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</si>
  <si>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</si>
  <si>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</si>
  <si>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</si>
  <si>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</si>
  <si>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</si>
  <si>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</si>
  <si>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</si>
  <si>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</si>
  <si>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</si>
  <si>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</si>
  <si>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</si>
  <si>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</si>
  <si>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</si>
  <si>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</si>
  <si>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</si>
  <si>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</si>
  <si>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</si>
  <si>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</si>
  <si>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</si>
  <si>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</si>
  <si>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</si>
  <si>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</si>
  <si>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</si>
  <si>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</si>
  <si>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</si>
  <si>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</si>
  <si>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</si>
  <si>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</si>
  <si>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</si>
  <si>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</si>
  <si>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</si>
  <si>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</si>
  <si>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</si>
  <si>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</si>
  <si>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</si>
  <si>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</si>
  <si>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</si>
  <si>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</si>
  <si>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</si>
  <si>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</si>
  <si>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</si>
  <si>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</si>
  <si>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</si>
  <si>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</si>
  <si>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</si>
  <si>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</si>
  <si>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</si>
  <si>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</si>
  <si>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</si>
  <si>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</si>
  <si>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</si>
  <si>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</si>
  <si>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</si>
  <si>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</si>
  <si>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</si>
  <si>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</si>
  <si>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</si>
  <si>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</si>
  <si>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</si>
  <si>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</si>
  <si>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</si>
  <si>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</si>
  <si>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</si>
  <si>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</si>
  <si>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</si>
  <si>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</si>
  <si>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</si>
  <si>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</si>
  <si>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</si>
  <si>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</si>
  <si>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</si>
  <si>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</si>
  <si>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</si>
  <si>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</si>
  <si>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</si>
  <si>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</si>
  <si>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</si>
  <si>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</si>
  <si>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</si>
  <si>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</si>
  <si>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</si>
  <si>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</si>
  <si>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</si>
  <si>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</si>
  <si>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</si>
  <si>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</si>
  <si>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</si>
  <si>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</si>
  <si>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</si>
  <si>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</si>
  <si>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</si>
  <si>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</si>
  <si>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</si>
  <si>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</si>
  <si>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</si>
  <si>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</si>
  <si>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</si>
  <si>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</si>
  <si>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</si>
  <si>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</si>
  <si>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</si>
  <si>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</si>
  <si>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</si>
  <si>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</si>
  <si>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</si>
  <si>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</si>
  <si>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</si>
  <si>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</si>
  <si>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</si>
  <si>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</si>
  <si>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</si>
  <si>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</si>
  <si>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</si>
  <si>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</si>
  <si>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</si>
  <si>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</si>
  <si>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</si>
  <si>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</si>
  <si>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</si>
  <si>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</si>
  <si>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</si>
  <si>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</si>
  <si>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</si>
  <si>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</si>
  <si>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</si>
  <si>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</si>
  <si>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</si>
  <si>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</si>
  <si>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</si>
  <si>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</si>
  <si>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</si>
  <si>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</si>
  <si>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</si>
  <si>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</si>
  <si>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</si>
  <si>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</si>
  <si>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</si>
  <si>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</si>
  <si>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</si>
  <si>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</si>
  <si>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</si>
  <si>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</si>
  <si>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</si>
  <si>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</si>
  <si>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</si>
  <si>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</si>
  <si>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</si>
  <si>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</si>
  <si>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</si>
  <si>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</si>
  <si>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</si>
  <si>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</si>
  <si>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</si>
  <si>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</si>
  <si>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</si>
  <si>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</si>
  <si>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</si>
  <si>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</si>
  <si>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</si>
  <si>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</si>
  <si>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</si>
  <si>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</si>
  <si>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</si>
  <si>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</si>
  <si>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</si>
  <si>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</si>
  <si>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</si>
  <si>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</si>
  <si>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</si>
  <si>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</si>
  <si>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</si>
  <si>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</si>
  <si>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</si>
  <si>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</si>
  <si>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</si>
  <si>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</si>
  <si>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</si>
  <si>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</si>
  <si>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</si>
  <si>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</si>
  <si>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</si>
  <si>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</si>
  <si>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</si>
  <si>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</si>
  <si>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</si>
  <si>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</si>
  <si>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</si>
  <si>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</si>
  <si>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</si>
  <si>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</si>
  <si>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</si>
  <si>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</si>
  <si>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</si>
  <si>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</si>
  <si>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</si>
  <si>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</si>
  <si>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</si>
  <si>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</si>
  <si>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</si>
  <si>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</si>
  <si>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</si>
  <si>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</si>
  <si>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</si>
  <si>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</si>
  <si>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</si>
  <si>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</si>
  <si>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</si>
  <si>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</si>
  <si>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</si>
  <si>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</si>
  <si>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</si>
  <si>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</si>
  <si>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</si>
  <si>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</si>
  <si>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</si>
  <si>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</si>
  <si>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</si>
  <si>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</si>
  <si>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</si>
  <si>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</si>
  <si>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</si>
  <si>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</si>
  <si>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</si>
  <si>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</si>
  <si>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</si>
  <si>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</si>
  <si>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</si>
  <si>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</si>
  <si>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</si>
  <si>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</si>
  <si>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</si>
  <si>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</si>
  <si>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</si>
  <si>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</si>
  <si>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</si>
  <si>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</si>
  <si>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</si>
  <si>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</si>
  <si>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</si>
  <si>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</si>
  <si>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</si>
  <si>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</si>
  <si>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</si>
  <si>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</si>
  <si>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</si>
  <si>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</si>
  <si>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</si>
  <si>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</si>
  <si>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</si>
  <si>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</si>
  <si>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</si>
  <si>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</si>
  <si>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</si>
  <si>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</si>
  <si>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</si>
  <si>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</si>
  <si>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</si>
  <si>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</si>
  <si>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</si>
  <si>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</si>
  <si>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</si>
  <si>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</si>
  <si>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</si>
  <si>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</si>
  <si>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</si>
  <si>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</si>
  <si>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</si>
  <si>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</si>
  <si>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</si>
  <si>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</si>
  <si>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</si>
  <si>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</si>
  <si>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</si>
  <si>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</si>
  <si>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</si>
  <si>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</si>
  <si>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</si>
  <si>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</si>
  <si>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</si>
  <si>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</si>
  <si>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</si>
  <si>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</si>
  <si>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</si>
  <si>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</si>
  <si>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</si>
  <si>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</si>
  <si>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</si>
  <si>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</si>
  <si>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</si>
  <si>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</si>
  <si>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</si>
  <si>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</si>
  <si>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</si>
  <si>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</si>
  <si>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</si>
  <si>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</si>
  <si>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</si>
  <si>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</si>
  <si>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</si>
  <si>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</si>
  <si>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</si>
  <si>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</si>
  <si>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</si>
  <si>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</si>
  <si>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</si>
  <si>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</si>
  <si>
    <t>Development of a paediatric oncology short learning programme fro nurse in Malawi</t>
  </si>
  <si>
    <t>Effect of antenatal family planning counselling for male partners on postpartum modern contraception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</si>
</sst>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x14ac:knownFonts="1">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9">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0" borderId="0" xfId="0" applyNumberFormat="1"/>
    <xf numFmtId="0" fontId="0" fillId="10" borderId="1" xfId="0" applyFill="1" applyBorder="1" applyAlignment="1">
      <alignment horizontal="left" vertical="top" wrapText="1"/>
    </xf>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rder>
    </dxf>
    <dxf>
      <border outline="0">
        <bottom style="thin">
          <color indexed="64"/>
        </bottom>
      </border>
    </dxf>
    <dxf>
      <numFmt numFmtId="0" formatCode="General"/>
    </dxf>
    <dxf>
      <numFmt numFmtId="168" formatCode="0.0%"/>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111</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13</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omi Njenga" refreshedDate="46224.887092939818"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3">
      <pivotArea outline="0" collapsedLevelsAreSubtotals="1" fieldPosition="0"/>
    </format>
    <format dxfId="1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2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2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22"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1" tableBorderDxfId="10">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microsoft.com/office/2017/10/relationships/threadedComment" Target="../threadedComments/threadedComment1.x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printerSettings" Target="../printerSettings/printerSettings2.bin"/><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vmlDrawing" Target="../drawings/vmlDrawing1.v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comments" Target="../comments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265625" defaultRowHeight="14.5" x14ac:dyDescent="0.35"/>
  <cols>
    <col min="1" max="1" width="0" style="299" hidden="1" customWidth="1"/>
    <col min="2" max="2" width="10.54296875" style="299" bestFit="1" customWidth="1"/>
    <col min="3" max="3" width="15.26953125" style="299" customWidth="1"/>
    <col min="4" max="4" width="16.54296875" style="299" customWidth="1"/>
    <col min="5" max="5" width="13" style="299" customWidth="1"/>
    <col min="6" max="6" width="11.81640625" style="299" customWidth="1"/>
    <col min="7" max="7" width="8.7265625" style="299"/>
    <col min="8" max="8" width="13.7265625" style="299" customWidth="1"/>
    <col min="9" max="18" width="8.7265625" style="299"/>
    <col min="19" max="19" width="19.453125" style="299" customWidth="1"/>
    <col min="20" max="20" width="13.1796875" style="299" customWidth="1"/>
    <col min="21" max="16384" width="8.7265625" style="299"/>
  </cols>
  <sheetData>
    <row r="2" spans="19:20" x14ac:dyDescent="0.35">
      <c r="S2" s="300" t="s">
        <v>0</v>
      </c>
      <c r="T2" s="301">
        <f>'Pivot Analysis'!F41</f>
        <v>1</v>
      </c>
    </row>
    <row r="3" spans="19:20" x14ac:dyDescent="0.35">
      <c r="S3" s="300" t="s">
        <v>1</v>
      </c>
      <c r="T3" s="426">
        <f>'Pivot Analysis'!F41</f>
        <v>1</v>
      </c>
    </row>
    <row r="4" spans="19:20" x14ac:dyDescent="0.35">
      <c r="S4" s="300" t="s">
        <v>2</v>
      </c>
      <c r="T4" s="302">
        <f>'Pivot Analysis'!F30</f>
        <v>0.86956521739130432</v>
      </c>
    </row>
    <row r="5" spans="19:20" x14ac:dyDescent="0.35">
      <c r="S5" s="300" t="s">
        <v>3</v>
      </c>
      <c r="T5" s="302">
        <f>'Pivot Analysis'!F31</f>
        <v>0.8</v>
      </c>
    </row>
    <row r="6" spans="19:20" x14ac:dyDescent="0.35">
      <c r="S6" s="300" t="s">
        <v>4</v>
      </c>
      <c r="T6" s="302">
        <f>'Pivot Analysis'!F32</f>
        <v>0.91304347826086951</v>
      </c>
    </row>
    <row r="7" spans="19:20" x14ac:dyDescent="0.35">
      <c r="S7" s="300" t="s">
        <v>5</v>
      </c>
      <c r="T7" s="302">
        <f>'Pivot Analysis'!F33</f>
        <v>0.96296296296296291</v>
      </c>
    </row>
    <row r="8" spans="19:20" x14ac:dyDescent="0.35">
      <c r="S8" s="300" t="s">
        <v>6</v>
      </c>
      <c r="T8" s="302">
        <f>'Pivot Analysis'!F34</f>
        <v>0.8</v>
      </c>
    </row>
    <row r="9" spans="19:20" x14ac:dyDescent="0.35">
      <c r="S9" s="300" t="s">
        <v>7</v>
      </c>
      <c r="T9" s="302">
        <f>'Pivot Analysis'!F35</f>
        <v>0.96</v>
      </c>
    </row>
    <row r="10" spans="19:20" x14ac:dyDescent="0.35">
      <c r="S10" s="300" t="s">
        <v>8</v>
      </c>
      <c r="T10" s="302">
        <f>'Pivot Analysis'!F36</f>
        <v>0.88888888888888884</v>
      </c>
    </row>
    <row r="11" spans="19:20" x14ac:dyDescent="0.35">
      <c r="S11" s="300" t="s">
        <v>9</v>
      </c>
      <c r="T11" s="302">
        <f>'Pivot Analysis'!F37</f>
        <v>0.88461538461538458</v>
      </c>
    </row>
    <row r="12" spans="19:20" x14ac:dyDescent="0.35">
      <c r="S12" s="300" t="s">
        <v>10</v>
      </c>
      <c r="T12" s="302">
        <f>'Pivot Analysis'!F38</f>
        <v>0.91666666666666663</v>
      </c>
    </row>
    <row r="13" spans="19:20" x14ac:dyDescent="0.35">
      <c r="S13" s="300" t="s">
        <v>11</v>
      </c>
      <c r="T13" s="302">
        <f>'Pivot Analysis'!F39</f>
        <v>0.96</v>
      </c>
    </row>
    <row r="41" spans="2:19" x14ac:dyDescent="0.35">
      <c r="B41" s="60" t="s">
        <v>12</v>
      </c>
      <c r="C41"/>
      <c r="D41"/>
      <c r="E41"/>
      <c r="F41"/>
      <c r="G41"/>
    </row>
    <row r="42" spans="2:19" x14ac:dyDescent="0.35">
      <c r="B42" s="54" t="s">
        <v>13</v>
      </c>
      <c r="C42" s="54" t="s">
        <v>14</v>
      </c>
      <c r="D42"/>
      <c r="E42"/>
      <c r="F42"/>
      <c r="G42"/>
    </row>
    <row r="43" spans="2:19" x14ac:dyDescent="0.35">
      <c r="B43" s="54" t="s">
        <v>15</v>
      </c>
      <c r="C43" t="s">
        <v>16</v>
      </c>
      <c r="D43" t="s">
        <v>17</v>
      </c>
      <c r="E43" t="s">
        <v>18</v>
      </c>
      <c r="F43" t="s">
        <v>19</v>
      </c>
      <c r="G43" s="307" t="s">
        <v>1</v>
      </c>
      <c r="S43" s="299">
        <f>2</f>
        <v>2</v>
      </c>
    </row>
    <row r="44" spans="2:19" x14ac:dyDescent="0.35">
      <c r="B44">
        <v>1</v>
      </c>
      <c r="C44">
        <v>20</v>
      </c>
      <c r="D44"/>
      <c r="E44">
        <v>3</v>
      </c>
      <c r="F44">
        <v>23</v>
      </c>
      <c r="G44" s="308"/>
    </row>
    <row r="45" spans="2:19" x14ac:dyDescent="0.35">
      <c r="B45">
        <v>2</v>
      </c>
      <c r="C45">
        <v>15</v>
      </c>
      <c r="D45">
        <v>1</v>
      </c>
      <c r="E45">
        <v>4</v>
      </c>
      <c r="F45">
        <v>20</v>
      </c>
      <c r="G45" s="308"/>
    </row>
    <row r="46" spans="2:19" x14ac:dyDescent="0.35">
      <c r="B46">
        <v>3</v>
      </c>
      <c r="C46">
        <v>18</v>
      </c>
      <c r="D46">
        <v>3</v>
      </c>
      <c r="E46">
        <v>2</v>
      </c>
      <c r="F46">
        <v>23</v>
      </c>
      <c r="G46" s="308"/>
    </row>
    <row r="47" spans="2:19" x14ac:dyDescent="0.35">
      <c r="B47">
        <v>4</v>
      </c>
      <c r="C47">
        <v>25</v>
      </c>
      <c r="D47">
        <v>1</v>
      </c>
      <c r="E47">
        <v>1</v>
      </c>
      <c r="F47">
        <v>27</v>
      </c>
      <c r="G47" s="308"/>
    </row>
    <row r="48" spans="2:19" x14ac:dyDescent="0.35">
      <c r="B48">
        <v>5</v>
      </c>
      <c r="C48">
        <v>18</v>
      </c>
      <c r="D48">
        <v>2</v>
      </c>
      <c r="E48">
        <v>5</v>
      </c>
      <c r="F48">
        <v>25</v>
      </c>
      <c r="G48" s="308"/>
    </row>
    <row r="49" spans="2:8" x14ac:dyDescent="0.35">
      <c r="B49">
        <v>6</v>
      </c>
      <c r="C49">
        <v>24</v>
      </c>
      <c r="D49"/>
      <c r="E49">
        <v>1</v>
      </c>
      <c r="F49">
        <v>25</v>
      </c>
      <c r="G49" s="308"/>
    </row>
    <row r="50" spans="2:8" x14ac:dyDescent="0.35">
      <c r="B50">
        <v>7</v>
      </c>
      <c r="C50">
        <v>24</v>
      </c>
      <c r="D50"/>
      <c r="E50">
        <v>3</v>
      </c>
      <c r="F50">
        <v>27</v>
      </c>
      <c r="G50" s="308"/>
      <c r="H50" s="299" t="s">
        <v>20</v>
      </c>
    </row>
    <row r="51" spans="2:8" x14ac:dyDescent="0.35">
      <c r="B51">
        <v>8</v>
      </c>
      <c r="C51">
        <v>17</v>
      </c>
      <c r="D51">
        <v>6</v>
      </c>
      <c r="E51">
        <v>3</v>
      </c>
      <c r="F51">
        <v>26</v>
      </c>
      <c r="G51" s="308"/>
    </row>
    <row r="52" spans="2:8" x14ac:dyDescent="0.35">
      <c r="B52">
        <v>9</v>
      </c>
      <c r="C52">
        <v>16</v>
      </c>
      <c r="D52">
        <v>6</v>
      </c>
      <c r="E52">
        <v>2</v>
      </c>
      <c r="F52">
        <v>24</v>
      </c>
      <c r="G52" s="308"/>
    </row>
    <row r="53" spans="2:8" x14ac:dyDescent="0.35">
      <c r="B53">
        <v>10</v>
      </c>
      <c r="C53">
        <v>18</v>
      </c>
      <c r="D53">
        <v>6</v>
      </c>
      <c r="E53">
        <v>1</v>
      </c>
      <c r="F53">
        <v>25</v>
      </c>
      <c r="G53" s="308"/>
    </row>
    <row r="54" spans="2:8" x14ac:dyDescent="0.35">
      <c r="B54">
        <v>11</v>
      </c>
      <c r="C54"/>
      <c r="D54">
        <v>19</v>
      </c>
      <c r="E54">
        <v>1</v>
      </c>
      <c r="F54">
        <v>20</v>
      </c>
      <c r="G54" s="308"/>
    </row>
    <row r="55" spans="2:8" x14ac:dyDescent="0.35">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5" x14ac:dyDescent="0.35"/>
  <cols>
    <col min="1" max="1" width="13" bestFit="1" customWidth="1"/>
    <col min="2" max="2" width="15.26953125" bestFit="1" customWidth="1"/>
    <col min="3" max="3" width="10.08984375" bestFit="1" customWidth="1"/>
    <col min="4" max="4" width="10.54296875" bestFit="1" customWidth="1"/>
    <col min="5" max="6" width="10.7265625" bestFit="1" customWidth="1"/>
  </cols>
  <sheetData>
    <row r="3" spans="1:5" x14ac:dyDescent="0.35">
      <c r="A3" s="54" t="s">
        <v>21</v>
      </c>
      <c r="B3" s="54" t="s">
        <v>22</v>
      </c>
    </row>
    <row r="4" spans="1:5" x14ac:dyDescent="0.35">
      <c r="A4" s="54" t="s">
        <v>23</v>
      </c>
      <c r="B4" t="s">
        <v>16</v>
      </c>
      <c r="C4" t="s">
        <v>17</v>
      </c>
      <c r="D4" t="s">
        <v>18</v>
      </c>
      <c r="E4" t="s">
        <v>19</v>
      </c>
    </row>
    <row r="5" spans="1:5" x14ac:dyDescent="0.35">
      <c r="A5" s="41">
        <v>1</v>
      </c>
      <c r="B5" s="487">
        <v>20</v>
      </c>
      <c r="C5" s="487"/>
      <c r="D5" s="487">
        <v>3</v>
      </c>
      <c r="E5" s="487">
        <v>23</v>
      </c>
    </row>
    <row r="6" spans="1:5" x14ac:dyDescent="0.35">
      <c r="A6" s="41">
        <v>2</v>
      </c>
      <c r="B6" s="487">
        <v>15</v>
      </c>
      <c r="C6" s="487">
        <v>1</v>
      </c>
      <c r="D6" s="487">
        <v>4</v>
      </c>
      <c r="E6" s="487">
        <v>20</v>
      </c>
    </row>
    <row r="7" spans="1:5" x14ac:dyDescent="0.35">
      <c r="A7" s="41">
        <v>3</v>
      </c>
      <c r="B7" s="487">
        <v>18</v>
      </c>
      <c r="C7" s="487">
        <v>3</v>
      </c>
      <c r="D7" s="487">
        <v>2</v>
      </c>
      <c r="E7" s="487">
        <v>23</v>
      </c>
    </row>
    <row r="8" spans="1:5" x14ac:dyDescent="0.35">
      <c r="A8" s="41">
        <v>4</v>
      </c>
      <c r="B8" s="487">
        <v>25</v>
      </c>
      <c r="C8" s="487">
        <v>1</v>
      </c>
      <c r="D8" s="487">
        <v>1</v>
      </c>
      <c r="E8" s="487">
        <v>27</v>
      </c>
    </row>
    <row r="9" spans="1:5" x14ac:dyDescent="0.35">
      <c r="A9" s="41">
        <v>5</v>
      </c>
      <c r="B9" s="487">
        <v>18</v>
      </c>
      <c r="C9" s="487">
        <v>2</v>
      </c>
      <c r="D9" s="487">
        <v>5</v>
      </c>
      <c r="E9" s="487">
        <v>25</v>
      </c>
    </row>
    <row r="10" spans="1:5" x14ac:dyDescent="0.35">
      <c r="A10" s="41">
        <v>6</v>
      </c>
      <c r="B10" s="487">
        <v>24</v>
      </c>
      <c r="C10" s="487"/>
      <c r="D10" s="487">
        <v>1</v>
      </c>
      <c r="E10" s="487">
        <v>25</v>
      </c>
    </row>
    <row r="11" spans="1:5" x14ac:dyDescent="0.35">
      <c r="A11" s="41">
        <v>7</v>
      </c>
      <c r="B11" s="487">
        <v>24</v>
      </c>
      <c r="C11" s="487"/>
      <c r="D11" s="487">
        <v>3</v>
      </c>
      <c r="E11" s="487">
        <v>27</v>
      </c>
    </row>
    <row r="12" spans="1:5" x14ac:dyDescent="0.35">
      <c r="A12" s="41">
        <v>8</v>
      </c>
      <c r="B12" s="487">
        <v>17</v>
      </c>
      <c r="C12" s="487">
        <v>6</v>
      </c>
      <c r="D12" s="487">
        <v>3</v>
      </c>
      <c r="E12" s="487">
        <v>26</v>
      </c>
    </row>
    <row r="13" spans="1:5" x14ac:dyDescent="0.35">
      <c r="A13" s="41">
        <v>9</v>
      </c>
      <c r="B13" s="487">
        <v>16</v>
      </c>
      <c r="C13" s="487">
        <v>6</v>
      </c>
      <c r="D13" s="487">
        <v>2</v>
      </c>
      <c r="E13" s="487">
        <v>24</v>
      </c>
    </row>
    <row r="14" spans="1:5" x14ac:dyDescent="0.35">
      <c r="A14" s="41">
        <v>10</v>
      </c>
      <c r="B14" s="487">
        <v>20</v>
      </c>
      <c r="C14" s="487">
        <v>4</v>
      </c>
      <c r="D14" s="487">
        <v>1</v>
      </c>
      <c r="E14" s="487">
        <v>25</v>
      </c>
    </row>
    <row r="15" spans="1:5" x14ac:dyDescent="0.35">
      <c r="A15" s="41" t="s">
        <v>19</v>
      </c>
      <c r="B15" s="487">
        <v>197</v>
      </c>
      <c r="C15" s="487">
        <v>23</v>
      </c>
      <c r="D15" s="487">
        <v>25</v>
      </c>
      <c r="E15" s="487">
        <v>245</v>
      </c>
    </row>
    <row r="20" spans="1:5" x14ac:dyDescent="0.35">
      <c r="A20" s="54" t="s">
        <v>21</v>
      </c>
      <c r="B20" s="54" t="s">
        <v>22</v>
      </c>
    </row>
    <row r="21" spans="1:5" x14ac:dyDescent="0.35">
      <c r="A21" s="54" t="s">
        <v>23</v>
      </c>
      <c r="B21" t="s">
        <v>16</v>
      </c>
      <c r="C21" t="s">
        <v>17</v>
      </c>
      <c r="D21" t="s">
        <v>18</v>
      </c>
      <c r="E21" t="s">
        <v>19</v>
      </c>
    </row>
    <row r="22" spans="1:5" x14ac:dyDescent="0.35">
      <c r="A22" s="41" t="s">
        <v>24</v>
      </c>
      <c r="B22" s="487">
        <v>111</v>
      </c>
      <c r="C22" s="487">
        <v>13</v>
      </c>
      <c r="D22" s="487">
        <v>12</v>
      </c>
      <c r="E22" s="487">
        <v>136</v>
      </c>
    </row>
    <row r="23" spans="1:5" x14ac:dyDescent="0.35">
      <c r="A23" s="41" t="s">
        <v>25</v>
      </c>
      <c r="B23" s="487">
        <v>86</v>
      </c>
      <c r="C23" s="487">
        <v>10</v>
      </c>
      <c r="D23" s="487">
        <v>13</v>
      </c>
      <c r="E23" s="487">
        <v>109</v>
      </c>
    </row>
    <row r="24" spans="1:5" x14ac:dyDescent="0.35">
      <c r="A24" s="41" t="s">
        <v>19</v>
      </c>
      <c r="B24" s="487">
        <v>197</v>
      </c>
      <c r="C24" s="487">
        <v>23</v>
      </c>
      <c r="D24" s="487">
        <v>25</v>
      </c>
      <c r="E24" s="487">
        <v>245</v>
      </c>
    </row>
    <row r="33" spans="2:5" x14ac:dyDescent="0.35">
      <c r="C33">
        <f>65+78+32+49+12+9</f>
        <v>245</v>
      </c>
    </row>
    <row r="34" spans="2:5" x14ac:dyDescent="0.35">
      <c r="B34" t="s">
        <v>23</v>
      </c>
      <c r="C34" t="s">
        <v>24</v>
      </c>
      <c r="D34" t="s">
        <v>25</v>
      </c>
      <c r="E34" t="s">
        <v>19</v>
      </c>
    </row>
    <row r="35" spans="2:5" x14ac:dyDescent="0.35">
      <c r="B35" t="s">
        <v>16</v>
      </c>
      <c r="C35">
        <v>80</v>
      </c>
      <c r="D35">
        <v>65</v>
      </c>
      <c r="E35">
        <v>145</v>
      </c>
    </row>
    <row r="36" spans="2:5" x14ac:dyDescent="0.35">
      <c r="B36" t="s">
        <v>17</v>
      </c>
      <c r="C36">
        <v>47</v>
      </c>
      <c r="D36">
        <v>32</v>
      </c>
      <c r="E36">
        <v>79</v>
      </c>
    </row>
    <row r="37" spans="2:5" x14ac:dyDescent="0.35">
      <c r="B37" t="s">
        <v>18</v>
      </c>
      <c r="C37">
        <v>9</v>
      </c>
      <c r="D37">
        <v>12</v>
      </c>
      <c r="E37">
        <v>21</v>
      </c>
    </row>
    <row r="38" spans="2:5" x14ac:dyDescent="0.3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59" zoomScale="72" zoomScaleNormal="72" workbookViewId="0">
      <selection activeCell="E88" sqref="E88"/>
    </sheetView>
  </sheetViews>
  <sheetFormatPr defaultRowHeight="15" customHeight="1" x14ac:dyDescent="0.35"/>
  <cols>
    <col min="1" max="1" width="13.6328125" bestFit="1" customWidth="1"/>
    <col min="2" max="2" width="16.54296875" bestFit="1" customWidth="1"/>
    <col min="3" max="3" width="10.36328125" bestFit="1" customWidth="1"/>
    <col min="4" max="4" width="10.81640625" bestFit="1" customWidth="1"/>
    <col min="5" max="5" width="11.08984375" bestFit="1" customWidth="1"/>
    <col min="6" max="6" width="13" customWidth="1"/>
    <col min="7" max="7" width="26.26953125" customWidth="1"/>
    <col min="8" max="8" width="26.81640625" customWidth="1"/>
    <col min="9" max="9" width="19.81640625" customWidth="1"/>
    <col min="10" max="10" width="9.81640625" customWidth="1"/>
    <col min="11" max="11" width="12.453125" customWidth="1"/>
    <col min="12" max="12" width="15.453125" customWidth="1"/>
    <col min="13" max="13" width="10.54296875" customWidth="1"/>
    <col min="14" max="14" width="15.54296875" customWidth="1"/>
    <col min="15" max="15" width="27.54296875" customWidth="1"/>
    <col min="16" max="16" width="19.26953125" customWidth="1"/>
    <col min="17" max="17" width="17" customWidth="1"/>
    <col min="18" max="18" width="23" bestFit="1" customWidth="1"/>
    <col min="19" max="24" width="24.1796875" bestFit="1" customWidth="1"/>
    <col min="25" max="25" width="23.453125" bestFit="1" customWidth="1"/>
    <col min="26" max="26" width="21.1796875" bestFit="1" customWidth="1"/>
    <col min="27" max="27" width="23.81640625" bestFit="1" customWidth="1"/>
    <col min="28" max="28" width="23.54296875" bestFit="1" customWidth="1"/>
    <col min="29" max="29" width="26.54296875" bestFit="1" customWidth="1"/>
    <col min="30" max="40" width="30.1796875" bestFit="1" customWidth="1"/>
    <col min="41" max="41" width="32.81640625" bestFit="1" customWidth="1"/>
    <col min="42" max="43" width="18.453125" bestFit="1" customWidth="1"/>
    <col min="44" max="44" width="11.54296875" bestFit="1" customWidth="1"/>
    <col min="45" max="45" width="10.54296875" bestFit="1" customWidth="1"/>
  </cols>
  <sheetData>
    <row r="1" spans="1:22" s="57" customFormat="1" ht="14.5" x14ac:dyDescent="0.35">
      <c r="A1" s="59" t="s">
        <v>26</v>
      </c>
      <c r="H1" s="59" t="s">
        <v>27</v>
      </c>
      <c r="S1" s="58" t="s">
        <v>15</v>
      </c>
      <c r="T1" s="58" t="s">
        <v>25</v>
      </c>
      <c r="U1" s="58" t="s">
        <v>24</v>
      </c>
      <c r="V1" s="58" t="s">
        <v>28</v>
      </c>
    </row>
    <row r="2" spans="1:22" ht="14.5" x14ac:dyDescent="0.35">
      <c r="A2" s="54" t="s">
        <v>29</v>
      </c>
      <c r="B2" t="s">
        <v>30</v>
      </c>
      <c r="H2" s="54" t="s">
        <v>29</v>
      </c>
      <c r="I2" t="s">
        <v>30</v>
      </c>
      <c r="N2" s="54" t="s">
        <v>14</v>
      </c>
      <c r="O2" t="s">
        <v>30</v>
      </c>
      <c r="P2" s="54" t="s">
        <v>14</v>
      </c>
      <c r="Q2" t="s">
        <v>16</v>
      </c>
      <c r="S2" s="56" t="s">
        <v>31</v>
      </c>
      <c r="T2" s="24"/>
      <c r="U2" s="24"/>
      <c r="V2" s="24"/>
    </row>
    <row r="3" spans="1:22" ht="14.5" x14ac:dyDescent="0.35">
      <c r="N3" s="60" t="s">
        <v>12</v>
      </c>
      <c r="P3" s="60" t="s">
        <v>12</v>
      </c>
    </row>
    <row r="4" spans="1:22" ht="14.5" x14ac:dyDescent="0.35">
      <c r="A4" s="54" t="s">
        <v>13</v>
      </c>
      <c r="B4" s="54" t="s">
        <v>14</v>
      </c>
      <c r="H4" s="54" t="s">
        <v>13</v>
      </c>
      <c r="I4" s="54" t="s">
        <v>14</v>
      </c>
      <c r="N4" s="54" t="s">
        <v>29</v>
      </c>
      <c r="O4" t="s">
        <v>13</v>
      </c>
      <c r="P4" s="54" t="s">
        <v>29</v>
      </c>
      <c r="Q4" t="s">
        <v>13</v>
      </c>
    </row>
    <row r="5" spans="1:22" ht="14.5" x14ac:dyDescent="0.35">
      <c r="A5" s="54" t="s">
        <v>32</v>
      </c>
      <c r="B5" t="s">
        <v>16</v>
      </c>
      <c r="C5" t="s">
        <v>17</v>
      </c>
      <c r="D5" t="s">
        <v>18</v>
      </c>
      <c r="E5" t="s">
        <v>33</v>
      </c>
      <c r="F5" t="s">
        <v>19</v>
      </c>
      <c r="H5" s="54" t="s">
        <v>34</v>
      </c>
      <c r="I5" t="s">
        <v>16</v>
      </c>
      <c r="J5" t="s">
        <v>17</v>
      </c>
      <c r="K5" t="s">
        <v>18</v>
      </c>
      <c r="L5" t="s">
        <v>19</v>
      </c>
      <c r="N5" t="s">
        <v>24</v>
      </c>
      <c r="O5">
        <v>147</v>
      </c>
      <c r="P5" t="s">
        <v>24</v>
      </c>
      <c r="Q5">
        <v>110</v>
      </c>
    </row>
    <row r="6" spans="1:22" ht="14.5" x14ac:dyDescent="0.35">
      <c r="A6" t="s">
        <v>35</v>
      </c>
      <c r="B6">
        <v>17</v>
      </c>
      <c r="C6">
        <v>3</v>
      </c>
      <c r="D6">
        <v>3</v>
      </c>
      <c r="F6">
        <v>23</v>
      </c>
      <c r="H6" t="s">
        <v>36</v>
      </c>
      <c r="I6">
        <v>1</v>
      </c>
      <c r="J6">
        <v>2</v>
      </c>
      <c r="L6">
        <v>3</v>
      </c>
      <c r="N6" t="s">
        <v>25</v>
      </c>
      <c r="O6">
        <v>118</v>
      </c>
      <c r="P6" t="s">
        <v>25</v>
      </c>
      <c r="Q6">
        <v>86</v>
      </c>
    </row>
    <row r="7" spans="1:22" ht="14.5" x14ac:dyDescent="0.35">
      <c r="A7" t="s">
        <v>37</v>
      </c>
      <c r="B7">
        <v>7</v>
      </c>
      <c r="C7">
        <v>5</v>
      </c>
      <c r="F7">
        <v>12</v>
      </c>
      <c r="H7" t="s">
        <v>38</v>
      </c>
      <c r="I7">
        <v>4</v>
      </c>
      <c r="J7">
        <v>1</v>
      </c>
      <c r="K7">
        <v>1</v>
      </c>
      <c r="L7">
        <v>6</v>
      </c>
      <c r="N7" t="s">
        <v>19</v>
      </c>
      <c r="O7">
        <v>265</v>
      </c>
      <c r="P7" t="s">
        <v>19</v>
      </c>
      <c r="Q7">
        <v>196</v>
      </c>
    </row>
    <row r="8" spans="1:22" ht="14.5" x14ac:dyDescent="0.35">
      <c r="A8" t="s">
        <v>39</v>
      </c>
      <c r="B8">
        <v>19</v>
      </c>
      <c r="C8">
        <v>1</v>
      </c>
      <c r="F8">
        <v>20</v>
      </c>
      <c r="H8" t="s">
        <v>40</v>
      </c>
      <c r="I8">
        <v>7</v>
      </c>
      <c r="J8">
        <v>2</v>
      </c>
      <c r="K8">
        <v>1</v>
      </c>
      <c r="L8">
        <v>10</v>
      </c>
    </row>
    <row r="9" spans="1:22" ht="14.5" x14ac:dyDescent="0.35">
      <c r="A9" t="s">
        <v>41</v>
      </c>
      <c r="B9">
        <v>6</v>
      </c>
      <c r="D9">
        <v>2</v>
      </c>
      <c r="F9">
        <v>8</v>
      </c>
      <c r="H9" t="s">
        <v>35</v>
      </c>
      <c r="I9">
        <v>19</v>
      </c>
      <c r="J9">
        <v>8</v>
      </c>
      <c r="K9">
        <v>4</v>
      </c>
      <c r="L9">
        <v>31</v>
      </c>
    </row>
    <row r="10" spans="1:22" ht="14.5" x14ac:dyDescent="0.35">
      <c r="A10" t="s">
        <v>31</v>
      </c>
      <c r="B10">
        <v>28</v>
      </c>
      <c r="C10">
        <v>7</v>
      </c>
      <c r="F10">
        <v>35</v>
      </c>
      <c r="H10" t="s">
        <v>37</v>
      </c>
      <c r="I10">
        <v>13</v>
      </c>
      <c r="J10">
        <v>8</v>
      </c>
      <c r="K10">
        <v>1</v>
      </c>
      <c r="L10">
        <v>22</v>
      </c>
    </row>
    <row r="11" spans="1:22" ht="14.5" x14ac:dyDescent="0.35">
      <c r="A11" t="s">
        <v>42</v>
      </c>
      <c r="B11">
        <v>22</v>
      </c>
      <c r="C11">
        <v>8</v>
      </c>
      <c r="D11">
        <v>5</v>
      </c>
      <c r="F11">
        <v>35</v>
      </c>
      <c r="H11" t="s">
        <v>39</v>
      </c>
      <c r="I11">
        <v>30</v>
      </c>
      <c r="J11">
        <v>3</v>
      </c>
      <c r="L11">
        <v>33</v>
      </c>
    </row>
    <row r="12" spans="1:22" ht="14.5" x14ac:dyDescent="0.35">
      <c r="A12" t="s">
        <v>43</v>
      </c>
      <c r="B12">
        <v>6</v>
      </c>
      <c r="C12">
        <v>2</v>
      </c>
      <c r="F12">
        <v>8</v>
      </c>
      <c r="H12" t="s">
        <v>41</v>
      </c>
      <c r="I12">
        <v>4</v>
      </c>
      <c r="K12">
        <v>2</v>
      </c>
      <c r="L12">
        <v>6</v>
      </c>
    </row>
    <row r="13" spans="1:22" ht="14.5" x14ac:dyDescent="0.35">
      <c r="A13" t="s">
        <v>44</v>
      </c>
      <c r="B13">
        <v>16</v>
      </c>
      <c r="C13">
        <v>2</v>
      </c>
      <c r="D13">
        <v>3</v>
      </c>
      <c r="F13">
        <v>21</v>
      </c>
      <c r="H13" t="s">
        <v>31</v>
      </c>
      <c r="I13">
        <v>32</v>
      </c>
      <c r="J13">
        <v>11</v>
      </c>
      <c r="L13">
        <v>43</v>
      </c>
    </row>
    <row r="14" spans="1:22" ht="14.5" x14ac:dyDescent="0.35">
      <c r="A14" t="s">
        <v>45</v>
      </c>
      <c r="B14">
        <v>74</v>
      </c>
      <c r="C14">
        <v>8</v>
      </c>
      <c r="D14">
        <v>8</v>
      </c>
      <c r="F14">
        <v>90</v>
      </c>
      <c r="H14" t="s">
        <v>46</v>
      </c>
      <c r="I14">
        <v>24</v>
      </c>
      <c r="J14">
        <v>6</v>
      </c>
      <c r="K14">
        <v>3</v>
      </c>
      <c r="L14">
        <v>33</v>
      </c>
    </row>
    <row r="15" spans="1:22" ht="14.5" x14ac:dyDescent="0.35">
      <c r="A15" t="s">
        <v>33</v>
      </c>
      <c r="C15">
        <v>30</v>
      </c>
      <c r="D15">
        <v>5</v>
      </c>
      <c r="F15">
        <v>35</v>
      </c>
      <c r="H15" t="s">
        <v>42</v>
      </c>
      <c r="I15">
        <v>17</v>
      </c>
      <c r="J15">
        <v>7</v>
      </c>
      <c r="K15">
        <v>7</v>
      </c>
      <c r="L15">
        <v>31</v>
      </c>
    </row>
    <row r="16" spans="1:22" ht="14.5" x14ac:dyDescent="0.35">
      <c r="A16" t="s">
        <v>19</v>
      </c>
      <c r="B16">
        <v>195</v>
      </c>
      <c r="C16">
        <v>66</v>
      </c>
      <c r="D16">
        <v>26</v>
      </c>
      <c r="F16">
        <v>287</v>
      </c>
      <c r="H16" t="s">
        <v>43</v>
      </c>
      <c r="I16">
        <v>20</v>
      </c>
      <c r="J16">
        <v>9</v>
      </c>
      <c r="K16">
        <v>2</v>
      </c>
      <c r="L16">
        <v>31</v>
      </c>
    </row>
    <row r="17" spans="1:14" ht="14.5" x14ac:dyDescent="0.35">
      <c r="H17" t="s">
        <v>45</v>
      </c>
      <c r="I17">
        <v>25</v>
      </c>
      <c r="J17">
        <v>2</v>
      </c>
      <c r="K17">
        <v>5</v>
      </c>
      <c r="L17">
        <v>32</v>
      </c>
    </row>
    <row r="18" spans="1:14" ht="14.5" x14ac:dyDescent="0.35">
      <c r="H18" t="s">
        <v>47</v>
      </c>
      <c r="J18">
        <v>2</v>
      </c>
      <c r="L18">
        <v>2</v>
      </c>
    </row>
    <row r="19" spans="1:14" ht="14.5" x14ac:dyDescent="0.35">
      <c r="H19" t="s">
        <v>48</v>
      </c>
      <c r="J19">
        <v>4</v>
      </c>
      <c r="L19">
        <v>4</v>
      </c>
    </row>
    <row r="20" spans="1:14" ht="14.5" x14ac:dyDescent="0.35">
      <c r="H20" t="s">
        <v>19</v>
      </c>
      <c r="I20">
        <v>196</v>
      </c>
      <c r="J20">
        <v>65</v>
      </c>
      <c r="K20">
        <v>26</v>
      </c>
      <c r="L20">
        <v>287</v>
      </c>
    </row>
    <row r="21" spans="1:14" ht="14.5" x14ac:dyDescent="0.35"/>
    <row r="22" spans="1:14" ht="14.5" x14ac:dyDescent="0.35"/>
    <row r="23" spans="1:14" ht="14.5" x14ac:dyDescent="0.35"/>
    <row r="24" spans="1:14" ht="14.5" x14ac:dyDescent="0.35"/>
    <row r="27" spans="1:14" ht="14.5" x14ac:dyDescent="0.35">
      <c r="A27" s="60" t="s">
        <v>12</v>
      </c>
      <c r="H27" s="54" t="s">
        <v>14</v>
      </c>
      <c r="I27" t="s">
        <v>30</v>
      </c>
    </row>
    <row r="28" spans="1:14" ht="14.5" x14ac:dyDescent="0.35">
      <c r="A28" s="54" t="s">
        <v>13</v>
      </c>
      <c r="B28" s="54" t="s">
        <v>14</v>
      </c>
    </row>
    <row r="29" spans="1:14" ht="14.5" x14ac:dyDescent="0.35">
      <c r="A29" s="54" t="s">
        <v>15</v>
      </c>
      <c r="B29" t="s">
        <v>16</v>
      </c>
      <c r="C29" t="s">
        <v>17</v>
      </c>
      <c r="D29" t="s">
        <v>18</v>
      </c>
      <c r="E29" t="s">
        <v>19</v>
      </c>
      <c r="F29" t="s">
        <v>49</v>
      </c>
      <c r="H29" s="54" t="s">
        <v>13</v>
      </c>
      <c r="I29" s="54" t="s">
        <v>29</v>
      </c>
    </row>
    <row r="30" spans="1:14" ht="15" customHeight="1" x14ac:dyDescent="0.4">
      <c r="A30">
        <v>1</v>
      </c>
      <c r="B30">
        <v>20</v>
      </c>
      <c r="D30">
        <v>3</v>
      </c>
      <c r="E30">
        <v>23</v>
      </c>
      <c r="F30" s="390">
        <f>SUM(B30:C30)/E30</f>
        <v>0.86956521739130432</v>
      </c>
      <c r="G30" s="390"/>
      <c r="H30" s="54" t="s">
        <v>50</v>
      </c>
      <c r="I30" t="s">
        <v>24</v>
      </c>
      <c r="J30" t="s">
        <v>25</v>
      </c>
      <c r="K30" t="s">
        <v>19</v>
      </c>
      <c r="N30" s="425" t="s">
        <v>51</v>
      </c>
    </row>
    <row r="31" spans="1:14" ht="14.5" x14ac:dyDescent="0.35">
      <c r="A31">
        <v>2</v>
      </c>
      <c r="B31">
        <v>15</v>
      </c>
      <c r="C31">
        <v>1</v>
      </c>
      <c r="D31">
        <v>4</v>
      </c>
      <c r="E31">
        <v>20</v>
      </c>
      <c r="F31" s="390">
        <f t="shared" ref="F31:F40" si="0">SUM(B31:C31)/E31</f>
        <v>0.8</v>
      </c>
      <c r="G31" s="390"/>
      <c r="H31" t="s">
        <v>52</v>
      </c>
      <c r="I31">
        <v>42</v>
      </c>
      <c r="J31">
        <v>16</v>
      </c>
      <c r="K31">
        <v>58</v>
      </c>
    </row>
    <row r="32" spans="1:14" ht="14.5" x14ac:dyDescent="0.35">
      <c r="A32">
        <v>3</v>
      </c>
      <c r="B32">
        <v>18</v>
      </c>
      <c r="C32">
        <v>3</v>
      </c>
      <c r="D32">
        <v>2</v>
      </c>
      <c r="E32">
        <v>23</v>
      </c>
      <c r="F32" s="390">
        <f t="shared" si="0"/>
        <v>0.91304347826086951</v>
      </c>
      <c r="G32" s="390"/>
      <c r="H32" t="s">
        <v>53</v>
      </c>
      <c r="I32">
        <v>15</v>
      </c>
      <c r="J32">
        <v>24</v>
      </c>
      <c r="K32">
        <v>39</v>
      </c>
    </row>
    <row r="33" spans="1:11" ht="14.5" x14ac:dyDescent="0.35">
      <c r="A33">
        <v>4</v>
      </c>
      <c r="B33">
        <v>25</v>
      </c>
      <c r="C33">
        <v>1</v>
      </c>
      <c r="D33">
        <v>1</v>
      </c>
      <c r="E33">
        <v>27</v>
      </c>
      <c r="F33" s="390">
        <f t="shared" si="0"/>
        <v>0.96296296296296291</v>
      </c>
      <c r="G33" s="390"/>
      <c r="H33" t="s">
        <v>54</v>
      </c>
      <c r="I33">
        <v>42</v>
      </c>
      <c r="J33">
        <v>36</v>
      </c>
      <c r="K33">
        <v>78</v>
      </c>
    </row>
    <row r="34" spans="1:11" ht="14.5" x14ac:dyDescent="0.35">
      <c r="A34">
        <v>5</v>
      </c>
      <c r="B34">
        <v>18</v>
      </c>
      <c r="C34">
        <v>2</v>
      </c>
      <c r="D34">
        <v>5</v>
      </c>
      <c r="E34">
        <v>25</v>
      </c>
      <c r="F34" s="390">
        <f t="shared" si="0"/>
        <v>0.8</v>
      </c>
      <c r="G34" s="390"/>
      <c r="H34" t="s">
        <v>55</v>
      </c>
      <c r="I34">
        <v>12</v>
      </c>
      <c r="J34">
        <v>19</v>
      </c>
      <c r="K34">
        <v>31</v>
      </c>
    </row>
    <row r="35" spans="1:11" ht="14.5" x14ac:dyDescent="0.35">
      <c r="A35">
        <v>6</v>
      </c>
      <c r="B35">
        <v>24</v>
      </c>
      <c r="D35">
        <v>1</v>
      </c>
      <c r="E35">
        <v>25</v>
      </c>
      <c r="F35" s="390">
        <f t="shared" si="0"/>
        <v>0.96</v>
      </c>
      <c r="G35" s="390"/>
      <c r="H35" t="s">
        <v>56</v>
      </c>
      <c r="J35">
        <v>1</v>
      </c>
      <c r="K35">
        <v>1</v>
      </c>
    </row>
    <row r="36" spans="1:11" ht="14.5" x14ac:dyDescent="0.35">
      <c r="A36">
        <v>7</v>
      </c>
      <c r="B36">
        <v>24</v>
      </c>
      <c r="D36">
        <v>3</v>
      </c>
      <c r="E36">
        <v>27</v>
      </c>
      <c r="F36" s="390">
        <f t="shared" si="0"/>
        <v>0.88888888888888884</v>
      </c>
      <c r="G36" s="390"/>
      <c r="H36" t="s">
        <v>57</v>
      </c>
      <c r="I36">
        <v>1</v>
      </c>
      <c r="J36">
        <v>1</v>
      </c>
      <c r="K36">
        <v>2</v>
      </c>
    </row>
    <row r="37" spans="1:11" ht="14.5" x14ac:dyDescent="0.35">
      <c r="A37">
        <v>8</v>
      </c>
      <c r="B37">
        <v>17</v>
      </c>
      <c r="C37">
        <v>6</v>
      </c>
      <c r="D37">
        <v>3</v>
      </c>
      <c r="E37">
        <v>26</v>
      </c>
      <c r="F37" s="390">
        <f t="shared" si="0"/>
        <v>0.88461538461538458</v>
      </c>
      <c r="G37" s="390"/>
      <c r="H37" t="s">
        <v>58</v>
      </c>
      <c r="I37">
        <v>20</v>
      </c>
      <c r="J37">
        <v>8</v>
      </c>
      <c r="K37">
        <v>28</v>
      </c>
    </row>
    <row r="38" spans="1:11" ht="14.5" x14ac:dyDescent="0.35">
      <c r="A38">
        <v>9</v>
      </c>
      <c r="B38">
        <v>16</v>
      </c>
      <c r="C38">
        <v>6</v>
      </c>
      <c r="D38">
        <v>2</v>
      </c>
      <c r="E38">
        <v>24</v>
      </c>
      <c r="F38" s="390">
        <f t="shared" si="0"/>
        <v>0.91666666666666663</v>
      </c>
      <c r="G38" s="390"/>
      <c r="H38" t="s">
        <v>59</v>
      </c>
      <c r="I38">
        <v>9</v>
      </c>
      <c r="J38">
        <v>7</v>
      </c>
      <c r="K38">
        <v>16</v>
      </c>
    </row>
    <row r="39" spans="1:11" ht="14.5" x14ac:dyDescent="0.35">
      <c r="A39">
        <v>10</v>
      </c>
      <c r="B39">
        <v>19</v>
      </c>
      <c r="C39">
        <v>5</v>
      </c>
      <c r="D39">
        <v>1</v>
      </c>
      <c r="E39">
        <v>25</v>
      </c>
      <c r="F39" s="390">
        <f t="shared" si="0"/>
        <v>0.96</v>
      </c>
      <c r="G39" s="390"/>
      <c r="H39" t="s">
        <v>60</v>
      </c>
      <c r="I39">
        <v>14</v>
      </c>
      <c r="J39">
        <v>17</v>
      </c>
      <c r="K39">
        <v>31</v>
      </c>
    </row>
    <row r="40" spans="1:11" ht="14.5" x14ac:dyDescent="0.35">
      <c r="A40">
        <v>11</v>
      </c>
      <c r="C40">
        <v>19</v>
      </c>
      <c r="D40">
        <v>1</v>
      </c>
      <c r="E40">
        <v>20</v>
      </c>
      <c r="F40" s="390">
        <f t="shared" si="0"/>
        <v>0.95</v>
      </c>
      <c r="G40" s="390"/>
      <c r="H40" t="s">
        <v>61</v>
      </c>
      <c r="I40">
        <v>2</v>
      </c>
      <c r="J40">
        <v>1</v>
      </c>
      <c r="K40">
        <v>3</v>
      </c>
    </row>
    <row r="41" spans="1:11" ht="14.5" x14ac:dyDescent="0.35">
      <c r="A41">
        <v>12</v>
      </c>
      <c r="C41">
        <v>22</v>
      </c>
      <c r="E41">
        <v>22</v>
      </c>
      <c r="F41" s="390">
        <f>SUM(B41:C41)/E41</f>
        <v>1</v>
      </c>
      <c r="G41" s="390"/>
      <c r="H41" t="s">
        <v>19</v>
      </c>
      <c r="I41">
        <v>157</v>
      </c>
      <c r="J41">
        <v>130</v>
      </c>
      <c r="K41">
        <v>287</v>
      </c>
    </row>
    <row r="42" spans="1:11" ht="14.5" x14ac:dyDescent="0.35">
      <c r="A42" t="s">
        <v>19</v>
      </c>
      <c r="B42">
        <v>196</v>
      </c>
      <c r="C42">
        <v>65</v>
      </c>
      <c r="D42">
        <v>26</v>
      </c>
      <c r="E42">
        <v>287</v>
      </c>
    </row>
    <row r="43" spans="1:11" ht="14.5" x14ac:dyDescent="0.35"/>
    <row r="44" spans="1:11" ht="14.5" x14ac:dyDescent="0.35"/>
    <row r="45" spans="1:11" ht="14.5" x14ac:dyDescent="0.35"/>
    <row r="46" spans="1:11" ht="14.5" x14ac:dyDescent="0.35"/>
    <row r="47" spans="1:11" ht="14.5" x14ac:dyDescent="0.35"/>
    <row r="48" spans="1:11" ht="14.5" x14ac:dyDescent="0.35"/>
    <row r="49" spans="1:16" ht="14.5" x14ac:dyDescent="0.35"/>
    <row r="50" spans="1:16" ht="14.5" x14ac:dyDescent="0.35"/>
    <row r="51" spans="1:16" ht="14.5" x14ac:dyDescent="0.35"/>
    <row r="52" spans="1:16" ht="14.5" x14ac:dyDescent="0.35"/>
    <row r="53" spans="1:16" ht="14.5" x14ac:dyDescent="0.35"/>
    <row r="54" spans="1:16" ht="14.5" x14ac:dyDescent="0.35"/>
    <row r="55" spans="1:16" ht="14.5" x14ac:dyDescent="0.35"/>
    <row r="56" spans="1:16" ht="14.5" x14ac:dyDescent="0.35"/>
    <row r="57" spans="1:16" ht="14.5" x14ac:dyDescent="0.35">
      <c r="P57">
        <f>109/245</f>
        <v>0.44489795918367347</v>
      </c>
    </row>
    <row r="58" spans="1:16" ht="14.5" x14ac:dyDescent="0.35">
      <c r="P58">
        <f>136/245</f>
        <v>0.55510204081632653</v>
      </c>
    </row>
    <row r="59" spans="1:16" ht="14.5" x14ac:dyDescent="0.35"/>
    <row r="60" spans="1:16" ht="14.5" x14ac:dyDescent="0.35"/>
    <row r="61" spans="1:16" ht="14.5" x14ac:dyDescent="0.35"/>
    <row r="62" spans="1:16" ht="14.5" x14ac:dyDescent="0.35">
      <c r="A62" s="54" t="s">
        <v>14</v>
      </c>
      <c r="B62" t="s">
        <v>30</v>
      </c>
    </row>
    <row r="63" spans="1:16" ht="14.5" x14ac:dyDescent="0.35"/>
    <row r="64" spans="1:16" ht="14.5" x14ac:dyDescent="0.35">
      <c r="A64" s="54" t="s">
        <v>13</v>
      </c>
      <c r="B64" s="54" t="s">
        <v>29</v>
      </c>
    </row>
    <row r="65" spans="1:12" ht="14.5" x14ac:dyDescent="0.35">
      <c r="A65" s="54" t="s">
        <v>15</v>
      </c>
      <c r="B65" t="s">
        <v>24</v>
      </c>
      <c r="C65" t="s">
        <v>25</v>
      </c>
      <c r="D65" t="s">
        <v>19</v>
      </c>
      <c r="H65" s="60" t="s">
        <v>15</v>
      </c>
    </row>
    <row r="66" spans="1:12" ht="14.5" x14ac:dyDescent="0.35">
      <c r="A66">
        <v>1</v>
      </c>
      <c r="B66">
        <v>9</v>
      </c>
      <c r="C66">
        <v>14</v>
      </c>
      <c r="D66">
        <v>23</v>
      </c>
      <c r="H66" s="54" t="s">
        <v>13</v>
      </c>
      <c r="I66" s="54" t="s">
        <v>14</v>
      </c>
    </row>
    <row r="67" spans="1:12" ht="14.5" x14ac:dyDescent="0.35">
      <c r="A67">
        <v>2</v>
      </c>
      <c r="B67">
        <v>9</v>
      </c>
      <c r="C67">
        <v>11</v>
      </c>
      <c r="D67">
        <v>20</v>
      </c>
      <c r="H67" s="54" t="s">
        <v>15</v>
      </c>
      <c r="I67" t="s">
        <v>16</v>
      </c>
      <c r="J67" t="s">
        <v>17</v>
      </c>
      <c r="K67" t="s">
        <v>18</v>
      </c>
      <c r="L67" t="s">
        <v>19</v>
      </c>
    </row>
    <row r="68" spans="1:12" ht="14.5" x14ac:dyDescent="0.35">
      <c r="A68">
        <v>3</v>
      </c>
      <c r="B68">
        <v>13</v>
      </c>
      <c r="C68">
        <v>10</v>
      </c>
      <c r="D68">
        <v>23</v>
      </c>
      <c r="H68">
        <v>1</v>
      </c>
      <c r="I68">
        <v>20</v>
      </c>
      <c r="K68">
        <v>3</v>
      </c>
      <c r="L68">
        <v>23</v>
      </c>
    </row>
    <row r="69" spans="1:12" ht="14.5" x14ac:dyDescent="0.35">
      <c r="A69">
        <v>4</v>
      </c>
      <c r="B69">
        <v>12</v>
      </c>
      <c r="C69">
        <v>15</v>
      </c>
      <c r="D69">
        <v>27</v>
      </c>
      <c r="H69">
        <v>2</v>
      </c>
      <c r="I69">
        <v>15</v>
      </c>
      <c r="J69">
        <v>1</v>
      </c>
      <c r="K69">
        <v>4</v>
      </c>
      <c r="L69">
        <v>20</v>
      </c>
    </row>
    <row r="70" spans="1:12" ht="14.5" x14ac:dyDescent="0.35">
      <c r="A70">
        <v>5</v>
      </c>
      <c r="B70">
        <v>13</v>
      </c>
      <c r="C70">
        <v>12</v>
      </c>
      <c r="D70">
        <v>25</v>
      </c>
      <c r="H70">
        <v>3</v>
      </c>
      <c r="I70">
        <v>18</v>
      </c>
      <c r="J70">
        <v>3</v>
      </c>
      <c r="K70">
        <v>2</v>
      </c>
      <c r="L70">
        <v>23</v>
      </c>
    </row>
    <row r="71" spans="1:12" ht="14.5" x14ac:dyDescent="0.35">
      <c r="A71">
        <v>6</v>
      </c>
      <c r="B71">
        <v>15</v>
      </c>
      <c r="C71">
        <v>10</v>
      </c>
      <c r="D71">
        <v>25</v>
      </c>
      <c r="H71">
        <v>4</v>
      </c>
      <c r="I71">
        <v>25</v>
      </c>
      <c r="J71">
        <v>1</v>
      </c>
      <c r="K71">
        <v>1</v>
      </c>
      <c r="L71">
        <v>27</v>
      </c>
    </row>
    <row r="72" spans="1:12" ht="14.5" x14ac:dyDescent="0.35">
      <c r="A72">
        <v>7</v>
      </c>
      <c r="B72">
        <v>19</v>
      </c>
      <c r="C72">
        <v>8</v>
      </c>
      <c r="D72">
        <v>27</v>
      </c>
      <c r="H72">
        <v>5</v>
      </c>
      <c r="I72">
        <v>18</v>
      </c>
      <c r="J72">
        <v>2</v>
      </c>
      <c r="K72">
        <v>5</v>
      </c>
      <c r="L72">
        <v>25</v>
      </c>
    </row>
    <row r="73" spans="1:12" ht="14.5" x14ac:dyDescent="0.35">
      <c r="A73">
        <v>8</v>
      </c>
      <c r="B73">
        <v>16</v>
      </c>
      <c r="C73">
        <v>10</v>
      </c>
      <c r="D73">
        <v>26</v>
      </c>
      <c r="H73">
        <v>6</v>
      </c>
      <c r="I73">
        <v>24</v>
      </c>
      <c r="K73">
        <v>1</v>
      </c>
      <c r="L73">
        <v>25</v>
      </c>
    </row>
    <row r="74" spans="1:12" ht="14.5" x14ac:dyDescent="0.35">
      <c r="A74">
        <v>9</v>
      </c>
      <c r="B74">
        <v>15</v>
      </c>
      <c r="C74">
        <v>9</v>
      </c>
      <c r="D74">
        <v>24</v>
      </c>
      <c r="H74">
        <v>7</v>
      </c>
      <c r="I74">
        <v>24</v>
      </c>
      <c r="K74">
        <v>3</v>
      </c>
      <c r="L74">
        <v>27</v>
      </c>
    </row>
    <row r="75" spans="1:12" ht="14.5" x14ac:dyDescent="0.35">
      <c r="A75">
        <v>10</v>
      </c>
      <c r="B75">
        <v>15</v>
      </c>
      <c r="C75">
        <v>10</v>
      </c>
      <c r="D75">
        <v>25</v>
      </c>
      <c r="H75">
        <v>8</v>
      </c>
      <c r="I75">
        <v>17</v>
      </c>
      <c r="J75">
        <v>6</v>
      </c>
      <c r="K75">
        <v>3</v>
      </c>
      <c r="L75">
        <v>26</v>
      </c>
    </row>
    <row r="76" spans="1:12" ht="14.5" x14ac:dyDescent="0.35">
      <c r="A76">
        <v>11</v>
      </c>
      <c r="B76">
        <v>11</v>
      </c>
      <c r="C76">
        <v>9</v>
      </c>
      <c r="D76">
        <v>20</v>
      </c>
      <c r="H76">
        <v>9</v>
      </c>
      <c r="I76">
        <v>16</v>
      </c>
      <c r="J76">
        <v>6</v>
      </c>
      <c r="K76">
        <v>2</v>
      </c>
      <c r="L76">
        <v>24</v>
      </c>
    </row>
    <row r="77" spans="1:12" ht="14.5" x14ac:dyDescent="0.35">
      <c r="A77">
        <v>12</v>
      </c>
      <c r="B77">
        <v>10</v>
      </c>
      <c r="C77">
        <v>12</v>
      </c>
      <c r="D77">
        <v>22</v>
      </c>
      <c r="H77">
        <v>10</v>
      </c>
      <c r="I77">
        <v>19</v>
      </c>
      <c r="J77">
        <v>5</v>
      </c>
      <c r="K77">
        <v>1</v>
      </c>
      <c r="L77">
        <v>25</v>
      </c>
    </row>
    <row r="78" spans="1:12" ht="14.5" x14ac:dyDescent="0.35">
      <c r="A78" t="s">
        <v>19</v>
      </c>
      <c r="B78">
        <v>157</v>
      </c>
      <c r="C78">
        <v>130</v>
      </c>
      <c r="D78">
        <v>287</v>
      </c>
      <c r="H78">
        <v>11</v>
      </c>
      <c r="J78">
        <v>19</v>
      </c>
      <c r="K78">
        <v>1</v>
      </c>
      <c r="L78">
        <v>20</v>
      </c>
    </row>
    <row r="79" spans="1:12" ht="14.5" x14ac:dyDescent="0.35">
      <c r="H79">
        <v>12</v>
      </c>
      <c r="J79">
        <v>22</v>
      </c>
      <c r="L79">
        <v>22</v>
      </c>
    </row>
    <row r="80" spans="1:12" ht="14.5" x14ac:dyDescent="0.35">
      <c r="H80" t="s">
        <v>19</v>
      </c>
      <c r="I80">
        <v>196</v>
      </c>
      <c r="J80">
        <v>65</v>
      </c>
      <c r="K80">
        <v>26</v>
      </c>
      <c r="L80">
        <v>287</v>
      </c>
    </row>
    <row r="81" spans="1:5" ht="14.5" x14ac:dyDescent="0.35"/>
    <row r="82" spans="1:5" ht="14.5" x14ac:dyDescent="0.35"/>
    <row r="83" spans="1:5" ht="14.5" x14ac:dyDescent="0.35"/>
    <row r="84" spans="1:5" ht="14.5" x14ac:dyDescent="0.35"/>
    <row r="86" spans="1:5" ht="14.5" x14ac:dyDescent="0.35"/>
    <row r="87" spans="1:5" ht="14.5" x14ac:dyDescent="0.35"/>
    <row r="88" spans="1:5" ht="14.5" x14ac:dyDescent="0.35"/>
    <row r="90" spans="1:5" ht="14.5" x14ac:dyDescent="0.35">
      <c r="A90" s="54" t="s">
        <v>21</v>
      </c>
      <c r="B90" s="54" t="s">
        <v>22</v>
      </c>
    </row>
    <row r="91" spans="1:5" ht="14.5" x14ac:dyDescent="0.35">
      <c r="A91" s="54" t="s">
        <v>23</v>
      </c>
      <c r="B91" t="s">
        <v>16</v>
      </c>
      <c r="C91" t="s">
        <v>17</v>
      </c>
      <c r="D91" t="s">
        <v>18</v>
      </c>
      <c r="E91" t="s">
        <v>19</v>
      </c>
    </row>
    <row r="92" spans="1:5" ht="14.5" x14ac:dyDescent="0.35">
      <c r="A92" s="41" t="s">
        <v>24</v>
      </c>
      <c r="B92" s="487">
        <v>111</v>
      </c>
      <c r="C92" s="487">
        <v>13</v>
      </c>
      <c r="D92" s="487">
        <v>12</v>
      </c>
      <c r="E92" s="487">
        <v>136</v>
      </c>
    </row>
    <row r="93" spans="1:5" ht="14.5" x14ac:dyDescent="0.35">
      <c r="A93" s="41" t="s">
        <v>25</v>
      </c>
      <c r="B93" s="487">
        <v>86</v>
      </c>
      <c r="C93" s="487">
        <v>10</v>
      </c>
      <c r="D93" s="487">
        <v>13</v>
      </c>
      <c r="E93" s="487">
        <v>109</v>
      </c>
    </row>
    <row r="94" spans="1:5" ht="14.5" x14ac:dyDescent="0.35">
      <c r="A94" s="41" t="s">
        <v>19</v>
      </c>
      <c r="B94" s="487">
        <v>197</v>
      </c>
      <c r="C94" s="487">
        <v>23</v>
      </c>
      <c r="D94" s="487">
        <v>25</v>
      </c>
      <c r="E94" s="487">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BG1" zoomScaleNormal="100" workbookViewId="0">
      <pane ySplit="1" topLeftCell="A223" activePane="bottomLeft" state="frozen"/>
      <selection pane="bottomLeft" activeCell="BP232" sqref="BP232"/>
    </sheetView>
  </sheetViews>
  <sheetFormatPr defaultRowHeight="15" customHeight="1" x14ac:dyDescent="0.35"/>
  <cols>
    <col min="1" max="1" width="7" customWidth="1"/>
    <col min="2" max="2" width="15.81640625" customWidth="1"/>
    <col min="3" max="3" width="13.7265625" customWidth="1"/>
    <col min="4" max="4" width="16.7265625" customWidth="1"/>
    <col min="5" max="5" width="14.81640625" customWidth="1"/>
    <col min="6" max="6" width="13.54296875" customWidth="1"/>
    <col min="7" max="7" width="11.54296875" customWidth="1"/>
    <col min="8" max="8" width="15.453125" customWidth="1"/>
    <col min="9" max="9" width="23" customWidth="1"/>
    <col min="10" max="10" width="19.81640625" customWidth="1"/>
    <col min="11" max="11" width="29.7265625" customWidth="1"/>
    <col min="12" max="12" width="33.54296875" customWidth="1"/>
    <col min="13" max="13" width="20.1796875" customWidth="1"/>
    <col min="14" max="14" width="16.54296875" style="41" customWidth="1"/>
    <col min="15" max="15" width="17.1796875" customWidth="1"/>
    <col min="16" max="16" width="18.453125" style="41" customWidth="1"/>
    <col min="17" max="17" width="13.54296875" customWidth="1"/>
    <col min="18" max="18" width="24.81640625" customWidth="1"/>
    <col min="19" max="19" width="24.81640625" style="42" customWidth="1"/>
    <col min="20" max="20" width="29.54296875" style="43" customWidth="1"/>
    <col min="21" max="21" width="34.453125" customWidth="1"/>
    <col min="22" max="22" width="14.54296875" customWidth="1"/>
    <col min="23" max="23" width="39.453125" style="41" customWidth="1"/>
    <col min="24" max="24" width="19.453125" style="41" customWidth="1"/>
    <col min="25" max="25" width="12.81640625" style="41" customWidth="1"/>
    <col min="26" max="26" width="11.54296875" style="41" customWidth="1"/>
    <col min="27" max="27" width="11.54296875" customWidth="1"/>
    <col min="28" max="28" width="14.1796875" customWidth="1"/>
    <col min="29" max="29" width="11.453125" style="279" customWidth="1"/>
    <col min="30" max="30" width="11.54296875" customWidth="1"/>
    <col min="31" max="31" width="33.1796875" customWidth="1"/>
    <col min="32" max="32" width="29.54296875" customWidth="1"/>
    <col min="33" max="33" width="21.7265625" customWidth="1"/>
    <col min="34" max="34" width="13.54296875" style="44" customWidth="1"/>
    <col min="35" max="35" width="26.54296875" customWidth="1"/>
    <col min="36" max="36" width="17.54296875" customWidth="1"/>
    <col min="37" max="37" width="15.453125" customWidth="1"/>
    <col min="38" max="38" width="11.453125" style="44" customWidth="1"/>
    <col min="39" max="39" width="14.453125" style="44" customWidth="1"/>
    <col min="40" max="40" width="15.81640625" style="44" customWidth="1"/>
    <col min="41" max="41" width="17.453125" style="51" customWidth="1"/>
    <col min="42" max="42" width="29.1796875" style="51" customWidth="1"/>
    <col min="43" max="43" width="25.26953125" style="51" customWidth="1"/>
    <col min="44" max="44" width="13.453125" style="44" customWidth="1"/>
    <col min="45" max="45" width="18.7265625" customWidth="1"/>
    <col min="46" max="46" width="42.453125" style="42" customWidth="1"/>
    <col min="47" max="47" width="24.7265625" customWidth="1"/>
    <col min="48" max="48" width="13" customWidth="1"/>
    <col min="49" max="49" width="10.81640625" customWidth="1"/>
    <col min="50" max="50" width="14.1796875" customWidth="1"/>
    <col min="51" max="51" width="13.81640625" style="44" customWidth="1"/>
    <col min="52" max="52" width="15.26953125" customWidth="1"/>
    <col min="53" max="53" width="13" customWidth="1"/>
    <col min="54" max="54" width="13.54296875" customWidth="1"/>
    <col min="55" max="55" width="23.81640625" customWidth="1"/>
    <col min="56" max="56" width="13.54296875" customWidth="1"/>
    <col min="57" max="57" width="54.26953125" customWidth="1"/>
    <col min="58" max="58" width="11.54296875" customWidth="1"/>
    <col min="59" max="59" width="14.26953125" customWidth="1"/>
    <col min="60" max="60" width="15" customWidth="1"/>
    <col min="61" max="61" width="14" customWidth="1"/>
    <col min="62" max="62" width="12.453125" customWidth="1"/>
    <col min="63" max="63" width="13" customWidth="1"/>
    <col min="64" max="64" width="13.81640625" customWidth="1"/>
    <col min="65" max="65" width="16.54296875" style="45" customWidth="1"/>
    <col min="66" max="66" width="13.81640625" customWidth="1"/>
    <col min="67" max="68" width="16.453125" style="44" customWidth="1"/>
    <col min="69" max="69" width="20.453125" customWidth="1"/>
    <col min="70" max="71" width="9.1796875" customWidth="1"/>
    <col min="72" max="72" width="13.26953125" customWidth="1"/>
    <col min="73" max="73" width="15.81640625" customWidth="1"/>
    <col min="74" max="74" width="12.453125" customWidth="1"/>
    <col min="75" max="75" width="16.54296875" customWidth="1"/>
    <col min="76" max="76" width="15.453125" customWidth="1"/>
    <col min="77" max="77" width="14.453125" customWidth="1"/>
    <col min="78" max="78" width="17.7265625" customWidth="1"/>
    <col min="79" max="79" width="20" customWidth="1"/>
    <col min="80" max="80" width="18.26953125" customWidth="1"/>
    <col min="81" max="81" width="22.81640625" customWidth="1"/>
    <col min="82" max="82" width="21" customWidth="1"/>
    <col min="83" max="83" width="19.26953125" customWidth="1"/>
    <col min="84" max="84" width="17.1796875" customWidth="1"/>
    <col min="85" max="85" width="17.7265625" customWidth="1"/>
    <col min="86" max="86" width="17.1796875" customWidth="1"/>
    <col min="87" max="88" width="17.54296875" customWidth="1"/>
    <col min="89" max="89" width="21.453125" customWidth="1"/>
    <col min="90" max="90" width="13.453125" customWidth="1"/>
    <col min="91" max="95" width="8.81640625" customWidth="1"/>
    <col min="96" max="96" width="14.453125" customWidth="1"/>
    <col min="97" max="97" width="12.54296875" style="49" customWidth="1"/>
    <col min="98" max="99" width="11.54296875" style="49" customWidth="1"/>
    <col min="100" max="100" width="8.81640625" customWidth="1"/>
    <col min="101" max="102" width="12.54296875" style="49" customWidth="1"/>
    <col min="103" max="104" width="8.81640625" customWidth="1"/>
    <col min="105" max="105" width="9.81640625" customWidth="1"/>
    <col min="106" max="106" width="17.54296875" customWidth="1"/>
  </cols>
  <sheetData>
    <row r="1" spans="1:90" s="52" customFormat="1" ht="52.5" customHeight="1" x14ac:dyDescent="0.35">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5" customHeight="1" x14ac:dyDescent="0.35">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5" customHeight="1" x14ac:dyDescent="0.35">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5" customHeight="1" x14ac:dyDescent="0.35">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5" customHeight="1" x14ac:dyDescent="0.35">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5" customHeight="1" x14ac:dyDescent="0.35">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5" customHeight="1" x14ac:dyDescent="0.35">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5" customHeight="1" x14ac:dyDescent="0.35">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5" customHeight="1" x14ac:dyDescent="0.35">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5" customHeight="1" x14ac:dyDescent="0.35">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5" customHeight="1" x14ac:dyDescent="0.35">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5" customHeight="1" x14ac:dyDescent="0.35">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8" customHeight="1" x14ac:dyDescent="0.35">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5" customHeight="1" x14ac:dyDescent="0.35">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5" customHeight="1" x14ac:dyDescent="0.35">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5" customHeight="1" x14ac:dyDescent="0.35">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5" customHeight="1" x14ac:dyDescent="0.35">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5" customHeight="1" x14ac:dyDescent="0.35">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5" customHeight="1" x14ac:dyDescent="0.35">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5" customHeight="1" x14ac:dyDescent="0.35">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5" customHeight="1" x14ac:dyDescent="0.35">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5" customHeight="1" x14ac:dyDescent="0.35">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5" customHeight="1" x14ac:dyDescent="0.35">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5" customHeight="1" x14ac:dyDescent="0.35">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5" customHeight="1" x14ac:dyDescent="0.35">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5" customHeight="1" x14ac:dyDescent="0.35">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5" customHeight="1" x14ac:dyDescent="0.35">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5" customHeight="1" x14ac:dyDescent="0.35">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5" customHeight="1" x14ac:dyDescent="0.35">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5" customHeight="1" x14ac:dyDescent="0.35">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5" customHeight="1" x14ac:dyDescent="0.35">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5" customHeight="1" x14ac:dyDescent="0.35">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5" customHeight="1" x14ac:dyDescent="0.35">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5" customHeight="1" x14ac:dyDescent="0.35">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5" customHeight="1" x14ac:dyDescent="0.35">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5" customHeight="1" x14ac:dyDescent="0.35">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5" customHeight="1" x14ac:dyDescent="0.35">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5" customHeight="1" x14ac:dyDescent="0.35">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5" customHeight="1" x14ac:dyDescent="0.35">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5" customHeight="1" x14ac:dyDescent="0.35">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5" customHeight="1" x14ac:dyDescent="0.35">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5" customHeight="1" x14ac:dyDescent="0.35">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5" customHeight="1" x14ac:dyDescent="0.35">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5" customHeight="1" x14ac:dyDescent="0.35">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5" customHeight="1" x14ac:dyDescent="0.35">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5" customHeight="1" x14ac:dyDescent="0.35">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5" customHeight="1" x14ac:dyDescent="0.35">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5" customHeight="1" x14ac:dyDescent="0.35">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5" customHeight="1" x14ac:dyDescent="0.35">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5" customHeight="1" x14ac:dyDescent="0.35">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5" customHeight="1" x14ac:dyDescent="0.35">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5" customHeight="1" x14ac:dyDescent="0.35">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5" customHeight="1" x14ac:dyDescent="0.35">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5" customHeight="1" x14ac:dyDescent="0.35">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5" customHeight="1" x14ac:dyDescent="0.35">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5" customHeight="1" x14ac:dyDescent="0.35">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5" customHeight="1" x14ac:dyDescent="0.35">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5" customHeight="1" x14ac:dyDescent="0.35">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5" customHeight="1" x14ac:dyDescent="0.35">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5" customHeight="1" x14ac:dyDescent="0.35">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5" customHeight="1" x14ac:dyDescent="0.35">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5" customHeight="1" x14ac:dyDescent="0.35">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5" customHeight="1" x14ac:dyDescent="0.35">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5" customHeight="1" x14ac:dyDescent="0.35">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5" customHeight="1" x14ac:dyDescent="0.35">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5" customHeight="1" x14ac:dyDescent="0.35">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5" customHeight="1" x14ac:dyDescent="0.35">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5" customHeight="1" x14ac:dyDescent="0.35">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5" customHeight="1" x14ac:dyDescent="0.35">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5" customHeight="1" x14ac:dyDescent="0.35">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5" customHeight="1" x14ac:dyDescent="0.35">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5" customHeight="1" x14ac:dyDescent="0.35">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5" customHeight="1" x14ac:dyDescent="0.35">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5" customHeight="1" x14ac:dyDescent="0.35">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5" customHeight="1" x14ac:dyDescent="0.35">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5" customHeight="1" x14ac:dyDescent="0.35">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5" customHeight="1" x14ac:dyDescent="0.35">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5" customHeight="1" x14ac:dyDescent="0.35">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5" customHeight="1" x14ac:dyDescent="0.35">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5" customHeight="1" x14ac:dyDescent="0.35">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5" customHeight="1" x14ac:dyDescent="0.35">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5" customHeight="1" x14ac:dyDescent="0.35">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5" customHeight="1" x14ac:dyDescent="0.35">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5" customHeight="1" x14ac:dyDescent="0.35">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5" customHeight="1" x14ac:dyDescent="0.35">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5" customHeight="1" x14ac:dyDescent="0.35">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5" customHeight="1" x14ac:dyDescent="0.35">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5" customHeight="1" x14ac:dyDescent="0.35">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5" customHeight="1" x14ac:dyDescent="0.35">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5" customHeight="1" x14ac:dyDescent="0.35">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5" customHeight="1" x14ac:dyDescent="0.35">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5" customHeight="1" x14ac:dyDescent="0.35">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5" customHeight="1" x14ac:dyDescent="0.35">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5" customHeight="1" x14ac:dyDescent="0.35">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5" customHeight="1" x14ac:dyDescent="0.35">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5" customHeight="1" x14ac:dyDescent="0.35">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5" customHeight="1" x14ac:dyDescent="0.35">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5" customHeight="1" x14ac:dyDescent="0.35">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5" customHeight="1" x14ac:dyDescent="0.35">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5" customHeight="1" x14ac:dyDescent="0.35">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5" customHeight="1" x14ac:dyDescent="0.35">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5" customHeight="1" x14ac:dyDescent="0.35">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5" customHeight="1" x14ac:dyDescent="0.35">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5" customHeight="1" x14ac:dyDescent="0.35">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5" customHeight="1" x14ac:dyDescent="0.35">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5" customHeight="1" x14ac:dyDescent="0.35">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5" customHeight="1" x14ac:dyDescent="0.35">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5" customHeight="1" x14ac:dyDescent="0.35">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5" customHeight="1" x14ac:dyDescent="0.35">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5" customHeight="1" x14ac:dyDescent="0.35">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5" customHeight="1" x14ac:dyDescent="0.35">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5" customHeight="1" x14ac:dyDescent="0.35">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5" customHeight="1" x14ac:dyDescent="0.35">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5" customHeight="1" x14ac:dyDescent="0.35">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5" customHeight="1" x14ac:dyDescent="0.35">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5" customHeight="1" x14ac:dyDescent="0.35">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5" customHeight="1" x14ac:dyDescent="0.35">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5" customHeight="1" x14ac:dyDescent="0.35">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5" customHeight="1" x14ac:dyDescent="0.35">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5" customHeight="1" x14ac:dyDescent="0.35">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5" customHeight="1" x14ac:dyDescent="0.35">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5" customHeight="1" x14ac:dyDescent="0.35">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5" customHeight="1" x14ac:dyDescent="0.35">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5" customHeight="1" x14ac:dyDescent="0.35">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5" customHeight="1" x14ac:dyDescent="0.35">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5" customHeight="1" x14ac:dyDescent="0.35">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5" customHeight="1" x14ac:dyDescent="0.35">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5" customHeight="1" x14ac:dyDescent="0.35">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5" customHeight="1" x14ac:dyDescent="0.35">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5" customHeight="1" x14ac:dyDescent="0.35">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5" customHeight="1" x14ac:dyDescent="0.35">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5" customHeight="1" x14ac:dyDescent="0.35">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5" customHeight="1" x14ac:dyDescent="0.35">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5" customHeight="1" x14ac:dyDescent="0.35">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5" customHeight="1" x14ac:dyDescent="0.35">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5" customHeight="1" x14ac:dyDescent="0.35">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5" customHeight="1" x14ac:dyDescent="0.35">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5" customHeight="1" x14ac:dyDescent="0.35">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5" customHeight="1" x14ac:dyDescent="0.35">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5" customHeight="1" x14ac:dyDescent="0.35">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5" customHeight="1" x14ac:dyDescent="0.35">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5" customHeight="1" x14ac:dyDescent="0.35">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5" customHeight="1" x14ac:dyDescent="0.35">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5" customHeight="1" x14ac:dyDescent="0.35">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5" customHeight="1" x14ac:dyDescent="0.35">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5" customHeight="1" x14ac:dyDescent="0.35">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5" customHeight="1" x14ac:dyDescent="0.35">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5" customHeight="1" x14ac:dyDescent="0.35">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5" customHeight="1" x14ac:dyDescent="0.35">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5" customHeight="1" x14ac:dyDescent="0.35">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5" customHeight="1" x14ac:dyDescent="0.35">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5" customHeight="1" x14ac:dyDescent="0.35">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5" customHeight="1" x14ac:dyDescent="0.35">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5" customHeight="1" x14ac:dyDescent="0.35">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5" customHeight="1" x14ac:dyDescent="0.35">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5" customHeight="1" x14ac:dyDescent="0.35">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5" customHeight="1" x14ac:dyDescent="0.35">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5" customHeight="1" x14ac:dyDescent="0.35">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5" customHeight="1" x14ac:dyDescent="0.35">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5" customHeight="1" x14ac:dyDescent="0.35">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5" customHeight="1" x14ac:dyDescent="0.35">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5" customHeight="1" x14ac:dyDescent="0.35">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5" customHeight="1" x14ac:dyDescent="0.35">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5" customHeight="1" x14ac:dyDescent="0.35">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5" customHeight="1" x14ac:dyDescent="0.35">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5" customHeight="1" x14ac:dyDescent="0.35">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5" customHeight="1" x14ac:dyDescent="0.35">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5" customHeight="1" x14ac:dyDescent="0.35">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5" customHeight="1" x14ac:dyDescent="0.35">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5" customHeight="1" x14ac:dyDescent="0.35">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5" customHeight="1" x14ac:dyDescent="0.35">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5" customHeight="1" x14ac:dyDescent="0.35">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5" customHeight="1" x14ac:dyDescent="0.35">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5" customHeight="1" x14ac:dyDescent="0.35">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5" customHeight="1" x14ac:dyDescent="0.35">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5" customHeight="1" x14ac:dyDescent="0.35">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5" customHeight="1" x14ac:dyDescent="0.35">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5" customHeight="1" x14ac:dyDescent="0.35">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5" customHeight="1" x14ac:dyDescent="0.35">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5" customHeight="1" x14ac:dyDescent="0.35">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5" customHeight="1" x14ac:dyDescent="0.35">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5" customHeight="1" x14ac:dyDescent="0.35">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5" customHeight="1" x14ac:dyDescent="0.35">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5" customHeight="1" x14ac:dyDescent="0.35">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5" customHeight="1" x14ac:dyDescent="0.35">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5" customHeight="1" x14ac:dyDescent="0.35">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5" customHeight="1" x14ac:dyDescent="0.35">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5" customHeight="1" x14ac:dyDescent="0.35">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5" customHeight="1" x14ac:dyDescent="0.35">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5" customHeight="1" x14ac:dyDescent="0.35">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5" customHeight="1" x14ac:dyDescent="0.35">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5" customHeight="1" x14ac:dyDescent="0.35">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5" customHeight="1" x14ac:dyDescent="0.35">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5" customHeight="1" x14ac:dyDescent="0.35">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5" customHeight="1" x14ac:dyDescent="0.35">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5" customHeight="1" x14ac:dyDescent="0.35">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x14ac:dyDescent="0.35">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5" customHeight="1" x14ac:dyDescent="0.35">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5" customHeight="1" x14ac:dyDescent="0.35">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5" customHeight="1" x14ac:dyDescent="0.35">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5" customHeight="1" x14ac:dyDescent="0.35">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5" customHeight="1" x14ac:dyDescent="0.35">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5" customHeight="1" x14ac:dyDescent="0.35">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5" customHeight="1" x14ac:dyDescent="0.35">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5" customHeight="1" x14ac:dyDescent="0.35">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5" customHeight="1" x14ac:dyDescent="0.35">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5" customHeight="1" x14ac:dyDescent="0.35">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5" customHeight="1" x14ac:dyDescent="0.35">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5" customHeight="1" x14ac:dyDescent="0.35">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5" customHeight="1" x14ac:dyDescent="0.35">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5" customHeight="1" x14ac:dyDescent="0.35">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1" customHeight="1" x14ac:dyDescent="0.35">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x14ac:dyDescent="0.35">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5" customHeight="1" x14ac:dyDescent="0.35">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5" customHeight="1" x14ac:dyDescent="0.35">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5" customHeight="1" x14ac:dyDescent="0.35">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5" customHeight="1" x14ac:dyDescent="0.35">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5" customHeight="1" x14ac:dyDescent="0.35">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5" customHeight="1" x14ac:dyDescent="0.35">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5" customHeight="1" x14ac:dyDescent="0.35">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5" customHeight="1" x14ac:dyDescent="0.35">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5" customHeight="1" x14ac:dyDescent="0.35">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5" customHeight="1" x14ac:dyDescent="0.35">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5" customHeight="1" x14ac:dyDescent="0.35">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5" customHeight="1" x14ac:dyDescent="0.35">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5" customHeight="1" x14ac:dyDescent="0.35">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8" t="s">
        <v>4113</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5" customHeight="1" x14ac:dyDescent="0.35">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392" t="s">
        <v>3296</v>
      </c>
      <c r="S227" s="39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5" customHeight="1" x14ac:dyDescent="0.35">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5" customHeight="1" x14ac:dyDescent="0.35">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5" customHeight="1" x14ac:dyDescent="0.35">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39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5" customHeight="1" x14ac:dyDescent="0.35">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3352</v>
      </c>
      <c r="S231" s="39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5" customHeight="1" x14ac:dyDescent="0.35">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392" t="s">
        <v>3367</v>
      </c>
      <c r="S232" s="39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4114</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5" customHeight="1" x14ac:dyDescent="0.35">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392" t="s">
        <v>3379</v>
      </c>
      <c r="S233" s="39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5" customHeight="1" x14ac:dyDescent="0.35">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5" customHeight="1" x14ac:dyDescent="0.35">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5" customHeight="1" x14ac:dyDescent="0.35">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392" t="s">
        <v>3424</v>
      </c>
      <c r="S236" s="39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5" customHeight="1" x14ac:dyDescent="0.35">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5" customHeight="1" x14ac:dyDescent="0.35">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392" t="s">
        <v>3452</v>
      </c>
      <c r="S238" s="39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5" customHeight="1" x14ac:dyDescent="0.35">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392" t="s">
        <v>3467</v>
      </c>
      <c r="S239" s="39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5" customHeight="1" x14ac:dyDescent="0.35">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392" t="s">
        <v>3480</v>
      </c>
      <c r="S240" s="39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5" customHeight="1" x14ac:dyDescent="0.35">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392" t="s">
        <v>3494</v>
      </c>
      <c r="S241" s="39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5" customHeight="1" x14ac:dyDescent="0.35">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392" t="s">
        <v>3506</v>
      </c>
      <c r="S242" s="39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5" customHeight="1" x14ac:dyDescent="0.35">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392" t="s">
        <v>3520</v>
      </c>
      <c r="S243" s="39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5" customHeight="1" x14ac:dyDescent="0.35">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5" customHeight="1" x14ac:dyDescent="0.35">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3547</v>
      </c>
      <c r="S245" s="39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5" customHeight="1" x14ac:dyDescent="0.35">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486" t="s">
        <v>3558</v>
      </c>
      <c r="S246" s="486"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x14ac:dyDescent="0.35">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x14ac:dyDescent="0.35">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x14ac:dyDescent="0.35">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x14ac:dyDescent="0.35">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x14ac:dyDescent="0.35">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x14ac:dyDescent="0.35">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x14ac:dyDescent="0.35">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x14ac:dyDescent="0.35">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x14ac:dyDescent="0.35">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x14ac:dyDescent="0.35">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x14ac:dyDescent="0.35">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x14ac:dyDescent="0.35">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x14ac:dyDescent="0.35">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x14ac:dyDescent="0.35">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x14ac:dyDescent="0.35">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x14ac:dyDescent="0.35">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x14ac:dyDescent="0.35">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x14ac:dyDescent="0.35">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x14ac:dyDescent="0.35">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x14ac:dyDescent="0.35">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x14ac:dyDescent="0.35">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x14ac:dyDescent="0.35">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x14ac:dyDescent="0.35">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x14ac:dyDescent="0.35">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x14ac:dyDescent="0.35">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x14ac:dyDescent="0.35">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x14ac:dyDescent="0.35">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x14ac:dyDescent="0.35">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x14ac:dyDescent="0.35">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x14ac:dyDescent="0.35">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x14ac:dyDescent="0.35">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x14ac:dyDescent="0.35">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x14ac:dyDescent="0.35">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x14ac:dyDescent="0.35">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x14ac:dyDescent="0.35">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x14ac:dyDescent="0.35">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x14ac:dyDescent="0.35">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x14ac:dyDescent="0.35">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x14ac:dyDescent="0.35">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x14ac:dyDescent="0.35">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x14ac:dyDescent="0.35">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x14ac:dyDescent="0.35">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x14ac:dyDescent="0.35">
      <c r="A296" s="46" t="s">
        <v>4045</v>
      </c>
      <c r="B296" s="46" t="s">
        <v>15</v>
      </c>
    </row>
    <row r="297" spans="1:2" ht="15" customHeight="1" x14ac:dyDescent="0.35">
      <c r="A297" s="1"/>
      <c r="B297" s="24">
        <v>1</v>
      </c>
    </row>
    <row r="298" spans="1:2" ht="15" customHeight="1" x14ac:dyDescent="0.35">
      <c r="A298" s="11"/>
      <c r="B298" s="24">
        <v>2</v>
      </c>
    </row>
    <row r="299" spans="1:2" ht="15" customHeight="1" x14ac:dyDescent="0.35">
      <c r="A299" s="17"/>
      <c r="B299" s="24">
        <v>3</v>
      </c>
    </row>
    <row r="300" spans="1:2" ht="15" customHeight="1" x14ac:dyDescent="0.35">
      <c r="A300" s="26"/>
      <c r="B300" s="24">
        <v>4</v>
      </c>
    </row>
    <row r="301" spans="1:2" ht="15" customHeight="1" x14ac:dyDescent="0.35">
      <c r="A301" s="30"/>
      <c r="B301" s="24">
        <v>5</v>
      </c>
    </row>
    <row r="302" spans="1:2" ht="15" customHeight="1" x14ac:dyDescent="0.35">
      <c r="A302" s="36"/>
      <c r="B302" s="24">
        <v>6</v>
      </c>
    </row>
    <row r="303" spans="1:2" ht="15" customHeight="1" x14ac:dyDescent="0.35">
      <c r="A303" s="39"/>
      <c r="B303" s="24">
        <v>7</v>
      </c>
    </row>
    <row r="304" spans="1:2" ht="15" customHeight="1" x14ac:dyDescent="0.35">
      <c r="A304" s="26"/>
      <c r="B304" s="24">
        <v>8</v>
      </c>
    </row>
    <row r="305" spans="1:2" ht="15" customHeight="1" x14ac:dyDescent="0.35">
      <c r="A305" s="11"/>
      <c r="B305" s="24">
        <v>9</v>
      </c>
    </row>
    <row r="306" spans="1:2" ht="15" customHeight="1" x14ac:dyDescent="0.35">
      <c r="A306" s="40"/>
      <c r="B306" s="24">
        <v>10</v>
      </c>
    </row>
    <row r="307" spans="1:2" ht="15" customHeight="1" x14ac:dyDescent="0.35">
      <c r="A307" s="40"/>
      <c r="B307" s="24">
        <v>11</v>
      </c>
    </row>
    <row r="308" spans="1:2" ht="15" customHeight="1" x14ac:dyDescent="0.35">
      <c r="A308" s="10"/>
      <c r="B308" s="47" t="s">
        <v>18</v>
      </c>
    </row>
    <row r="309" spans="1:2" ht="15" customHeight="1" x14ac:dyDescent="0.35">
      <c r="A309" s="55"/>
      <c r="B309" s="47" t="s">
        <v>4046</v>
      </c>
    </row>
    <row r="310" spans="1:2" ht="15" customHeight="1" x14ac:dyDescent="0.35">
      <c r="A310" s="24" t="s">
        <v>168</v>
      </c>
      <c r="B310" s="47" t="s">
        <v>4047</v>
      </c>
    </row>
    <row r="311" spans="1:2" ht="15" customHeight="1" x14ac:dyDescent="0.35">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s>
  <pageMargins left="0.7" right="0.7" top="0.75" bottom="0.75" header="0.3" footer="0.3"/>
  <pageSetup orientation="portrait" r:id="rId196"/>
  <legacyDrawing r:id="rId1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5" x14ac:dyDescent="0.35"/>
  <cols>
    <col min="1" max="1" width="4.54296875" customWidth="1"/>
    <col min="2" max="2" width="24.453125" customWidth="1"/>
    <col min="3" max="3" width="27.1796875" customWidth="1"/>
    <col min="4" max="4" width="9.26953125" customWidth="1"/>
    <col min="5" max="5" width="10.7265625" customWidth="1"/>
    <col min="6" max="6" width="19.7265625" customWidth="1"/>
    <col min="7" max="7" width="19.54296875" customWidth="1"/>
    <col min="8" max="8" width="11.453125" customWidth="1"/>
    <col min="9" max="9" width="28.7265625" customWidth="1"/>
    <col min="10" max="10" width="51.1796875" customWidth="1"/>
    <col min="11" max="11" width="61.1796875" customWidth="1"/>
  </cols>
  <sheetData>
    <row r="1" spans="1:10" ht="28.5" customHeight="1" x14ac:dyDescent="0.35">
      <c r="A1" s="61" t="s">
        <v>4049</v>
      </c>
      <c r="B1" s="62" t="s">
        <v>4050</v>
      </c>
      <c r="C1" s="62" t="s">
        <v>4051</v>
      </c>
      <c r="D1" s="62" t="s">
        <v>29</v>
      </c>
      <c r="E1" s="63" t="s">
        <v>15</v>
      </c>
      <c r="F1" s="63" t="s">
        <v>4052</v>
      </c>
      <c r="G1" s="64" t="s">
        <v>4053</v>
      </c>
      <c r="H1" s="64" t="s">
        <v>4054</v>
      </c>
      <c r="I1" s="65" t="s">
        <v>4055</v>
      </c>
      <c r="J1" s="66" t="s">
        <v>4056</v>
      </c>
    </row>
    <row r="2" spans="1:10" ht="25" customHeight="1" x14ac:dyDescent="0.35">
      <c r="A2" s="24">
        <v>1</v>
      </c>
      <c r="B2" s="24" t="s">
        <v>4057</v>
      </c>
      <c r="C2" s="24" t="s">
        <v>4058</v>
      </c>
      <c r="D2" s="24" t="s">
        <v>25</v>
      </c>
      <c r="E2" s="67">
        <v>3</v>
      </c>
      <c r="F2" s="67"/>
      <c r="G2" s="67">
        <v>2014</v>
      </c>
      <c r="H2" s="67">
        <v>2014</v>
      </c>
      <c r="I2" s="24" t="s">
        <v>4059</v>
      </c>
      <c r="J2" s="24"/>
    </row>
    <row r="3" spans="1:10" ht="25" customHeight="1" x14ac:dyDescent="0.35">
      <c r="A3" s="24">
        <v>2</v>
      </c>
      <c r="B3" s="24" t="s">
        <v>4060</v>
      </c>
      <c r="C3" s="24" t="s">
        <v>40</v>
      </c>
      <c r="D3" s="24" t="s">
        <v>25</v>
      </c>
      <c r="E3" s="67">
        <v>3</v>
      </c>
      <c r="F3" s="67"/>
      <c r="G3" s="67">
        <v>2016</v>
      </c>
      <c r="H3" s="67">
        <v>2016</v>
      </c>
      <c r="I3" s="24" t="s">
        <v>4059</v>
      </c>
      <c r="J3" s="24"/>
    </row>
    <row r="4" spans="1:10" ht="25" customHeight="1" x14ac:dyDescent="0.35">
      <c r="A4" s="24">
        <v>3</v>
      </c>
      <c r="B4" s="24" t="s">
        <v>4061</v>
      </c>
      <c r="C4" s="24" t="s">
        <v>42</v>
      </c>
      <c r="D4" s="24" t="s">
        <v>25</v>
      </c>
      <c r="E4" s="67">
        <v>1</v>
      </c>
      <c r="F4" s="67" t="s">
        <v>150</v>
      </c>
      <c r="G4" s="68">
        <v>42583</v>
      </c>
      <c r="H4" s="67">
        <v>2016</v>
      </c>
      <c r="I4" s="24" t="s">
        <v>4059</v>
      </c>
      <c r="J4" s="24"/>
    </row>
    <row r="5" spans="1:10" ht="25" customHeight="1" x14ac:dyDescent="0.35">
      <c r="A5" s="24">
        <v>4</v>
      </c>
      <c r="B5" s="24" t="s">
        <v>4062</v>
      </c>
      <c r="C5" s="24" t="s">
        <v>42</v>
      </c>
      <c r="D5" s="24" t="s">
        <v>24</v>
      </c>
      <c r="E5" s="67">
        <v>2</v>
      </c>
      <c r="F5" s="67" t="s">
        <v>4063</v>
      </c>
      <c r="G5" s="67" t="s">
        <v>4064</v>
      </c>
      <c r="H5" s="67">
        <v>2016</v>
      </c>
      <c r="I5" s="24" t="s">
        <v>4065</v>
      </c>
      <c r="J5" s="24"/>
    </row>
    <row r="6" spans="1:10" ht="25" customHeight="1" x14ac:dyDescent="0.35">
      <c r="A6" s="24">
        <v>5</v>
      </c>
      <c r="B6" s="24" t="s">
        <v>4066</v>
      </c>
      <c r="C6" s="24" t="s">
        <v>43</v>
      </c>
      <c r="D6" s="24" t="s">
        <v>25</v>
      </c>
      <c r="E6" s="67">
        <v>7</v>
      </c>
      <c r="F6" s="67" t="s">
        <v>4067</v>
      </c>
      <c r="G6" s="67">
        <v>2017</v>
      </c>
      <c r="H6" s="67">
        <v>2017</v>
      </c>
      <c r="I6" s="24" t="s">
        <v>4059</v>
      </c>
      <c r="J6" s="24"/>
    </row>
    <row r="7" spans="1:10" ht="25" customHeight="1" x14ac:dyDescent="0.35">
      <c r="A7" s="24">
        <v>6</v>
      </c>
      <c r="B7" s="24" t="s">
        <v>4068</v>
      </c>
      <c r="C7" s="24" t="s">
        <v>46</v>
      </c>
      <c r="D7" s="24" t="s">
        <v>25</v>
      </c>
      <c r="E7" s="67">
        <v>5</v>
      </c>
      <c r="F7" s="67" t="s">
        <v>4069</v>
      </c>
      <c r="G7" s="67">
        <v>2017</v>
      </c>
      <c r="H7" s="67">
        <v>2017</v>
      </c>
      <c r="I7" s="24" t="s">
        <v>4070</v>
      </c>
      <c r="J7" s="24"/>
    </row>
    <row r="8" spans="1:10" ht="25" customHeight="1" x14ac:dyDescent="0.35">
      <c r="A8" s="24">
        <v>7</v>
      </c>
      <c r="B8" s="24" t="s">
        <v>4071</v>
      </c>
      <c r="C8" s="24" t="s">
        <v>42</v>
      </c>
      <c r="D8" s="24" t="s">
        <v>24</v>
      </c>
      <c r="E8" s="67">
        <v>5</v>
      </c>
      <c r="F8" s="67" t="s">
        <v>4069</v>
      </c>
      <c r="G8" s="67">
        <v>2018</v>
      </c>
      <c r="H8" s="67">
        <v>2018</v>
      </c>
      <c r="I8" s="24" t="s">
        <v>4059</v>
      </c>
      <c r="J8" s="24"/>
    </row>
    <row r="9" spans="1:10" ht="25" customHeight="1" x14ac:dyDescent="0.35">
      <c r="A9" s="24">
        <v>8</v>
      </c>
      <c r="B9" s="24" t="s">
        <v>4072</v>
      </c>
      <c r="C9" s="24" t="s">
        <v>37</v>
      </c>
      <c r="D9" s="24" t="s">
        <v>25</v>
      </c>
      <c r="E9" s="67">
        <v>6</v>
      </c>
      <c r="F9" s="67"/>
      <c r="G9" s="67">
        <v>2018</v>
      </c>
      <c r="H9" s="67">
        <v>2018</v>
      </c>
      <c r="I9" s="24" t="s">
        <v>4059</v>
      </c>
      <c r="J9" s="24"/>
    </row>
    <row r="10" spans="1:10" ht="25" customHeight="1" x14ac:dyDescent="0.35">
      <c r="A10" s="24">
        <v>9</v>
      </c>
      <c r="B10" s="24" t="s">
        <v>4073</v>
      </c>
      <c r="C10" s="24" t="s">
        <v>41</v>
      </c>
      <c r="D10" s="24" t="s">
        <v>25</v>
      </c>
      <c r="E10" s="67">
        <v>5</v>
      </c>
      <c r="F10" s="67" t="s">
        <v>157</v>
      </c>
      <c r="G10" s="67">
        <v>2018</v>
      </c>
      <c r="H10" s="67">
        <v>2018</v>
      </c>
      <c r="I10" s="24" t="s">
        <v>4059</v>
      </c>
      <c r="J10" s="24"/>
    </row>
    <row r="11" spans="1:10" ht="25" customHeight="1" x14ac:dyDescent="0.35">
      <c r="A11" s="24">
        <v>10</v>
      </c>
      <c r="B11" s="24" t="s">
        <v>4074</v>
      </c>
      <c r="C11" s="24" t="s">
        <v>42</v>
      </c>
      <c r="D11" s="24" t="s">
        <v>24</v>
      </c>
      <c r="E11" s="67">
        <v>1</v>
      </c>
      <c r="F11" s="67" t="s">
        <v>4075</v>
      </c>
      <c r="G11" s="67" t="s">
        <v>4076</v>
      </c>
      <c r="H11" s="67"/>
      <c r="I11" s="24" t="s">
        <v>4059</v>
      </c>
      <c r="J11" s="24"/>
    </row>
    <row r="12" spans="1:10" ht="25" customHeight="1" x14ac:dyDescent="0.35">
      <c r="A12" s="24">
        <v>11</v>
      </c>
      <c r="B12" s="24" t="s">
        <v>4077</v>
      </c>
      <c r="C12" s="24" t="s">
        <v>41</v>
      </c>
      <c r="D12" s="24" t="s">
        <v>24</v>
      </c>
      <c r="E12" s="67">
        <v>1</v>
      </c>
      <c r="F12" s="67" t="s">
        <v>4078</v>
      </c>
      <c r="G12" s="67" t="s">
        <v>4076</v>
      </c>
      <c r="H12" s="67"/>
      <c r="I12" s="24" t="s">
        <v>4059</v>
      </c>
      <c r="J12" s="24"/>
    </row>
    <row r="13" spans="1:10" ht="25" customHeight="1" x14ac:dyDescent="0.35">
      <c r="A13" s="24">
        <v>12</v>
      </c>
      <c r="B13" s="24" t="s">
        <v>4079</v>
      </c>
      <c r="C13" s="24" t="s">
        <v>46</v>
      </c>
      <c r="D13" s="24" t="s">
        <v>25</v>
      </c>
      <c r="E13" s="67">
        <v>4</v>
      </c>
      <c r="F13" s="67"/>
      <c r="G13" s="69">
        <v>43867</v>
      </c>
      <c r="H13" s="67">
        <v>2020</v>
      </c>
      <c r="I13" s="24" t="s">
        <v>4059</v>
      </c>
      <c r="J13" s="24"/>
    </row>
    <row r="14" spans="1:10" ht="25" customHeight="1" x14ac:dyDescent="0.35">
      <c r="A14" s="24">
        <v>13</v>
      </c>
      <c r="B14" s="24" t="s">
        <v>4080</v>
      </c>
      <c r="C14" s="24" t="s">
        <v>35</v>
      </c>
      <c r="D14" s="24" t="s">
        <v>24</v>
      </c>
      <c r="E14" s="67">
        <v>8</v>
      </c>
      <c r="F14" s="67"/>
      <c r="G14" s="69">
        <v>43867</v>
      </c>
      <c r="H14" s="67">
        <v>2020</v>
      </c>
      <c r="I14" s="24" t="s">
        <v>4081</v>
      </c>
      <c r="J14" s="70" t="s">
        <v>4082</v>
      </c>
    </row>
    <row r="15" spans="1:10" ht="25" customHeight="1" x14ac:dyDescent="0.35">
      <c r="A15" s="24">
        <v>14</v>
      </c>
      <c r="B15" s="24" t="s">
        <v>4083</v>
      </c>
      <c r="C15" s="24" t="s">
        <v>35</v>
      </c>
      <c r="D15" s="24" t="s">
        <v>25</v>
      </c>
      <c r="E15" s="67">
        <v>5</v>
      </c>
      <c r="F15" s="67"/>
      <c r="G15" s="69">
        <v>43930</v>
      </c>
      <c r="H15" s="67">
        <v>2020</v>
      </c>
      <c r="I15" s="24" t="s">
        <v>4059</v>
      </c>
      <c r="J15" s="70"/>
    </row>
    <row r="16" spans="1:10" ht="25" customHeight="1" x14ac:dyDescent="0.35">
      <c r="A16" s="24">
        <v>15</v>
      </c>
      <c r="B16" s="24" t="s">
        <v>4084</v>
      </c>
      <c r="C16" s="24" t="s">
        <v>38</v>
      </c>
      <c r="D16" s="24" t="s">
        <v>25</v>
      </c>
      <c r="E16" s="67">
        <v>7</v>
      </c>
      <c r="F16" s="67"/>
      <c r="G16" s="69">
        <v>43930</v>
      </c>
      <c r="H16" s="67">
        <v>2020</v>
      </c>
      <c r="I16" s="24" t="s">
        <v>4059</v>
      </c>
      <c r="J16" s="70" t="s">
        <v>4085</v>
      </c>
    </row>
    <row r="17" spans="1:10" ht="25" customHeight="1" x14ac:dyDescent="0.35">
      <c r="A17" s="24">
        <v>16</v>
      </c>
      <c r="B17" s="24" t="s">
        <v>4086</v>
      </c>
      <c r="C17" s="24" t="s">
        <v>42</v>
      </c>
      <c r="D17" s="24" t="s">
        <v>24</v>
      </c>
      <c r="E17" s="67">
        <v>7</v>
      </c>
      <c r="F17" s="67"/>
      <c r="G17" s="69">
        <v>44214</v>
      </c>
      <c r="H17" s="67">
        <v>2021</v>
      </c>
      <c r="I17" s="24" t="s">
        <v>4087</v>
      </c>
      <c r="J17" s="70" t="s">
        <v>4088</v>
      </c>
    </row>
    <row r="18" spans="1:10" ht="25" customHeight="1" x14ac:dyDescent="0.35">
      <c r="A18" s="24">
        <v>17</v>
      </c>
      <c r="B18" s="24" t="s">
        <v>4089</v>
      </c>
      <c r="C18" s="24" t="s">
        <v>46</v>
      </c>
      <c r="D18" s="24" t="s">
        <v>25</v>
      </c>
      <c r="E18" s="67">
        <v>8</v>
      </c>
      <c r="F18" s="67"/>
      <c r="G18" s="69">
        <v>44400</v>
      </c>
      <c r="H18" s="67">
        <v>2021</v>
      </c>
      <c r="I18" s="24" t="s">
        <v>4059</v>
      </c>
      <c r="J18" s="70" t="s">
        <v>4090</v>
      </c>
    </row>
    <row r="19" spans="1:10" ht="25" customHeight="1" x14ac:dyDescent="0.35">
      <c r="A19" s="24">
        <v>18</v>
      </c>
      <c r="B19" s="24" t="s">
        <v>4091</v>
      </c>
      <c r="C19" s="24" t="s">
        <v>35</v>
      </c>
      <c r="D19" s="24" t="s">
        <v>25</v>
      </c>
      <c r="E19" s="67">
        <v>8</v>
      </c>
      <c r="F19" s="67"/>
      <c r="G19" s="69">
        <v>44651</v>
      </c>
      <c r="H19" s="67">
        <v>2022</v>
      </c>
      <c r="I19" s="24" t="s">
        <v>4092</v>
      </c>
      <c r="J19" s="70" t="s">
        <v>4093</v>
      </c>
    </row>
    <row r="20" spans="1:10" ht="25" customHeight="1" x14ac:dyDescent="0.35">
      <c r="A20" s="24">
        <v>19</v>
      </c>
      <c r="B20" s="24" t="s">
        <v>4094</v>
      </c>
      <c r="C20" s="24" t="s">
        <v>42</v>
      </c>
      <c r="D20" s="24" t="s">
        <v>24</v>
      </c>
      <c r="E20" s="67">
        <v>9</v>
      </c>
      <c r="F20" s="67"/>
      <c r="G20" s="69">
        <v>44818</v>
      </c>
      <c r="H20" s="67">
        <v>2022</v>
      </c>
      <c r="I20" s="24" t="s">
        <v>4087</v>
      </c>
      <c r="J20" s="70" t="s">
        <v>4095</v>
      </c>
    </row>
    <row r="21" spans="1:10" ht="25" customHeight="1" x14ac:dyDescent="0.35">
      <c r="A21" s="24">
        <v>20</v>
      </c>
      <c r="B21" s="24" t="s">
        <v>4096</v>
      </c>
      <c r="C21" s="24" t="s">
        <v>35</v>
      </c>
      <c r="D21" s="24" t="s">
        <v>24</v>
      </c>
      <c r="E21" s="67">
        <v>9</v>
      </c>
      <c r="F21" s="67"/>
      <c r="G21" s="69">
        <v>44818</v>
      </c>
      <c r="H21" s="67">
        <v>2022</v>
      </c>
      <c r="I21" s="24" t="s">
        <v>4059</v>
      </c>
      <c r="J21" s="70" t="s">
        <v>4097</v>
      </c>
    </row>
    <row r="22" spans="1:10" ht="25" customHeight="1" x14ac:dyDescent="0.35">
      <c r="A22" s="24">
        <v>21</v>
      </c>
      <c r="B22" s="24" t="s">
        <v>4098</v>
      </c>
      <c r="C22" s="24" t="s">
        <v>35</v>
      </c>
      <c r="D22" s="24" t="s">
        <v>25</v>
      </c>
      <c r="E22" s="67">
        <v>10</v>
      </c>
      <c r="F22" s="67"/>
      <c r="G22" s="69">
        <v>45107</v>
      </c>
      <c r="H22" s="67">
        <v>2023</v>
      </c>
      <c r="I22" s="24" t="s">
        <v>4059</v>
      </c>
      <c r="J22" s="70" t="s">
        <v>4099</v>
      </c>
    </row>
    <row r="23" spans="1:10" ht="25" customHeight="1" x14ac:dyDescent="0.35">
      <c r="A23" s="24">
        <v>22</v>
      </c>
      <c r="B23" s="24" t="s">
        <v>4100</v>
      </c>
      <c r="C23" s="24" t="s">
        <v>4058</v>
      </c>
      <c r="D23" s="24"/>
      <c r="E23" s="67">
        <v>2</v>
      </c>
      <c r="F23" s="67"/>
      <c r="G23" s="69">
        <v>45741</v>
      </c>
      <c r="H23" s="67">
        <v>2025</v>
      </c>
      <c r="I23" s="70" t="s">
        <v>4101</v>
      </c>
      <c r="J23" s="70"/>
    </row>
    <row r="24" spans="1:10" ht="25" customHeight="1" x14ac:dyDescent="0.35">
      <c r="A24" s="24">
        <v>23</v>
      </c>
      <c r="B24" s="24" t="s">
        <v>4102</v>
      </c>
      <c r="C24" s="24" t="s">
        <v>4058</v>
      </c>
      <c r="D24" s="24"/>
      <c r="E24" s="67">
        <v>2</v>
      </c>
      <c r="F24" s="67"/>
      <c r="G24" s="69">
        <v>45741</v>
      </c>
      <c r="H24" s="67">
        <v>2025</v>
      </c>
      <c r="I24" s="70" t="s">
        <v>4103</v>
      </c>
      <c r="J24" s="70"/>
    </row>
    <row r="25" spans="1:10" ht="25" customHeight="1" x14ac:dyDescent="0.35">
      <c r="A25" s="24">
        <v>24</v>
      </c>
      <c r="B25" s="24" t="s">
        <v>4104</v>
      </c>
      <c r="C25" s="24" t="s">
        <v>4058</v>
      </c>
      <c r="D25" s="24"/>
      <c r="E25" s="67">
        <v>3</v>
      </c>
      <c r="F25" s="67"/>
      <c r="G25" s="69">
        <v>45741</v>
      </c>
      <c r="H25" s="67">
        <v>2025</v>
      </c>
      <c r="I25" s="70" t="s">
        <v>4105</v>
      </c>
      <c r="J25" s="70"/>
    </row>
    <row r="26" spans="1:10" ht="25" customHeight="1" x14ac:dyDescent="0.35">
      <c r="A26" s="24">
        <v>25</v>
      </c>
      <c r="B26" s="24" t="s">
        <v>4106</v>
      </c>
      <c r="C26" s="24" t="s">
        <v>4058</v>
      </c>
      <c r="D26" s="24"/>
      <c r="E26" s="67">
        <v>5</v>
      </c>
      <c r="F26" s="67"/>
      <c r="G26" s="69">
        <v>45741</v>
      </c>
      <c r="H26" s="67">
        <v>2025</v>
      </c>
      <c r="I26" s="70" t="s">
        <v>4107</v>
      </c>
      <c r="J26" s="70"/>
    </row>
    <row r="27" spans="1:10" x14ac:dyDescent="0.35">
      <c r="A27" s="24">
        <v>26</v>
      </c>
      <c r="B27" s="24" t="s">
        <v>4108</v>
      </c>
      <c r="C27" s="24" t="s">
        <v>43</v>
      </c>
      <c r="D27" s="24" t="s">
        <v>25</v>
      </c>
      <c r="E27" s="67">
        <v>11</v>
      </c>
      <c r="F27" s="67"/>
      <c r="G27" s="69" t="s">
        <v>3816</v>
      </c>
      <c r="H27" s="67">
        <v>2025</v>
      </c>
      <c r="I27" s="24" t="s">
        <v>4109</v>
      </c>
      <c r="J27" s="24" t="s">
        <v>4110</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5" x14ac:dyDescent="0.35"/>
  <cols>
    <col min="5" max="5" width="41.81640625" customWidth="1"/>
    <col min="6" max="6" width="10.81640625" customWidth="1"/>
    <col min="7" max="7" width="5.7265625" customWidth="1"/>
    <col min="8" max="8" width="11.7265625" bestFit="1" customWidth="1"/>
    <col min="9" max="9" width="9.26953125" bestFit="1" customWidth="1"/>
    <col min="10" max="10" width="10.7265625" bestFit="1" customWidth="1"/>
  </cols>
  <sheetData>
    <row r="2" spans="5:8" x14ac:dyDescent="0.35">
      <c r="E2" s="54" t="s">
        <v>120</v>
      </c>
      <c r="F2" t="s">
        <v>4111</v>
      </c>
    </row>
    <row r="4" spans="5:8" x14ac:dyDescent="0.35">
      <c r="E4" s="54" t="s">
        <v>13</v>
      </c>
      <c r="F4" s="54" t="s">
        <v>29</v>
      </c>
      <c r="G4" s="54" t="s">
        <v>14</v>
      </c>
    </row>
    <row r="5" spans="5:8" x14ac:dyDescent="0.35">
      <c r="F5" t="s">
        <v>24</v>
      </c>
      <c r="G5" t="s">
        <v>4112</v>
      </c>
      <c r="H5" t="s">
        <v>19</v>
      </c>
    </row>
    <row r="6" spans="5:8" x14ac:dyDescent="0.35">
      <c r="E6" s="54" t="s">
        <v>34</v>
      </c>
      <c r="F6" t="s">
        <v>16</v>
      </c>
    </row>
    <row r="7" spans="5:8" x14ac:dyDescent="0.35">
      <c r="E7" t="s">
        <v>37</v>
      </c>
      <c r="F7">
        <v>1</v>
      </c>
      <c r="G7">
        <v>1</v>
      </c>
      <c r="H7">
        <v>1</v>
      </c>
    </row>
    <row r="8" spans="5:8" x14ac:dyDescent="0.35">
      <c r="E8" t="s">
        <v>39</v>
      </c>
      <c r="F8">
        <v>1</v>
      </c>
      <c r="G8">
        <v>1</v>
      </c>
      <c r="H8">
        <v>1</v>
      </c>
    </row>
    <row r="9" spans="5:8" x14ac:dyDescent="0.35">
      <c r="E9" t="s">
        <v>31</v>
      </c>
      <c r="F9">
        <v>1</v>
      </c>
      <c r="G9">
        <v>1</v>
      </c>
      <c r="H9">
        <v>1</v>
      </c>
    </row>
    <row r="10" spans="5:8" x14ac:dyDescent="0.35">
      <c r="E10" t="s">
        <v>42</v>
      </c>
      <c r="F10">
        <v>1</v>
      </c>
      <c r="G10">
        <v>1</v>
      </c>
      <c r="H10">
        <v>1</v>
      </c>
    </row>
    <row r="11" spans="5:8" x14ac:dyDescent="0.35">
      <c r="E11" t="s">
        <v>45</v>
      </c>
      <c r="F11">
        <v>2</v>
      </c>
      <c r="G11">
        <v>2</v>
      </c>
      <c r="H11">
        <v>2</v>
      </c>
    </row>
    <row r="12" spans="5:8" x14ac:dyDescent="0.35">
      <c r="E12" t="s">
        <v>19</v>
      </c>
      <c r="F12">
        <v>6</v>
      </c>
      <c r="G12">
        <v>6</v>
      </c>
      <c r="H12">
        <v>6</v>
      </c>
    </row>
    <row r="24" spans="5:8" x14ac:dyDescent="0.35">
      <c r="E24" s="54" t="s">
        <v>14</v>
      </c>
      <c r="F24" t="s">
        <v>30</v>
      </c>
    </row>
    <row r="26" spans="5:8" x14ac:dyDescent="0.35">
      <c r="E26" s="54" t="s">
        <v>21</v>
      </c>
      <c r="F26" s="54" t="s">
        <v>29</v>
      </c>
    </row>
    <row r="27" spans="5:8" x14ac:dyDescent="0.35">
      <c r="E27" s="54" t="s">
        <v>34</v>
      </c>
      <c r="F27" t="s">
        <v>24</v>
      </c>
      <c r="G27" t="s">
        <v>25</v>
      </c>
      <c r="H27" t="s">
        <v>19</v>
      </c>
    </row>
    <row r="28" spans="5:8" x14ac:dyDescent="0.35">
      <c r="E28" t="s">
        <v>36</v>
      </c>
      <c r="G28">
        <v>2</v>
      </c>
      <c r="H28">
        <v>2</v>
      </c>
    </row>
    <row r="29" spans="5:8" x14ac:dyDescent="0.35">
      <c r="E29" t="s">
        <v>38</v>
      </c>
      <c r="F29">
        <v>1</v>
      </c>
      <c r="G29">
        <v>4</v>
      </c>
      <c r="H29">
        <v>5</v>
      </c>
    </row>
    <row r="30" spans="5:8" x14ac:dyDescent="0.35">
      <c r="E30" t="s">
        <v>40</v>
      </c>
      <c r="F30">
        <v>6</v>
      </c>
      <c r="G30">
        <v>3</v>
      </c>
      <c r="H30">
        <v>9</v>
      </c>
    </row>
    <row r="31" spans="5:8" x14ac:dyDescent="0.35">
      <c r="E31" t="s">
        <v>35</v>
      </c>
      <c r="F31">
        <v>11</v>
      </c>
      <c r="G31">
        <v>16</v>
      </c>
      <c r="H31">
        <v>27</v>
      </c>
    </row>
    <row r="32" spans="5:8" x14ac:dyDescent="0.35">
      <c r="E32" t="s">
        <v>37</v>
      </c>
      <c r="F32">
        <v>16</v>
      </c>
      <c r="G32">
        <v>5</v>
      </c>
      <c r="H32">
        <v>21</v>
      </c>
    </row>
    <row r="33" spans="5:8" x14ac:dyDescent="0.35">
      <c r="E33" t="s">
        <v>39</v>
      </c>
      <c r="F33">
        <v>18</v>
      </c>
      <c r="G33">
        <v>15</v>
      </c>
      <c r="H33">
        <v>33</v>
      </c>
    </row>
    <row r="34" spans="5:8" x14ac:dyDescent="0.35">
      <c r="E34" t="s">
        <v>41</v>
      </c>
      <c r="F34">
        <v>3</v>
      </c>
      <c r="G34">
        <v>3</v>
      </c>
      <c r="H34">
        <v>6</v>
      </c>
    </row>
    <row r="35" spans="5:8" x14ac:dyDescent="0.35">
      <c r="E35" t="s">
        <v>31</v>
      </c>
      <c r="F35">
        <v>23</v>
      </c>
      <c r="G35">
        <v>16</v>
      </c>
      <c r="H35">
        <v>39</v>
      </c>
    </row>
    <row r="36" spans="5:8" x14ac:dyDescent="0.35">
      <c r="E36" t="s">
        <v>46</v>
      </c>
      <c r="F36">
        <v>12</v>
      </c>
      <c r="G36">
        <v>21</v>
      </c>
      <c r="H36">
        <v>33</v>
      </c>
    </row>
    <row r="37" spans="5:8" x14ac:dyDescent="0.35">
      <c r="E37" t="s">
        <v>42</v>
      </c>
      <c r="F37">
        <v>23</v>
      </c>
      <c r="G37">
        <v>7</v>
      </c>
      <c r="H37">
        <v>30</v>
      </c>
    </row>
    <row r="38" spans="5:8" x14ac:dyDescent="0.35">
      <c r="E38" t="s">
        <v>43</v>
      </c>
      <c r="F38">
        <v>11</v>
      </c>
      <c r="G38">
        <v>16</v>
      </c>
      <c r="H38">
        <v>27</v>
      </c>
    </row>
    <row r="39" spans="5:8" x14ac:dyDescent="0.35">
      <c r="E39" t="s">
        <v>45</v>
      </c>
      <c r="F39">
        <v>22</v>
      </c>
      <c r="G39">
        <v>9</v>
      </c>
      <c r="H39">
        <v>31</v>
      </c>
    </row>
    <row r="40" spans="5:8" x14ac:dyDescent="0.35">
      <c r="E40" t="s">
        <v>47</v>
      </c>
      <c r="F40">
        <v>1</v>
      </c>
      <c r="G40">
        <v>1</v>
      </c>
      <c r="H40">
        <v>2</v>
      </c>
    </row>
    <row r="41" spans="5:8" x14ac:dyDescent="0.35">
      <c r="E41" t="s">
        <v>19</v>
      </c>
      <c r="F41">
        <v>147</v>
      </c>
      <c r="G41">
        <v>118</v>
      </c>
      <c r="H41">
        <v>265</v>
      </c>
    </row>
    <row r="46" spans="5:8" x14ac:dyDescent="0.35">
      <c r="E46" s="54" t="s">
        <v>99</v>
      </c>
      <c r="F46" t="s">
        <v>30</v>
      </c>
    </row>
    <row r="48" spans="5:8" x14ac:dyDescent="0.35">
      <c r="E48" s="54" t="s">
        <v>21</v>
      </c>
      <c r="F48" s="54" t="s">
        <v>29</v>
      </c>
    </row>
    <row r="49" spans="5:8" x14ac:dyDescent="0.35">
      <c r="E49" s="54" t="s">
        <v>34</v>
      </c>
      <c r="F49" t="s">
        <v>24</v>
      </c>
      <c r="G49" t="s">
        <v>25</v>
      </c>
      <c r="H49" t="s">
        <v>19</v>
      </c>
    </row>
    <row r="50" spans="5:8" x14ac:dyDescent="0.35">
      <c r="E50" t="s">
        <v>36</v>
      </c>
      <c r="G50">
        <v>2</v>
      </c>
      <c r="H50">
        <v>2</v>
      </c>
    </row>
    <row r="51" spans="5:8" x14ac:dyDescent="0.35">
      <c r="E51" t="s">
        <v>38</v>
      </c>
      <c r="F51">
        <v>1</v>
      </c>
      <c r="G51">
        <v>4</v>
      </c>
      <c r="H51">
        <v>5</v>
      </c>
    </row>
    <row r="52" spans="5:8" x14ac:dyDescent="0.35">
      <c r="E52" t="s">
        <v>40</v>
      </c>
      <c r="F52">
        <v>6</v>
      </c>
      <c r="G52">
        <v>3</v>
      </c>
      <c r="H52">
        <v>9</v>
      </c>
    </row>
    <row r="53" spans="5:8" x14ac:dyDescent="0.35">
      <c r="E53" t="s">
        <v>35</v>
      </c>
      <c r="F53">
        <v>11</v>
      </c>
      <c r="G53">
        <v>16</v>
      </c>
      <c r="H53">
        <v>27</v>
      </c>
    </row>
    <row r="54" spans="5:8" x14ac:dyDescent="0.35">
      <c r="E54" t="s">
        <v>37</v>
      </c>
      <c r="F54">
        <v>16</v>
      </c>
      <c r="G54">
        <v>5</v>
      </c>
      <c r="H54">
        <v>21</v>
      </c>
    </row>
    <row r="55" spans="5:8" x14ac:dyDescent="0.35">
      <c r="E55" t="s">
        <v>39</v>
      </c>
      <c r="F55">
        <v>18</v>
      </c>
      <c r="G55">
        <v>15</v>
      </c>
      <c r="H55">
        <v>33</v>
      </c>
    </row>
    <row r="56" spans="5:8" x14ac:dyDescent="0.35">
      <c r="E56" t="s">
        <v>47</v>
      </c>
      <c r="F56">
        <v>1</v>
      </c>
      <c r="G56">
        <v>1</v>
      </c>
      <c r="H56">
        <v>2</v>
      </c>
    </row>
    <row r="57" spans="5:8" x14ac:dyDescent="0.35">
      <c r="E57" t="s">
        <v>41</v>
      </c>
      <c r="F57">
        <v>3</v>
      </c>
      <c r="G57">
        <v>3</v>
      </c>
      <c r="H57">
        <v>6</v>
      </c>
    </row>
    <row r="58" spans="5:8" x14ac:dyDescent="0.35">
      <c r="E58" t="s">
        <v>31</v>
      </c>
      <c r="F58">
        <v>23</v>
      </c>
      <c r="G58">
        <v>16</v>
      </c>
      <c r="H58">
        <v>39</v>
      </c>
    </row>
    <row r="59" spans="5:8" x14ac:dyDescent="0.35">
      <c r="E59" t="s">
        <v>46</v>
      </c>
      <c r="F59">
        <v>12</v>
      </c>
      <c r="G59">
        <v>21</v>
      </c>
      <c r="H59">
        <v>33</v>
      </c>
    </row>
    <row r="60" spans="5:8" x14ac:dyDescent="0.35">
      <c r="E60" t="s">
        <v>42</v>
      </c>
      <c r="F60">
        <v>23</v>
      </c>
      <c r="G60">
        <v>7</v>
      </c>
      <c r="H60">
        <v>30</v>
      </c>
    </row>
    <row r="61" spans="5:8" x14ac:dyDescent="0.35">
      <c r="E61" t="s">
        <v>43</v>
      </c>
      <c r="F61">
        <v>11</v>
      </c>
      <c r="G61">
        <v>16</v>
      </c>
      <c r="H61">
        <v>27</v>
      </c>
    </row>
    <row r="62" spans="5:8" x14ac:dyDescent="0.35">
      <c r="E62" t="s">
        <v>45</v>
      </c>
      <c r="F62">
        <v>22</v>
      </c>
      <c r="G62">
        <v>9</v>
      </c>
      <c r="H62">
        <v>31</v>
      </c>
    </row>
    <row r="63" spans="5:8" x14ac:dyDescent="0.35">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5" x14ac:dyDescent="0.35"/>
  <cols>
    <col min="1" max="1" width="36.453125" bestFit="1" customWidth="1"/>
    <col min="2" max="2" width="13" bestFit="1" customWidth="1"/>
    <col min="3" max="3" width="14.1796875" bestFit="1" customWidth="1"/>
    <col min="4" max="5" width="11.7265625" bestFit="1" customWidth="1"/>
  </cols>
  <sheetData>
    <row r="1" spans="1:2" x14ac:dyDescent="0.35">
      <c r="A1" s="54" t="s">
        <v>120</v>
      </c>
      <c r="B1" t="s">
        <v>30</v>
      </c>
    </row>
    <row r="3" spans="1:2" x14ac:dyDescent="0.35">
      <c r="A3" s="54" t="s">
        <v>14</v>
      </c>
      <c r="B3" t="s">
        <v>21</v>
      </c>
    </row>
    <row r="4" spans="1:2" x14ac:dyDescent="0.35">
      <c r="A4" t="s">
        <v>16</v>
      </c>
      <c r="B4">
        <v>195</v>
      </c>
    </row>
    <row r="5" spans="1:2" x14ac:dyDescent="0.35">
      <c r="A5" t="s">
        <v>17</v>
      </c>
      <c r="B5">
        <v>44</v>
      </c>
    </row>
    <row r="6" spans="1:2" x14ac:dyDescent="0.35">
      <c r="A6" t="s">
        <v>18</v>
      </c>
      <c r="B6">
        <v>26</v>
      </c>
    </row>
    <row r="7" spans="1:2" x14ac:dyDescent="0.35">
      <c r="A7" t="s">
        <v>19</v>
      </c>
      <c r="B7">
        <v>265</v>
      </c>
    </row>
    <row r="14" spans="1:2" x14ac:dyDescent="0.35">
      <c r="A14" s="54" t="s">
        <v>120</v>
      </c>
      <c r="B14" t="s">
        <v>30</v>
      </c>
    </row>
    <row r="15" spans="1:2" x14ac:dyDescent="0.35">
      <c r="A15" s="54" t="s">
        <v>15</v>
      </c>
      <c r="B15" t="s">
        <v>30</v>
      </c>
    </row>
    <row r="17" spans="1:2" x14ac:dyDescent="0.35">
      <c r="A17" s="54" t="s">
        <v>50</v>
      </c>
      <c r="B17" t="s">
        <v>21</v>
      </c>
    </row>
    <row r="18" spans="1:2" x14ac:dyDescent="0.35">
      <c r="A18" t="s">
        <v>52</v>
      </c>
      <c r="B18">
        <v>58</v>
      </c>
    </row>
    <row r="19" spans="1:2" x14ac:dyDescent="0.35">
      <c r="A19" t="s">
        <v>53</v>
      </c>
      <c r="B19">
        <v>39</v>
      </c>
    </row>
    <row r="20" spans="1:2" x14ac:dyDescent="0.35">
      <c r="A20" t="s">
        <v>54</v>
      </c>
      <c r="B20">
        <v>78</v>
      </c>
    </row>
    <row r="21" spans="1:2" x14ac:dyDescent="0.35">
      <c r="A21" t="s">
        <v>55</v>
      </c>
      <c r="B21">
        <v>31</v>
      </c>
    </row>
    <row r="22" spans="1:2" x14ac:dyDescent="0.35">
      <c r="A22" t="s">
        <v>56</v>
      </c>
      <c r="B22">
        <v>1</v>
      </c>
    </row>
    <row r="23" spans="1:2" x14ac:dyDescent="0.35">
      <c r="A23" t="s">
        <v>57</v>
      </c>
      <c r="B23">
        <v>2</v>
      </c>
    </row>
    <row r="24" spans="1:2" x14ac:dyDescent="0.35">
      <c r="A24" t="s">
        <v>58</v>
      </c>
      <c r="B24">
        <v>28</v>
      </c>
    </row>
    <row r="25" spans="1:2" x14ac:dyDescent="0.35">
      <c r="A25" t="s">
        <v>59</v>
      </c>
      <c r="B25">
        <v>16</v>
      </c>
    </row>
    <row r="26" spans="1:2" x14ac:dyDescent="0.35">
      <c r="A26" t="s">
        <v>60</v>
      </c>
      <c r="B26">
        <v>31</v>
      </c>
    </row>
    <row r="27" spans="1:2" x14ac:dyDescent="0.35">
      <c r="A27" t="s">
        <v>61</v>
      </c>
      <c r="B27">
        <v>3</v>
      </c>
    </row>
    <row r="28" spans="1:2" x14ac:dyDescent="0.35">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Sheet2</vt:lpstr>
      <vt:lpstr>Pivot Analysis</vt:lpstr>
      <vt:lpstr>Fellows</vt:lpstr>
      <vt:lpstr>Terminations</vt:lpstr>
      <vt:lpstr>Promotions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2026-07-21T18:25:40Z</dcterms:modified>
  <cp:category/>
  <cp:contentStatus/>
</cp:coreProperties>
</file>
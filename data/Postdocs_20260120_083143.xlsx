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06" documentId="13_ncr:1_{98A37825-626D-424E-AC5C-B700CCD3A7F9}" xr6:coauthVersionLast="47" xr6:coauthVersionMax="47" xr10:uidLastSave="{C205D926-C754-4BA9-8762-2B98484B547B}"/>
  <bookViews>
    <workbookView xWindow="-90" yWindow="0" windowWidth="9780" windowHeight="10170" firstSheet="3" activeTab="1"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169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tc={6BEA0544-373B-48E1-92D6-4B76C46D6388}</author>
    <author>tc={8A844373-F7D7-4101-AFBC-F21743852D78}</author>
    <author>tc={E88B21D3-C737-4E43-BABF-8E09695F1CB4}</author>
    <author>tc={FF5E0946-3BFA-4732-A91C-FF88A4260001}</author>
    <author>tc={FEFADA3C-6DC7-499C-B0B4-F83BEA212B23}</author>
    <author>tc={CDFF4815-8A83-49DF-9929-07F6C68C0CF8}</author>
    <author>tc={C986EF52-7AFD-407B-A6B7-2CE66645F86C}</author>
    <author>tc={16B20CD2-663E-496D-AB0A-74021956FF2E}</author>
    <author>tc={69F63D09-A033-4710-9082-5D853B5636F1}</author>
    <author>tc={7D115C52-F10A-41DD-B1F4-484449B2984B}</author>
    <author>tc={DBEB16CE-EBF6-4C73-B86A-A628BD2B55DD}</author>
    <author>tc={C9ACFE55-9187-4CA8-8B2E-7BB818F15052}</author>
  </authors>
  <commentList>
    <comment ref="K75" authorId="0" shapeId="0" xr:uid="{6BEA0544-373B-48E1-92D6-4B76C46D638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W75" authorId="1"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 ref="K76" authorId="2" shapeId="0" xr:uid="{E88B21D3-C737-4E43-BABF-8E09695F1CB4}">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7" authorId="3" shapeId="0" xr:uid="{FF5E0946-3BFA-4732-A91C-FF88A426000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8" authorId="4" shapeId="0" xr:uid="{FEFADA3C-6DC7-499C-B0B4-F83BEA212B23}">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9" authorId="5" shapeId="0" xr:uid="{CDFF4815-8A83-49DF-9929-07F6C68C0CF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0" authorId="6" shapeId="0" xr:uid="{C986EF52-7AFD-407B-A6B7-2CE66645F86C}">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1" authorId="7" shapeId="0" xr:uid="{16B20CD2-663E-496D-AB0A-74021956FF2E}">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2" authorId="8" shapeId="0" xr:uid="{69F63D09-A033-4710-9082-5D853B5636F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3" authorId="9" shapeId="0" xr:uid="{7D115C52-F10A-41DD-B1F4-484449B2984B}">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4" authorId="10" shapeId="0" xr:uid="{DBEB16CE-EBF6-4C73-B86A-A628BD2B55DD}">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5" authorId="11" shapeId="0" xr:uid="{C9ACFE55-9187-4CA8-8B2E-7BB818F15052}">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tc={AC54F235-6CD0-42F2-8A1F-7567994939B1}</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 ref="F18" authorId="2" shapeId="0" xr:uid="{AC54F235-6CD0-42F2-8A1F-7567994939B1}">
      <text>
        <t>[Threaded comment]
Your version of Excel allows you to read this threaded comment; however, any edits to it will get removed if the file is opened in a newer version of Excel. Learn more: https://go.microsoft.com/fwlink/?linkid=870924
Comment:
    self sponsored is not a postdoc. Remove it from the database. This is a personal trip</t>
      </text>
    </comment>
  </commentList>
</comments>
</file>

<file path=xl/sharedStrings.xml><?xml version="1.0" encoding="utf-8"?>
<sst xmlns="http://schemas.openxmlformats.org/spreadsheetml/2006/main" count="1483" uniqueCount="451">
  <si>
    <t>CARTA POSTDOCTORAL AWARDS</t>
  </si>
  <si>
    <t>Count of S.No.</t>
  </si>
  <si>
    <t>Award Type</t>
  </si>
  <si>
    <t>Sex</t>
  </si>
  <si>
    <t>Fellowship</t>
  </si>
  <si>
    <t>Grand Total</t>
  </si>
  <si>
    <t>Institution of employment at the time of award</t>
  </si>
  <si>
    <t>Female</t>
  </si>
  <si>
    <t>Male</t>
  </si>
  <si>
    <t>Kamuzu Health of Health Sciences</t>
  </si>
  <si>
    <t>Makerere University</t>
  </si>
  <si>
    <t>#grad</t>
  </si>
  <si>
    <t>University of Ibadan</t>
  </si>
  <si>
    <t>updated</t>
  </si>
  <si>
    <t>Year of Award</t>
  </si>
  <si>
    <t>(All)</t>
  </si>
  <si>
    <t>Reentry</t>
  </si>
  <si>
    <t>APHRC</t>
  </si>
  <si>
    <t>Ifakara Health Institute</t>
  </si>
  <si>
    <t>JKUAT</t>
  </si>
  <si>
    <t>Moi University</t>
  </si>
  <si>
    <t>Obafemi Awolowo University</t>
  </si>
  <si>
    <t>University of Dar es Salaam</t>
  </si>
  <si>
    <t>University of Malawi</t>
  </si>
  <si>
    <t>University of Nairobi</t>
  </si>
  <si>
    <t>University of Rwanda</t>
  </si>
  <si>
    <t>University of the Witwatersrand</t>
  </si>
  <si>
    <t>University of Western Cape</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</si>
  <si>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</si>
  <si>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</si>
  <si>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</si>
  <si>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</si>
  <si>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</si>
  <si>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</si>
  <si>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</si>
  <si>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</si>
  <si>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</si>
  <si>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</si>
  <si>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</si>
  <si>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</si>
  <si>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</si>
  <si>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</si>
  <si>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</si>
  <si>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</si>
  <si>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</si>
  <si>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</si>
  <si>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</si>
  <si>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</si>
  <si>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</si>
  <si>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</si>
  <si>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</si>
  <si>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</si>
  <si>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</si>
  <si>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</si>
  <si>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</si>
  <si>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</si>
  <si>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</si>
  <si>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</si>
  <si>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</si>
  <si>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</si>
  <si>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</si>
  <si>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</si>
  <si>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</si>
  <si>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</si>
  <si>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</si>
  <si>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</si>
  <si>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</si>
  <si>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</si>
  <si>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</si>
  <si>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</si>
  <si>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</si>
  <si>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</si>
  <si>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</si>
  <si>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</si>
  <si>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</si>
  <si>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</si>
  <si>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</si>
  <si>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</si>
  <si>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</si>
  <si>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</si>
  <si>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</si>
  <si>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</si>
  <si>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</si>
  <si>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</si>
  <si>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</si>
  <si>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</si>
  <si>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</si>
  <si>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</si>
  <si>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</si>
  <si>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</si>
  <si>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</si>
  <si>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</si>
  <si>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</si>
  <si>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</si>
  <si>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</si>
  <si>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</si>
  <si>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</si>
  <si>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</si>
  <si>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</si>
  <si>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</si>
  <si>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</si>
  <si>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</si>
  <si>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</si>
  <si>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</si>
  <si>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</si>
  <si>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</si>
  <si>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</si>
  <si>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</si>
  <si>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</si>
  <si>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</si>
  <si>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</si>
  <si>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</si>
  <si>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</si>
  <si>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</si>
  <si>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</si>
  <si>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</si>
  <si>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</si>
  <si>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</si>
  <si>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</si>
  <si>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</si>
  <si>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</si>
  <si>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Mapayi</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</si>
  <si>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</si>
  <si>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</si>
  <si>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</si>
  <si>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</si>
  <si>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</si>
  <si>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</si>
  <si>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</si>
  <si>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</si>
  <si>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</si>
  <si>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</si>
  <si>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</si>
  <si>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</si>
  <si>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</si>
  <si>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</si>
  <si>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</si>
  <si>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</si>
  <si>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</si>
  <si>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</si>
  <si>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</si>
  <si>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</si>
  <si>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</si>
  <si>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</si>
  <si>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</si>
  <si>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</si>
  <si>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</si>
  <si>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</si>
  <si>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</si>
  <si>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</si>
  <si>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</si>
  <si>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</si>
  <si>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</si>
  <si>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</si>
  <si>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</si>
  <si>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</si>
  <si>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</si>
  <si>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</si>
  <si>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</si>
  <si>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</si>
  <si>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</si>
  <si>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</si>
  <si>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</si>
  <si>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</si>
  <si>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</si>
  <si>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</si>
  <si>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</si>
  <si>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</si>
  <si>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</si>
  <si>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</si>
  <si>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</si>
  <si>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</si>
  <si>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</si>
  <si>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</si>
  <si>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</si>
  <si>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</si>
  <si>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</si>
  <si>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</si>
  <si>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</si>
  <si>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</si>
  <si>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</si>
  <si>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</si>
  <si>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</si>
  <si>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</si>
  <si>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</si>
  <si>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</si>
  <si>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</si>
  <si>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</si>
  <si>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</si>
  <si>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</si>
  <si>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</si>
  <si>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</si>
  <si>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</si>
  <si>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</si>
  <si>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</si>
  <si>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</si>
  <si>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</si>
  <si>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</si>
  <si>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</si>
  <si>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</si>
  <si>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</si>
  <si>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</si>
  <si>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</si>
  <si>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</si>
  <si>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</si>
  <si>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</si>
  <si>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</si>
  <si>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</si>
  <si>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</si>
  <si>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</si>
  <si>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</si>
  <si>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</si>
  <si>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</si>
  <si>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</si>
  <si>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</si>
  <si>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</si>
  <si>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</si>
  <si>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</si>
  <si>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</si>
  <si>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</si>
  <si>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</si>
  <si>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</si>
  <si>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</si>
  <si>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</si>
  <si>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</si>
  <si>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</si>
  <si>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</si>
  <si>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</si>
  <si>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</si>
  <si>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</si>
  <si>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</si>
  <si>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</si>
  <si>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</si>
  <si>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</si>
  <si>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</si>
  <si>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</si>
  <si>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</si>
  <si>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</si>
  <si>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</si>
  <si>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</si>
  <si>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</si>
  <si>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</si>
  <si>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</si>
  <si>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</si>
  <si>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</si>
  <si>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</si>
  <si>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</si>
  <si>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</si>
  <si>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</si>
  <si>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</si>
  <si>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</si>
  <si>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</si>
  <si>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</si>
  <si>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</si>
  <si>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</si>
  <si>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</si>
  <si>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</si>
  <si>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</si>
  <si>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</si>
  <si>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</si>
  <si>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</si>
  <si>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</si>
  <si>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</si>
  <si>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</si>
  <si>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</si>
  <si>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</si>
  <si>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</si>
  <si>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</si>
  <si>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</si>
  <si>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</si>
  <si>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</si>
  <si>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</si>
  <si>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</si>
  <si>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</si>
  <si>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</si>
  <si>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</si>
  <si>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</si>
  <si>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</si>
  <si>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</si>
  <si>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</si>
  <si>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</si>
  <si>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</si>
  <si>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</si>
  <si>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</si>
  <si>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</si>
  <si>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</si>
  <si>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</si>
  <si>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</si>
  <si>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</si>
  <si>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</si>
  <si>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</si>
  <si>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</si>
  <si>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</si>
  <si>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</si>
  <si>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</si>
  <si>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</si>
  <si>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</si>
  <si>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</si>
  <si>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</si>
  <si>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</si>
  <si>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</si>
  <si>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</si>
  <si>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</si>
  <si>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</si>
  <si>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</si>
  <si>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</si>
  <si>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</si>
  <si>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</si>
  <si>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</si>
  <si>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</si>
  <si>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</si>
  <si>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</si>
  <si>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</si>
  <si>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</si>
  <si>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</si>
  <si>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</si>
  <si>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</si>
  <si>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</si>
  <si>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</si>
  <si>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</si>
  <si>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</si>
  <si>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</si>
  <si>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</si>
  <si>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</si>
  <si>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</si>
  <si>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</si>
  <si>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</si>
  <si>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</si>
  <si>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</si>
  <si>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</si>
  <si>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</si>
  <si>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</si>
  <si>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</si>
  <si>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</si>
  <si>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</si>
  <si>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</si>
  <si>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</si>
  <si>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</si>
  <si>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</si>
  <si>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</si>
  <si>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</si>
  <si>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</si>
  <si>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</si>
  <si>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</si>
  <si>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</si>
  <si>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</si>
  <si>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</si>
  <si>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</si>
  <si>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</si>
  <si>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</si>
  <si>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</si>
  <si>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</si>
  <si>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</si>
  <si>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</si>
  <si>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</si>
  <si>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</si>
  <si>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</si>
  <si>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</si>
  <si>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</si>
  <si>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</si>
  <si>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</si>
  <si>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</si>
  <si>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</si>
  <si>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</si>
  <si>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</si>
  <si>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</si>
  <si>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</si>
  <si>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</si>
  <si>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</si>
  <si>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</si>
  <si>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</si>
  <si>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</si>
  <si>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</si>
  <si>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</si>
  <si>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</si>
  <si>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</si>
  <si>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</si>
  <si>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</si>
  <si>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</si>
  <si>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</si>
  <si>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</si>
  <si>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</si>
  <si>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</si>
  <si>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</si>
  <si>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</si>
  <si>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</si>
  <si>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</si>
  <si>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</si>
  <si>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</si>
  <si>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</si>
  <si>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</si>
  <si>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</si>
  <si>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</si>
  <si>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</si>
  <si>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</si>
  <si>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</si>
  <si>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</si>
  <si>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</si>
  <si>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</si>
  <si>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</si>
  <si>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</si>
  <si>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</si>
  <si>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</si>
  <si>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</si>
  <si>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</si>
  <si>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</si>
  <si>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</si>
  <si>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</si>
  <si>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</si>
  <si>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</si>
  <si>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</si>
  <si>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</si>
  <si>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</si>
  <si>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</si>
  <si>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</si>
  <si>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Boladale Mapayi Mobolji</t>
  </si>
  <si>
    <t>Oxleas NHS Foundation Trust, UK</t>
  </si>
  <si>
    <t>Self sponsored</t>
  </si>
  <si>
    <t>Other : Medical Training Initiative Fellowship</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</si>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</sst>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thin">
        <color theme="5" tint="0.79998168889431442"/>
      </top>
      <bottom style="thin">
        <color theme="5" tint="0.79998168889431442"/>
      </bottom>
      <diagonal/>
    </border>
    <border>
      <left/>
      <right/>
      <top style="double">
        <color theme="5" tint="-0.249977111117893"/>
      </top>
      <bottom/>
      <diagonal/>
    </border>
  </borders>
  <cellStyleXfs count="2">
    <xf numFmtId="0" fontId="0" fillId="0" borderId="0"/>
    <xf numFmtId="9" fontId="4" fillId="0" borderId="0" applyFont="0" applyFill="0" applyBorder="0" applyAlignment="0" applyProtection="0"/>
  </cellStyleXfs>
  <cellXfs count="54">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2" xfId="0" applyBorder="1" applyAlignment="1">
      <alignment wrapText="1"/>
    </xf>
    <xf numFmtId="0" fontId="0" fillId="0" borderId="13" xfId="0" applyBorder="1" applyAlignment="1">
      <alignment wrapText="1"/>
    </xf>
    <xf numFmtId="0" fontId="0" fillId="0" borderId="15" xfId="0" applyBorder="1"/>
    <xf numFmtId="0" fontId="0" fillId="0" borderId="11" xfId="0" applyBorder="1"/>
    <xf numFmtId="0" fontId="3" fillId="4" borderId="9" xfId="0" applyFont="1" applyFill="1" applyBorder="1" applyAlignment="1">
      <alignment horizontal="left" vertical="top" wrapText="1"/>
    </xf>
    <xf numFmtId="0" fontId="0" fillId="0" borderId="16" xfId="0" applyBorder="1"/>
    <xf numFmtId="0" fontId="1" fillId="0" borderId="17" xfId="0" applyFont="1" applyBorder="1"/>
    <xf numFmtId="1" fontId="0" fillId="0" borderId="0" xfId="0" applyNumberFormat="1" applyAlignment="1">
      <alignment horizontal="left"/>
    </xf>
    <xf numFmtId="0" fontId="0" fillId="0" borderId="0" xfId="0" applyNumberFormat="1"/>
    <xf numFmtId="0" fontId="0" fillId="0" borderId="12" xfId="0" applyNumberFormat="1" applyBorder="1"/>
    <xf numFmtId="0" fontId="0" fillId="0" borderId="14" xfId="0" applyNumberFormat="1" applyBorder="1"/>
    <xf numFmtId="0" fontId="0" fillId="0" borderId="13" xfId="0" applyNumberFormat="1"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3</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Fellowship</c:v>
                </c:pt>
              </c:strCache>
            </c:strRef>
          </c:cat>
          <c:val>
            <c:numRef>
              <c:f>Type!$B$6:$B$7</c:f>
              <c:numCache>
                <c:formatCode>General</c:formatCode>
                <c:ptCount val="1"/>
                <c:pt idx="0">
                  <c:v>3</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Fellowship</c:v>
                </c:pt>
              </c:strCache>
            </c:strRef>
          </c:cat>
          <c:val>
            <c:numRef>
              <c:f>Type!$C$6:$C$7</c:f>
              <c:numCache>
                <c:formatCode>General</c:formatCode>
                <c:ptCount val="1"/>
                <c:pt idx="0">
                  <c:v>1</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Fellowship</c:v>
                </c:pt>
              </c:strCache>
            </c:strRef>
          </c:cat>
          <c:val>
            <c:numRef>
              <c:f>Status!$B$6:$B$7</c:f>
              <c:numCache>
                <c:formatCode>General</c:formatCode>
                <c:ptCount val="1"/>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Fellowship</c:v>
                </c:pt>
              </c:strCache>
            </c:strRef>
          </c:cat>
          <c:val>
            <c:numRef>
              <c:f>Status!$C$6:$C$7</c:f>
              <c:numCache>
                <c:formatCode>General</c:formatCode>
                <c:ptCount val="1"/>
                <c:pt idx="0">
                  <c:v>2</c:v>
                </c:pt>
              </c:numCache>
            </c:numRef>
          </c:val>
          <c:extLst>
            <c:ext xmlns:c16="http://schemas.microsoft.com/office/drawing/2014/chart" uri="{C3380CC4-5D6E-409C-BE32-E72D297353CC}">
              <c16:uniqueId val="{00000003-4FB9-4EE1-8FBB-426EEF0FDF0C}"/>
            </c:ext>
          </c:extLst>
        </c:ser>
        <c:ser>
          <c:idx val="2"/>
          <c:order val="2"/>
          <c:tx>
            <c:strRef>
              <c:f>Status!$E$3:$E$5</c:f>
              <c:strCache>
                <c:ptCount val="1"/>
                <c:pt idx="0">
                  <c:v>Male -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Fellowship</c:v>
                </c:pt>
              </c:strCache>
            </c:strRef>
          </c:cat>
          <c:val>
            <c:numRef>
              <c:f>Status!$E$6:$E$7</c:f>
              <c:numCache>
                <c:formatCode>General</c:formatCode>
                <c:ptCount val="1"/>
                <c:pt idx="0">
                  <c:v>1</c:v>
                </c:pt>
              </c:numCache>
            </c:numRef>
          </c:val>
          <c:extLst>
            <c:ext xmlns:c16="http://schemas.microsoft.com/office/drawing/2014/chart" uri="{C3380CC4-5D6E-409C-BE32-E72D297353CC}">
              <c16:uniqueId val="{00000002-3ABF-4C4C-BC1C-8E770E3F0608}"/>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3</c:v>
                </c:pt>
                <c:pt idx="1">
                  <c:v>1</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3</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10</xdr:row>
      <xdr:rowOff>18489</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22970</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6</xdr:row>
      <xdr:rowOff>180230</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29</xdr:row>
      <xdr:rowOff>37168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928.27500381944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Mapayi"/>
        <s v="Carnegie/SIDA"/>
        <s v="UMC"/>
        <s v="DELTAS II"/>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3"/>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6"/>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7"/>
    <x v="3"/>
    <d v="2019-04-01T00:00:00"/>
    <d v="2020-03-31T00:00:00"/>
    <d v="2021-04-23T00:00:00"/>
    <n v="2021"/>
    <m/>
    <x v="0"/>
    <s v="No"/>
    <x v="0"/>
    <x v="1"/>
    <s v="Single"/>
    <m/>
    <m/>
    <m/>
    <m/>
    <m/>
    <m/>
    <m/>
  </r>
  <r>
    <n v="47"/>
    <x v="37"/>
    <s v="Maurice Mutisya"/>
    <s v="jmutisya@cartafrica.org;"/>
    <x v="1"/>
    <x v="2"/>
    <x v="11"/>
    <x v="4"/>
    <m/>
    <x v="1"/>
    <x v="7"/>
    <x v="3"/>
    <d v="2019-08-01T00:00:00"/>
    <d v="2020-07-31T00:00:00"/>
    <d v="2022-07-21T00:00:00"/>
    <m/>
    <m/>
    <x v="0"/>
    <s v="No"/>
    <x v="0"/>
    <x v="1"/>
    <s v="Single"/>
    <m/>
    <m/>
    <m/>
    <m/>
    <m/>
    <m/>
    <m/>
  </r>
  <r>
    <n v="48"/>
    <x v="38"/>
    <s v="Fredrick Okoth Okaka"/>
    <s v="jmutisya@cartafrica.org;"/>
    <x v="1"/>
    <x v="2"/>
    <x v="3"/>
    <x v="4"/>
    <m/>
    <x v="1"/>
    <x v="7"/>
    <x v="3"/>
    <d v="2019-08-01T00:00:00"/>
    <d v="2020-07-31T00:00:00"/>
    <d v="2021-09-01T00:00:00"/>
    <n v="2021"/>
    <m/>
    <x v="0"/>
    <s v="No"/>
    <x v="0"/>
    <x v="1"/>
    <s v="Single"/>
    <m/>
    <m/>
    <m/>
    <m/>
    <m/>
    <m/>
    <m/>
  </r>
  <r>
    <n v="49"/>
    <x v="39"/>
    <s v="Respicius Shumbusho Damian"/>
    <s v="rdamian@cartafrica.org;"/>
    <x v="1"/>
    <x v="5"/>
    <x v="7"/>
    <x v="4"/>
    <m/>
    <x v="1"/>
    <x v="7"/>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8"/>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m/>
    <s v="Multimorbidity, Social Isolation and Frailty among Older Persons in Uganda"/>
    <x v="0"/>
    <s v="Yes"/>
    <x v="1"/>
    <x v="0"/>
    <s v="Multiple"/>
    <m/>
    <m/>
    <m/>
    <s v="Prof. David Otundo Ayuku"/>
    <m/>
    <m/>
    <m/>
  </r>
  <r>
    <n v="74"/>
    <x v="40"/>
    <s v="Adeyinka Olufolake Adefolarin"/>
    <s v="aadefolarin@cartafrica.org;"/>
    <x v="0"/>
    <x v="0"/>
    <x v="2"/>
    <x v="0"/>
    <s v="South Africa"/>
    <x v="0"/>
    <x v="9"/>
    <x v="6"/>
    <m/>
    <m/>
    <m/>
    <m/>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9"/>
    <x v="6"/>
    <d v="2024-05-07T00:00:00"/>
    <m/>
    <m/>
    <m/>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9"/>
    <x v="6"/>
    <m/>
    <m/>
    <m/>
    <m/>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9"/>
    <x v="6"/>
    <m/>
    <m/>
    <m/>
    <m/>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9"/>
    <x v="6"/>
    <d v="2024-05-07T00:00:00"/>
    <d v="2025-05-06T00:00:00"/>
    <m/>
    <m/>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9"/>
    <x v="6"/>
    <d v="2024-05-07T00:00:00"/>
    <d v="2025-05-06T00:00:00"/>
    <m/>
    <m/>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9"/>
    <x v="6"/>
    <d v="2024-05-07T00:00:00"/>
    <d v="2025-05-06T00:00:00"/>
    <m/>
    <m/>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9"/>
    <x v="6"/>
    <d v="2024-05-07T00:00:00"/>
    <d v="2025-05-06T00:00:00"/>
    <m/>
    <m/>
    <s v="Epidemiology of Zoonotic foodborne bacteria and associated Antimicrobial Resistance: A One Health study of Murang’a County, Kenya."/>
    <x v="0"/>
    <s v="No"/>
    <x v="0"/>
    <x v="1"/>
    <s v="Single"/>
    <m/>
    <m/>
    <m/>
    <m/>
    <m/>
    <m/>
    <m/>
  </r>
  <r>
    <n v="82"/>
    <x v="61"/>
    <s v="Oyeyemi Olajumoke Oyelade"/>
    <s v="ooyelade@cartafrica.org;"/>
    <x v="0"/>
    <x v="0"/>
    <x v="0"/>
    <x v="4"/>
    <m/>
    <x v="1"/>
    <x v="9"/>
    <x v="6"/>
    <d v="2024-05-07T00:00:00"/>
    <d v="2025-05-06T00:00:00"/>
    <m/>
    <m/>
    <s v="Psycho-social rehabilitation of sexual violence victims among women with mental illness in Nigeria: A pilot intervention in Southwest Nigeria"/>
    <x v="0"/>
    <s v="No"/>
    <x v="0"/>
    <x v="1"/>
    <s v="Single"/>
    <m/>
    <m/>
    <m/>
    <m/>
    <m/>
    <m/>
    <m/>
  </r>
  <r>
    <n v="83"/>
    <x v="62"/>
    <s v="Skye Nandi Adams"/>
    <s v="sadams@cartafrica.org;"/>
    <x v="0"/>
    <x v="6"/>
    <x v="8"/>
    <x v="4"/>
    <m/>
    <x v="1"/>
    <x v="9"/>
    <x v="6"/>
    <d v="2024-05-07T00:00:00"/>
    <d v="2025-05-06T00:00:00"/>
    <m/>
    <m/>
    <s v="Eating and mealtime intervention for autistic children and their Families: An implementation study"/>
    <x v="0"/>
    <s v="No"/>
    <x v="0"/>
    <x v="1"/>
    <s v="Single"/>
    <m/>
    <m/>
    <m/>
    <m/>
    <m/>
    <m/>
    <m/>
  </r>
  <r>
    <n v="84"/>
    <x v="63"/>
    <s v="Catherine Mawia Musyoka "/>
    <s v="cmusyoka@cartafrica.org;"/>
    <x v="0"/>
    <x v="2"/>
    <x v="5"/>
    <x v="4"/>
    <m/>
    <x v="1"/>
    <x v="9"/>
    <x v="6"/>
    <d v="2024-05-07T00:00:00"/>
    <d v="2025-05-06T00:00:00"/>
    <m/>
    <m/>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S9"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h="1"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4">
    <i>
      <x v="3"/>
    </i>
    <i>
      <x v="4"/>
    </i>
    <i>
      <x v="8"/>
    </i>
    <i t="grand">
      <x/>
    </i>
  </rowItems>
  <colFields count="2">
    <field x="9"/>
    <field x="4"/>
  </colFields>
  <colItems count="3">
    <i>
      <x/>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16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G7"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h="1" x="1"/>
        <item m="1" x="2"/>
        <item t="default"/>
      </items>
    </pivotField>
    <pivotField showAll="0">
      <items count="12">
        <item x="1"/>
        <item x="7"/>
        <item x="4"/>
        <item x="9"/>
        <item x="3"/>
        <item x="2"/>
        <item x="6"/>
        <item x="5"/>
        <item x="8"/>
        <item x="0"/>
        <item m="1" x="10"/>
        <item t="default"/>
      </items>
    </pivotField>
    <pivotField axis="axisPage" numFmtId="1" multipleItemSelectionAllowed="1" showAll="0">
      <items count="8">
        <item h="1" x="0"/>
        <item h="1" x="1"/>
        <item h="1" x="2"/>
        <item h="1" x="3"/>
        <item h="1" x="4"/>
        <item h="1"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i>
    <i t="grand">
      <x/>
    </i>
  </rowItems>
  <colFields count="2">
    <field x="4"/>
    <field x="17"/>
  </colFields>
  <colItems count="6">
    <i>
      <x/>
      <x/>
    </i>
    <i r="1">
      <x v="1"/>
    </i>
    <i t="default">
      <x/>
    </i>
    <i>
      <x v="1"/>
      <x v="1"/>
    </i>
    <i t="default">
      <x v="1"/>
    </i>
    <i t="grand">
      <x/>
    </i>
  </colItems>
  <pageFields count="1">
    <pageField fld="11" hier="-1"/>
  </pageFields>
  <dataFields count="1">
    <dataField name="Count of Name of Awardee" fld="2" subtotal="count" baseField="0" baseItem="0"/>
  </dataFields>
  <chartFormats count="10">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2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h="1"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5">
    <i>
      <x v="19"/>
    </i>
    <i>
      <x v="35"/>
    </i>
    <i>
      <x v="53"/>
    </i>
    <i>
      <x v="62"/>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h="1"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27"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h="1"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5">
    <i>
      <x v="8"/>
    </i>
    <i>
      <x v="13"/>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8"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h="1"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Row"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7"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h="1"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2">
    <i>
      <x/>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h="1"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19"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h="1"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2">
    <i>
      <x/>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C11" firstHeaderRow="1" firstDataRow="1" firstDataCol="1" rowPageCount="4"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Page" compact="0" outline="0" showAll="0">
      <items count="9">
        <item x="2"/>
        <item x="1"/>
        <item x="0"/>
        <item x="4"/>
        <item x="6"/>
        <item x="5"/>
        <item x="3"/>
        <item x="7"/>
        <item t="default"/>
      </items>
    </pivotField>
    <pivotField compact="0" outline="0" showAll="0"/>
    <pivotField axis="axisRow"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axis="axisPage" compact="0" outline="0" multipleItemSelectionAllowed="1" showAll="0">
      <items count="4">
        <item x="0"/>
        <item h="1"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5">
    <i>
      <x v="11"/>
    </i>
    <i>
      <x v="13"/>
    </i>
    <i>
      <x v="18"/>
    </i>
    <i>
      <x v="20"/>
    </i>
    <i t="grand">
      <x/>
    </i>
  </rowItems>
  <colItems count="1">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i x="1"/>
        <i x="2"/>
        <i x="3"/>
        <i x="4"/>
        <i x="5"/>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s="1"/>
        <i x="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9" s="1"/>
        <i x="1" s="1" nd="1"/>
        <i x="7" s="1" nd="1"/>
        <i x="4" s="1" nd="1"/>
        <i x="3" s="1" nd="1"/>
        <i x="2" s="1" nd="1"/>
        <i x="6" s="1" nd="1"/>
        <i x="5" s="1" nd="1"/>
        <i x="8" s="1" nd="1"/>
        <i x="0"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5" dT="2025-06-05T07:51:16.55" personId="{F86884F7-C0B2-4E5F-9B04-16A8C42D5EF3}" id="{6BEA0544-373B-48E1-92D6-4B76C46D6388}">
    <text>all 2024 grants are DELTAS II</text>
  </threadedComment>
  <threadedComment ref="W75" dT="2025-06-05T07:57:47.24" personId="{F86884F7-C0B2-4E5F-9B04-16A8C42D5EF3}" id="{8A844373-F7D7-4101-AFBC-F21743852D78}">
    <text>make sure you get complete data before we close this batch</text>
  </threadedComment>
  <threadedComment ref="K76" dT="2025-06-05T07:51:16.55" personId="{F86884F7-C0B2-4E5F-9B04-16A8C42D5EF3}" id="{E88B21D3-C737-4E43-BABF-8E09695F1CB4}">
    <text>all 2024 grants are DELTAS II</text>
  </threadedComment>
  <threadedComment ref="K77" dT="2025-06-05T07:51:16.55" personId="{F86884F7-C0B2-4E5F-9B04-16A8C42D5EF3}" id="{FF5E0946-3BFA-4732-A91C-FF88A4260001}">
    <text>all 2024 grants are DELTAS II</text>
  </threadedComment>
  <threadedComment ref="K78" dT="2025-06-05T07:51:16.55" personId="{F86884F7-C0B2-4E5F-9B04-16A8C42D5EF3}" id="{FEFADA3C-6DC7-499C-B0B4-F83BEA212B23}">
    <text>all 2024 grants are DELTAS II</text>
  </threadedComment>
  <threadedComment ref="K79" dT="2025-06-05T07:51:16.55" personId="{F86884F7-C0B2-4E5F-9B04-16A8C42D5EF3}" id="{CDFF4815-8A83-49DF-9929-07F6C68C0CF8}">
    <text>all 2024 grants are DELTAS II</text>
  </threadedComment>
  <threadedComment ref="K80" dT="2025-06-05T07:51:16.55" personId="{F86884F7-C0B2-4E5F-9B04-16A8C42D5EF3}" id="{C986EF52-7AFD-407B-A6B7-2CE66645F86C}">
    <text>all 2024 grants are DELTAS II</text>
  </threadedComment>
  <threadedComment ref="K81" dT="2025-06-05T07:51:16.55" personId="{F86884F7-C0B2-4E5F-9B04-16A8C42D5EF3}" id="{16B20CD2-663E-496D-AB0A-74021956FF2E}">
    <text>all 2024 grants are DELTAS II</text>
  </threadedComment>
  <threadedComment ref="K82" dT="2025-06-05T07:51:16.55" personId="{F86884F7-C0B2-4E5F-9B04-16A8C42D5EF3}" id="{69F63D09-A033-4710-9082-5D853B5636F1}">
    <text>all 2024 grants are DELTAS II</text>
  </threadedComment>
  <threadedComment ref="K83" dT="2025-06-05T07:51:16.55" personId="{F86884F7-C0B2-4E5F-9B04-16A8C42D5EF3}" id="{7D115C52-F10A-41DD-B1F4-484449B2984B}">
    <text>all 2024 grants are DELTAS II</text>
  </threadedComment>
  <threadedComment ref="K84" dT="2025-06-05T07:51:16.55" personId="{F86884F7-C0B2-4E5F-9B04-16A8C42D5EF3}" id="{DBEB16CE-EBF6-4C73-B86A-A628BD2B55DD}">
    <text>all 2024 grants are DELTAS II</text>
  </threadedComment>
  <threadedComment ref="K85" dT="2025-06-05T07:51:16.55" personId="{F86884F7-C0B2-4E5F-9B04-16A8C42D5EF3}" id="{C9ACFE55-9187-4CA8-8B2E-7BB818F15052}">
    <text>all 2024 grants are DELTAS II</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 ref="F18" dT="2024-08-12T07:21:18.15" personId="{582C5505-6C87-47CA-96A7-F13BC0BF2A26}" id="{AC54F235-6CD0-42F2-8A1F-7567994939B1}">
    <text>self sponsored is not a postdoc. Remove it from the database. This is a personal trip</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D9" sqref="D9"/>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11.42578125" bestFit="1" customWidth="1"/>
    <col min="20" max="20" width="13.42578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row>
    <row r="4" spans="1:26" ht="15">
      <c r="Q4" s="44" t="s">
        <v>4</v>
      </c>
      <c r="R4" s="45"/>
      <c r="S4" s="42" t="s">
        <v>5</v>
      </c>
    </row>
    <row r="5" spans="1:26" ht="15">
      <c r="P5" s="8" t="s">
        <v>6</v>
      </c>
      <c r="Q5" s="44" t="s">
        <v>7</v>
      </c>
      <c r="R5" s="45" t="s">
        <v>8</v>
      </c>
      <c r="S5" s="43"/>
    </row>
    <row r="6" spans="1:26" ht="15">
      <c r="P6" t="s">
        <v>9</v>
      </c>
      <c r="Q6" s="50">
        <v>1</v>
      </c>
      <c r="R6" s="50"/>
      <c r="S6" s="51">
        <v>1</v>
      </c>
    </row>
    <row r="7" spans="1:26" ht="15">
      <c r="P7" t="s">
        <v>10</v>
      </c>
      <c r="Q7" s="50"/>
      <c r="R7" s="50">
        <v>1</v>
      </c>
      <c r="S7" s="52">
        <v>1</v>
      </c>
    </row>
    <row r="8" spans="1:26" ht="15">
      <c r="C8" s="24" t="s">
        <v>11</v>
      </c>
      <c r="D8" s="24">
        <v>188</v>
      </c>
      <c r="P8" t="s">
        <v>12</v>
      </c>
      <c r="Q8" s="50">
        <v>2</v>
      </c>
      <c r="R8" s="50"/>
      <c r="S8" s="52">
        <v>2</v>
      </c>
    </row>
    <row r="9" spans="1:26" ht="15">
      <c r="C9" s="24" t="s">
        <v>13</v>
      </c>
      <c r="D9" s="25">
        <v>45928</v>
      </c>
      <c r="P9" t="s">
        <v>5</v>
      </c>
      <c r="Q9" s="50">
        <v>3</v>
      </c>
      <c r="R9" s="50">
        <v>1</v>
      </c>
      <c r="S9" s="53">
        <v>4</v>
      </c>
    </row>
    <row r="10" spans="1:26" ht="15"/>
    <row r="11" spans="1:26" ht="15"/>
    <row r="12" spans="1:26" ht="15"/>
    <row r="13" spans="1:26" ht="15"/>
    <row r="14" spans="1:26" ht="15" thickBot="1"/>
    <row r="20" spans="16:19" ht="15" thickBot="1"/>
    <row r="22" spans="16:19">
      <c r="P22" s="8" t="s">
        <v>14</v>
      </c>
      <c r="Q22" t="s">
        <v>15</v>
      </c>
    </row>
    <row r="24" spans="16:19">
      <c r="P24" s="8" t="s">
        <v>1</v>
      </c>
      <c r="Q24" s="8" t="s">
        <v>2</v>
      </c>
    </row>
    <row r="25" spans="16:19">
      <c r="P25" s="8" t="s">
        <v>6</v>
      </c>
      <c r="Q25" t="s">
        <v>4</v>
      </c>
      <c r="R25" t="s">
        <v>16</v>
      </c>
      <c r="S25" t="s">
        <v>5</v>
      </c>
    </row>
    <row r="26" spans="16:19">
      <c r="P26" t="s">
        <v>17</v>
      </c>
      <c r="R26">
        <v>1</v>
      </c>
      <c r="S26">
        <v>1</v>
      </c>
    </row>
    <row r="27" spans="16:19">
      <c r="P27" t="s">
        <v>18</v>
      </c>
      <c r="Q27">
        <v>1</v>
      </c>
      <c r="R27">
        <v>2</v>
      </c>
      <c r="S27">
        <v>3</v>
      </c>
    </row>
    <row r="28" spans="16:19">
      <c r="P28" t="s">
        <v>19</v>
      </c>
      <c r="Q28">
        <v>1</v>
      </c>
      <c r="R28">
        <v>1</v>
      </c>
      <c r="S28">
        <v>2</v>
      </c>
    </row>
    <row r="29" spans="16:19">
      <c r="P29" t="s">
        <v>9</v>
      </c>
      <c r="Q29">
        <v>1</v>
      </c>
      <c r="S29">
        <v>1</v>
      </c>
    </row>
    <row r="30" spans="16:19">
      <c r="P30" t="s">
        <v>10</v>
      </c>
      <c r="Q30">
        <v>3</v>
      </c>
      <c r="R30">
        <v>7</v>
      </c>
      <c r="S30">
        <v>10</v>
      </c>
    </row>
    <row r="31" spans="16:19">
      <c r="P31" t="s">
        <v>20</v>
      </c>
      <c r="Q31">
        <v>2</v>
      </c>
      <c r="R31">
        <v>5</v>
      </c>
      <c r="S31">
        <v>7</v>
      </c>
    </row>
    <row r="32" spans="16:19">
      <c r="P32" t="s">
        <v>21</v>
      </c>
      <c r="Q32">
        <v>6</v>
      </c>
      <c r="R32">
        <v>13</v>
      </c>
      <c r="S32">
        <v>19</v>
      </c>
    </row>
    <row r="33" spans="16:19">
      <c r="P33" t="s">
        <v>22</v>
      </c>
      <c r="Q33">
        <v>1</v>
      </c>
      <c r="R33">
        <v>3</v>
      </c>
      <c r="S33">
        <v>4</v>
      </c>
    </row>
    <row r="34" spans="16:19">
      <c r="P34" t="s">
        <v>12</v>
      </c>
      <c r="Q34">
        <v>8</v>
      </c>
      <c r="R34">
        <v>9</v>
      </c>
      <c r="S34">
        <v>17</v>
      </c>
    </row>
    <row r="35" spans="16:19">
      <c r="P35" t="s">
        <v>23</v>
      </c>
      <c r="Q35">
        <v>2</v>
      </c>
      <c r="R35">
        <v>4</v>
      </c>
      <c r="S35">
        <v>6</v>
      </c>
    </row>
    <row r="36" spans="16:19">
      <c r="P36" t="s">
        <v>24</v>
      </c>
      <c r="Q36">
        <v>1</v>
      </c>
      <c r="R36">
        <v>4</v>
      </c>
      <c r="S36">
        <v>5</v>
      </c>
    </row>
    <row r="37" spans="16:19">
      <c r="P37" t="s">
        <v>25</v>
      </c>
      <c r="Q37">
        <v>1</v>
      </c>
      <c r="R37">
        <v>2</v>
      </c>
      <c r="S37">
        <v>3</v>
      </c>
    </row>
    <row r="38" spans="16:19">
      <c r="P38" t="s">
        <v>26</v>
      </c>
      <c r="R38">
        <v>5</v>
      </c>
      <c r="S38">
        <v>5</v>
      </c>
    </row>
    <row r="39" spans="16:19">
      <c r="P39" t="s">
        <v>27</v>
      </c>
      <c r="Q39">
        <v>1</v>
      </c>
      <c r="S39">
        <v>1</v>
      </c>
    </row>
    <row r="40" spans="16:19">
      <c r="P40" t="s">
        <v>5</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tabSelected="1" workbookViewId="0">
      <pane ySplit="1" topLeftCell="A61" activePane="bottomLeft" state="frozen"/>
      <selection pane="bottomLeft" activeCell="H75" sqref="H75"/>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6</v>
      </c>
      <c r="H1" s="12" t="s">
        <v>33</v>
      </c>
      <c r="I1" s="12" t="s">
        <v>34</v>
      </c>
      <c r="J1" s="15" t="s">
        <v>2</v>
      </c>
      <c r="K1" s="12" t="s">
        <v>35</v>
      </c>
      <c r="L1" s="13" t="s">
        <v>14</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7</v>
      </c>
      <c r="F2" s="2" t="s">
        <v>56</v>
      </c>
      <c r="G2" s="2" t="s">
        <v>21</v>
      </c>
      <c r="H2" s="2" t="s">
        <v>26</v>
      </c>
      <c r="I2" s="2" t="s">
        <v>57</v>
      </c>
      <c r="J2" s="10" t="s">
        <v>4</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7</v>
      </c>
      <c r="F3" s="2" t="s">
        <v>65</v>
      </c>
      <c r="G3" s="2" t="s">
        <v>23</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8</v>
      </c>
      <c r="F4" s="2" t="s">
        <v>56</v>
      </c>
      <c r="G4" s="2" t="s">
        <v>21</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8</v>
      </c>
      <c r="F5" s="2" t="s">
        <v>56</v>
      </c>
      <c r="G5" s="2" t="s">
        <v>12</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8</v>
      </c>
      <c r="F6" s="2" t="s">
        <v>65</v>
      </c>
      <c r="G6" s="2" t="s">
        <v>23</v>
      </c>
      <c r="H6" s="2"/>
      <c r="I6" s="2"/>
      <c r="J6" s="10" t="s">
        <v>16</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8</v>
      </c>
      <c r="F7" s="2" t="s">
        <v>56</v>
      </c>
      <c r="G7" s="2" t="s">
        <v>12</v>
      </c>
      <c r="H7" s="2"/>
      <c r="I7" s="2"/>
      <c r="J7" s="10" t="s">
        <v>16</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7</v>
      </c>
      <c r="F8" s="2" t="s">
        <v>85</v>
      </c>
      <c r="G8" s="2" t="s">
        <v>20</v>
      </c>
      <c r="H8" s="2"/>
      <c r="I8" s="2"/>
      <c r="J8" s="10" t="s">
        <v>16</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7</v>
      </c>
      <c r="F9" s="2" t="s">
        <v>56</v>
      </c>
      <c r="G9" s="2" t="s">
        <v>21</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8</v>
      </c>
      <c r="F10" s="2" t="s">
        <v>97</v>
      </c>
      <c r="G10" s="2" t="s">
        <v>10</v>
      </c>
      <c r="H10" s="2"/>
      <c r="I10" s="2"/>
      <c r="J10" s="10" t="s">
        <v>16</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8</v>
      </c>
      <c r="F11" s="2" t="s">
        <v>65</v>
      </c>
      <c r="G11" s="2" t="s">
        <v>23</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8</v>
      </c>
      <c r="F12" s="2" t="s">
        <v>97</v>
      </c>
      <c r="G12" s="2" t="s">
        <v>10</v>
      </c>
      <c r="H12" s="2"/>
      <c r="I12" s="2"/>
      <c r="J12" s="10" t="s">
        <v>16</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8</v>
      </c>
      <c r="F13" s="2" t="s">
        <v>56</v>
      </c>
      <c r="G13" s="2" t="s">
        <v>21</v>
      </c>
      <c r="H13" s="2"/>
      <c r="I13" s="2"/>
      <c r="J13" s="10" t="s">
        <v>16</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8</v>
      </c>
      <c r="F14" s="2" t="s">
        <v>56</v>
      </c>
      <c r="G14" s="2" t="s">
        <v>21</v>
      </c>
      <c r="H14" s="2"/>
      <c r="I14" s="2"/>
      <c r="J14" s="10" t="s">
        <v>16</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8</v>
      </c>
      <c r="F15" s="2" t="s">
        <v>56</v>
      </c>
      <c r="G15" s="2" t="s">
        <v>21</v>
      </c>
      <c r="H15" s="2"/>
      <c r="I15" s="2"/>
      <c r="J15" s="10" t="s">
        <v>16</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7</v>
      </c>
      <c r="F16" s="2" t="s">
        <v>85</v>
      </c>
      <c r="G16" s="2" t="s">
        <v>20</v>
      </c>
      <c r="H16" s="2"/>
      <c r="I16" s="2"/>
      <c r="J16" s="10" t="s">
        <v>16</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8</v>
      </c>
      <c r="F17" s="2" t="s">
        <v>56</v>
      </c>
      <c r="G17" s="2" t="s">
        <v>21</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8</v>
      </c>
      <c r="F18" s="2" t="s">
        <v>56</v>
      </c>
      <c r="G18" s="2" t="s">
        <v>21</v>
      </c>
      <c r="H18" s="2" t="s">
        <v>17</v>
      </c>
      <c r="I18" s="2" t="s">
        <v>85</v>
      </c>
      <c r="J18" s="10" t="s">
        <v>4</v>
      </c>
      <c r="K18" s="2" t="s">
        <v>121</v>
      </c>
      <c r="L18" s="3">
        <v>2018</v>
      </c>
      <c r="M18" s="26"/>
      <c r="N18" s="26"/>
      <c r="O18" s="4"/>
      <c r="P18" s="2"/>
      <c r="Q18" s="2"/>
      <c r="R18" s="2" t="s">
        <v>59</v>
      </c>
      <c r="S18" t="s">
        <v>60</v>
      </c>
      <c r="T18">
        <v>1</v>
      </c>
      <c r="U18">
        <f>COUNTIF(Postdocs[Unique ID],Postdocs[[#This Row],[Unique ID]])</f>
        <v>2</v>
      </c>
      <c r="V18" t="s">
        <v>61</v>
      </c>
    </row>
    <row r="19" spans="1:22">
      <c r="A19" s="9">
        <v>18</v>
      </c>
      <c r="B19" s="2" t="s">
        <v>122</v>
      </c>
      <c r="C19" s="2" t="s">
        <v>123</v>
      </c>
      <c r="D19" s="2" t="s">
        <v>124</v>
      </c>
      <c r="E19" s="2" t="s">
        <v>7</v>
      </c>
      <c r="F19" s="2" t="s">
        <v>85</v>
      </c>
      <c r="G19" s="2" t="s">
        <v>24</v>
      </c>
      <c r="H19" s="2" t="s">
        <v>17</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125</v>
      </c>
      <c r="C20" s="2" t="s">
        <v>126</v>
      </c>
      <c r="D20" s="2" t="s">
        <v>127</v>
      </c>
      <c r="E20" s="2" t="s">
        <v>8</v>
      </c>
      <c r="F20" s="2" t="s">
        <v>128</v>
      </c>
      <c r="G20" s="2" t="s">
        <v>25</v>
      </c>
      <c r="H20" s="2" t="s">
        <v>17</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8</v>
      </c>
      <c r="F21" s="2" t="s">
        <v>56</v>
      </c>
      <c r="G21" s="2" t="s">
        <v>12</v>
      </c>
      <c r="H21" s="2" t="s">
        <v>129</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8</v>
      </c>
      <c r="F22" s="2" t="s">
        <v>97</v>
      </c>
      <c r="G22" s="2" t="s">
        <v>10</v>
      </c>
      <c r="H22" s="2" t="s">
        <v>130</v>
      </c>
      <c r="I22" s="2" t="s">
        <v>131</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132</v>
      </c>
      <c r="C23" s="2" t="s">
        <v>133</v>
      </c>
      <c r="D23" s="2" t="s">
        <v>134</v>
      </c>
      <c r="E23" s="2" t="s">
        <v>7</v>
      </c>
      <c r="F23" s="2" t="s">
        <v>135</v>
      </c>
      <c r="G23" s="2" t="s">
        <v>22</v>
      </c>
      <c r="H23" s="2"/>
      <c r="I23" s="2"/>
      <c r="J23" s="10" t="s">
        <v>16</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7</v>
      </c>
      <c r="F24" s="2" t="s">
        <v>56</v>
      </c>
      <c r="G24" s="2" t="s">
        <v>21</v>
      </c>
      <c r="H24" s="2"/>
      <c r="I24" s="2"/>
      <c r="J24" s="10" t="s">
        <v>16</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136</v>
      </c>
      <c r="C25" s="2" t="s">
        <v>137</v>
      </c>
      <c r="D25" s="2" t="s">
        <v>138</v>
      </c>
      <c r="E25" s="2" t="s">
        <v>8</v>
      </c>
      <c r="F25" s="2" t="s">
        <v>56</v>
      </c>
      <c r="G25" s="2" t="s">
        <v>12</v>
      </c>
      <c r="H25" s="2"/>
      <c r="I25" s="2"/>
      <c r="J25" s="10" t="s">
        <v>16</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139</v>
      </c>
      <c r="C26" s="2" t="s">
        <v>140</v>
      </c>
      <c r="D26" s="2" t="s">
        <v>141</v>
      </c>
      <c r="E26" s="2" t="s">
        <v>7</v>
      </c>
      <c r="F26" s="2" t="s">
        <v>57</v>
      </c>
      <c r="G26" s="2" t="s">
        <v>26</v>
      </c>
      <c r="H26" s="2"/>
      <c r="I26" s="2"/>
      <c r="J26" s="10" t="s">
        <v>16</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7</v>
      </c>
      <c r="F27" s="2" t="s">
        <v>65</v>
      </c>
      <c r="G27" s="2" t="s">
        <v>23</v>
      </c>
      <c r="H27" s="2"/>
      <c r="I27" s="2"/>
      <c r="J27" s="10" t="s">
        <v>16</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142</v>
      </c>
      <c r="C28" s="2" t="s">
        <v>143</v>
      </c>
      <c r="D28" s="2" t="s">
        <v>144</v>
      </c>
      <c r="E28" s="2" t="s">
        <v>7</v>
      </c>
      <c r="F28" s="2" t="s">
        <v>85</v>
      </c>
      <c r="G28" s="2" t="s">
        <v>24</v>
      </c>
      <c r="H28" s="2"/>
      <c r="I28" s="2"/>
      <c r="J28" s="10" t="s">
        <v>16</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145</v>
      </c>
      <c r="C29" s="2" t="s">
        <v>146</v>
      </c>
      <c r="D29" s="2" t="s">
        <v>147</v>
      </c>
      <c r="E29" s="2" t="s">
        <v>7</v>
      </c>
      <c r="F29" s="2" t="s">
        <v>56</v>
      </c>
      <c r="G29" s="2" t="s">
        <v>12</v>
      </c>
      <c r="H29" s="2"/>
      <c r="I29" s="2"/>
      <c r="J29" s="10" t="s">
        <v>16</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7</v>
      </c>
      <c r="F30" s="2" t="s">
        <v>56</v>
      </c>
      <c r="G30" s="2" t="s">
        <v>21</v>
      </c>
      <c r="H30" s="2"/>
      <c r="I30" s="2"/>
      <c r="J30" s="10" t="s">
        <v>16</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148</v>
      </c>
      <c r="C31" s="16" t="s">
        <v>149</v>
      </c>
      <c r="D31" s="16" t="s">
        <v>150</v>
      </c>
      <c r="E31" s="2" t="s">
        <v>7</v>
      </c>
      <c r="F31" s="2" t="s">
        <v>56</v>
      </c>
      <c r="G31" s="2" t="s">
        <v>21</v>
      </c>
      <c r="H31" s="2"/>
      <c r="I31" s="2"/>
      <c r="J31" s="10" t="s">
        <v>16</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151</v>
      </c>
      <c r="C32" s="2" t="s">
        <v>152</v>
      </c>
      <c r="D32" s="2" t="s">
        <v>153</v>
      </c>
      <c r="E32" s="2" t="s">
        <v>7</v>
      </c>
      <c r="F32" s="2" t="s">
        <v>97</v>
      </c>
      <c r="G32" s="2" t="s">
        <v>10</v>
      </c>
      <c r="H32" s="2"/>
      <c r="I32" s="2"/>
      <c r="J32" s="10" t="s">
        <v>16</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154</v>
      </c>
      <c r="C33" s="2" t="s">
        <v>155</v>
      </c>
      <c r="D33" s="2" t="s">
        <v>156</v>
      </c>
      <c r="E33" s="2" t="s">
        <v>7</v>
      </c>
      <c r="F33" s="2" t="s">
        <v>85</v>
      </c>
      <c r="G33" s="2" t="s">
        <v>19</v>
      </c>
      <c r="H33" s="2" t="s">
        <v>157</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158</v>
      </c>
      <c r="C34" s="2" t="s">
        <v>159</v>
      </c>
      <c r="D34" s="2" t="s">
        <v>160</v>
      </c>
      <c r="E34" s="2" t="s">
        <v>7</v>
      </c>
      <c r="F34" s="2" t="s">
        <v>85</v>
      </c>
      <c r="G34" s="2" t="s">
        <v>20</v>
      </c>
      <c r="H34" s="2" t="s">
        <v>161</v>
      </c>
      <c r="I34" s="2" t="s">
        <v>162</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163</v>
      </c>
      <c r="C35" s="2" t="s">
        <v>164</v>
      </c>
      <c r="D35" s="2" t="s">
        <v>165</v>
      </c>
      <c r="E35" s="2" t="s">
        <v>7</v>
      </c>
      <c r="F35" s="2" t="s">
        <v>57</v>
      </c>
      <c r="G35" s="2" t="s">
        <v>26</v>
      </c>
      <c r="H35" s="2"/>
      <c r="I35" s="2"/>
      <c r="J35" s="10" t="s">
        <v>16</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166</v>
      </c>
      <c r="C36" s="2" t="s">
        <v>167</v>
      </c>
      <c r="D36" s="2" t="s">
        <v>168</v>
      </c>
      <c r="E36" s="2" t="s">
        <v>8</v>
      </c>
      <c r="F36" s="2" t="s">
        <v>97</v>
      </c>
      <c r="G36" s="2" t="s">
        <v>10</v>
      </c>
      <c r="H36" s="2"/>
      <c r="I36" s="2"/>
      <c r="J36" s="10" t="s">
        <v>16</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169</v>
      </c>
      <c r="C37" s="2" t="s">
        <v>170</v>
      </c>
      <c r="D37" s="2" t="s">
        <v>171</v>
      </c>
      <c r="E37" s="2" t="s">
        <v>8</v>
      </c>
      <c r="F37" s="2" t="s">
        <v>135</v>
      </c>
      <c r="G37" s="2" t="s">
        <v>22</v>
      </c>
      <c r="H37" s="2"/>
      <c r="I37" s="2"/>
      <c r="J37" s="10" t="s">
        <v>16</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172</v>
      </c>
      <c r="C38" s="2" t="s">
        <v>173</v>
      </c>
      <c r="D38" s="2" t="s">
        <v>174</v>
      </c>
      <c r="E38" s="2" t="s">
        <v>8</v>
      </c>
      <c r="F38" s="2" t="s">
        <v>56</v>
      </c>
      <c r="G38" s="2" t="s">
        <v>12</v>
      </c>
      <c r="H38" s="2"/>
      <c r="I38" s="2"/>
      <c r="J38" s="10" t="s">
        <v>16</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175</v>
      </c>
      <c r="C39" s="2" t="s">
        <v>176</v>
      </c>
      <c r="D39" s="2" t="s">
        <v>177</v>
      </c>
      <c r="E39" s="2" t="s">
        <v>8</v>
      </c>
      <c r="F39" s="2" t="s">
        <v>135</v>
      </c>
      <c r="G39" s="2" t="s">
        <v>18</v>
      </c>
      <c r="H39" s="2"/>
      <c r="I39" s="2"/>
      <c r="J39" s="10" t="s">
        <v>16</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178</v>
      </c>
      <c r="C40" s="2" t="s">
        <v>179</v>
      </c>
      <c r="D40" s="2" t="s">
        <v>180</v>
      </c>
      <c r="E40" s="2" t="s">
        <v>8</v>
      </c>
      <c r="F40" s="2" t="s">
        <v>128</v>
      </c>
      <c r="G40" s="2" t="s">
        <v>25</v>
      </c>
      <c r="H40" s="2"/>
      <c r="I40" s="2"/>
      <c r="J40" s="10" t="s">
        <v>16</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181</v>
      </c>
      <c r="C41" s="2" t="s">
        <v>182</v>
      </c>
      <c r="D41" s="2" t="s">
        <v>183</v>
      </c>
      <c r="E41" s="2" t="s">
        <v>8</v>
      </c>
      <c r="F41" s="2" t="s">
        <v>65</v>
      </c>
      <c r="G41" s="2" t="s">
        <v>23</v>
      </c>
      <c r="H41" s="2"/>
      <c r="I41" s="2"/>
      <c r="J41" s="10" t="s">
        <v>16</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8</v>
      </c>
      <c r="F42" s="2" t="s">
        <v>56</v>
      </c>
      <c r="G42" s="2" t="s">
        <v>12</v>
      </c>
      <c r="H42" s="2"/>
      <c r="I42" s="2"/>
      <c r="J42" s="10" t="s">
        <v>16</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184</v>
      </c>
      <c r="C43" s="2" t="s">
        <v>185</v>
      </c>
      <c r="D43" s="2" t="s">
        <v>186</v>
      </c>
      <c r="E43" s="2" t="s">
        <v>8</v>
      </c>
      <c r="F43" s="2" t="s">
        <v>187</v>
      </c>
      <c r="G43" s="2" t="s">
        <v>26</v>
      </c>
      <c r="H43" s="2"/>
      <c r="I43" s="2"/>
      <c r="J43" s="10" t="s">
        <v>16</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188</v>
      </c>
      <c r="C44" s="2" t="s">
        <v>189</v>
      </c>
      <c r="D44" s="2" t="s">
        <v>190</v>
      </c>
      <c r="E44" s="2" t="s">
        <v>8</v>
      </c>
      <c r="F44" s="2" t="s">
        <v>65</v>
      </c>
      <c r="G44" s="2" t="s">
        <v>23</v>
      </c>
      <c r="H44" s="2"/>
      <c r="I44" s="2"/>
      <c r="J44" s="10" t="s">
        <v>16</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8</v>
      </c>
      <c r="F45" s="2" t="s">
        <v>56</v>
      </c>
      <c r="G45" s="2" t="s">
        <v>21</v>
      </c>
      <c r="H45" s="2"/>
      <c r="I45" s="2"/>
      <c r="J45" s="10" t="s">
        <v>16</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191</v>
      </c>
      <c r="C46" s="2" t="s">
        <v>192</v>
      </c>
      <c r="D46" s="2" t="s">
        <v>193</v>
      </c>
      <c r="E46" s="2" t="s">
        <v>8</v>
      </c>
      <c r="F46" s="2" t="s">
        <v>56</v>
      </c>
      <c r="G46" s="2" t="s">
        <v>21</v>
      </c>
      <c r="H46" s="2"/>
      <c r="I46" s="2"/>
      <c r="J46" s="10" t="s">
        <v>16</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194</v>
      </c>
      <c r="C47" s="2" t="s">
        <v>195</v>
      </c>
      <c r="D47" s="2" t="s">
        <v>196</v>
      </c>
      <c r="E47" s="2" t="s">
        <v>8</v>
      </c>
      <c r="F47" s="2" t="s">
        <v>85</v>
      </c>
      <c r="G47" s="2" t="s">
        <v>26</v>
      </c>
      <c r="H47" s="2"/>
      <c r="I47" s="2"/>
      <c r="J47" s="10" t="s">
        <v>16</v>
      </c>
      <c r="K47" s="2" t="s">
        <v>197</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198</v>
      </c>
      <c r="C48" s="2" t="s">
        <v>199</v>
      </c>
      <c r="D48" s="2" t="s">
        <v>200</v>
      </c>
      <c r="E48" s="2" t="s">
        <v>8</v>
      </c>
      <c r="F48" s="2" t="s">
        <v>85</v>
      </c>
      <c r="G48" s="2" t="s">
        <v>17</v>
      </c>
      <c r="H48" s="2"/>
      <c r="I48" s="2"/>
      <c r="J48" s="10" t="s">
        <v>16</v>
      </c>
      <c r="K48" s="2" t="s">
        <v>197</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201</v>
      </c>
      <c r="C49" s="2" t="s">
        <v>202</v>
      </c>
      <c r="D49" s="2" t="s">
        <v>200</v>
      </c>
      <c r="E49" s="2" t="s">
        <v>8</v>
      </c>
      <c r="F49" s="2" t="s">
        <v>85</v>
      </c>
      <c r="G49" s="2" t="s">
        <v>20</v>
      </c>
      <c r="H49" s="2"/>
      <c r="I49" s="2"/>
      <c r="J49" s="10" t="s">
        <v>16</v>
      </c>
      <c r="K49" s="2" t="s">
        <v>197</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203</v>
      </c>
      <c r="C50" s="2" t="s">
        <v>204</v>
      </c>
      <c r="D50" s="2" t="s">
        <v>205</v>
      </c>
      <c r="E50" s="2" t="s">
        <v>8</v>
      </c>
      <c r="F50" s="2" t="s">
        <v>135</v>
      </c>
      <c r="G50" s="2" t="s">
        <v>22</v>
      </c>
      <c r="H50" s="2"/>
      <c r="I50" s="2"/>
      <c r="J50" s="10" t="s">
        <v>16</v>
      </c>
      <c r="K50" s="2" t="s">
        <v>197</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206</v>
      </c>
      <c r="C51" s="2" t="s">
        <v>207</v>
      </c>
      <c r="D51" s="2" t="s">
        <v>208</v>
      </c>
      <c r="E51" s="2" t="s">
        <v>7</v>
      </c>
      <c r="F51" s="2" t="s">
        <v>56</v>
      </c>
      <c r="G51" s="2" t="s">
        <v>12</v>
      </c>
      <c r="H51" s="2" t="s">
        <v>17</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209</v>
      </c>
      <c r="C52" s="2" t="s">
        <v>210</v>
      </c>
      <c r="D52" s="2" t="s">
        <v>211</v>
      </c>
      <c r="E52" s="2" t="s">
        <v>7</v>
      </c>
      <c r="F52" s="2" t="s">
        <v>56</v>
      </c>
      <c r="G52" s="2" t="s">
        <v>12</v>
      </c>
      <c r="H52" s="2" t="s">
        <v>212</v>
      </c>
      <c r="I52" s="2" t="s">
        <v>213</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132</v>
      </c>
      <c r="C53" s="2" t="s">
        <v>133</v>
      </c>
      <c r="D53" s="2" t="s">
        <v>134</v>
      </c>
      <c r="E53" s="2" t="s">
        <v>7</v>
      </c>
      <c r="F53" s="2" t="s">
        <v>135</v>
      </c>
      <c r="G53" s="2" t="s">
        <v>22</v>
      </c>
      <c r="H53" s="2" t="s">
        <v>10</v>
      </c>
      <c r="I53" s="2" t="s">
        <v>97</v>
      </c>
      <c r="J53" s="10" t="s">
        <v>4</v>
      </c>
      <c r="K53" s="2" t="s">
        <v>104</v>
      </c>
      <c r="L53" s="3">
        <v>2020</v>
      </c>
      <c r="M53" s="26"/>
      <c r="N53" s="26">
        <v>44316</v>
      </c>
      <c r="O53" s="4">
        <v>44336</v>
      </c>
      <c r="P53" s="2"/>
      <c r="Q53" s="2" t="s">
        <v>214</v>
      </c>
      <c r="R53" s="2" t="s">
        <v>59</v>
      </c>
      <c r="S53" t="s">
        <v>100</v>
      </c>
      <c r="T53">
        <v>2</v>
      </c>
      <c r="U53">
        <f>COUNTIF(Postdocs[Unique ID],Postdocs[[#This Row],[Unique ID]])</f>
        <v>2</v>
      </c>
      <c r="V53" t="s">
        <v>61</v>
      </c>
    </row>
    <row r="54" spans="1:28">
      <c r="A54" s="9">
        <v>53</v>
      </c>
      <c r="B54" s="2" t="s">
        <v>145</v>
      </c>
      <c r="C54" s="2" t="s">
        <v>146</v>
      </c>
      <c r="D54" s="2" t="s">
        <v>147</v>
      </c>
      <c r="E54" s="2" t="s">
        <v>7</v>
      </c>
      <c r="F54" s="2" t="s">
        <v>56</v>
      </c>
      <c r="G54" s="2" t="s">
        <v>12</v>
      </c>
      <c r="H54" s="2" t="s">
        <v>215</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216</v>
      </c>
      <c r="C55" s="2" t="s">
        <v>217</v>
      </c>
      <c r="D55" s="2" t="s">
        <v>218</v>
      </c>
      <c r="E55" s="2" t="s">
        <v>8</v>
      </c>
      <c r="F55" s="2" t="s">
        <v>85</v>
      </c>
      <c r="G55" s="2" t="s">
        <v>20</v>
      </c>
      <c r="H55" s="2"/>
      <c r="I55" s="2"/>
      <c r="J55" s="10" t="s">
        <v>16</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8</v>
      </c>
      <c r="F56" s="2" t="s">
        <v>56</v>
      </c>
      <c r="G56" s="2" t="s">
        <v>21</v>
      </c>
      <c r="H56" s="2"/>
      <c r="I56" s="2"/>
      <c r="J56" s="10" t="s">
        <v>16</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219</v>
      </c>
      <c r="C57" s="2" t="s">
        <v>220</v>
      </c>
      <c r="D57" s="2" t="s">
        <v>150</v>
      </c>
      <c r="E57" s="2" t="s">
        <v>7</v>
      </c>
      <c r="F57" s="2" t="s">
        <v>56</v>
      </c>
      <c r="G57" s="2" t="s">
        <v>21</v>
      </c>
      <c r="H57" s="2"/>
      <c r="I57" s="2"/>
      <c r="J57" s="10" t="s">
        <v>16</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221</v>
      </c>
      <c r="C58" s="16" t="s">
        <v>222</v>
      </c>
      <c r="D58" s="16" t="s">
        <v>223</v>
      </c>
      <c r="E58" s="16" t="s">
        <v>7</v>
      </c>
      <c r="F58" s="16" t="s">
        <v>56</v>
      </c>
      <c r="G58" s="16" t="s">
        <v>10</v>
      </c>
      <c r="H58" s="16"/>
      <c r="I58" s="16"/>
      <c r="J58" s="19" t="s">
        <v>16</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166</v>
      </c>
      <c r="C59" s="16" t="s">
        <v>167</v>
      </c>
      <c r="D59" s="16" t="s">
        <v>168</v>
      </c>
      <c r="E59" s="16" t="s">
        <v>8</v>
      </c>
      <c r="F59" s="16" t="s">
        <v>97</v>
      </c>
      <c r="G59" s="16" t="s">
        <v>10</v>
      </c>
      <c r="H59" s="16"/>
      <c r="I59" s="16"/>
      <c r="J59" s="19" t="s">
        <v>16</v>
      </c>
      <c r="K59" s="16" t="s">
        <v>224</v>
      </c>
      <c r="L59" s="17">
        <v>2020</v>
      </c>
      <c r="M59" s="18"/>
      <c r="N59" s="18"/>
      <c r="O59" s="4"/>
      <c r="P59" s="16"/>
      <c r="Q59" s="16"/>
      <c r="R59" s="16" t="s">
        <v>59</v>
      </c>
      <c r="S59" t="s">
        <v>100</v>
      </c>
      <c r="T59">
        <v>2</v>
      </c>
      <c r="U59">
        <f>COUNTIF(Postdocs[Unique ID],Postdocs[[#This Row],[Unique ID]])</f>
        <v>3</v>
      </c>
      <c r="V59" t="s">
        <v>61</v>
      </c>
    </row>
    <row r="60" spans="1:28">
      <c r="A60" s="9">
        <v>59</v>
      </c>
      <c r="B60" s="16" t="s">
        <v>225</v>
      </c>
      <c r="C60" s="16" t="s">
        <v>226</v>
      </c>
      <c r="D60" s="16" t="s">
        <v>227</v>
      </c>
      <c r="E60" s="16" t="s">
        <v>7</v>
      </c>
      <c r="F60" s="16" t="s">
        <v>85</v>
      </c>
      <c r="G60" s="16" t="s">
        <v>24</v>
      </c>
      <c r="H60" s="16"/>
      <c r="I60" s="16"/>
      <c r="J60" s="19" t="s">
        <v>16</v>
      </c>
      <c r="K60" s="16" t="s">
        <v>111</v>
      </c>
      <c r="L60" s="17">
        <v>2022</v>
      </c>
      <c r="M60" s="26">
        <v>44746</v>
      </c>
      <c r="N60" s="26">
        <v>45110</v>
      </c>
      <c r="O60" s="18"/>
      <c r="P60" s="16"/>
      <c r="Q60" s="16" t="s">
        <v>228</v>
      </c>
      <c r="R60" s="16" t="s">
        <v>59</v>
      </c>
      <c r="S60" t="s">
        <v>60</v>
      </c>
      <c r="T60">
        <v>1</v>
      </c>
      <c r="U60">
        <f>COUNTIF(Postdocs[Unique ID],Postdocs[[#This Row],[Unique ID]])</f>
        <v>1</v>
      </c>
      <c r="V60" t="s">
        <v>87</v>
      </c>
      <c r="W60" t="s">
        <v>229</v>
      </c>
      <c r="X60" t="s">
        <v>230</v>
      </c>
      <c r="Y60" t="s">
        <v>231</v>
      </c>
      <c r="Z60" t="s">
        <v>232</v>
      </c>
      <c r="AA60" t="s">
        <v>233</v>
      </c>
      <c r="AB60" t="s">
        <v>234</v>
      </c>
    </row>
    <row r="61" spans="1:28">
      <c r="A61" s="9">
        <v>60</v>
      </c>
      <c r="B61" s="16" t="s">
        <v>235</v>
      </c>
      <c r="C61" s="16" t="s">
        <v>236</v>
      </c>
      <c r="D61" s="16" t="s">
        <v>237</v>
      </c>
      <c r="E61" s="16" t="s">
        <v>7</v>
      </c>
      <c r="F61" s="16" t="s">
        <v>85</v>
      </c>
      <c r="G61" s="16" t="s">
        <v>20</v>
      </c>
      <c r="H61" s="16"/>
      <c r="I61" s="16"/>
      <c r="J61" s="19" t="s">
        <v>16</v>
      </c>
      <c r="K61" s="16" t="s">
        <v>111</v>
      </c>
      <c r="L61" s="17">
        <v>2022</v>
      </c>
      <c r="M61" s="26">
        <v>44746</v>
      </c>
      <c r="N61" s="26">
        <v>45110</v>
      </c>
      <c r="O61" s="18"/>
      <c r="P61" s="16"/>
      <c r="Q61" s="16" t="s">
        <v>238</v>
      </c>
      <c r="R61" s="16" t="s">
        <v>59</v>
      </c>
      <c r="S61" t="s">
        <v>60</v>
      </c>
      <c r="T61">
        <v>1</v>
      </c>
      <c r="U61">
        <f>COUNTIF(Postdocs[Unique ID],Postdocs[[#This Row],[Unique ID]])</f>
        <v>1</v>
      </c>
      <c r="V61" t="s">
        <v>87</v>
      </c>
      <c r="W61" t="s">
        <v>239</v>
      </c>
      <c r="X61" t="s">
        <v>240</v>
      </c>
      <c r="Y61" t="s">
        <v>241</v>
      </c>
      <c r="Z61" t="s">
        <v>242</v>
      </c>
      <c r="AA61" t="s">
        <v>243</v>
      </c>
      <c r="AB61" t="s">
        <v>244</v>
      </c>
    </row>
    <row r="62" spans="1:28">
      <c r="A62" s="9">
        <v>61</v>
      </c>
      <c r="B62" s="16" t="s">
        <v>245</v>
      </c>
      <c r="C62" s="16" t="s">
        <v>246</v>
      </c>
      <c r="D62" s="16" t="s">
        <v>247</v>
      </c>
      <c r="E62" s="16" t="s">
        <v>7</v>
      </c>
      <c r="F62" s="16" t="s">
        <v>56</v>
      </c>
      <c r="G62" s="16" t="s">
        <v>21</v>
      </c>
      <c r="H62" s="16"/>
      <c r="I62" s="16"/>
      <c r="J62" s="19" t="s">
        <v>16</v>
      </c>
      <c r="K62" s="16" t="s">
        <v>111</v>
      </c>
      <c r="L62" s="17">
        <v>2022</v>
      </c>
      <c r="M62" s="26">
        <v>44746</v>
      </c>
      <c r="N62" s="26">
        <v>45110</v>
      </c>
      <c r="O62" s="18">
        <v>45203</v>
      </c>
      <c r="P62" s="2">
        <f>YEAR(Postdocs[[#This Row],[Actual End Date]])</f>
        <v>2023</v>
      </c>
      <c r="Q62" s="16" t="s">
        <v>248</v>
      </c>
      <c r="R62" s="16" t="s">
        <v>59</v>
      </c>
      <c r="S62" t="s">
        <v>60</v>
      </c>
      <c r="T62">
        <v>1</v>
      </c>
      <c r="U62">
        <f>COUNTIF(Postdocs[Unique ID],Postdocs[[#This Row],[Unique ID]])</f>
        <v>1</v>
      </c>
      <c r="V62" t="s">
        <v>87</v>
      </c>
      <c r="W62" t="s">
        <v>249</v>
      </c>
      <c r="X62" t="s">
        <v>250</v>
      </c>
      <c r="Y62" t="s">
        <v>251</v>
      </c>
      <c r="Z62" t="s">
        <v>252</v>
      </c>
      <c r="AA62" t="s">
        <v>253</v>
      </c>
      <c r="AB62" t="s">
        <v>254</v>
      </c>
    </row>
    <row r="63" spans="1:28">
      <c r="A63" s="9">
        <v>62</v>
      </c>
      <c r="B63" s="16" t="s">
        <v>255</v>
      </c>
      <c r="C63" s="16" t="s">
        <v>256</v>
      </c>
      <c r="D63" s="16" t="s">
        <v>257</v>
      </c>
      <c r="E63" s="16" t="s">
        <v>7</v>
      </c>
      <c r="F63" s="16" t="s">
        <v>56</v>
      </c>
      <c r="G63" s="16" t="s">
        <v>12</v>
      </c>
      <c r="H63" s="16"/>
      <c r="I63" s="16"/>
      <c r="J63" s="19" t="s">
        <v>16</v>
      </c>
      <c r="K63" s="16" t="s">
        <v>111</v>
      </c>
      <c r="L63" s="17">
        <v>2022</v>
      </c>
      <c r="M63" s="26">
        <v>44805</v>
      </c>
      <c r="N63" s="26">
        <v>44804</v>
      </c>
      <c r="O63" s="18"/>
      <c r="P63" s="16"/>
      <c r="Q63" s="16" t="s">
        <v>258</v>
      </c>
      <c r="R63" s="16" t="s">
        <v>59</v>
      </c>
      <c r="S63" t="s">
        <v>60</v>
      </c>
      <c r="T63">
        <v>1</v>
      </c>
      <c r="U63">
        <f>COUNTIF(Postdocs[Unique ID],Postdocs[[#This Row],[Unique ID]])</f>
        <v>1</v>
      </c>
      <c r="V63" t="s">
        <v>87</v>
      </c>
    </row>
    <row r="64" spans="1:28">
      <c r="A64" s="9">
        <v>63</v>
      </c>
      <c r="B64" s="16" t="s">
        <v>259</v>
      </c>
      <c r="C64" s="16" t="s">
        <v>260</v>
      </c>
      <c r="D64" s="16" t="s">
        <v>261</v>
      </c>
      <c r="E64" s="16" t="s">
        <v>8</v>
      </c>
      <c r="F64" s="16" t="s">
        <v>97</v>
      </c>
      <c r="G64" s="16" t="s">
        <v>10</v>
      </c>
      <c r="H64" s="16"/>
      <c r="I64" s="16"/>
      <c r="J64" s="19" t="s">
        <v>16</v>
      </c>
      <c r="K64" s="16" t="s">
        <v>111</v>
      </c>
      <c r="L64" s="17">
        <v>2022</v>
      </c>
      <c r="M64" s="26">
        <v>44746</v>
      </c>
      <c r="N64" s="26">
        <v>45110</v>
      </c>
      <c r="O64" s="18"/>
      <c r="P64" s="16"/>
      <c r="Q64" s="16" t="s">
        <v>262</v>
      </c>
      <c r="R64" s="16" t="s">
        <v>59</v>
      </c>
      <c r="S64" t="s">
        <v>60</v>
      </c>
      <c r="T64">
        <v>1</v>
      </c>
      <c r="U64">
        <f>COUNTIF(Postdocs[Unique ID],Postdocs[[#This Row],[Unique ID]])</f>
        <v>1</v>
      </c>
      <c r="V64" t="s">
        <v>87</v>
      </c>
      <c r="W64" t="s">
        <v>263</v>
      </c>
      <c r="X64" t="s">
        <v>264</v>
      </c>
      <c r="Z64" t="s">
        <v>265</v>
      </c>
      <c r="AA64" t="s">
        <v>266</v>
      </c>
    </row>
    <row r="65" spans="1:29">
      <c r="A65" s="9">
        <v>64</v>
      </c>
      <c r="B65" s="2" t="s">
        <v>154</v>
      </c>
      <c r="C65" s="16" t="s">
        <v>155</v>
      </c>
      <c r="D65" s="16" t="s">
        <v>156</v>
      </c>
      <c r="E65" s="16" t="s">
        <v>7</v>
      </c>
      <c r="F65" s="16" t="s">
        <v>56</v>
      </c>
      <c r="G65" s="16" t="s">
        <v>19</v>
      </c>
      <c r="H65" s="16"/>
      <c r="I65" s="16"/>
      <c r="J65" s="19" t="s">
        <v>16</v>
      </c>
      <c r="K65" s="16" t="s">
        <v>111</v>
      </c>
      <c r="L65" s="17">
        <v>2022</v>
      </c>
      <c r="M65" s="26">
        <v>44746</v>
      </c>
      <c r="N65" s="26">
        <v>45110</v>
      </c>
      <c r="O65" s="18">
        <v>45207</v>
      </c>
      <c r="P65" s="2">
        <f>YEAR(Postdocs[[#This Row],[Actual End Date]])</f>
        <v>2023</v>
      </c>
      <c r="Q65" s="16" t="s">
        <v>267</v>
      </c>
      <c r="R65" s="16" t="s">
        <v>59</v>
      </c>
      <c r="S65" t="s">
        <v>100</v>
      </c>
      <c r="T65">
        <v>2</v>
      </c>
      <c r="U65">
        <f>COUNTIF(Postdocs[Unique ID],Postdocs[[#This Row],[Unique ID]])</f>
        <v>2</v>
      </c>
      <c r="V65" t="s">
        <v>61</v>
      </c>
      <c r="W65" t="s">
        <v>268</v>
      </c>
      <c r="X65" t="s">
        <v>269</v>
      </c>
      <c r="Y65" t="s">
        <v>270</v>
      </c>
      <c r="Z65" t="s">
        <v>271</v>
      </c>
      <c r="AA65" t="s">
        <v>272</v>
      </c>
      <c r="AB65" t="s">
        <v>231</v>
      </c>
    </row>
    <row r="66" spans="1:29">
      <c r="A66" s="9">
        <v>65</v>
      </c>
      <c r="B66" s="16" t="s">
        <v>273</v>
      </c>
      <c r="C66" s="16" t="s">
        <v>274</v>
      </c>
      <c r="D66" s="16" t="s">
        <v>275</v>
      </c>
      <c r="E66" s="16" t="s">
        <v>7</v>
      </c>
      <c r="F66" s="16" t="s">
        <v>56</v>
      </c>
      <c r="G66" s="16" t="s">
        <v>21</v>
      </c>
      <c r="H66" s="16"/>
      <c r="I66" s="16"/>
      <c r="J66" s="19" t="s">
        <v>16</v>
      </c>
      <c r="K66" s="16" t="s">
        <v>111</v>
      </c>
      <c r="L66" s="17">
        <v>2022</v>
      </c>
      <c r="M66" s="26">
        <v>44746</v>
      </c>
      <c r="N66" s="26">
        <v>45110</v>
      </c>
      <c r="O66" s="18">
        <v>45205</v>
      </c>
      <c r="P66" s="2">
        <f>YEAR(Postdocs[[#This Row],[Actual End Date]])</f>
        <v>2023</v>
      </c>
      <c r="Q66" s="16" t="s">
        <v>276</v>
      </c>
      <c r="R66" s="16" t="s">
        <v>59</v>
      </c>
      <c r="S66" t="s">
        <v>60</v>
      </c>
      <c r="T66">
        <v>1</v>
      </c>
      <c r="U66">
        <f>COUNTIF(Postdocs[Unique ID],Postdocs[[#This Row],[Unique ID]])</f>
        <v>1</v>
      </c>
      <c r="V66" t="s">
        <v>87</v>
      </c>
      <c r="W66" t="s">
        <v>277</v>
      </c>
      <c r="X66" t="s">
        <v>278</v>
      </c>
      <c r="Y66" t="s">
        <v>279</v>
      </c>
      <c r="Z66" t="s">
        <v>280</v>
      </c>
      <c r="AA66" t="s">
        <v>240</v>
      </c>
      <c r="AB66" t="s">
        <v>241</v>
      </c>
    </row>
    <row r="67" spans="1:29">
      <c r="A67" s="9">
        <v>66</v>
      </c>
      <c r="B67" s="16" t="s">
        <v>281</v>
      </c>
      <c r="C67" s="16" t="s">
        <v>282</v>
      </c>
      <c r="D67" s="16" t="s">
        <v>283</v>
      </c>
      <c r="E67" s="16" t="s">
        <v>7</v>
      </c>
      <c r="F67" s="16" t="s">
        <v>56</v>
      </c>
      <c r="G67" s="16" t="s">
        <v>12</v>
      </c>
      <c r="H67" s="16"/>
      <c r="I67" s="16"/>
      <c r="J67" s="19" t="s">
        <v>16</v>
      </c>
      <c r="K67" s="16" t="s">
        <v>111</v>
      </c>
      <c r="L67" s="17">
        <v>2022</v>
      </c>
      <c r="M67" s="26">
        <v>44746</v>
      </c>
      <c r="N67" s="26">
        <v>45110</v>
      </c>
      <c r="O67" s="18"/>
      <c r="P67" s="16"/>
      <c r="Q67" s="16" t="s">
        <v>284</v>
      </c>
      <c r="R67" s="16" t="s">
        <v>59</v>
      </c>
      <c r="S67" t="s">
        <v>60</v>
      </c>
      <c r="T67">
        <v>1</v>
      </c>
      <c r="U67">
        <f>COUNTIF(Postdocs[Unique ID],Postdocs[[#This Row],[Unique ID]])</f>
        <v>1</v>
      </c>
      <c r="V67" t="s">
        <v>87</v>
      </c>
      <c r="W67" t="s">
        <v>285</v>
      </c>
      <c r="X67" t="s">
        <v>286</v>
      </c>
      <c r="Y67" t="s">
        <v>287</v>
      </c>
      <c r="Z67" t="s">
        <v>288</v>
      </c>
      <c r="AA67" t="s">
        <v>289</v>
      </c>
      <c r="AB67" t="s">
        <v>287</v>
      </c>
    </row>
    <row r="68" spans="1:29">
      <c r="A68" s="9">
        <v>67</v>
      </c>
      <c r="B68" s="16" t="s">
        <v>290</v>
      </c>
      <c r="C68" s="16" t="s">
        <v>291</v>
      </c>
      <c r="D68" s="16" t="s">
        <v>292</v>
      </c>
      <c r="E68" s="16" t="s">
        <v>8</v>
      </c>
      <c r="F68" s="16" t="s">
        <v>56</v>
      </c>
      <c r="G68" s="16" t="s">
        <v>12</v>
      </c>
      <c r="H68" s="16"/>
      <c r="I68" s="16"/>
      <c r="J68" s="19" t="s">
        <v>16</v>
      </c>
      <c r="K68" s="16" t="s">
        <v>111</v>
      </c>
      <c r="L68" s="17">
        <v>2022</v>
      </c>
      <c r="M68" s="26">
        <v>44805</v>
      </c>
      <c r="N68" s="26">
        <v>44804</v>
      </c>
      <c r="O68" s="18"/>
      <c r="P68" s="16"/>
      <c r="Q68" s="16" t="s">
        <v>293</v>
      </c>
      <c r="R68" s="16" t="s">
        <v>59</v>
      </c>
      <c r="S68" t="s">
        <v>60</v>
      </c>
      <c r="T68">
        <v>1</v>
      </c>
      <c r="U68">
        <f>COUNTIF(Postdocs[Unique ID],Postdocs[[#This Row],[Unique ID]])</f>
        <v>1</v>
      </c>
      <c r="V68" t="s">
        <v>87</v>
      </c>
      <c r="W68" t="s">
        <v>294</v>
      </c>
      <c r="X68" t="s">
        <v>295</v>
      </c>
      <c r="Z68" t="s">
        <v>296</v>
      </c>
      <c r="AA68" t="s">
        <v>297</v>
      </c>
    </row>
    <row r="69" spans="1:29">
      <c r="A69" s="9">
        <v>68</v>
      </c>
      <c r="B69" s="16" t="s">
        <v>298</v>
      </c>
      <c r="C69" s="16" t="s">
        <v>299</v>
      </c>
      <c r="D69" s="16" t="s">
        <v>300</v>
      </c>
      <c r="E69" s="16" t="s">
        <v>8</v>
      </c>
      <c r="F69" s="16" t="s">
        <v>56</v>
      </c>
      <c r="G69" s="16" t="s">
        <v>21</v>
      </c>
      <c r="H69" s="16" t="s">
        <v>301</v>
      </c>
      <c r="I69" s="16" t="s">
        <v>302</v>
      </c>
      <c r="J69" s="19" t="s">
        <v>4</v>
      </c>
      <c r="K69" s="16" t="s">
        <v>111</v>
      </c>
      <c r="L69" s="17">
        <v>2022</v>
      </c>
      <c r="M69" s="26">
        <v>44805</v>
      </c>
      <c r="N69" s="26">
        <v>44804</v>
      </c>
      <c r="O69" s="18"/>
      <c r="P69" s="16"/>
      <c r="Q69" s="16" t="s">
        <v>303</v>
      </c>
      <c r="R69" s="16" t="s">
        <v>59</v>
      </c>
      <c r="S69" t="s">
        <v>60</v>
      </c>
      <c r="T69">
        <v>1</v>
      </c>
      <c r="U69">
        <f>COUNTIF(Postdocs[Unique ID],Postdocs[[#This Row],[Unique ID]])</f>
        <v>1</v>
      </c>
      <c r="V69" t="s">
        <v>87</v>
      </c>
      <c r="Z69" t="s">
        <v>304</v>
      </c>
    </row>
    <row r="70" spans="1:29">
      <c r="A70" s="9">
        <v>69</v>
      </c>
      <c r="B70" s="16" t="s">
        <v>136</v>
      </c>
      <c r="C70" s="16" t="s">
        <v>137</v>
      </c>
      <c r="D70" s="16" t="s">
        <v>138</v>
      </c>
      <c r="E70" s="16" t="s">
        <v>8</v>
      </c>
      <c r="F70" s="16" t="s">
        <v>56</v>
      </c>
      <c r="G70" s="16" t="s">
        <v>305</v>
      </c>
      <c r="H70" s="16" t="s">
        <v>306</v>
      </c>
      <c r="I70" t="s">
        <v>307</v>
      </c>
      <c r="J70" s="19" t="s">
        <v>4</v>
      </c>
      <c r="K70" s="16" t="s">
        <v>111</v>
      </c>
      <c r="L70" s="17">
        <v>2022</v>
      </c>
      <c r="M70" s="26">
        <v>44814</v>
      </c>
      <c r="N70" s="26">
        <v>45178</v>
      </c>
      <c r="O70" s="18"/>
      <c r="P70" s="16"/>
      <c r="Q70" s="16" t="s">
        <v>308</v>
      </c>
      <c r="R70" s="16" t="s">
        <v>59</v>
      </c>
      <c r="S70" t="s">
        <v>100</v>
      </c>
      <c r="T70">
        <v>2</v>
      </c>
      <c r="U70">
        <f>COUNTIF(Postdocs[Unique ID],Postdocs[[#This Row],[Unique ID]])</f>
        <v>2</v>
      </c>
      <c r="V70" t="s">
        <v>61</v>
      </c>
      <c r="Z70" t="s">
        <v>309</v>
      </c>
    </row>
    <row r="71" spans="1:29">
      <c r="A71" s="40">
        <v>70</v>
      </c>
      <c r="B71" s="34" t="s">
        <v>310</v>
      </c>
      <c r="C71" s="34" t="s">
        <v>311</v>
      </c>
      <c r="D71" s="34" t="s">
        <v>312</v>
      </c>
      <c r="E71" s="34" t="s">
        <v>7</v>
      </c>
      <c r="F71" s="34" t="s">
        <v>56</v>
      </c>
      <c r="G71" s="34" t="s">
        <v>27</v>
      </c>
      <c r="H71" s="34" t="s">
        <v>12</v>
      </c>
      <c r="I71" s="34" t="s">
        <v>56</v>
      </c>
      <c r="J71" s="38" t="s">
        <v>4</v>
      </c>
      <c r="K71" s="34" t="s">
        <v>111</v>
      </c>
      <c r="L71" s="35">
        <v>2022</v>
      </c>
      <c r="M71" s="36">
        <v>44805</v>
      </c>
      <c r="N71" s="36">
        <v>44804</v>
      </c>
      <c r="O71" s="37"/>
      <c r="P71" s="34"/>
      <c r="Q71" s="34" t="s">
        <v>313</v>
      </c>
      <c r="R71" s="34" t="s">
        <v>314</v>
      </c>
      <c r="S71" s="39" t="s">
        <v>60</v>
      </c>
      <c r="T71" s="39">
        <v>1</v>
      </c>
      <c r="U71" s="39">
        <f>COUNTIF(Postdocs[Unique ID],Postdocs[[#This Row],[Unique ID]])</f>
        <v>1</v>
      </c>
      <c r="V71" s="39" t="s">
        <v>87</v>
      </c>
      <c r="W71" s="39"/>
      <c r="X71" s="39"/>
      <c r="Y71" s="39"/>
      <c r="Z71" s="39" t="s">
        <v>315</v>
      </c>
      <c r="AA71" s="39"/>
      <c r="AB71" s="39"/>
      <c r="AC71" s="39"/>
    </row>
    <row r="72" spans="1:29">
      <c r="A72" s="9">
        <v>71</v>
      </c>
      <c r="B72" s="2" t="s">
        <v>216</v>
      </c>
      <c r="C72" s="2" t="s">
        <v>217</v>
      </c>
      <c r="D72" s="16" t="s">
        <v>218</v>
      </c>
      <c r="E72" s="16" t="s">
        <v>8</v>
      </c>
      <c r="F72" s="16" t="s">
        <v>85</v>
      </c>
      <c r="G72" s="16" t="s">
        <v>20</v>
      </c>
      <c r="H72" s="16" t="s">
        <v>316</v>
      </c>
      <c r="I72" s="16" t="s">
        <v>317</v>
      </c>
      <c r="J72" s="19" t="s">
        <v>4</v>
      </c>
      <c r="K72" s="16" t="s">
        <v>111</v>
      </c>
      <c r="L72" s="17">
        <v>2022</v>
      </c>
      <c r="M72" s="26">
        <v>44743</v>
      </c>
      <c r="N72" s="26">
        <v>45107</v>
      </c>
      <c r="O72" s="18">
        <v>45232</v>
      </c>
      <c r="P72" s="2">
        <f>YEAR(Postdocs[[#This Row],[Actual End Date]])</f>
        <v>2023</v>
      </c>
      <c r="Q72" s="16" t="s">
        <v>318</v>
      </c>
      <c r="R72" s="16" t="s">
        <v>59</v>
      </c>
      <c r="S72" t="s">
        <v>100</v>
      </c>
      <c r="T72">
        <v>2</v>
      </c>
      <c r="U72">
        <f>COUNTIF(Postdocs[Unique ID],Postdocs[[#This Row],[Unique ID]])</f>
        <v>2</v>
      </c>
      <c r="V72" t="s">
        <v>61</v>
      </c>
      <c r="Z72" t="s">
        <v>319</v>
      </c>
    </row>
    <row r="73" spans="1:29">
      <c r="A73" s="9">
        <v>72</v>
      </c>
      <c r="B73" s="16" t="s">
        <v>175</v>
      </c>
      <c r="C73" s="16" t="s">
        <v>176</v>
      </c>
      <c r="D73" s="16" t="s">
        <v>177</v>
      </c>
      <c r="E73" s="16" t="s">
        <v>8</v>
      </c>
      <c r="F73" s="16" t="s">
        <v>135</v>
      </c>
      <c r="G73" s="16" t="s">
        <v>18</v>
      </c>
      <c r="H73" s="16" t="s">
        <v>26</v>
      </c>
      <c r="I73" s="16" t="s">
        <v>57</v>
      </c>
      <c r="J73" s="19" t="s">
        <v>4</v>
      </c>
      <c r="K73" s="16" t="s">
        <v>111</v>
      </c>
      <c r="L73" s="17">
        <v>2022</v>
      </c>
      <c r="M73" s="26">
        <v>44732</v>
      </c>
      <c r="N73" s="26">
        <v>45096</v>
      </c>
      <c r="O73" s="18">
        <v>45260</v>
      </c>
      <c r="P73" s="2">
        <f>YEAR(Postdocs[[#This Row],[Actual End Date]])</f>
        <v>2023</v>
      </c>
      <c r="Q73" s="16" t="s">
        <v>320</v>
      </c>
      <c r="R73" s="16" t="s">
        <v>59</v>
      </c>
      <c r="S73" t="s">
        <v>100</v>
      </c>
      <c r="T73">
        <v>2</v>
      </c>
      <c r="U73">
        <f>COUNTIF(Postdocs[Unique ID],Postdocs[[#This Row],[Unique ID]])</f>
        <v>2</v>
      </c>
      <c r="V73" t="s">
        <v>61</v>
      </c>
      <c r="Z73" t="s">
        <v>321</v>
      </c>
    </row>
    <row r="74" spans="1:29">
      <c r="A74" s="9">
        <v>73</v>
      </c>
      <c r="B74" s="2" t="s">
        <v>101</v>
      </c>
      <c r="C74" s="16" t="s">
        <v>102</v>
      </c>
      <c r="D74" s="16" t="s">
        <v>103</v>
      </c>
      <c r="E74" s="16" t="s">
        <v>8</v>
      </c>
      <c r="F74" s="16" t="s">
        <v>97</v>
      </c>
      <c r="G74" s="16" t="s">
        <v>10</v>
      </c>
      <c r="H74" s="16" t="s">
        <v>20</v>
      </c>
      <c r="I74" s="16" t="s">
        <v>85</v>
      </c>
      <c r="J74" s="19" t="s">
        <v>4</v>
      </c>
      <c r="K74" s="16" t="s">
        <v>111</v>
      </c>
      <c r="L74" s="17">
        <v>2022</v>
      </c>
      <c r="M74" s="26">
        <v>44805</v>
      </c>
      <c r="N74" s="26">
        <v>44804</v>
      </c>
      <c r="O74" s="18"/>
      <c r="P74" s="16"/>
      <c r="Q74" s="16" t="s">
        <v>322</v>
      </c>
      <c r="R74" s="16" t="s">
        <v>59</v>
      </c>
      <c r="S74" t="s">
        <v>100</v>
      </c>
      <c r="T74">
        <v>2</v>
      </c>
      <c r="U74">
        <f>COUNTIF(Postdocs[Unique ID],Postdocs[[#This Row],[Unique ID]])</f>
        <v>2</v>
      </c>
      <c r="V74" t="s">
        <v>61</v>
      </c>
      <c r="Z74" t="s">
        <v>323</v>
      </c>
    </row>
    <row r="75" spans="1:29">
      <c r="A75" s="9">
        <v>74</v>
      </c>
      <c r="B75" s="16" t="s">
        <v>206</v>
      </c>
      <c r="C75" s="16" t="s">
        <v>324</v>
      </c>
      <c r="D75" s="16" t="s">
        <v>208</v>
      </c>
      <c r="E75" s="16" t="s">
        <v>7</v>
      </c>
      <c r="F75" s="16" t="s">
        <v>56</v>
      </c>
      <c r="G75" s="16" t="s">
        <v>12</v>
      </c>
      <c r="H75" s="16" t="s">
        <v>215</v>
      </c>
      <c r="I75" s="16" t="s">
        <v>57</v>
      </c>
      <c r="J75" s="19" t="s">
        <v>4</v>
      </c>
      <c r="K75" s="16" t="s">
        <v>325</v>
      </c>
      <c r="L75" s="17">
        <v>2024</v>
      </c>
      <c r="M75" s="18"/>
      <c r="N75" s="18"/>
      <c r="O75" s="18"/>
      <c r="P75" s="16"/>
      <c r="Q75" s="16" t="s">
        <v>326</v>
      </c>
      <c r="R75" s="16" t="s">
        <v>327</v>
      </c>
      <c r="S75" t="s">
        <v>100</v>
      </c>
      <c r="T75">
        <v>2</v>
      </c>
      <c r="U75">
        <f>COUNTIF(Postdocs[Unique ID],Postdocs[[#This Row],[Unique ID]])</f>
        <v>2</v>
      </c>
      <c r="V75" t="s">
        <v>61</v>
      </c>
    </row>
    <row r="76" spans="1:29">
      <c r="A76" s="9">
        <v>75</v>
      </c>
      <c r="B76" s="16" t="s">
        <v>166</v>
      </c>
      <c r="C76" s="16" t="s">
        <v>167</v>
      </c>
      <c r="D76" s="16" t="s">
        <v>328</v>
      </c>
      <c r="E76" s="16" t="s">
        <v>8</v>
      </c>
      <c r="F76" s="16" t="s">
        <v>97</v>
      </c>
      <c r="G76" s="16" t="s">
        <v>10</v>
      </c>
      <c r="H76" s="16" t="s">
        <v>20</v>
      </c>
      <c r="I76" s="16" t="s">
        <v>85</v>
      </c>
      <c r="J76" s="19" t="s">
        <v>4</v>
      </c>
      <c r="K76" s="16" t="s">
        <v>325</v>
      </c>
      <c r="L76" s="17">
        <v>2024</v>
      </c>
      <c r="M76" s="18">
        <v>45419</v>
      </c>
      <c r="N76" s="18"/>
      <c r="O76" s="18"/>
      <c r="P76" s="16"/>
      <c r="Q76" s="16" t="s">
        <v>329</v>
      </c>
      <c r="R76" s="16" t="s">
        <v>59</v>
      </c>
      <c r="S76" t="s">
        <v>100</v>
      </c>
      <c r="T76">
        <v>2</v>
      </c>
      <c r="U76">
        <f>COUNTIF(Postdocs[Unique ID],Postdocs[[#This Row],[Unique ID]])</f>
        <v>3</v>
      </c>
      <c r="V76" t="s">
        <v>61</v>
      </c>
    </row>
    <row r="77" spans="1:29">
      <c r="A77" s="9">
        <v>76</v>
      </c>
      <c r="B77" s="16" t="s">
        <v>330</v>
      </c>
      <c r="C77" s="16" t="s">
        <v>331</v>
      </c>
      <c r="D77" s="16" t="s">
        <v>332</v>
      </c>
      <c r="E77" s="16" t="s">
        <v>7</v>
      </c>
      <c r="F77" s="16" t="s">
        <v>65</v>
      </c>
      <c r="G77" s="16" t="s">
        <v>9</v>
      </c>
      <c r="H77" s="16" t="s">
        <v>333</v>
      </c>
      <c r="I77" s="16" t="s">
        <v>57</v>
      </c>
      <c r="J77" s="19" t="s">
        <v>4</v>
      </c>
      <c r="K77" s="16" t="s">
        <v>325</v>
      </c>
      <c r="L77" s="17">
        <v>2024</v>
      </c>
      <c r="M77" s="18"/>
      <c r="N77" s="18"/>
      <c r="O77" s="18"/>
      <c r="P77" s="16"/>
      <c r="Q77" s="16" t="s">
        <v>334</v>
      </c>
      <c r="R77" s="16" t="s">
        <v>59</v>
      </c>
      <c r="S77" t="s">
        <v>60</v>
      </c>
      <c r="T77">
        <v>1</v>
      </c>
      <c r="U77">
        <f>COUNTIF(Postdocs[Unique ID],Postdocs[[#This Row],[Unique ID]])</f>
        <v>1</v>
      </c>
      <c r="V77" t="s">
        <v>87</v>
      </c>
    </row>
    <row r="78" spans="1:29">
      <c r="A78" s="9">
        <v>77</v>
      </c>
      <c r="B78" s="16" t="s">
        <v>335</v>
      </c>
      <c r="C78" s="16" t="s">
        <v>336</v>
      </c>
      <c r="D78" s="16" t="s">
        <v>337</v>
      </c>
      <c r="E78" s="16" t="s">
        <v>7</v>
      </c>
      <c r="F78" s="16" t="s">
        <v>56</v>
      </c>
      <c r="G78" s="16" t="s">
        <v>12</v>
      </c>
      <c r="H78" s="16" t="s">
        <v>338</v>
      </c>
      <c r="I78" s="16" t="s">
        <v>302</v>
      </c>
      <c r="J78" s="19" t="s">
        <v>4</v>
      </c>
      <c r="K78" s="16" t="s">
        <v>325</v>
      </c>
      <c r="L78" s="17">
        <v>2024</v>
      </c>
      <c r="M78" s="18"/>
      <c r="N78" s="18"/>
      <c r="O78" s="18"/>
      <c r="P78" s="16"/>
      <c r="Q78" s="16" t="s">
        <v>339</v>
      </c>
      <c r="R78" s="16" t="s">
        <v>59</v>
      </c>
      <c r="S78" t="s">
        <v>60</v>
      </c>
      <c r="T78">
        <v>1</v>
      </c>
      <c r="U78">
        <f>COUNTIF(Postdocs[Unique ID],Postdocs[[#This Row],[Unique ID]])</f>
        <v>1</v>
      </c>
      <c r="V78" t="s">
        <v>87</v>
      </c>
    </row>
    <row r="79" spans="1:29">
      <c r="A79" s="9">
        <v>78</v>
      </c>
      <c r="B79" s="16" t="s">
        <v>340</v>
      </c>
      <c r="C79" s="16" t="s">
        <v>341</v>
      </c>
      <c r="D79" s="16" t="s">
        <v>342</v>
      </c>
      <c r="E79" s="16" t="s">
        <v>7</v>
      </c>
      <c r="F79" s="16" t="s">
        <v>56</v>
      </c>
      <c r="G79" s="16" t="s">
        <v>12</v>
      </c>
      <c r="H79" s="16"/>
      <c r="I79" s="16"/>
      <c r="J79" s="19" t="s">
        <v>16</v>
      </c>
      <c r="K79" s="16" t="s">
        <v>325</v>
      </c>
      <c r="L79" s="17">
        <v>2024</v>
      </c>
      <c r="M79" s="18">
        <v>45419</v>
      </c>
      <c r="N79" s="18">
        <v>45783</v>
      </c>
      <c r="O79" s="18"/>
      <c r="P79" s="16"/>
      <c r="Q79" s="16" t="s">
        <v>343</v>
      </c>
      <c r="R79" s="16" t="s">
        <v>59</v>
      </c>
      <c r="S79" t="s">
        <v>60</v>
      </c>
      <c r="T79">
        <v>1</v>
      </c>
      <c r="U79">
        <f>COUNTIF(Postdocs[Unique ID],Postdocs[[#This Row],[Unique ID]])</f>
        <v>1</v>
      </c>
      <c r="V79" t="s">
        <v>87</v>
      </c>
    </row>
    <row r="80" spans="1:29">
      <c r="A80" s="9">
        <v>79</v>
      </c>
      <c r="B80" s="16" t="s">
        <v>344</v>
      </c>
      <c r="C80" s="16" t="s">
        <v>345</v>
      </c>
      <c r="D80" s="16" t="s">
        <v>346</v>
      </c>
      <c r="E80" s="16" t="s">
        <v>8</v>
      </c>
      <c r="F80" s="16" t="s">
        <v>135</v>
      </c>
      <c r="G80" s="16" t="s">
        <v>18</v>
      </c>
      <c r="H80" s="16"/>
      <c r="I80" s="16"/>
      <c r="J80" s="19" t="s">
        <v>16</v>
      </c>
      <c r="K80" s="16" t="s">
        <v>325</v>
      </c>
      <c r="L80" s="17">
        <v>2024</v>
      </c>
      <c r="M80" s="18">
        <v>45419</v>
      </c>
      <c r="N80" s="18">
        <v>45783</v>
      </c>
      <c r="O80" s="18"/>
      <c r="P80" s="16"/>
      <c r="Q80" s="16" t="s">
        <v>347</v>
      </c>
      <c r="R80" s="16" t="s">
        <v>59</v>
      </c>
      <c r="S80" t="s">
        <v>60</v>
      </c>
      <c r="T80">
        <v>1</v>
      </c>
      <c r="U80">
        <f>COUNTIF(Postdocs[Unique ID],Postdocs[[#This Row],[Unique ID]])</f>
        <v>1</v>
      </c>
      <c r="V80" t="s">
        <v>87</v>
      </c>
    </row>
    <row r="81" spans="1:22">
      <c r="A81" s="9">
        <v>80</v>
      </c>
      <c r="B81" s="16" t="s">
        <v>348</v>
      </c>
      <c r="C81" s="16" t="s">
        <v>349</v>
      </c>
      <c r="D81" s="16" t="s">
        <v>350</v>
      </c>
      <c r="E81" s="16" t="s">
        <v>7</v>
      </c>
      <c r="F81" s="16" t="s">
        <v>128</v>
      </c>
      <c r="G81" s="16" t="s">
        <v>25</v>
      </c>
      <c r="H81" s="16"/>
      <c r="I81" s="16"/>
      <c r="J81" s="19" t="s">
        <v>16</v>
      </c>
      <c r="K81" s="16" t="s">
        <v>325</v>
      </c>
      <c r="L81" s="17">
        <v>2024</v>
      </c>
      <c r="M81" s="18">
        <v>45419</v>
      </c>
      <c r="N81" s="18">
        <v>45783</v>
      </c>
      <c r="O81" s="18"/>
      <c r="P81" s="16"/>
      <c r="Q81" s="16" t="s">
        <v>351</v>
      </c>
      <c r="R81" s="16" t="s">
        <v>59</v>
      </c>
      <c r="S81" t="s">
        <v>60</v>
      </c>
      <c r="T81">
        <v>1</v>
      </c>
      <c r="U81">
        <f>COUNTIF(Postdocs[Unique ID],Postdocs[[#This Row],[Unique ID]])</f>
        <v>1</v>
      </c>
      <c r="V81" t="s">
        <v>87</v>
      </c>
    </row>
    <row r="82" spans="1:22">
      <c r="A82" s="9">
        <v>81</v>
      </c>
      <c r="B82" s="16" t="s">
        <v>352</v>
      </c>
      <c r="C82" s="16" t="s">
        <v>353</v>
      </c>
      <c r="D82" s="16" t="s">
        <v>354</v>
      </c>
      <c r="E82" s="16" t="s">
        <v>7</v>
      </c>
      <c r="F82" s="16" t="s">
        <v>128</v>
      </c>
      <c r="G82" s="16" t="s">
        <v>24</v>
      </c>
      <c r="H82" s="16"/>
      <c r="I82" s="16"/>
      <c r="J82" s="19" t="s">
        <v>16</v>
      </c>
      <c r="K82" s="16" t="s">
        <v>325</v>
      </c>
      <c r="L82" s="17">
        <v>2024</v>
      </c>
      <c r="M82" s="18">
        <v>45419</v>
      </c>
      <c r="N82" s="18">
        <v>45783</v>
      </c>
      <c r="O82" s="18"/>
      <c r="P82" s="16"/>
      <c r="Q82" s="16" t="s">
        <v>355</v>
      </c>
      <c r="R82" s="16" t="s">
        <v>59</v>
      </c>
      <c r="S82" t="s">
        <v>60</v>
      </c>
      <c r="T82">
        <v>1</v>
      </c>
      <c r="U82">
        <f>COUNTIF(Postdocs[Unique ID],Postdocs[[#This Row],[Unique ID]])</f>
        <v>1</v>
      </c>
      <c r="V82" t="s">
        <v>87</v>
      </c>
    </row>
    <row r="83" spans="1:22">
      <c r="A83" s="9">
        <v>82</v>
      </c>
      <c r="B83" s="16" t="s">
        <v>356</v>
      </c>
      <c r="C83" s="16" t="s">
        <v>357</v>
      </c>
      <c r="D83" s="16" t="s">
        <v>358</v>
      </c>
      <c r="E83" s="16" t="s">
        <v>7</v>
      </c>
      <c r="F83" s="16" t="s">
        <v>56</v>
      </c>
      <c r="G83" s="16" t="s">
        <v>21</v>
      </c>
      <c r="H83" s="16"/>
      <c r="I83" s="16"/>
      <c r="J83" s="19" t="s">
        <v>16</v>
      </c>
      <c r="K83" s="16" t="s">
        <v>325</v>
      </c>
      <c r="L83" s="17">
        <v>2024</v>
      </c>
      <c r="M83" s="18">
        <v>45419</v>
      </c>
      <c r="N83" s="18">
        <v>45783</v>
      </c>
      <c r="O83" s="18"/>
      <c r="P83" s="16"/>
      <c r="Q83" s="16" t="s">
        <v>359</v>
      </c>
      <c r="R83" s="16" t="s">
        <v>59</v>
      </c>
      <c r="S83" t="s">
        <v>60</v>
      </c>
      <c r="T83">
        <v>1</v>
      </c>
      <c r="U83">
        <f>COUNTIF(Postdocs[Unique ID],Postdocs[[#This Row],[Unique ID]])</f>
        <v>1</v>
      </c>
      <c r="V83" t="s">
        <v>87</v>
      </c>
    </row>
    <row r="84" spans="1:22">
      <c r="A84" s="9">
        <v>83</v>
      </c>
      <c r="B84" s="16" t="s">
        <v>360</v>
      </c>
      <c r="C84" s="16" t="s">
        <v>361</v>
      </c>
      <c r="D84" s="16" t="s">
        <v>362</v>
      </c>
      <c r="E84" s="16" t="s">
        <v>7</v>
      </c>
      <c r="F84" s="16" t="s">
        <v>57</v>
      </c>
      <c r="G84" s="16" t="s">
        <v>26</v>
      </c>
      <c r="H84" s="16"/>
      <c r="I84" s="16"/>
      <c r="J84" s="19" t="s">
        <v>16</v>
      </c>
      <c r="K84" s="16" t="s">
        <v>325</v>
      </c>
      <c r="L84" s="17">
        <v>2024</v>
      </c>
      <c r="M84" s="18">
        <v>45419</v>
      </c>
      <c r="N84" s="18">
        <v>45783</v>
      </c>
      <c r="O84" s="18"/>
      <c r="P84" s="16"/>
      <c r="Q84" s="16" t="s">
        <v>363</v>
      </c>
      <c r="R84" s="16" t="s">
        <v>59</v>
      </c>
      <c r="S84" t="s">
        <v>60</v>
      </c>
      <c r="T84">
        <v>1</v>
      </c>
      <c r="U84">
        <f>COUNTIF(Postdocs[Unique ID],Postdocs[[#This Row],[Unique ID]])</f>
        <v>1</v>
      </c>
      <c r="V84" t="s">
        <v>87</v>
      </c>
    </row>
    <row r="85" spans="1:22">
      <c r="A85" s="9">
        <v>84</v>
      </c>
      <c r="B85" s="16" t="s">
        <v>364</v>
      </c>
      <c r="C85" s="16" t="s">
        <v>365</v>
      </c>
      <c r="D85" s="16" t="s">
        <v>366</v>
      </c>
      <c r="E85" s="16" t="s">
        <v>7</v>
      </c>
      <c r="F85" s="16" t="s">
        <v>85</v>
      </c>
      <c r="G85" s="16" t="s">
        <v>24</v>
      </c>
      <c r="H85" s="16"/>
      <c r="I85" s="16"/>
      <c r="J85" s="19" t="s">
        <v>16</v>
      </c>
      <c r="K85" s="16" t="s">
        <v>325</v>
      </c>
      <c r="L85" s="17">
        <v>2024</v>
      </c>
      <c r="M85" s="18">
        <v>45419</v>
      </c>
      <c r="N85" s="18">
        <v>45783</v>
      </c>
      <c r="O85" s="18"/>
      <c r="P85" s="16"/>
      <c r="Q85" s="16" t="s">
        <v>367</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52" workbookViewId="0">
      <selection activeCell="H61" sqref="H61"/>
    </sheetView>
  </sheetViews>
  <sheetFormatPr defaultRowHeight="14.45"/>
  <cols>
    <col min="1" max="1" width="13" bestFit="1" customWidth="1"/>
    <col min="2" max="3" width="6.85546875" bestFit="1" customWidth="1"/>
    <col min="4" max="4" width="10.7109375" bestFit="1" customWidth="1"/>
    <col min="6" max="6" width="21.85546875" customWidth="1"/>
    <col min="7" max="7" width="9.85546875" customWidth="1"/>
  </cols>
  <sheetData>
    <row r="3" spans="1:8">
      <c r="A3" s="8" t="s">
        <v>1</v>
      </c>
      <c r="B3" s="8" t="s">
        <v>3</v>
      </c>
    </row>
    <row r="4" spans="1:8">
      <c r="A4" s="8" t="s">
        <v>29</v>
      </c>
      <c r="B4" t="s">
        <v>7</v>
      </c>
      <c r="C4" t="s">
        <v>8</v>
      </c>
      <c r="D4" t="s">
        <v>5</v>
      </c>
      <c r="F4" s="1" t="s">
        <v>368</v>
      </c>
    </row>
    <row r="5" spans="1:8">
      <c r="A5" t="s">
        <v>82</v>
      </c>
      <c r="B5">
        <v>1</v>
      </c>
      <c r="D5">
        <v>1</v>
      </c>
      <c r="F5" t="s">
        <v>369</v>
      </c>
      <c r="G5">
        <f>COUNT(B5:B68)</f>
        <v>34</v>
      </c>
      <c r="H5" s="30">
        <f>G5/55</f>
        <v>0.61818181818181817</v>
      </c>
    </row>
    <row r="6" spans="1:8">
      <c r="A6" t="s">
        <v>125</v>
      </c>
      <c r="C6">
        <v>1</v>
      </c>
      <c r="D6">
        <v>1</v>
      </c>
      <c r="F6" t="s">
        <v>370</v>
      </c>
      <c r="G6">
        <f>COUNT(C5:C68)</f>
        <v>30</v>
      </c>
      <c r="H6" s="30">
        <f>G6/55</f>
        <v>0.54545454545454541</v>
      </c>
    </row>
    <row r="7" spans="1:8">
      <c r="A7" t="s">
        <v>108</v>
      </c>
      <c r="C7">
        <v>1</v>
      </c>
      <c r="D7">
        <v>1</v>
      </c>
    </row>
    <row r="8" spans="1:8">
      <c r="A8" t="s">
        <v>178</v>
      </c>
      <c r="C8">
        <v>1</v>
      </c>
      <c r="D8">
        <v>1</v>
      </c>
    </row>
    <row r="9" spans="1:8">
      <c r="A9" t="s">
        <v>72</v>
      </c>
      <c r="C9">
        <v>2</v>
      </c>
      <c r="D9">
        <v>2</v>
      </c>
      <c r="G9" t="s">
        <v>371</v>
      </c>
    </row>
    <row r="10" spans="1:8">
      <c r="A10" t="s">
        <v>188</v>
      </c>
      <c r="C10">
        <v>1</v>
      </c>
      <c r="D10">
        <v>1</v>
      </c>
    </row>
    <row r="11" spans="1:8">
      <c r="A11" t="s">
        <v>139</v>
      </c>
      <c r="B11">
        <v>1</v>
      </c>
      <c r="D11">
        <v>1</v>
      </c>
      <c r="F11" s="1" t="s">
        <v>372</v>
      </c>
    </row>
    <row r="12" spans="1:8">
      <c r="A12" t="s">
        <v>194</v>
      </c>
      <c r="C12">
        <v>1</v>
      </c>
      <c r="D12">
        <v>1</v>
      </c>
      <c r="F12" s="21" t="s">
        <v>370</v>
      </c>
      <c r="G12">
        <v>17</v>
      </c>
    </row>
    <row r="13" spans="1:8">
      <c r="A13" t="s">
        <v>142</v>
      </c>
      <c r="B13">
        <v>1</v>
      </c>
      <c r="D13">
        <v>1</v>
      </c>
      <c r="F13" t="s">
        <v>369</v>
      </c>
      <c r="G13">
        <v>20</v>
      </c>
    </row>
    <row r="14" spans="1:8">
      <c r="A14" t="s">
        <v>105</v>
      </c>
      <c r="C14">
        <v>1</v>
      </c>
      <c r="D14">
        <v>1</v>
      </c>
      <c r="F14" s="1" t="s">
        <v>373</v>
      </c>
    </row>
    <row r="15" spans="1:8">
      <c r="A15" t="s">
        <v>67</v>
      </c>
      <c r="C15">
        <v>2</v>
      </c>
      <c r="D15">
        <v>2</v>
      </c>
      <c r="F15" t="s">
        <v>370</v>
      </c>
      <c r="G15">
        <v>12</v>
      </c>
    </row>
    <row r="16" spans="1:8">
      <c r="A16" t="s">
        <v>62</v>
      </c>
      <c r="B16">
        <v>2</v>
      </c>
      <c r="D16">
        <v>2</v>
      </c>
      <c r="F16" t="s">
        <v>369</v>
      </c>
      <c r="G16">
        <v>6</v>
      </c>
    </row>
    <row r="17" spans="1:4">
      <c r="A17" t="s">
        <v>158</v>
      </c>
      <c r="B17">
        <v>1</v>
      </c>
      <c r="D17">
        <v>1</v>
      </c>
    </row>
    <row r="18" spans="1:4">
      <c r="A18" t="s">
        <v>101</v>
      </c>
      <c r="C18">
        <v>2</v>
      </c>
      <c r="D18">
        <v>2</v>
      </c>
    </row>
    <row r="19" spans="1:4">
      <c r="A19" t="s">
        <v>79</v>
      </c>
      <c r="C19">
        <v>2</v>
      </c>
      <c r="D19">
        <v>2</v>
      </c>
    </row>
    <row r="20" spans="1:4">
      <c r="A20" t="s">
        <v>198</v>
      </c>
      <c r="C20">
        <v>1</v>
      </c>
      <c r="D20">
        <v>1</v>
      </c>
    </row>
    <row r="21" spans="1:4">
      <c r="A21" t="s">
        <v>88</v>
      </c>
      <c r="B21">
        <v>2</v>
      </c>
      <c r="D21">
        <v>2</v>
      </c>
    </row>
    <row r="22" spans="1:4">
      <c r="A22" t="s">
        <v>151</v>
      </c>
      <c r="B22">
        <v>1</v>
      </c>
      <c r="D22">
        <v>1</v>
      </c>
    </row>
    <row r="23" spans="1:4">
      <c r="A23" t="s">
        <v>221</v>
      </c>
      <c r="B23">
        <v>1</v>
      </c>
      <c r="D23">
        <v>1</v>
      </c>
    </row>
    <row r="24" spans="1:4">
      <c r="A24" t="s">
        <v>206</v>
      </c>
      <c r="B24">
        <v>2</v>
      </c>
      <c r="D24">
        <v>2</v>
      </c>
    </row>
    <row r="25" spans="1:4">
      <c r="A25" t="s">
        <v>122</v>
      </c>
      <c r="B25">
        <v>1</v>
      </c>
      <c r="D25">
        <v>1</v>
      </c>
    </row>
    <row r="26" spans="1:4">
      <c r="A26" t="s">
        <v>145</v>
      </c>
      <c r="B26">
        <v>2</v>
      </c>
      <c r="D26">
        <v>2</v>
      </c>
    </row>
    <row r="27" spans="1:4">
      <c r="A27" t="s">
        <v>94</v>
      </c>
      <c r="C27">
        <v>2</v>
      </c>
      <c r="D27">
        <v>2</v>
      </c>
    </row>
    <row r="28" spans="1:4">
      <c r="A28" t="s">
        <v>136</v>
      </c>
      <c r="C28">
        <v>2</v>
      </c>
      <c r="D28">
        <v>2</v>
      </c>
    </row>
    <row r="29" spans="1:4">
      <c r="A29" t="s">
        <v>76</v>
      </c>
      <c r="C29">
        <v>2</v>
      </c>
      <c r="D29">
        <v>2</v>
      </c>
    </row>
    <row r="30" spans="1:4">
      <c r="A30" t="s">
        <v>201</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209</v>
      </c>
      <c r="B35">
        <v>1</v>
      </c>
      <c r="D35">
        <v>1</v>
      </c>
    </row>
    <row r="36" spans="1:4">
      <c r="A36" t="s">
        <v>132</v>
      </c>
      <c r="B36">
        <v>2</v>
      </c>
      <c r="D36">
        <v>2</v>
      </c>
    </row>
    <row r="37" spans="1:4">
      <c r="A37" t="s">
        <v>172</v>
      </c>
      <c r="C37">
        <v>1</v>
      </c>
      <c r="D37">
        <v>1</v>
      </c>
    </row>
    <row r="38" spans="1:4">
      <c r="A38" t="s">
        <v>245</v>
      </c>
      <c r="B38">
        <v>1</v>
      </c>
      <c r="D38">
        <v>1</v>
      </c>
    </row>
    <row r="39" spans="1:4">
      <c r="A39" t="s">
        <v>154</v>
      </c>
      <c r="B39">
        <v>2</v>
      </c>
      <c r="D39">
        <v>2</v>
      </c>
    </row>
    <row r="40" spans="1:4">
      <c r="A40" t="s">
        <v>166</v>
      </c>
      <c r="C40">
        <v>3</v>
      </c>
      <c r="D40">
        <v>3</v>
      </c>
    </row>
    <row r="41" spans="1:4">
      <c r="A41" t="s">
        <v>216</v>
      </c>
      <c r="C41">
        <v>2</v>
      </c>
      <c r="D41">
        <v>2</v>
      </c>
    </row>
    <row r="42" spans="1:4">
      <c r="A42" t="s">
        <v>169</v>
      </c>
      <c r="C42">
        <v>1</v>
      </c>
      <c r="D42">
        <v>1</v>
      </c>
    </row>
    <row r="43" spans="1:4">
      <c r="A43" t="s">
        <v>184</v>
      </c>
      <c r="C43">
        <v>1</v>
      </c>
      <c r="D43">
        <v>1</v>
      </c>
    </row>
    <row r="44" spans="1:4">
      <c r="A44" t="s">
        <v>203</v>
      </c>
      <c r="C44">
        <v>1</v>
      </c>
      <c r="D44">
        <v>1</v>
      </c>
    </row>
    <row r="45" spans="1:4">
      <c r="A45" t="s">
        <v>191</v>
      </c>
      <c r="C45">
        <v>1</v>
      </c>
      <c r="D45">
        <v>1</v>
      </c>
    </row>
    <row r="46" spans="1:4">
      <c r="A46" t="s">
        <v>148</v>
      </c>
      <c r="B46">
        <v>1</v>
      </c>
      <c r="D46">
        <v>1</v>
      </c>
    </row>
    <row r="47" spans="1:4">
      <c r="A47" t="s">
        <v>175</v>
      </c>
      <c r="C47">
        <v>2</v>
      </c>
      <c r="D47">
        <v>2</v>
      </c>
    </row>
    <row r="48" spans="1:4">
      <c r="A48" t="s">
        <v>181</v>
      </c>
      <c r="C48">
        <v>1</v>
      </c>
      <c r="D48">
        <v>1</v>
      </c>
    </row>
    <row r="49" spans="1:6">
      <c r="A49" t="s">
        <v>259</v>
      </c>
      <c r="C49">
        <v>1</v>
      </c>
      <c r="D49">
        <v>1</v>
      </c>
    </row>
    <row r="50" spans="1:6">
      <c r="A50" t="s">
        <v>235</v>
      </c>
      <c r="B50">
        <v>1</v>
      </c>
      <c r="D50">
        <v>1</v>
      </c>
    </row>
    <row r="51" spans="1:6">
      <c r="A51" t="s">
        <v>219</v>
      </c>
      <c r="B51">
        <v>1</v>
      </c>
      <c r="D51">
        <v>1</v>
      </c>
    </row>
    <row r="52" spans="1:6">
      <c r="A52" t="s">
        <v>310</v>
      </c>
      <c r="B52">
        <v>1</v>
      </c>
      <c r="D52">
        <v>1</v>
      </c>
    </row>
    <row r="53" spans="1:6">
      <c r="A53" t="s">
        <v>163</v>
      </c>
      <c r="B53">
        <v>1</v>
      </c>
      <c r="D53">
        <v>1</v>
      </c>
    </row>
    <row r="54" spans="1:6">
      <c r="A54" t="s">
        <v>290</v>
      </c>
      <c r="C54">
        <v>1</v>
      </c>
      <c r="D54">
        <v>1</v>
      </c>
    </row>
    <row r="55" spans="1:6">
      <c r="A55" t="s">
        <v>298</v>
      </c>
      <c r="C55">
        <v>1</v>
      </c>
      <c r="D55">
        <v>1</v>
      </c>
    </row>
    <row r="56" spans="1:6">
      <c r="A56" t="s">
        <v>273</v>
      </c>
      <c r="B56">
        <v>1</v>
      </c>
      <c r="D56">
        <v>1</v>
      </c>
    </row>
    <row r="57" spans="1:6">
      <c r="A57" t="s">
        <v>225</v>
      </c>
      <c r="B57">
        <v>1</v>
      </c>
      <c r="D57">
        <v>1</v>
      </c>
    </row>
    <row r="58" spans="1:6">
      <c r="A58" t="s">
        <v>281</v>
      </c>
      <c r="B58">
        <v>1</v>
      </c>
      <c r="D58">
        <v>1</v>
      </c>
      <c r="F58" s="30"/>
    </row>
    <row r="59" spans="1:6">
      <c r="A59" t="s">
        <v>255</v>
      </c>
      <c r="B59">
        <v>1</v>
      </c>
      <c r="D59">
        <v>1</v>
      </c>
      <c r="F59" s="30"/>
    </row>
    <row r="60" spans="1:6">
      <c r="A60" t="s">
        <v>330</v>
      </c>
      <c r="B60">
        <v>1</v>
      </c>
      <c r="D60">
        <v>1</v>
      </c>
    </row>
    <row r="61" spans="1:6">
      <c r="A61" t="s">
        <v>335</v>
      </c>
      <c r="B61">
        <v>1</v>
      </c>
      <c r="D61">
        <v>1</v>
      </c>
    </row>
    <row r="62" spans="1:6">
      <c r="A62" t="s">
        <v>340</v>
      </c>
      <c r="B62">
        <v>1</v>
      </c>
      <c r="D62">
        <v>1</v>
      </c>
    </row>
    <row r="63" spans="1:6">
      <c r="A63" t="s">
        <v>344</v>
      </c>
      <c r="C63">
        <v>1</v>
      </c>
      <c r="D63">
        <v>1</v>
      </c>
    </row>
    <row r="64" spans="1:6">
      <c r="A64" t="s">
        <v>348</v>
      </c>
      <c r="B64">
        <v>1</v>
      </c>
      <c r="D64">
        <v>1</v>
      </c>
    </row>
    <row r="65" spans="1:4">
      <c r="A65" t="s">
        <v>352</v>
      </c>
      <c r="B65">
        <v>1</v>
      </c>
      <c r="D65">
        <v>1</v>
      </c>
    </row>
    <row r="66" spans="1:4">
      <c r="A66" t="s">
        <v>356</v>
      </c>
      <c r="B66">
        <v>1</v>
      </c>
      <c r="D66">
        <v>1</v>
      </c>
    </row>
    <row r="67" spans="1:4">
      <c r="A67" t="s">
        <v>360</v>
      </c>
      <c r="B67">
        <v>1</v>
      </c>
      <c r="D67">
        <v>1</v>
      </c>
    </row>
    <row r="68" spans="1:4">
      <c r="A68" t="s">
        <v>364</v>
      </c>
      <c r="B68">
        <v>1</v>
      </c>
      <c r="D68">
        <v>1</v>
      </c>
    </row>
    <row r="69" spans="1:4">
      <c r="A69" t="s">
        <v>5</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election activeCell="B15" sqref="B15"/>
    </sheetView>
  </sheetViews>
  <sheetFormatPr defaultRowHeight="14.45"/>
  <cols>
    <col min="1" max="1" width="26" bestFit="1" customWidth="1"/>
    <col min="2" max="2" width="17.28515625" customWidth="1"/>
    <col min="3" max="3" width="10.85546875" customWidth="1"/>
    <col min="4" max="4" width="12.5703125" customWidth="1"/>
    <col min="5" max="5" width="10.85546875" bestFit="1" customWidth="1"/>
    <col min="6" max="6" width="10.7109375" bestFit="1" customWidth="1"/>
    <col min="7" max="7" width="11.7109375" bestFit="1" customWidth="1"/>
  </cols>
  <sheetData>
    <row r="1" spans="1:7">
      <c r="A1" s="8" t="s">
        <v>14</v>
      </c>
      <c r="B1" s="49">
        <v>2024</v>
      </c>
    </row>
    <row r="3" spans="1:7">
      <c r="A3" s="8" t="s">
        <v>374</v>
      </c>
      <c r="B3" s="8" t="s">
        <v>375</v>
      </c>
    </row>
    <row r="4" spans="1:7">
      <c r="B4" t="s">
        <v>7</v>
      </c>
      <c r="D4" t="s">
        <v>376</v>
      </c>
      <c r="E4" t="s">
        <v>8</v>
      </c>
      <c r="F4" t="s">
        <v>377</v>
      </c>
      <c r="G4" t="s">
        <v>5</v>
      </c>
    </row>
    <row r="5" spans="1:7">
      <c r="A5" s="8" t="s">
        <v>378</v>
      </c>
      <c r="B5" t="s">
        <v>327</v>
      </c>
      <c r="C5" t="s">
        <v>59</v>
      </c>
      <c r="E5" t="s">
        <v>59</v>
      </c>
    </row>
    <row r="6" spans="1:7">
      <c r="A6" s="20" t="s">
        <v>4</v>
      </c>
      <c r="B6" s="50">
        <v>1</v>
      </c>
      <c r="C6" s="50">
        <v>2</v>
      </c>
      <c r="D6" s="50">
        <v>3</v>
      </c>
      <c r="E6" s="50">
        <v>1</v>
      </c>
      <c r="F6" s="50">
        <v>1</v>
      </c>
      <c r="G6" s="50">
        <v>4</v>
      </c>
    </row>
    <row r="7" spans="1:7">
      <c r="A7" s="20" t="s">
        <v>5</v>
      </c>
      <c r="B7" s="50">
        <v>1</v>
      </c>
      <c r="C7" s="50">
        <v>2</v>
      </c>
      <c r="D7" s="50">
        <v>3</v>
      </c>
      <c r="E7" s="50">
        <v>1</v>
      </c>
      <c r="F7" s="50">
        <v>1</v>
      </c>
      <c r="G7" s="50">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15</v>
      </c>
    </row>
    <row r="3" spans="1:2">
      <c r="A3" s="8" t="s">
        <v>3</v>
      </c>
      <c r="B3" t="s">
        <v>374</v>
      </c>
    </row>
    <row r="4" spans="1:2">
      <c r="A4" t="s">
        <v>7</v>
      </c>
      <c r="B4" s="50">
        <v>3</v>
      </c>
    </row>
    <row r="5" spans="1:2">
      <c r="A5" t="s">
        <v>8</v>
      </c>
      <c r="B5" s="50">
        <v>1</v>
      </c>
    </row>
    <row r="6" spans="1:2">
      <c r="A6" t="s">
        <v>5</v>
      </c>
      <c r="B6" s="50">
        <v>4</v>
      </c>
    </row>
    <row r="14" spans="1:2">
      <c r="A14" s="8" t="s">
        <v>44</v>
      </c>
      <c r="B14" t="s">
        <v>15</v>
      </c>
    </row>
    <row r="16" spans="1:2">
      <c r="A16" s="8" t="s">
        <v>374</v>
      </c>
      <c r="B16" s="8" t="s">
        <v>3</v>
      </c>
    </row>
    <row r="17" spans="1:4">
      <c r="A17" s="8" t="s">
        <v>29</v>
      </c>
      <c r="B17" t="s">
        <v>7</v>
      </c>
      <c r="C17" t="s">
        <v>8</v>
      </c>
      <c r="D17" t="s">
        <v>5</v>
      </c>
    </row>
    <row r="18" spans="1:4">
      <c r="A18" t="s">
        <v>206</v>
      </c>
      <c r="B18" s="50">
        <v>1</v>
      </c>
      <c r="C18" s="50"/>
      <c r="D18" s="50">
        <v>1</v>
      </c>
    </row>
    <row r="19" spans="1:4">
      <c r="A19" t="s">
        <v>166</v>
      </c>
      <c r="B19" s="50"/>
      <c r="C19" s="50">
        <v>1</v>
      </c>
      <c r="D19" s="50">
        <v>1</v>
      </c>
    </row>
    <row r="20" spans="1:4">
      <c r="A20" t="s">
        <v>330</v>
      </c>
      <c r="B20" s="50">
        <v>1</v>
      </c>
      <c r="C20" s="50"/>
      <c r="D20" s="50">
        <v>1</v>
      </c>
    </row>
    <row r="21" spans="1:4">
      <c r="A21" t="s">
        <v>335</v>
      </c>
      <c r="B21" s="50">
        <v>1</v>
      </c>
      <c r="C21" s="50"/>
      <c r="D21" s="50">
        <v>1</v>
      </c>
    </row>
    <row r="22" spans="1:4">
      <c r="A22" t="s">
        <v>5</v>
      </c>
      <c r="B22" s="50">
        <v>3</v>
      </c>
      <c r="C22" s="50">
        <v>1</v>
      </c>
      <c r="D22" s="50">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7"/>
  <sheetViews>
    <sheetView workbookViewId="0">
      <selection activeCell="A2" sqref="A2"/>
    </sheetView>
  </sheetViews>
  <sheetFormatPr defaultRowHeight="14.45"/>
  <cols>
    <col min="1" max="1" width="44.285156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15</v>
      </c>
    </row>
    <row r="3" spans="1:4">
      <c r="A3" s="8" t="s">
        <v>2</v>
      </c>
      <c r="B3" t="s">
        <v>4</v>
      </c>
    </row>
    <row r="5" spans="1:4">
      <c r="A5" s="8" t="s">
        <v>379</v>
      </c>
      <c r="B5" s="8" t="s">
        <v>3</v>
      </c>
    </row>
    <row r="6" spans="1:4">
      <c r="A6" s="8" t="s">
        <v>14</v>
      </c>
      <c r="B6" t="s">
        <v>7</v>
      </c>
      <c r="C6" t="s">
        <v>8</v>
      </c>
      <c r="D6" t="s">
        <v>5</v>
      </c>
    </row>
    <row r="7" spans="1:4">
      <c r="A7" s="6">
        <v>2024</v>
      </c>
      <c r="B7" s="50">
        <v>3</v>
      </c>
      <c r="C7" s="50">
        <v>1</v>
      </c>
      <c r="D7" s="50">
        <v>4</v>
      </c>
    </row>
    <row r="8" spans="1:4">
      <c r="A8" s="6" t="s">
        <v>5</v>
      </c>
      <c r="B8" s="50">
        <v>3</v>
      </c>
      <c r="C8" s="50">
        <v>1</v>
      </c>
      <c r="D8" s="50">
        <v>4</v>
      </c>
    </row>
    <row r="18" spans="1:2">
      <c r="A18" s="8" t="s">
        <v>35</v>
      </c>
      <c r="B18" t="s">
        <v>15</v>
      </c>
    </row>
    <row r="19" spans="1:2">
      <c r="A19" s="8" t="s">
        <v>2</v>
      </c>
      <c r="B19" t="s">
        <v>4</v>
      </c>
    </row>
    <row r="20" spans="1:2">
      <c r="A20" s="8" t="s">
        <v>14</v>
      </c>
      <c r="B20" s="49">
        <v>2024</v>
      </c>
    </row>
    <row r="22" spans="1:2">
      <c r="A22" s="8" t="s">
        <v>33</v>
      </c>
      <c r="B22" t="s">
        <v>379</v>
      </c>
    </row>
    <row r="23" spans="1:2">
      <c r="A23" t="s">
        <v>20</v>
      </c>
      <c r="B23" s="50">
        <v>1</v>
      </c>
    </row>
    <row r="24" spans="1:2">
      <c r="A24" t="s">
        <v>26</v>
      </c>
      <c r="B24" s="50">
        <v>1</v>
      </c>
    </row>
    <row r="25" spans="1:2">
      <c r="A25" t="s">
        <v>333</v>
      </c>
      <c r="B25" s="50">
        <v>1</v>
      </c>
    </row>
    <row r="26" spans="1:2">
      <c r="A26" t="s">
        <v>338</v>
      </c>
      <c r="B26" s="50">
        <v>1</v>
      </c>
    </row>
    <row r="27" spans="1:2">
      <c r="A27" t="s">
        <v>5</v>
      </c>
      <c r="B27" s="50">
        <v>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2.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14</v>
      </c>
      <c r="B2" s="49">
        <v>2024</v>
      </c>
    </row>
    <row r="4" spans="1:14">
      <c r="A4" s="8" t="s">
        <v>374</v>
      </c>
      <c r="B4" s="8" t="s">
        <v>3</v>
      </c>
    </row>
    <row r="5" spans="1:14">
      <c r="A5" s="8" t="s">
        <v>2</v>
      </c>
      <c r="B5" t="s">
        <v>7</v>
      </c>
      <c r="C5" t="s">
        <v>8</v>
      </c>
      <c r="D5" t="s">
        <v>5</v>
      </c>
    </row>
    <row r="6" spans="1:14">
      <c r="A6" t="s">
        <v>4</v>
      </c>
      <c r="B6" s="50">
        <v>3</v>
      </c>
      <c r="C6" s="50">
        <v>1</v>
      </c>
      <c r="D6" s="50">
        <v>4</v>
      </c>
    </row>
    <row r="7" spans="1:14">
      <c r="A7" t="s">
        <v>5</v>
      </c>
      <c r="B7" s="50">
        <v>3</v>
      </c>
      <c r="C7" s="50">
        <v>1</v>
      </c>
      <c r="D7" s="50">
        <v>4</v>
      </c>
    </row>
    <row r="14" spans="1:14">
      <c r="A14" s="8" t="s">
        <v>14</v>
      </c>
      <c r="B14" s="49">
        <v>2024</v>
      </c>
    </row>
    <row r="16" spans="1:14">
      <c r="A16" s="8" t="s">
        <v>374</v>
      </c>
      <c r="B16" s="8" t="s">
        <v>3</v>
      </c>
      <c r="M16" t="s">
        <v>4</v>
      </c>
      <c r="N16">
        <v>24</v>
      </c>
    </row>
    <row r="17" spans="1:14">
      <c r="A17" s="8" t="s">
        <v>2</v>
      </c>
      <c r="B17" t="s">
        <v>7</v>
      </c>
      <c r="C17" t="s">
        <v>8</v>
      </c>
      <c r="D17" t="s">
        <v>5</v>
      </c>
      <c r="M17" t="s">
        <v>16</v>
      </c>
      <c r="N17">
        <v>48</v>
      </c>
    </row>
    <row r="18" spans="1:14">
      <c r="A18" t="s">
        <v>4</v>
      </c>
      <c r="B18" s="50">
        <v>3</v>
      </c>
      <c r="C18" s="50">
        <v>1</v>
      </c>
      <c r="D18" s="50">
        <v>4</v>
      </c>
      <c r="M18" t="s">
        <v>224</v>
      </c>
      <c r="N18">
        <v>1</v>
      </c>
    </row>
    <row r="19" spans="1:14">
      <c r="A19" t="s">
        <v>5</v>
      </c>
      <c r="B19" s="50">
        <v>3</v>
      </c>
      <c r="C19" s="50">
        <v>1</v>
      </c>
      <c r="D19" s="50">
        <v>4</v>
      </c>
    </row>
    <row r="25" spans="1:14">
      <c r="A25" s="8" t="s">
        <v>14</v>
      </c>
      <c r="B25" s="49">
        <v>2024</v>
      </c>
    </row>
    <row r="26" spans="1:14">
      <c r="A26" s="8" t="s">
        <v>2</v>
      </c>
      <c r="B26" t="s">
        <v>4</v>
      </c>
    </row>
    <row r="28" spans="1:14">
      <c r="A28" s="8" t="s">
        <v>374</v>
      </c>
      <c r="B28" s="8" t="s">
        <v>43</v>
      </c>
    </row>
    <row r="29" spans="1:14">
      <c r="A29" s="8" t="s">
        <v>3</v>
      </c>
      <c r="B29">
        <v>1</v>
      </c>
      <c r="C29">
        <v>2</v>
      </c>
      <c r="D29" t="s">
        <v>5</v>
      </c>
    </row>
    <row r="30" spans="1:14">
      <c r="A30" t="s">
        <v>7</v>
      </c>
      <c r="B30" s="50">
        <v>2</v>
      </c>
      <c r="C30" s="50">
        <v>1</v>
      </c>
      <c r="D30" s="50">
        <v>3</v>
      </c>
      <c r="G30" s="8"/>
      <c r="H30" s="8"/>
    </row>
    <row r="31" spans="1:14">
      <c r="A31" t="s">
        <v>8</v>
      </c>
      <c r="B31" s="50"/>
      <c r="C31" s="50">
        <v>1</v>
      </c>
      <c r="D31" s="50">
        <v>1</v>
      </c>
    </row>
    <row r="32" spans="1:14">
      <c r="A32" t="s">
        <v>5</v>
      </c>
      <c r="B32" s="50">
        <v>2</v>
      </c>
      <c r="C32" s="50">
        <v>2</v>
      </c>
      <c r="D32" s="50">
        <v>4</v>
      </c>
    </row>
    <row r="38" spans="8:9">
      <c r="H38" t="s">
        <v>7</v>
      </c>
      <c r="I38">
        <v>32</v>
      </c>
    </row>
    <row r="39" spans="8:9">
      <c r="H39" t="s">
        <v>8</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workbookViewId="0">
      <pane ySplit="1" topLeftCell="A14" activePane="bottomLeft" state="frozen"/>
      <selection pane="bottomLeft" activeCell="E34" sqref="E34"/>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14</v>
      </c>
      <c r="H1" s="29" t="s">
        <v>36</v>
      </c>
      <c r="I1" s="29" t="s">
        <v>37</v>
      </c>
      <c r="J1" s="29" t="s">
        <v>38</v>
      </c>
      <c r="K1" s="27" t="s">
        <v>39</v>
      </c>
      <c r="L1" s="27" t="s">
        <v>381</v>
      </c>
      <c r="M1" s="27" t="s">
        <v>2</v>
      </c>
      <c r="N1" s="27" t="s">
        <v>382</v>
      </c>
      <c r="O1" s="27" t="s">
        <v>383</v>
      </c>
      <c r="P1" s="46" t="s">
        <v>384</v>
      </c>
    </row>
    <row r="2" spans="1:16">
      <c r="A2" s="2">
        <v>1</v>
      </c>
      <c r="B2" s="2" t="s">
        <v>385</v>
      </c>
      <c r="C2" s="2" t="s">
        <v>23</v>
      </c>
      <c r="D2" s="2"/>
      <c r="E2" s="2"/>
      <c r="F2" s="2" t="s">
        <v>386</v>
      </c>
      <c r="G2" s="2">
        <v>2015</v>
      </c>
      <c r="H2" s="4" t="s">
        <v>387</v>
      </c>
      <c r="I2" s="4">
        <v>2016</v>
      </c>
      <c r="J2" s="4"/>
      <c r="K2" s="2"/>
      <c r="L2" s="2"/>
      <c r="M2" s="4" t="s">
        <v>4</v>
      </c>
      <c r="N2" s="2"/>
      <c r="O2" s="2" t="s">
        <v>388</v>
      </c>
    </row>
    <row r="3" spans="1:16">
      <c r="A3" s="2">
        <v>2</v>
      </c>
      <c r="B3" s="2" t="s">
        <v>389</v>
      </c>
      <c r="C3" s="2" t="s">
        <v>26</v>
      </c>
      <c r="D3" s="2" t="s">
        <v>390</v>
      </c>
      <c r="E3" s="2" t="s">
        <v>92</v>
      </c>
      <c r="F3" s="2" t="s">
        <v>391</v>
      </c>
      <c r="G3" s="2">
        <v>2014</v>
      </c>
      <c r="H3" s="4">
        <v>2015</v>
      </c>
      <c r="I3" s="4">
        <v>42005</v>
      </c>
      <c r="J3" s="4"/>
      <c r="K3" s="2"/>
      <c r="L3" s="2"/>
      <c r="M3" s="4" t="s">
        <v>4</v>
      </c>
      <c r="N3" s="2"/>
      <c r="O3" s="2" t="s">
        <v>388</v>
      </c>
    </row>
    <row r="4" spans="1:16">
      <c r="A4" s="2">
        <v>3</v>
      </c>
      <c r="B4" s="2" t="s">
        <v>392</v>
      </c>
      <c r="C4" s="2" t="s">
        <v>23</v>
      </c>
      <c r="D4" s="2" t="s">
        <v>393</v>
      </c>
      <c r="E4" s="2" t="s">
        <v>57</v>
      </c>
      <c r="F4" s="2" t="s">
        <v>394</v>
      </c>
      <c r="G4" s="2">
        <v>2015</v>
      </c>
      <c r="H4" s="4">
        <v>2014</v>
      </c>
      <c r="I4" s="4">
        <v>2016</v>
      </c>
      <c r="J4" s="4"/>
      <c r="K4" s="2"/>
      <c r="L4" s="2"/>
      <c r="M4" s="4" t="s">
        <v>4</v>
      </c>
      <c r="N4" s="2"/>
      <c r="O4" s="2" t="s">
        <v>388</v>
      </c>
    </row>
    <row r="5" spans="1:16">
      <c r="A5" s="2">
        <v>4</v>
      </c>
      <c r="B5" s="2" t="s">
        <v>395</v>
      </c>
      <c r="C5" s="2" t="s">
        <v>21</v>
      </c>
      <c r="D5" s="2" t="s">
        <v>393</v>
      </c>
      <c r="E5" s="2" t="s">
        <v>57</v>
      </c>
      <c r="F5" s="2" t="s">
        <v>396</v>
      </c>
      <c r="G5" s="2">
        <v>2014</v>
      </c>
      <c r="H5" s="4">
        <v>2015</v>
      </c>
      <c r="I5" s="4"/>
      <c r="J5" s="4"/>
      <c r="K5" s="2"/>
      <c r="L5" s="2"/>
      <c r="M5" s="4" t="s">
        <v>4</v>
      </c>
      <c r="N5" s="2"/>
      <c r="O5" s="2" t="s">
        <v>388</v>
      </c>
    </row>
    <row r="6" spans="1:16">
      <c r="A6" s="2">
        <v>5</v>
      </c>
      <c r="B6" s="2" t="s">
        <v>397</v>
      </c>
      <c r="C6" s="2" t="s">
        <v>23</v>
      </c>
      <c r="D6" s="2" t="s">
        <v>393</v>
      </c>
      <c r="E6" s="2" t="s">
        <v>57</v>
      </c>
      <c r="F6" s="2" t="s">
        <v>398</v>
      </c>
      <c r="G6" s="2">
        <v>2015</v>
      </c>
      <c r="H6" s="4"/>
      <c r="I6" s="4"/>
      <c r="J6" s="4"/>
      <c r="K6" s="2"/>
      <c r="L6" s="2"/>
      <c r="M6" s="4" t="s">
        <v>4</v>
      </c>
      <c r="N6" s="2"/>
      <c r="O6" s="2" t="s">
        <v>388</v>
      </c>
    </row>
    <row r="7" spans="1:16">
      <c r="A7" s="2">
        <v>6</v>
      </c>
      <c r="B7" s="2" t="s">
        <v>80</v>
      </c>
      <c r="C7" s="2" t="s">
        <v>12</v>
      </c>
      <c r="D7" s="2"/>
      <c r="E7" s="2" t="s">
        <v>57</v>
      </c>
      <c r="F7" s="2" t="s">
        <v>399</v>
      </c>
      <c r="G7" s="2">
        <v>2016</v>
      </c>
      <c r="H7" s="4">
        <v>42552</v>
      </c>
      <c r="I7" s="4"/>
      <c r="J7" s="4"/>
      <c r="K7" s="2"/>
      <c r="L7" s="2"/>
      <c r="M7" s="4" t="s">
        <v>4</v>
      </c>
      <c r="N7" s="2"/>
      <c r="O7" s="2" t="s">
        <v>388</v>
      </c>
    </row>
    <row r="8" spans="1:16">
      <c r="A8" s="2">
        <v>7</v>
      </c>
      <c r="B8" s="2" t="s">
        <v>102</v>
      </c>
      <c r="C8" s="2" t="s">
        <v>10</v>
      </c>
      <c r="D8" s="2" t="s">
        <v>393</v>
      </c>
      <c r="E8" s="2" t="s">
        <v>57</v>
      </c>
      <c r="F8" s="2" t="s">
        <v>400</v>
      </c>
      <c r="G8" s="2">
        <v>2016</v>
      </c>
      <c r="H8" s="4">
        <v>42795</v>
      </c>
      <c r="I8" s="4"/>
      <c r="J8" s="4"/>
      <c r="K8" s="2"/>
      <c r="L8" s="2"/>
      <c r="M8" s="4" t="s">
        <v>4</v>
      </c>
      <c r="N8" s="2"/>
      <c r="O8" s="2" t="s">
        <v>388</v>
      </c>
    </row>
    <row r="9" spans="1:16">
      <c r="A9" s="2">
        <v>8</v>
      </c>
      <c r="B9" s="2" t="s">
        <v>95</v>
      </c>
      <c r="C9" s="2" t="s">
        <v>10</v>
      </c>
      <c r="D9" s="2"/>
      <c r="E9" s="2"/>
      <c r="F9" s="2"/>
      <c r="G9" s="2">
        <v>2017</v>
      </c>
      <c r="H9" s="4">
        <v>2017</v>
      </c>
      <c r="I9" s="4"/>
      <c r="J9" s="4"/>
      <c r="K9" s="2"/>
      <c r="L9" s="2"/>
      <c r="M9" s="4" t="s">
        <v>4</v>
      </c>
      <c r="N9" s="2"/>
      <c r="O9" s="2" t="s">
        <v>388</v>
      </c>
    </row>
    <row r="10" spans="1:16">
      <c r="A10" s="2">
        <v>9</v>
      </c>
      <c r="B10" s="2" t="s">
        <v>401</v>
      </c>
      <c r="C10" s="2" t="s">
        <v>25</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291</v>
      </c>
      <c r="C12" s="2" t="s">
        <v>12</v>
      </c>
      <c r="D12" s="2"/>
      <c r="E12" s="2"/>
      <c r="F12" s="2" t="s">
        <v>405</v>
      </c>
      <c r="G12" s="2">
        <v>2020</v>
      </c>
      <c r="H12" s="4"/>
      <c r="I12" s="4">
        <v>44012</v>
      </c>
      <c r="J12" s="4"/>
      <c r="K12" s="2"/>
      <c r="L12" s="2"/>
      <c r="M12" s="4" t="s">
        <v>4</v>
      </c>
      <c r="N12" s="2"/>
      <c r="O12" s="2" t="s">
        <v>388</v>
      </c>
    </row>
    <row r="13" spans="1:16">
      <c r="A13" s="2">
        <v>12</v>
      </c>
      <c r="B13" s="2" t="s">
        <v>406</v>
      </c>
      <c r="C13" s="2" t="s">
        <v>26</v>
      </c>
      <c r="D13" s="2" t="s">
        <v>407</v>
      </c>
      <c r="E13" s="2" t="s">
        <v>57</v>
      </c>
      <c r="F13" s="2" t="s">
        <v>408</v>
      </c>
      <c r="G13" s="2">
        <v>2020</v>
      </c>
      <c r="H13" s="4">
        <v>43831</v>
      </c>
      <c r="I13" s="4"/>
      <c r="J13" s="4"/>
      <c r="K13" s="2"/>
      <c r="L13" s="2"/>
      <c r="M13" s="4" t="s">
        <v>4</v>
      </c>
      <c r="N13" s="2"/>
      <c r="O13" s="2" t="s">
        <v>388</v>
      </c>
    </row>
    <row r="14" spans="1:16">
      <c r="A14" s="2">
        <v>13</v>
      </c>
      <c r="B14" s="2" t="s">
        <v>409</v>
      </c>
      <c r="C14" s="2" t="s">
        <v>10</v>
      </c>
      <c r="D14" s="2"/>
      <c r="E14" s="2"/>
      <c r="F14" s="2" t="s">
        <v>410</v>
      </c>
      <c r="G14" s="2">
        <v>2020</v>
      </c>
      <c r="H14" s="4">
        <v>2019</v>
      </c>
      <c r="I14" s="4">
        <v>44196</v>
      </c>
      <c r="J14" s="4"/>
      <c r="K14" s="2"/>
      <c r="L14" s="2" t="s">
        <v>327</v>
      </c>
      <c r="M14" s="4" t="s">
        <v>4</v>
      </c>
      <c r="N14" s="2"/>
      <c r="O14" s="2" t="s">
        <v>388</v>
      </c>
    </row>
    <row r="15" spans="1:16">
      <c r="A15" s="2">
        <v>14</v>
      </c>
      <c r="B15" s="2" t="s">
        <v>411</v>
      </c>
      <c r="C15" s="2" t="s">
        <v>18</v>
      </c>
      <c r="D15" s="2" t="s">
        <v>18</v>
      </c>
      <c r="E15" s="2" t="s">
        <v>135</v>
      </c>
      <c r="F15" s="2" t="s">
        <v>412</v>
      </c>
      <c r="G15" s="2">
        <v>2019</v>
      </c>
      <c r="H15" s="4"/>
      <c r="I15" s="4"/>
      <c r="J15" s="4"/>
      <c r="K15" s="2"/>
      <c r="L15" s="2"/>
      <c r="M15" s="4" t="s">
        <v>4</v>
      </c>
      <c r="N15" s="2"/>
      <c r="O15" s="2" t="s">
        <v>388</v>
      </c>
    </row>
    <row r="16" spans="1:16">
      <c r="A16" s="2">
        <v>15</v>
      </c>
      <c r="B16" s="2" t="s">
        <v>413</v>
      </c>
      <c r="C16" s="2" t="s">
        <v>12</v>
      </c>
      <c r="D16" s="2"/>
      <c r="E16" s="2"/>
      <c r="F16" s="2"/>
      <c r="G16" s="2"/>
      <c r="H16" s="4"/>
      <c r="I16" s="4"/>
      <c r="J16" s="4"/>
      <c r="K16" s="2"/>
      <c r="L16" s="2"/>
      <c r="M16" s="4"/>
      <c r="N16" s="2"/>
      <c r="O16" s="2" t="s">
        <v>388</v>
      </c>
    </row>
    <row r="17" spans="1:16">
      <c r="A17" s="2">
        <v>16</v>
      </c>
      <c r="B17" s="2" t="s">
        <v>414</v>
      </c>
      <c r="C17" s="2" t="s">
        <v>23</v>
      </c>
      <c r="D17" s="2"/>
      <c r="E17" s="2"/>
      <c r="F17" s="2"/>
      <c r="G17" s="2"/>
      <c r="H17" s="4">
        <v>43313</v>
      </c>
      <c r="I17" s="4"/>
      <c r="J17" s="4"/>
      <c r="K17" s="2"/>
      <c r="L17" s="2"/>
      <c r="M17" s="4"/>
      <c r="N17" s="2"/>
      <c r="O17" s="2" t="s">
        <v>388</v>
      </c>
    </row>
    <row r="18" spans="1:16">
      <c r="A18" s="2">
        <v>17</v>
      </c>
      <c r="B18" s="2" t="s">
        <v>415</v>
      </c>
      <c r="C18" s="2" t="s">
        <v>21</v>
      </c>
      <c r="D18" s="2" t="s">
        <v>416</v>
      </c>
      <c r="E18" s="2" t="s">
        <v>71</v>
      </c>
      <c r="F18" s="2" t="s">
        <v>417</v>
      </c>
      <c r="G18" s="2">
        <v>2018</v>
      </c>
      <c r="H18" s="4"/>
      <c r="I18" s="4">
        <v>44044</v>
      </c>
      <c r="J18" s="4"/>
      <c r="K18" s="2"/>
      <c r="L18" s="2"/>
      <c r="M18" s="4" t="s">
        <v>418</v>
      </c>
      <c r="N18" s="2"/>
      <c r="O18" s="2" t="s">
        <v>388</v>
      </c>
    </row>
    <row r="19" spans="1:16">
      <c r="A19" s="2">
        <v>18</v>
      </c>
      <c r="B19" s="2" t="s">
        <v>419</v>
      </c>
      <c r="C19" s="2" t="s">
        <v>10</v>
      </c>
      <c r="D19" s="2" t="s">
        <v>10</v>
      </c>
      <c r="E19" s="2" t="s">
        <v>97</v>
      </c>
      <c r="F19" s="2" t="s">
        <v>420</v>
      </c>
      <c r="G19" s="2">
        <v>2020</v>
      </c>
      <c r="H19" s="4"/>
      <c r="I19" s="4"/>
      <c r="J19" s="4"/>
      <c r="K19" s="2"/>
      <c r="L19" s="2"/>
      <c r="M19" s="4" t="s">
        <v>421</v>
      </c>
      <c r="N19" s="2"/>
      <c r="O19" s="2" t="s">
        <v>388</v>
      </c>
    </row>
    <row r="20" spans="1:16">
      <c r="A20" s="2">
        <v>19</v>
      </c>
      <c r="B20" s="2" t="s">
        <v>422</v>
      </c>
      <c r="C20" s="2" t="s">
        <v>24</v>
      </c>
      <c r="D20" s="2" t="s">
        <v>423</v>
      </c>
      <c r="E20" s="2" t="s">
        <v>92</v>
      </c>
      <c r="F20" s="2"/>
      <c r="G20" s="3">
        <v>2021</v>
      </c>
      <c r="H20" s="4">
        <v>44409</v>
      </c>
      <c r="I20" s="4">
        <v>44533</v>
      </c>
      <c r="J20" s="4"/>
      <c r="K20" s="2">
        <v>2021</v>
      </c>
      <c r="L20" s="2"/>
      <c r="M20" s="2" t="s">
        <v>424</v>
      </c>
      <c r="N20" s="2"/>
      <c r="O20" s="2" t="s">
        <v>388</v>
      </c>
    </row>
    <row r="21" spans="1:16">
      <c r="A21" s="2">
        <v>20</v>
      </c>
      <c r="B21" s="2" t="s">
        <v>291</v>
      </c>
      <c r="C21" s="2" t="s">
        <v>12</v>
      </c>
      <c r="D21" s="2" t="s">
        <v>425</v>
      </c>
      <c r="E21" s="2" t="s">
        <v>57</v>
      </c>
      <c r="F21" s="2"/>
      <c r="G21" s="3">
        <v>2021</v>
      </c>
      <c r="H21" s="4">
        <v>44470</v>
      </c>
      <c r="I21" s="4">
        <v>44469</v>
      </c>
      <c r="J21" s="4"/>
      <c r="K21" s="2"/>
      <c r="L21" s="2"/>
      <c r="M21" s="2" t="s">
        <v>4</v>
      </c>
      <c r="N21" s="2"/>
      <c r="O21" s="2" t="s">
        <v>388</v>
      </c>
    </row>
    <row r="22" spans="1:16">
      <c r="A22" s="2">
        <v>21</v>
      </c>
      <c r="B22" s="41" t="s">
        <v>102</v>
      </c>
      <c r="C22" s="41" t="s">
        <v>10</v>
      </c>
      <c r="D22" s="2" t="s">
        <v>426</v>
      </c>
      <c r="E22" s="2"/>
      <c r="F22" s="2"/>
      <c r="G22" s="3">
        <v>2019</v>
      </c>
      <c r="H22" s="4"/>
      <c r="I22" s="4"/>
      <c r="J22" s="4"/>
      <c r="K22" s="2"/>
      <c r="L22" s="2"/>
      <c r="M22" s="2"/>
      <c r="N22" s="2"/>
      <c r="O22" s="2"/>
    </row>
    <row r="23" spans="1:16">
      <c r="A23" s="2">
        <v>22</v>
      </c>
      <c r="B23" s="2" t="s">
        <v>164</v>
      </c>
      <c r="C23" s="2" t="s">
        <v>26</v>
      </c>
      <c r="D23" s="2" t="s">
        <v>427</v>
      </c>
      <c r="E23" s="2" t="s">
        <v>71</v>
      </c>
      <c r="F23" s="2"/>
      <c r="G23" s="3">
        <v>2022</v>
      </c>
      <c r="H23" s="4"/>
      <c r="I23" s="4"/>
      <c r="J23" s="4"/>
      <c r="K23" s="2"/>
      <c r="L23" s="2"/>
      <c r="M23" s="2"/>
      <c r="N23" s="2"/>
      <c r="O23" s="2" t="s">
        <v>388</v>
      </c>
    </row>
    <row r="24" spans="1:16">
      <c r="A24" s="2">
        <v>23</v>
      </c>
      <c r="B24" s="2" t="s">
        <v>428</v>
      </c>
      <c r="C24" s="2" t="s">
        <v>24</v>
      </c>
      <c r="D24" s="2" t="s">
        <v>429</v>
      </c>
      <c r="E24" s="2"/>
      <c r="F24" s="2"/>
      <c r="G24" s="3">
        <v>2022</v>
      </c>
      <c r="H24" s="2"/>
      <c r="I24" s="2"/>
      <c r="J24" s="2"/>
      <c r="K24" s="2"/>
      <c r="L24" s="2"/>
      <c r="M24" s="2"/>
      <c r="N24" s="2"/>
      <c r="O24" s="2"/>
    </row>
    <row r="25" spans="1:16">
      <c r="A25" s="2">
        <v>24</v>
      </c>
      <c r="B25" s="2" t="s">
        <v>236</v>
      </c>
      <c r="C25" s="2" t="s">
        <v>404</v>
      </c>
      <c r="D25" s="2" t="s">
        <v>430</v>
      </c>
      <c r="E25" s="2"/>
      <c r="F25" s="2"/>
      <c r="G25" s="3">
        <v>2022</v>
      </c>
      <c r="H25" s="2"/>
      <c r="I25" s="2"/>
      <c r="J25" s="2"/>
      <c r="K25" s="2"/>
      <c r="L25" s="2"/>
      <c r="M25" s="2" t="s">
        <v>431</v>
      </c>
      <c r="N25" s="2"/>
      <c r="O25" s="2"/>
    </row>
    <row r="26" spans="1:16">
      <c r="A26" s="2">
        <v>25</v>
      </c>
      <c r="B26" s="2" t="s">
        <v>432</v>
      </c>
      <c r="C26" s="2" t="s">
        <v>25</v>
      </c>
      <c r="D26" s="2" t="s">
        <v>433</v>
      </c>
      <c r="E26" s="2" t="s">
        <v>213</v>
      </c>
      <c r="F26" s="2" t="s">
        <v>434</v>
      </c>
      <c r="G26" s="2">
        <v>2022</v>
      </c>
      <c r="H26" s="4">
        <v>44896</v>
      </c>
      <c r="I26" s="2" t="s">
        <v>435</v>
      </c>
      <c r="J26" s="2"/>
      <c r="K26" s="2"/>
      <c r="L26" s="2"/>
      <c r="M26" s="2" t="s">
        <v>431</v>
      </c>
      <c r="N26" s="2"/>
      <c r="O26" s="2"/>
    </row>
    <row r="27" spans="1:16">
      <c r="A27" s="2">
        <v>26</v>
      </c>
      <c r="B27" s="31" t="s">
        <v>436</v>
      </c>
      <c r="C27" s="31" t="s">
        <v>10</v>
      </c>
      <c r="D27" s="31" t="s">
        <v>437</v>
      </c>
      <c r="E27" s="33" t="s">
        <v>92</v>
      </c>
      <c r="F27" t="s">
        <v>438</v>
      </c>
      <c r="G27" s="32">
        <v>2023</v>
      </c>
      <c r="H27" s="7">
        <v>45170</v>
      </c>
      <c r="I27" s="7">
        <v>45535</v>
      </c>
      <c r="M27" t="s">
        <v>431</v>
      </c>
      <c r="O27" t="s">
        <v>439</v>
      </c>
    </row>
    <row r="28" spans="1:16">
      <c r="A28" s="2">
        <v>27</v>
      </c>
      <c r="B28" s="31" t="s">
        <v>440</v>
      </c>
      <c r="C28" s="31" t="s">
        <v>10</v>
      </c>
      <c r="D28" s="31" t="s">
        <v>441</v>
      </c>
      <c r="E28" s="33" t="s">
        <v>97</v>
      </c>
      <c r="F28" s="33" t="s">
        <v>442</v>
      </c>
      <c r="G28" s="32">
        <v>2024</v>
      </c>
      <c r="H28" s="7">
        <v>45352</v>
      </c>
      <c r="M28" t="s">
        <v>431</v>
      </c>
      <c r="P28" t="s">
        <v>443</v>
      </c>
    </row>
    <row r="29" spans="1:16">
      <c r="A29" s="2">
        <v>28</v>
      </c>
      <c r="B29" s="31" t="s">
        <v>444</v>
      </c>
      <c r="C29" s="31" t="s">
        <v>10</v>
      </c>
    </row>
    <row r="30" spans="1:16">
      <c r="A30" s="2">
        <v>29</v>
      </c>
      <c r="B30" s="31" t="s">
        <v>445</v>
      </c>
      <c r="C30" t="s">
        <v>446</v>
      </c>
      <c r="D30" s="31" t="s">
        <v>447</v>
      </c>
      <c r="E30" s="33" t="s">
        <v>448</v>
      </c>
      <c r="F30" t="s">
        <v>449</v>
      </c>
      <c r="G30" s="6">
        <v>2024</v>
      </c>
      <c r="H30" s="7">
        <v>45474</v>
      </c>
    </row>
  </sheetData>
  <autoFilter ref="A1:O1" xr:uid="{00000000-0009-0000-0000-000007000000}"/>
  <conditionalFormatting sqref="B1:B23 B25:B30">
    <cfRule type="duplicateValues" dxfId="1" priority="2"/>
  </conditionalFormatting>
  <conditionalFormatting sqref="B24">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0"/>
  <sheetViews>
    <sheetView topLeftCell="B1" workbookViewId="0">
      <selection activeCell="D8" sqref="D8"/>
    </sheetView>
  </sheetViews>
  <sheetFormatPr defaultRowHeight="14.45"/>
  <cols>
    <col min="2" max="2" width="44.28515625" bestFit="1" customWidth="1"/>
    <col min="3" max="4" width="26" customWidth="1"/>
    <col min="5" max="5" width="11.7109375" customWidth="1"/>
    <col min="6" max="7" width="9.140625" bestFit="1" customWidth="1"/>
    <col min="8" max="8" width="12.140625" bestFit="1" customWidth="1"/>
    <col min="9" max="9" width="10.7109375" bestFit="1" customWidth="1"/>
  </cols>
  <sheetData>
    <row r="1" spans="2:6">
      <c r="B1" s="8" t="s">
        <v>41</v>
      </c>
      <c r="C1" t="s">
        <v>450</v>
      </c>
    </row>
    <row r="2" spans="2:6">
      <c r="B2" s="8" t="s">
        <v>2</v>
      </c>
      <c r="C2" t="s">
        <v>4</v>
      </c>
    </row>
    <row r="3" spans="2:6">
      <c r="B3" s="8" t="s">
        <v>14</v>
      </c>
      <c r="C3" s="49">
        <v>2024</v>
      </c>
    </row>
    <row r="4" spans="2:6">
      <c r="B4" s="8" t="s">
        <v>32</v>
      </c>
      <c r="C4" t="s">
        <v>15</v>
      </c>
    </row>
    <row r="6" spans="2:6">
      <c r="B6" s="8" t="s">
        <v>33</v>
      </c>
      <c r="C6" t="s">
        <v>374</v>
      </c>
    </row>
    <row r="7" spans="2:6">
      <c r="B7" t="s">
        <v>20</v>
      </c>
      <c r="C7" s="50">
        <v>1</v>
      </c>
    </row>
    <row r="8" spans="2:6">
      <c r="B8" t="s">
        <v>338</v>
      </c>
      <c r="C8" s="50">
        <v>1</v>
      </c>
    </row>
    <row r="9" spans="2:6">
      <c r="B9" t="s">
        <v>333</v>
      </c>
      <c r="C9" s="50">
        <v>1</v>
      </c>
    </row>
    <row r="10" spans="2:6">
      <c r="B10" t="s">
        <v>26</v>
      </c>
      <c r="C10" s="50">
        <v>1</v>
      </c>
    </row>
    <row r="11" spans="2:6">
      <c r="B11" t="s">
        <v>5</v>
      </c>
      <c r="C11" s="50">
        <v>4</v>
      </c>
    </row>
    <row r="16" spans="2:6">
      <c r="E16" s="47"/>
      <c r="F16" s="47"/>
    </row>
    <row r="17" spans="3:6">
      <c r="C17" s="47"/>
      <c r="D17" s="47"/>
      <c r="E17" s="47"/>
      <c r="F17" s="47"/>
    </row>
    <row r="18" spans="3:6">
      <c r="C18" s="47"/>
      <c r="D18" s="47"/>
      <c r="E18" s="47"/>
      <c r="F18" s="47"/>
    </row>
    <row r="19" spans="3:6" ht="15" thickBot="1">
      <c r="C19" s="47"/>
      <c r="D19" s="47"/>
      <c r="E19" s="47"/>
      <c r="F19" s="47"/>
    </row>
    <row r="20" spans="3:6" ht="15" thickTop="1">
      <c r="C20" s="48"/>
      <c r="D20" s="48"/>
      <c r="E20" s="48"/>
      <c r="F20"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2026-01-20T08:21:59Z</dcterms:modified>
  <cp:category/>
  <cp:contentStatus/>
</cp:coreProperties>
</file>
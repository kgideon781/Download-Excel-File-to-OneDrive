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858" documentId="13_ncr:1_{4D0E5611-347A-4675-B69B-D50AC6A875FD}" xr6:coauthVersionLast="47" xr6:coauthVersionMax="47" xr10:uidLastSave="{4F05CAEF-E8E3-4924-82A1-6943993C453E}"/>
  <bookViews>
    <workbookView xWindow="-110" yWindow="-110" windowWidth="19420" windowHeight="10300"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Fellows!$A$1:$CL$288</definedName>
  </definedNames>
  <calcPr calcId="191028"/>
  <pivotCaches>
    <pivotCache cacheId="509" r:id="rId8"/>
    <pivotCache cacheId="510" r:id="rId9"/>
    <pivotCache cacheId="511" r:id="rId10"/>
    <pivotCache cacheId="518"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09" i="1"/>
  <c r="BP241" i="1"/>
  <c r="BO241" i="1"/>
  <c r="BP200" i="1"/>
  <c r="BO200" i="1"/>
  <c r="BP223" i="1"/>
  <c r="BO223" i="1"/>
  <c r="BP121" i="1"/>
  <c r="BO121" i="1"/>
  <c r="S43" i="16"/>
  <c r="T2" i="16" l="1"/>
  <c r="T3" i="16"/>
  <c r="BO225" i="1"/>
  <c r="BP230" i="1" l="1"/>
  <c r="BP171" i="1"/>
  <c r="BP144" i="1"/>
  <c r="BO144" i="1"/>
  <c r="BO171" i="1"/>
  <c r="BO230" i="1" l="1"/>
  <c r="BO242" i="1"/>
  <c r="BO202" i="1"/>
  <c r="BP202" i="1"/>
  <c r="BP207" i="1"/>
  <c r="BO207" i="1"/>
  <c r="BO243" i="1"/>
  <c r="BP187" i="1"/>
  <c r="BO187" i="1"/>
  <c r="BO128" i="1"/>
  <c r="BP128" i="1"/>
  <c r="BO179" i="1"/>
  <c r="BP179" i="1"/>
  <c r="BO161" i="1"/>
  <c r="BP161" i="1"/>
  <c r="BP123" i="1"/>
  <c r="BO123" i="1"/>
  <c r="BO244" i="1"/>
  <c r="BP244" i="1"/>
  <c r="BP233" i="1"/>
  <c r="BP236" i="1"/>
  <c r="BO236" i="1"/>
  <c r="BP240" i="1"/>
  <c r="BO240" i="1"/>
  <c r="BP235" i="1"/>
  <c r="BP227" i="1"/>
  <c r="BP231" i="1"/>
  <c r="BP228" i="1"/>
  <c r="BP217" i="1"/>
  <c r="BP216" i="1"/>
  <c r="BP214" i="1"/>
  <c r="BP212" i="1"/>
  <c r="BP211" i="1"/>
  <c r="BP209" i="1"/>
  <c r="BP208" i="1"/>
  <c r="BP206" i="1"/>
  <c r="BP204" i="1"/>
  <c r="BP201" i="1"/>
  <c r="BP199" i="1"/>
  <c r="BP198" i="1"/>
  <c r="BP197" i="1"/>
  <c r="BP191" i="1"/>
  <c r="BP189" i="1"/>
  <c r="BP186" i="1"/>
  <c r="BP185" i="1"/>
  <c r="BP184" i="1"/>
  <c r="BP183" i="1"/>
  <c r="BP180" i="1"/>
  <c r="BP178" i="1"/>
  <c r="BP177" i="1"/>
  <c r="BP175" i="1"/>
  <c r="BP174" i="1"/>
  <c r="BP172" i="1"/>
  <c r="BP169" i="1"/>
  <c r="BP168" i="1"/>
  <c r="BP167" i="1"/>
  <c r="BP166" i="1"/>
  <c r="BP165" i="1"/>
  <c r="BP164" i="1"/>
  <c r="BP163" i="1"/>
  <c r="BP162" i="1"/>
  <c r="BP160" i="1"/>
  <c r="BP159" i="1"/>
  <c r="BP158" i="1"/>
  <c r="BP156" i="1"/>
  <c r="BP155" i="1"/>
  <c r="BP154" i="1"/>
  <c r="BP152" i="1"/>
  <c r="BP151" i="1"/>
  <c r="BP150" i="1"/>
  <c r="BP149" i="1"/>
  <c r="BP148" i="1"/>
  <c r="BP147" i="1"/>
  <c r="BP146" i="1"/>
  <c r="BP145" i="1"/>
  <c r="BP142" i="1"/>
  <c r="BP141" i="1"/>
  <c r="BP140" i="1"/>
  <c r="BP139" i="1"/>
  <c r="BP138" i="1"/>
  <c r="BP137" i="1"/>
  <c r="BP136" i="1"/>
  <c r="BP135" i="1"/>
  <c r="BP134" i="1"/>
  <c r="BP133" i="1"/>
  <c r="BP132" i="1"/>
  <c r="BP131" i="1"/>
  <c r="BP130" i="1"/>
  <c r="BP129" i="1"/>
  <c r="BP127" i="1"/>
  <c r="BP126" i="1"/>
  <c r="BP125" i="1"/>
  <c r="BP124" i="1"/>
  <c r="BP122" i="1"/>
  <c r="BP120" i="1"/>
  <c r="BP119" i="1"/>
  <c r="BP114" i="1"/>
  <c r="BP112" i="1"/>
  <c r="BP111" i="1"/>
  <c r="BP110" i="1"/>
  <c r="BP109" i="1"/>
  <c r="BP108" i="1"/>
  <c r="BP107" i="1"/>
  <c r="BP106" i="1"/>
  <c r="BP104" i="1"/>
  <c r="BP103" i="1"/>
  <c r="BP102" i="1"/>
  <c r="BP101" i="1"/>
  <c r="BP99" i="1"/>
  <c r="BP98" i="1"/>
  <c r="BP97" i="1"/>
  <c r="BP96" i="1"/>
  <c r="BP95" i="1"/>
  <c r="BP94" i="1"/>
  <c r="BP93" i="1"/>
  <c r="BP92" i="1"/>
  <c r="BP91" i="1"/>
  <c r="BP90" i="1"/>
  <c r="BP89" i="1"/>
  <c r="BP88" i="1"/>
  <c r="BP87" i="1"/>
  <c r="BP86" i="1"/>
  <c r="BP85" i="1"/>
  <c r="BP83" i="1"/>
  <c r="BP81" i="1"/>
  <c r="BP80" i="1"/>
  <c r="BP79" i="1"/>
  <c r="BP78" i="1"/>
  <c r="BP77" i="1"/>
  <c r="BP76" i="1"/>
  <c r="BP75" i="1"/>
  <c r="BP74" i="1"/>
  <c r="BP73" i="1"/>
  <c r="BP72" i="1"/>
  <c r="BP71" i="1"/>
  <c r="BP70" i="1"/>
  <c r="BP69" i="1"/>
  <c r="BP68" i="1"/>
  <c r="BP67" i="1"/>
  <c r="BP65"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1" i="1"/>
  <c r="BO25" i="1"/>
  <c r="BO142" i="1"/>
  <c r="BO212" i="1"/>
  <c r="AH73" i="1"/>
  <c r="BO208" i="1"/>
  <c r="BO174" i="1"/>
  <c r="BO217" i="1"/>
  <c r="BO211" i="1"/>
  <c r="BO197" i="1"/>
  <c r="BO140" i="1"/>
  <c r="BO114" i="1"/>
  <c r="BP249" i="1" l="1"/>
  <c r="BO233" i="1"/>
  <c r="BO214" i="1"/>
  <c r="BO201" i="1" l="1"/>
  <c r="BO151" i="1" l="1"/>
  <c r="BO231" i="1" l="1"/>
  <c r="BO198" i="1" l="1"/>
  <c r="BO159" i="1"/>
  <c r="BO206" i="1"/>
  <c r="BO235" i="1" l="1"/>
  <c r="BO227" i="1" l="1"/>
  <c r="BO75" i="1" l="1"/>
  <c r="BO204" i="1" l="1"/>
  <c r="BO162" i="1" l="1"/>
  <c r="BO175" i="1"/>
  <c r="BO216" i="1" l="1"/>
  <c r="BO189" i="1"/>
  <c r="BO180" i="1"/>
  <c r="BO178" i="1"/>
  <c r="BO172" i="1"/>
  <c r="BO165" i="1"/>
  <c r="BO160" i="1"/>
  <c r="BO150" i="1"/>
  <c r="BO129" i="1"/>
  <c r="BO126" i="1"/>
  <c r="BO124" i="1"/>
  <c r="BO106" i="1"/>
  <c r="BO76" i="1"/>
  <c r="C33" i="21" l="1"/>
  <c r="BO228" i="1" l="1"/>
  <c r="BO199" i="1"/>
  <c r="BO186" i="1"/>
  <c r="BO185" i="1"/>
  <c r="BO184" i="1"/>
  <c r="BO183" i="1"/>
  <c r="BO177" i="1"/>
  <c r="BO169" i="1"/>
  <c r="BO168" i="1"/>
  <c r="BO167" i="1"/>
  <c r="BO166" i="1"/>
  <c r="BO164" i="1"/>
  <c r="BO163" i="1"/>
  <c r="BO156" i="1"/>
  <c r="BO155" i="1"/>
  <c r="BO154" i="1"/>
  <c r="BO152" i="1"/>
  <c r="BO149" i="1"/>
  <c r="BO147" i="1"/>
  <c r="BO146" i="1"/>
  <c r="BO145" i="1"/>
  <c r="BO141" i="1"/>
  <c r="BO139" i="1"/>
  <c r="BO138" i="1"/>
  <c r="BO137" i="1"/>
  <c r="BO136" i="1"/>
  <c r="BO135" i="1"/>
  <c r="BO134" i="1"/>
  <c r="BO133" i="1"/>
  <c r="BO132" i="1"/>
  <c r="BO131" i="1"/>
  <c r="BO130" i="1"/>
  <c r="BO127" i="1"/>
  <c r="BO125" i="1"/>
  <c r="BO122" i="1"/>
  <c r="BO120" i="1"/>
  <c r="BO119" i="1"/>
  <c r="BO112" i="1"/>
  <c r="BO111" i="1"/>
  <c r="BO110" i="1"/>
  <c r="BO109" i="1"/>
  <c r="BO108" i="1"/>
  <c r="BO107" i="1"/>
  <c r="BO104" i="1"/>
  <c r="BO103" i="1"/>
  <c r="BO102" i="1"/>
  <c r="BO101" i="1"/>
  <c r="BO99" i="1"/>
  <c r="BO98" i="1"/>
  <c r="BO97" i="1"/>
  <c r="BO96" i="1"/>
  <c r="BO95" i="1"/>
  <c r="BO94" i="1"/>
  <c r="BO93" i="1"/>
  <c r="BO92" i="1"/>
  <c r="BO91" i="1"/>
  <c r="BO90" i="1"/>
  <c r="BO89" i="1"/>
  <c r="BO88" i="1"/>
  <c r="BO87" i="1"/>
  <c r="BO86" i="1"/>
  <c r="BO85" i="1"/>
  <c r="BO83" i="1"/>
  <c r="BO81" i="1"/>
  <c r="BO80" i="1"/>
  <c r="BO79" i="1"/>
  <c r="BO78" i="1"/>
  <c r="BO77" i="1"/>
  <c r="BO74" i="1"/>
  <c r="BO73" i="1"/>
  <c r="BO72" i="1"/>
  <c r="BO71" i="1"/>
  <c r="BO70" i="1"/>
  <c r="BO69" i="1"/>
  <c r="BO68" i="1"/>
  <c r="BO67" i="1"/>
  <c r="BO65"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4" i="1"/>
  <c r="AH72" i="1"/>
  <c r="AH71" i="1"/>
  <c r="AH70" i="1"/>
  <c r="AH69" i="1"/>
  <c r="AH68" i="1"/>
  <c r="AH67" i="1"/>
  <c r="AH66" i="1"/>
  <c r="AH65" i="1"/>
  <c r="AH219"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<sst xmlns="http://schemas.openxmlformats.org/spreadsheetml/2006/main" count="10853" uniqueCount="4139">
  <si>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</si>
  <si>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</si>
  <si>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</si>
  <si>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</si>
  <si>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</si>
  <si>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</si>
  <si>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</si>
  <si>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</si>
  <si>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</si>
  <si>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</si>
  <si>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</si>
  <si>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</si>
  <si>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</si>
  <si>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</si>
  <si>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</si>
  <si>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</si>
  <si>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</si>
  <si>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</si>
  <si>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</si>
  <si>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</si>
  <si>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</si>
  <si>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</si>
  <si>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</si>
  <si>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</si>
  <si>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Man</t>
  </si>
  <si>
    <t>Woman</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</si>
  <si>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</si>
  <si>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</si>
  <si>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</si>
  <si>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</si>
  <si>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</si>
  <si>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</si>
  <si>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</si>
  <si>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</si>
  <si>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</si>
  <si>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</si>
  <si>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</si>
  <si>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</si>
  <si>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</si>
  <si>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</si>
  <si>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</si>
  <si>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</si>
  <si>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</si>
  <si>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</si>
  <si>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</si>
  <si>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</si>
  <si>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Witwatersrand</t>
  </si>
  <si>
    <t>University of Malawi and Associates</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</si>
  <si>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</si>
  <si>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</si>
  <si>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</si>
  <si>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</si>
  <si>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</si>
  <si>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</si>
  <si>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</si>
  <si>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</si>
  <si>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</si>
  <si>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</si>
  <si>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</si>
  <si>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</si>
  <si>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</si>
  <si>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</si>
  <si>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</si>
  <si>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</si>
  <si>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</si>
  <si>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</si>
  <si>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</si>
  <si>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</si>
  <si>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</si>
  <si>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</si>
  <si>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</si>
  <si>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</si>
  <si>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</si>
  <si>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</si>
  <si>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</si>
  <si>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</si>
  <si>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</si>
  <si>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</si>
  <si>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</si>
  <si>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</si>
  <si>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</si>
  <si>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</si>
  <si>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</si>
  <si>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</si>
  <si>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</si>
  <si>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</si>
  <si>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</si>
  <si>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</si>
  <si>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</si>
  <si>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</si>
  <si>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</si>
  <si>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</si>
  <si>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</si>
  <si>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</si>
  <si>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</si>
  <si>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</si>
  <si>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</si>
  <si>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</si>
  <si>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</si>
  <si>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</si>
  <si>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</si>
  <si>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</si>
  <si>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</si>
  <si>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</si>
  <si>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</si>
  <si>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</si>
  <si>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</si>
  <si>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</si>
  <si>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</si>
  <si>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</si>
  <si>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</si>
  <si>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</si>
  <si>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</si>
  <si>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</si>
  <si>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</si>
  <si>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</si>
  <si>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</si>
  <si>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</si>
  <si>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</si>
  <si>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</si>
  <si>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</si>
  <si>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</si>
  <si>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</si>
  <si>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</si>
  <si>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</si>
  <si>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</si>
  <si>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</si>
  <si>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</si>
  <si>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</si>
  <si>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</si>
  <si>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</si>
  <si>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</si>
  <si>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</si>
  <si>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</si>
  <si>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</si>
  <si>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</si>
  <si>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</si>
  <si>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</si>
  <si>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</si>
  <si>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</si>
  <si>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</si>
  <si>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</si>
  <si>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</si>
  <si>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</si>
  <si>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</si>
  <si>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</si>
  <si>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</si>
  <si>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</si>
  <si>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</si>
  <si>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</si>
  <si>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</si>
  <si>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</si>
  <si>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</si>
  <si>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</si>
  <si>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</si>
  <si>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</si>
  <si>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</si>
  <si>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</si>
  <si>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</si>
  <si>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</si>
  <si>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</si>
  <si>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</si>
  <si>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</si>
  <si>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</si>
  <si>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</si>
  <si>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</si>
  <si>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</si>
  <si>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</si>
  <si>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</si>
  <si>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</si>
  <si>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</si>
  <si>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</si>
  <si>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</si>
  <si>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</si>
  <si>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</si>
  <si>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</si>
  <si>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</si>
  <si>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</si>
  <si>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</si>
  <si>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</si>
  <si>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</si>
  <si>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</si>
  <si>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</si>
  <si>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</si>
  <si>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</si>
  <si>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</si>
  <si>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</si>
  <si>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</si>
  <si>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</si>
  <si>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</si>
  <si>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</si>
  <si>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</si>
  <si>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</si>
  <si>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</si>
  <si>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</si>
  <si>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</si>
  <si>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</si>
  <si>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</si>
  <si>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</si>
  <si>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</si>
  <si>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</si>
  <si>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</si>
  <si>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</si>
  <si>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</si>
  <si>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</si>
  <si>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</si>
  <si>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</si>
  <si>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</si>
  <si>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</si>
  <si>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</si>
  <si>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</si>
  <si>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</si>
  <si>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</si>
  <si>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</si>
  <si>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</si>
  <si>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</si>
  <si>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</si>
  <si>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</si>
  <si>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</si>
  <si>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</si>
  <si>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</si>
  <si>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</si>
  <si>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</si>
  <si>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</si>
  <si>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</si>
  <si>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</si>
  <si>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</si>
  <si>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</si>
  <si>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</si>
  <si>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</si>
  <si>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</si>
  <si>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</si>
  <si>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</si>
  <si>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</si>
  <si>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</si>
  <si>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</si>
  <si>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</si>
  <si>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</si>
  <si>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</si>
  <si>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</si>
  <si>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</si>
  <si>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</si>
  <si>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</si>
  <si>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</si>
  <si>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</si>
  <si>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</si>
  <si>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</si>
  <si>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</si>
  <si>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</si>
  <si>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</si>
  <si>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</si>
  <si>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</si>
  <si>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</si>
  <si>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</si>
  <si>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</si>
  <si>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</si>
  <si>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</si>
  <si>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</si>
  <si>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</si>
  <si>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</si>
  <si>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</si>
  <si>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</si>
  <si>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</si>
  <si>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</si>
  <si>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</si>
  <si>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</si>
  <si>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</si>
  <si>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</si>
  <si>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</si>
  <si>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</si>
  <si>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</si>
  <si>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</si>
  <si>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</si>
  <si>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</si>
  <si>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</si>
  <si>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</si>
  <si>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</si>
  <si>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</si>
  <si>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</si>
  <si>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</si>
  <si>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</si>
  <si>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</si>
  <si>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</si>
  <si>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</si>
  <si>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</si>
  <si>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</si>
  <si>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</si>
  <si>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</si>
  <si>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</si>
  <si>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</si>
  <si>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</si>
  <si>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</si>
  <si>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</si>
  <si>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</si>
  <si>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</si>
  <si>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</si>
  <si>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</si>
  <si>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</si>
  <si>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</si>
  <si>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</si>
  <si>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</si>
  <si>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</si>
  <si>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</si>
  <si>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</si>
  <si>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</si>
  <si>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</si>
  <si>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</si>
  <si>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</si>
  <si>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</si>
  <si>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</si>
  <si>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</si>
  <si>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</si>
  <si>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</si>
  <si>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</si>
  <si>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</si>
  <si>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</si>
  <si>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</si>
  <si>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</si>
  <si>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</si>
  <si>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</si>
  <si>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</si>
  <si>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</si>
  <si>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</si>
  <si>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</si>
  <si>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</si>
  <si>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</si>
  <si>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</si>
  <si>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</si>
  <si>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</si>
  <si>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</si>
  <si>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</si>
  <si>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</si>
  <si>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</si>
  <si>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</si>
  <si>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</si>
  <si>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</si>
  <si>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</si>
  <si>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</si>
  <si>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</si>
  <si>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</si>
  <si>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</si>
  <si>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</si>
  <si>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</si>
  <si>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</si>
  <si>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</si>
  <si>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</si>
  <si>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</si>
  <si>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</si>
  <si>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</si>
  <si>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</si>
  <si>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</si>
  <si>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</si>
  <si>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</si>
  <si>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</si>
  <si>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</si>
  <si>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</si>
  <si>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</si>
  <si>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</si>
  <si>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</si>
  <si>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</si>
  <si>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</si>
  <si>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</si>
  <si>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</si>
  <si>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</si>
  <si>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</si>
  <si>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</si>
  <si>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</si>
  <si>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</si>
  <si>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</si>
  <si>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</si>
  <si>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</si>
  <si>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</si>
  <si>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</si>
  <si>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</si>
  <si>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</si>
  <si>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</si>
  <si>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</si>
  <si>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</si>
  <si>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</si>
  <si>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</si>
  <si>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</si>
  <si>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</si>
  <si>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</si>
  <si>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</si>
  <si>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</si>
  <si>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</si>
  <si>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</si>
  <si>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</si>
  <si>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</si>
  <si>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</si>
  <si>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</si>
  <si>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</si>
  <si>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</si>
  <si>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</si>
  <si>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</si>
  <si>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</si>
  <si>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</si>
  <si>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</si>
  <si>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</si>
  <si>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</si>
  <si>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</si>
  <si>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</si>
  <si>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</si>
  <si>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</si>
  <si>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</si>
  <si>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</si>
  <si>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</si>
  <si>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</si>
  <si>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</si>
  <si>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</si>
  <si>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</si>
  <si>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</si>
  <si>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</si>
  <si>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</si>
  <si>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</si>
  <si>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</si>
  <si>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</si>
  <si>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</si>
  <si>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</si>
  <si>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</si>
  <si>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</si>
  <si>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</si>
  <si>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</si>
  <si>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</si>
  <si>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</si>
  <si>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</si>
  <si>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</si>
  <si>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</si>
  <si>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</si>
  <si>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</si>
  <si>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</si>
  <si>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</si>
  <si>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</si>
  <si>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</si>
  <si>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</si>
  <si>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</si>
  <si>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</si>
  <si>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</si>
  <si>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</si>
  <si>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</si>
  <si>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</si>
  <si>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</si>
  <si>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</si>
  <si>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</si>
  <si>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</si>
  <si>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</si>
  <si>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</si>
  <si>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</si>
  <si>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</si>
  <si>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</si>
  <si>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</si>
  <si>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</si>
  <si>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</si>
  <si>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</si>
  <si>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</si>
  <si>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</si>
  <si>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</si>
  <si>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</si>
  <si>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</si>
  <si>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</si>
  <si>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</si>
  <si>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</si>
  <si>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</si>
  <si>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</si>
  <si>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</si>
  <si>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</si>
  <si>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</si>
  <si>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</si>
  <si>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</si>
  <si>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</si>
  <si>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</si>
  <si>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</si>
  <si>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</si>
  <si>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</si>
  <si>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</si>
  <si>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</si>
  <si>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</si>
  <si>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</si>
  <si>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</si>
  <si>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</si>
  <si>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</si>
  <si>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</si>
  <si>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</si>
  <si>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</si>
  <si>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</si>
  <si>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</si>
  <si>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</si>
  <si>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</si>
  <si>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</si>
  <si>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</si>
  <si>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</si>
  <si>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</si>
  <si>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</si>
  <si>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</si>
  <si>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</si>
  <si>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</si>
  <si>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</si>
  <si>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</si>
  <si>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</si>
  <si>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</si>
  <si>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</si>
  <si>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</si>
  <si>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</si>
  <si>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</si>
  <si>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</si>
  <si>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</si>
  <si>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</si>
  <si>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</si>
  <si>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</si>
  <si>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</si>
  <si>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</si>
  <si>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</si>
  <si>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</si>
  <si>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</si>
  <si>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</si>
  <si>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</si>
  <si>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</si>
  <si>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</si>
  <si>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</si>
  <si>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</si>
  <si>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</si>
  <si>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</si>
  <si>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</si>
  <si>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</si>
  <si>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</si>
  <si>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</si>
  <si>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</si>
  <si>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</si>
  <si>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</si>
  <si>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</si>
  <si>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</si>
  <si>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</si>
  <si>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</si>
  <si>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</si>
  <si>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</si>
  <si>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</si>
  <si>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</si>
  <si>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</si>
  <si>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</si>
  <si>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</si>
  <si>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</si>
  <si>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</si>
  <si>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</si>
  <si>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</si>
  <si>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</si>
  <si>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</si>
  <si>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</si>
  <si>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</si>
  <si>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</si>
  <si>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</si>
  <si>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</si>
  <si>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</si>
  <si>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</si>
  <si>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</si>
  <si>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</si>
  <si>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</si>
  <si>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</si>
  <si>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</si>
  <si>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</si>
  <si>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</si>
  <si>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</si>
  <si>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</si>
  <si>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</si>
  <si>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</si>
  <si>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</si>
  <si>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</si>
  <si>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</si>
  <si>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</si>
  <si>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</si>
  <si>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</si>
  <si>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</si>
  <si>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</si>
  <si>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</si>
  <si>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</si>
  <si>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</si>
  <si>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</si>
  <si>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</si>
  <si>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</si>
  <si>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</si>
  <si>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</si>
  <si>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</si>
  <si>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</si>
  <si>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</si>
  <si>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</si>
  <si>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</si>
  <si>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</si>
  <si>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</si>
  <si>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</si>
  <si>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</si>
  <si>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</si>
  <si>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</si>
  <si>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</si>
  <si>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</si>
  <si>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</si>
  <si>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</si>
  <si>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</si>
  <si>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</si>
  <si>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</si>
  <si>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</si>
  <si>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</si>
  <si>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</si>
  <si>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</si>
  <si>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</si>
  <si>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</si>
  <si>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</si>
  <si>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</si>
  <si>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</si>
  <si>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</si>
  <si>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</si>
  <si>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</si>
  <si>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</si>
  <si>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</si>
  <si>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</si>
  <si>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</si>
  <si>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</si>
  <si>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</si>
  <si>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</si>
  <si>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</si>
  <si>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</si>
  <si>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</si>
  <si>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</si>
  <si>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</si>
  <si>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</si>
  <si>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</si>
  <si>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</si>
  <si>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</si>
  <si>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</si>
  <si>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</si>
  <si>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</si>
  <si>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</si>
  <si>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</si>
  <si>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</si>
  <si>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</si>
  <si>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</si>
  <si>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</si>
  <si>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</si>
  <si>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</si>
  <si>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</si>
  <si>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</si>
  <si>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</si>
  <si>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</si>
  <si>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</si>
  <si>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</si>
  <si>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</si>
  <si>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</si>
  <si>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</si>
  <si>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</si>
  <si>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</si>
  <si>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</si>
  <si>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</si>
  <si>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</si>
  <si>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</si>
  <si>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</si>
  <si>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</si>
  <si>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</si>
  <si>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</si>
  <si>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</si>
  <si>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</si>
  <si>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</si>
  <si>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</si>
  <si>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</si>
  <si>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</si>
  <si>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</si>
  <si>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</si>
  <si>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</si>
  <si>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</si>
  <si>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</si>
  <si>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</si>
  <si>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</si>
  <si>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</si>
  <si>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</si>
  <si>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</si>
  <si>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</si>
  <si>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</si>
  <si>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</si>
  <si>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</si>
  <si>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</si>
  <si>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</si>
  <si>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</si>
  <si>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</si>
  <si>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</si>
  <si>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</si>
  <si>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</si>
  <si>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</si>
  <si>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</si>
  <si>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</si>
  <si>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</si>
  <si>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</si>
  <si>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</si>
  <si>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</si>
  <si>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</si>
  <si>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</si>
  <si>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</si>
  <si>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</si>
  <si>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</si>
  <si>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</si>
  <si>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</si>
  <si>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</si>
  <si>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</si>
  <si>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</si>
  <si>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</si>
  <si>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</si>
  <si>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</si>
  <si>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</si>
  <si>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</si>
  <si>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</si>
  <si>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</si>
  <si>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</si>
  <si>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</si>
  <si>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</si>
  <si>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</si>
  <si>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</si>
  <si>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</si>
  <si>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</si>
  <si>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</si>
  <si>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</si>
  <si>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</si>
  <si>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</si>
  <si>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</si>
  <si>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</si>
  <si>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</si>
  <si>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</si>
  <si>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</si>
  <si>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</si>
  <si>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</si>
  <si>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</si>
  <si>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</si>
  <si>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</si>
  <si>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</si>
  <si>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</si>
  <si>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</si>
  <si>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</si>
  <si>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</si>
  <si>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</si>
  <si>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</si>
  <si>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</si>
  <si>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</si>
  <si>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</si>
  <si>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</si>
  <si>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</si>
  <si>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</si>
  <si>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</si>
  <si>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</si>
  <si>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</si>
  <si>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</si>
  <si>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</si>
  <si>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</si>
  <si>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</si>
  <si>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</si>
  <si>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</si>
  <si>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</si>
  <si>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</si>
  <si>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</si>
  <si>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</si>
  <si>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</si>
  <si>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</si>
  <si>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</si>
  <si>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</si>
  <si>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</si>
  <si>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</si>
  <si>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</si>
  <si>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</si>
  <si>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</si>
  <si>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</si>
  <si>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</si>
  <si>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</si>
  <si>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</si>
  <si>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</si>
  <si>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</si>
  <si>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</si>
  <si>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</si>
  <si>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</si>
  <si>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</si>
  <si>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</si>
  <si>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</si>
  <si>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</si>
  <si>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</si>
  <si>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</si>
  <si>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</si>
  <si>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</si>
  <si>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</si>
  <si>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</si>
  <si>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</si>
  <si>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</si>
  <si>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</si>
  <si>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</si>
  <si>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</si>
  <si>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</si>
  <si>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</si>
  <si>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</si>
  <si>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</si>
  <si>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</si>
  <si>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</si>
  <si>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</si>
  <si>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</si>
  <si>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</si>
  <si>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</si>
  <si>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</si>
  <si>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</si>
  <si>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</si>
  <si>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</si>
  <si>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</si>
  <si>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</si>
  <si>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</si>
  <si>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</si>
  <si>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</si>
  <si>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</si>
  <si>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</si>
  <si>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</si>
  <si>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</si>
  <si>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</si>
  <si>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</si>
  <si>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</si>
  <si>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</si>
  <si>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</si>
  <si>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</si>
  <si>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</si>
  <si>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</si>
  <si>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</si>
  <si>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</si>
  <si>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</si>
  <si>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</si>
  <si>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</si>
  <si>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</si>
  <si>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</si>
  <si>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</si>
  <si>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</si>
  <si>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</si>
  <si>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</si>
  <si>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</si>
  <si>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</si>
  <si>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</si>
  <si>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</si>
  <si>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</si>
  <si>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</si>
  <si>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</si>
  <si>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</si>
  <si>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</si>
  <si>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</si>
  <si>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</si>
  <si>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</si>
  <si>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</si>
  <si>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</si>
  <si>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</si>
  <si>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</si>
  <si>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</si>
  <si>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</si>
  <si>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</si>
  <si>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</si>
  <si>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</si>
  <si>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</si>
  <si>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</si>
  <si>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</si>
  <si>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</si>
  <si>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</si>
  <si>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</si>
  <si>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</si>
  <si>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</si>
  <si>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</si>
  <si>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</si>
  <si>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</si>
  <si>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</si>
  <si>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</si>
  <si>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</si>
  <si>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</si>
  <si>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</si>
  <si>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</si>
  <si>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</si>
  <si>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</si>
  <si>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</si>
  <si>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</si>
  <si>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</si>
  <si>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</si>
  <si>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</si>
  <si>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</si>
  <si>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</si>
  <si>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</si>
  <si>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</si>
  <si>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</si>
  <si>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</si>
  <si>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</si>
  <si>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</si>
  <si>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</si>
  <si>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</si>
  <si>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</si>
  <si>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</si>
  <si>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</si>
  <si>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</si>
  <si>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</si>
  <si>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</si>
  <si>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</si>
  <si>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</si>
  <si>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</si>
  <si>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</si>
  <si>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</si>
  <si>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</si>
  <si>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</si>
  <si>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</si>
  <si>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</si>
  <si>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</si>
  <si>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</si>
  <si>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</si>
  <si>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</si>
  <si>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</si>
  <si>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</si>
  <si>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</si>
  <si>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</si>
  <si>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</si>
  <si>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</si>
  <si>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</si>
  <si>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</si>
  <si>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</si>
  <si>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</si>
  <si>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</si>
  <si>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</si>
  <si>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</si>
  <si>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</si>
  <si>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</si>
  <si>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</si>
  <si>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</si>
  <si>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</si>
  <si>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</si>
  <si>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</si>
  <si>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</si>
  <si>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</si>
  <si>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</si>
  <si>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</si>
  <si>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</si>
  <si>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</si>
  <si>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</si>
  <si>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</si>
  <si>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</si>
  <si>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</si>
  <si>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</si>
  <si>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</si>
  <si>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</si>
  <si>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</si>
  <si>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</si>
  <si>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</si>
  <si>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</si>
  <si>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</si>
  <si>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</si>
  <si>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</si>
  <si>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</si>
  <si>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</si>
  <si>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</si>
  <si>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</si>
  <si>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</si>
  <si>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</si>
  <si>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</si>
  <si>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</si>
  <si>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</si>
  <si>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</si>
  <si>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</si>
  <si>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</si>
  <si>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</si>
  <si>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</si>
  <si>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</si>
  <si>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</si>
  <si>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</si>
  <si>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</si>
  <si>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</si>
  <si>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</si>
  <si>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</si>
  <si>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</si>
  <si>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</si>
  <si>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</si>
  <si>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</si>
  <si>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</si>
  <si>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</si>
  <si>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</si>
  <si>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</si>
  <si>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</si>
  <si>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</si>
  <si>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</si>
  <si>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</si>
  <si>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</si>
  <si>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</si>
  <si>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</si>
  <si>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</si>
  <si>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</si>
  <si>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</si>
  <si>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</si>
  <si>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</si>
  <si>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</si>
  <si>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</si>
  <si>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</si>
  <si>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</si>
  <si>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</si>
  <si>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</si>
  <si>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</si>
  <si>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</si>
  <si>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</si>
  <si>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</si>
  <si>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</si>
  <si>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</si>
  <si>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</si>
  <si>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</si>
  <si>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</si>
  <si>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</si>
  <si>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</si>
  <si>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</si>
  <si>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</si>
  <si>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</si>
  <si>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</si>
  <si>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</si>
  <si>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</si>
  <si>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</si>
  <si>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</si>
  <si>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</si>
  <si>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</si>
  <si>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</si>
  <si>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</si>
  <si>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</si>
  <si>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</si>
  <si>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</si>
  <si>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</si>
  <si>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</si>
  <si>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</si>
  <si>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</si>
  <si>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</si>
  <si>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</si>
  <si>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</si>
  <si>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</si>
  <si>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</si>
  <si>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</si>
  <si>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</si>
  <si>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</si>
  <si>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</si>
  <si>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</si>
  <si>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</si>
  <si>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</si>
  <si>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</si>
  <si>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</si>
  <si>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</si>
  <si>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</si>
  <si>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</si>
  <si>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</si>
  <si>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</si>
  <si>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</si>
  <si>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</si>
  <si>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</si>
  <si>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</si>
  <si>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</si>
  <si>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</si>
  <si>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</si>
  <si>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</si>
  <si>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</si>
  <si>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</si>
  <si>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</si>
  <si>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</si>
  <si>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</si>
  <si>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</si>
  <si>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</si>
  <si>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</si>
  <si>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</si>
  <si>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</si>
  <si>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</si>
  <si>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</si>
  <si>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</si>
  <si>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</si>
  <si>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</si>
  <si>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</si>
  <si>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</si>
  <si>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</si>
  <si>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</si>
  <si>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</si>
  <si>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</si>
  <si>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</si>
  <si>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</si>
  <si>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</si>
  <si>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</si>
  <si>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</si>
  <si>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</si>
  <si>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</si>
  <si>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</si>
  <si>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</si>
  <si>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</si>
  <si>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</si>
  <si>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</si>
  <si>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</si>
  <si>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</si>
  <si>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</si>
  <si>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</si>
  <si>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</si>
  <si>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</si>
  <si>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</si>
  <si>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</si>
  <si>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</si>
  <si>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</si>
  <si>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</si>
  <si>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</si>
  <si>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</si>
  <si>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</si>
  <si>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</si>
  <si>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</si>
  <si>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</si>
  <si>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</si>
  <si>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</si>
  <si>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</si>
  <si>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</si>
  <si>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</si>
  <si>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</si>
  <si>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</si>
  <si>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</si>
  <si>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</si>
  <si>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</si>
  <si>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</si>
  <si>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</si>
  <si>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</si>
  <si>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</si>
  <si>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</si>
  <si>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</si>
  <si>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</si>
  <si>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</si>
  <si>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</si>
  <si>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</si>
  <si>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</si>
  <si>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</si>
  <si>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</si>
  <si>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</si>
  <si>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</si>
  <si>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</si>
  <si>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</si>
  <si>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</si>
  <si>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</si>
  <si>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</si>
  <si>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</si>
  <si>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</si>
  <si>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</si>
  <si>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</si>
  <si>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</si>
  <si>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</si>
  <si>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</si>
  <si>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</si>
  <si>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</si>
  <si>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</si>
  <si>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</si>
  <si>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</si>
  <si>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</si>
  <si>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</si>
  <si>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</si>
  <si>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</si>
  <si>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</si>
  <si>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</si>
  <si>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</si>
  <si>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</si>
  <si>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</si>
  <si>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</si>
  <si>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</si>
  <si>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</si>
  <si>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</si>
  <si>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</si>
  <si>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</si>
  <si>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</si>
  <si>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</si>
  <si>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</si>
  <si>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</si>
  <si>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</si>
  <si>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</si>
  <si>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</si>
  <si>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</si>
  <si>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</si>
  <si>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</si>
  <si>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</si>
  <si>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</si>
  <si>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</si>
  <si>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</si>
  <si>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</si>
  <si>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</si>
  <si>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</si>
  <si>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</si>
  <si>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</si>
  <si>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</si>
  <si>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</si>
  <si>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</si>
  <si>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</si>
  <si>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</si>
  <si>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</si>
  <si>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</si>
  <si>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</si>
  <si>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</si>
  <si>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</si>
  <si>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</si>
  <si>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</si>
  <si>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</si>
  <si>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</si>
  <si>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</si>
  <si>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</si>
  <si>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</si>
  <si>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</si>
  <si>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</si>
  <si>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</si>
  <si>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</si>
  <si>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</si>
  <si>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</si>
  <si>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</si>
  <si>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</si>
  <si>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</si>
  <si>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</si>
  <si>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</si>
  <si>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</si>
  <si>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</si>
  <si>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</si>
  <si>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</si>
  <si>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</si>
  <si>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</si>
  <si>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</si>
  <si>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</si>
  <si>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</si>
  <si>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</si>
  <si>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</si>
  <si>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</si>
  <si>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</si>
  <si>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</si>
  <si>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</si>
  <si>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</si>
  <si>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</si>
  <si>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</si>
  <si>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</si>
  <si>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</si>
  <si>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</si>
  <si>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</si>
  <si>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</si>
  <si>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</si>
  <si>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</si>
  <si>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</si>
  <si>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</si>
  <si>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</si>
  <si>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</si>
  <si>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</si>
  <si>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</si>
  <si>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</si>
  <si>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</si>
  <si>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</si>
  <si>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</si>
  <si>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</si>
  <si>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</si>
  <si>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</si>
  <si>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</si>
  <si>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</si>
  <si>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</si>
  <si>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</si>
  <si>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</si>
  <si>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</si>
  <si>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</si>
  <si>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</si>
  <si>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</si>
  <si>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</si>
  <si>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</si>
  <si>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</si>
  <si>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</si>
  <si>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</si>
  <si>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</si>
  <si>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</si>
  <si>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</si>
  <si>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</si>
  <si>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</si>
  <si>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</si>
  <si>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</si>
  <si>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</si>
  <si>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</si>
  <si>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</si>
  <si>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</si>
  <si>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</si>
  <si>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</si>
  <si>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</si>
  <si>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</si>
  <si>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</si>
  <si>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</si>
  <si>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</si>
  <si>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</si>
  <si>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</si>
  <si>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</si>
  <si>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</si>
  <si>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</si>
  <si>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</si>
  <si>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</si>
  <si>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</si>
  <si>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</si>
  <si>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</si>
  <si>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</si>
  <si>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</si>
  <si>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</si>
  <si>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</si>
  <si>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</si>
  <si>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</si>
  <si>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</si>
  <si>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</si>
  <si>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</si>
  <si>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</si>
  <si>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</si>
  <si>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</si>
  <si>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</si>
  <si>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</si>
  <si>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</si>
  <si>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</si>
  <si>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</si>
  <si>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</si>
  <si>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</si>
  <si>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</si>
  <si>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</si>
  <si>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</si>
  <si>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</si>
  <si>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</si>
  <si>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</si>
  <si>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</si>
  <si>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</si>
  <si>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</si>
  <si>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</si>
  <si>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</si>
  <si>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</si>
  <si>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</si>
  <si>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</si>
  <si>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</si>
  <si>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</si>
  <si>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</si>
  <si>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</si>
  <si>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</si>
  <si>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</si>
  <si>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</si>
  <si>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</si>
  <si>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</si>
  <si>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</si>
  <si>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</si>
  <si>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</si>
  <si>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</si>
  <si>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</si>
  <si>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</si>
  <si>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</si>
  <si>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</si>
  <si>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</si>
  <si>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</si>
  <si>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</si>
  <si>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</si>
  <si>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</si>
  <si>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</si>
  <si>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</si>
  <si>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</si>
  <si>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</si>
  <si>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</si>
  <si>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</si>
  <si>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</si>
  <si>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</si>
  <si>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</si>
  <si>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</si>
  <si>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</si>
  <si>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</si>
  <si>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</si>
  <si>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</si>
  <si>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</si>
  <si>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</si>
  <si>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</si>
  <si>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</si>
  <si>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</si>
  <si>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</si>
  <si>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</si>
  <si>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</si>
  <si>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</si>
  <si>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</si>
  <si>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</si>
  <si>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</si>
  <si>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</si>
  <si>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</si>
  <si>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</si>
  <si>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</si>
  <si>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</si>
  <si>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</si>
  <si>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</si>
  <si>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</si>
  <si>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</si>
  <si>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</si>
  <si>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</si>
  <si>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</si>
  <si>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</si>
  <si>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</si>
  <si>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</si>
  <si>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</si>
  <si>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</si>
  <si>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</si>
  <si>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</si>
  <si>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</si>
  <si>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</si>
  <si>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</si>
  <si>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</si>
  <si>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</si>
  <si>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</si>
  <si>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</si>
  <si>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</si>
  <si>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</si>
  <si>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</si>
  <si>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</si>
  <si>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</si>
  <si>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</si>
  <si>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</si>
  <si>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</si>
  <si>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</si>
  <si>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</si>
  <si>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</si>
  <si>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</si>
  <si>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</si>
  <si>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</si>
  <si>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</si>
  <si>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</si>
  <si>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</si>
  <si>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</si>
  <si>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</si>
  <si>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</si>
  <si>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</si>
  <si>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</si>
  <si>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</si>
  <si>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</si>
  <si>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</si>
  <si>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</si>
  <si>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</si>
  <si>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</si>
  <si>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</si>
  <si>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</si>
  <si>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</si>
  <si>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</si>
  <si>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</si>
  <si>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</si>
  <si>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</si>
  <si>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</si>
  <si>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</si>
  <si>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</si>
  <si>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</si>
  <si>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</si>
  <si>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</si>
  <si>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</si>
  <si>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</si>
  <si>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</si>
  <si>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</si>
  <si>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</si>
  <si>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</si>
  <si>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</si>
  <si>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</si>
  <si>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</si>
  <si>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</si>
  <si>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</si>
  <si>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</si>
  <si>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</si>
  <si>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</si>
  <si>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</si>
  <si>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</si>
  <si>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</si>
  <si>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</si>
  <si>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</si>
  <si>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</si>
  <si>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</si>
  <si>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</si>
  <si>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</si>
  <si>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</si>
  <si>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</si>
  <si>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</si>
  <si>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</si>
  <si>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</si>
  <si>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</si>
  <si>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</si>
  <si>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</si>
  <si>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</si>
  <si>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</si>
  <si>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</si>
  <si>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</si>
  <si>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</si>
  <si>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</si>
  <si>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</si>
  <si>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</si>
  <si>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</si>
  <si>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</si>
  <si>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</si>
  <si>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</si>
  <si>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</si>
  <si>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</si>
  <si>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</si>
  <si>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</si>
  <si>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</si>
  <si>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</si>
  <si>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</si>
  <si>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</si>
  <si>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</si>
  <si>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</si>
  <si>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</si>
  <si>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</si>
  <si>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</si>
  <si>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</si>
  <si>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</si>
  <si>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</si>
  <si>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</si>
  <si>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</si>
  <si>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</si>
  <si>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</si>
  <si>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</si>
  <si>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</si>
  <si>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</si>
  <si>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</si>
  <si>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</si>
  <si>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</si>
  <si>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</si>
  <si>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</si>
  <si>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</si>
  <si>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</si>
  <si>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</si>
  <si>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</si>
  <si>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</si>
  <si>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</si>
  <si>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</si>
  <si>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</si>
  <si>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</si>
  <si>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</si>
  <si>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</si>
  <si>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</si>
  <si>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</si>
  <si>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</si>
  <si>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</si>
  <si>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</si>
  <si>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</si>
  <si>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</si>
  <si>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</si>
  <si>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</si>
  <si>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</si>
  <si>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</si>
  <si>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</si>
  <si>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</si>
  <si>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</si>
  <si>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</si>
  <si>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</si>
  <si>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</si>
  <si>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</si>
  <si>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</si>
  <si>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</si>
  <si>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</si>
  <si>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</si>
  <si>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</si>
  <si>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</si>
  <si>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</si>
  <si>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</si>
  <si>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</si>
  <si>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</si>
  <si>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</si>
  <si>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</si>
  <si>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</si>
  <si>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</si>
  <si>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</si>
  <si>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</si>
  <si>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</si>
  <si>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</si>
  <si>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</si>
  <si>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</si>
  <si>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</si>
  <si>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</si>
  <si>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</si>
  <si>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</si>
  <si>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</si>
  <si>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</si>
  <si>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</si>
  <si>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</si>
  <si>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</si>
  <si>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</si>
  <si>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</si>
  <si>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</si>
  <si>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</si>
  <si>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</si>
  <si>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</si>
  <si>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</si>
  <si>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</si>
  <si>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</si>
  <si>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</si>
  <si>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</si>
  <si>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</si>
  <si>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</si>
  <si>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</si>
  <si>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</si>
  <si>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</si>
  <si>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</si>
  <si>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</si>
  <si>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</si>
  <si>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</si>
  <si>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</si>
  <si>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</si>
  <si>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</si>
  <si>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</si>
  <si>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</si>
  <si>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</si>
  <si>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</si>
  <si>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</si>
  <si>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</si>
  <si>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</si>
  <si>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</si>
  <si>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</si>
  <si>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</si>
  <si>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</si>
  <si>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</si>
  <si>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</si>
  <si>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</si>
  <si>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</si>
  <si>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</si>
  <si>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</si>
  <si>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</si>
  <si>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</si>
  <si>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</si>
  <si>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</si>
  <si>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</si>
  <si>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</si>
  <si>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</si>
  <si>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</si>
  <si>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</si>
  <si>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</si>
  <si>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</si>
  <si>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</si>
  <si>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</si>
  <si>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</si>
  <si>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</si>
  <si>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</si>
  <si>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</si>
  <si>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</si>
  <si>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</si>
  <si>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</si>
  <si>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</si>
  <si>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</si>
  <si>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</si>
  <si>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</si>
  <si>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</si>
  <si>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</si>
  <si>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</si>
  <si>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</si>
  <si>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</si>
  <si>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</si>
  <si>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</si>
  <si>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</si>
  <si>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</si>
  <si>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</si>
  <si>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</si>
  <si>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</si>
  <si>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</si>
  <si>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</si>
  <si>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</si>
  <si>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</si>
  <si>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</si>
  <si>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</si>
  <si>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</si>
  <si>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</si>
  <si>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</si>
  <si>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</si>
  <si>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</si>
  <si>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</si>
  <si>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</si>
  <si>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</si>
  <si>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</si>
  <si>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</si>
  <si>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</si>
  <si>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</si>
  <si>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</si>
  <si>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</si>
  <si>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</si>
  <si>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</si>
  <si>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</si>
  <si>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</si>
  <si>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</si>
  <si>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</si>
  <si>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</si>
  <si>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</si>
  <si>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</si>
  <si>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</si>
  <si>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</si>
  <si>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</si>
  <si>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</si>
  <si>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</si>
  <si>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</si>
  <si>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</si>
  <si>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</si>
  <si>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</si>
  <si>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</si>
  <si>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</si>
  <si>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</si>
  <si>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</si>
  <si>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</si>
  <si>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</si>
  <si>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</si>
  <si>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</si>
  <si>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</si>
  <si>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</si>
  <si>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</si>
  <si>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</si>
  <si>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</si>
  <si>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</si>
  <si>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</si>
  <si>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</si>
  <si>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</si>
  <si>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</si>
  <si>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</si>
  <si>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</si>
  <si>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</si>
  <si>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</si>
  <si>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</si>
  <si>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</si>
  <si>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</si>
  <si>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</si>
  <si>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</si>
  <si>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</si>
  <si>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</si>
  <si>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</si>
  <si>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</si>
  <si>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</si>
  <si>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</si>
  <si>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</si>
  <si>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</si>
  <si>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</si>
  <si>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</si>
  <si>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</si>
  <si>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</si>
  <si>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</si>
  <si>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</si>
  <si>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</si>
  <si>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</si>
  <si>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</si>
  <si>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</si>
  <si>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</si>
  <si>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</si>
  <si>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</si>
  <si>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</si>
  <si>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</si>
  <si>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</si>
  <si>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</si>
  <si>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</si>
  <si>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</si>
  <si>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</si>
  <si>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</si>
  <si>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</si>
  <si>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</si>
  <si>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</si>
  <si>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</si>
  <si>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</si>
  <si>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</si>
  <si>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</si>
  <si>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</si>
  <si>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</si>
  <si>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</si>
  <si>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</si>
  <si>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</si>
  <si>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</si>
  <si>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</si>
  <si>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</si>
  <si>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</si>
  <si>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</si>
  <si>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</si>
  <si>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</si>
  <si>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</si>
  <si>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</si>
  <si>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</si>
  <si>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</si>
  <si>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</si>
  <si>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</si>
  <si>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</si>
  <si>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</si>
  <si>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</si>
  <si>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</si>
  <si>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</si>
  <si>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</si>
  <si>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</si>
  <si>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</si>
  <si>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</si>
  <si>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</si>
  <si>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</si>
  <si>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</si>
  <si>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</si>
  <si>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</si>
  <si>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</si>
  <si>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</si>
  <si>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</si>
  <si>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</si>
  <si>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</si>
  <si>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</si>
  <si>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</si>
  <si>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</si>
  <si>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</si>
  <si>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</si>
  <si>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</si>
  <si>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</si>
  <si>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</si>
  <si>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</si>
  <si>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</si>
  <si>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</si>
  <si>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</si>
  <si>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</si>
  <si>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</si>
  <si>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</si>
  <si>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</si>
  <si>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</si>
  <si>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</si>
  <si>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</si>
  <si>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</si>
  <si>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</si>
  <si>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</si>
  <si>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</si>
  <si>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</si>
  <si>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</si>
  <si>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</si>
  <si>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</si>
  <si>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</si>
  <si>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</si>
  <si>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</si>
  <si>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</si>
  <si>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</si>
  <si>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</si>
  <si>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</si>
  <si>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</si>
  <si>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</si>
  <si>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</si>
  <si>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</si>
  <si>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</si>
  <si>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</si>
  <si>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</si>
  <si>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</si>
  <si>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</si>
  <si>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</si>
  <si>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</si>
  <si>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</si>
  <si>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</si>
  <si>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</si>
  <si>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</si>
  <si>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</si>
  <si>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</si>
  <si>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</si>
  <si>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</si>
  <si>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</si>
  <si>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</si>
  <si>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</si>
  <si>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</si>
  <si>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</si>
  <si>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</si>
  <si>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</si>
  <si>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</si>
  <si>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</si>
  <si>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</si>
  <si>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</si>
  <si>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</si>
  <si>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</si>
  <si>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</si>
  <si>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</si>
  <si>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</si>
  <si>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</si>
  <si>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</si>
  <si>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</si>
  <si>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</si>
  <si>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</si>
  <si>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</si>
  <si>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</si>
  <si>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</si>
  <si>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</si>
  <si>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</si>
  <si>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</si>
  <si>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</si>
  <si>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</si>
  <si>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</si>
  <si>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</si>
  <si>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</si>
  <si>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</si>
  <si>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</si>
  <si>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</si>
  <si>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</si>
  <si>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</si>
  <si>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</si>
  <si>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</si>
  <si>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</si>
  <si>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</si>
  <si>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</si>
  <si>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</si>
  <si>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</si>
  <si>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</si>
  <si>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</si>
  <si>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</si>
  <si>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</si>
  <si>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</si>
  <si>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</si>
  <si>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</si>
  <si>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</si>
  <si>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</si>
  <si>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</si>
  <si>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</si>
  <si>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</si>
  <si>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</si>
  <si>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</si>
  <si>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</si>
  <si>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</si>
  <si>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</si>
  <si>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</si>
  <si>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</si>
  <si>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</si>
  <si>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</si>
  <si>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</si>
  <si>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</si>
  <si>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</si>
  <si>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</si>
  <si>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</si>
  <si>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</si>
  <si>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</si>
  <si>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</si>
  <si>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</si>
  <si>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</si>
  <si>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</si>
  <si>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</si>
  <si>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</si>
  <si>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</si>
  <si>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</si>
  <si>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</si>
  <si>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</si>
  <si>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</si>
  <si>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</si>
  <si>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</si>
  <si>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</si>
  <si>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</si>
  <si>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</si>
  <si>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</si>
  <si>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</si>
  <si>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</si>
  <si>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</si>
  <si>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</si>
  <si>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</si>
  <si>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</si>
  <si>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</si>
  <si>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</si>
  <si>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</si>
  <si>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</si>
  <si>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</si>
  <si>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</si>
  <si>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</si>
  <si>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</si>
  <si>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</si>
  <si>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</si>
  <si>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</si>
  <si>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</si>
  <si>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</si>
  <si>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</si>
  <si>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</si>
  <si>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</si>
  <si>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</si>
  <si>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</si>
  <si>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</si>
  <si>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</si>
  <si>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</si>
  <si>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</si>
  <si>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</si>
  <si>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</si>
  <si>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</si>
  <si>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</si>
  <si>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</si>
  <si>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</si>
  <si>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</si>
  <si>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</si>
  <si>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</si>
  <si>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</si>
  <si>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</si>
  <si>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</si>
  <si>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</si>
  <si>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</si>
  <si>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</si>
  <si>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</si>
  <si>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</si>
  <si>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</si>
  <si>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</si>
  <si>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</si>
  <si>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</si>
  <si>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</si>
  <si>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</si>
  <si>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</si>
  <si>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</si>
  <si>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</si>
  <si>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</si>
  <si>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</si>
  <si>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</si>
  <si>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</si>
  <si>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</si>
  <si>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</si>
  <si>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</si>
  <si>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</si>
  <si>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</si>
  <si>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</si>
  <si>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</si>
  <si>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</si>
  <si>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</si>
  <si>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</si>
  <si>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</si>
  <si>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</si>
  <si>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</si>
  <si>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</si>
  <si>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</si>
  <si>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</si>
  <si>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</si>
  <si>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</si>
  <si>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</si>
  <si>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</si>
  <si>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</si>
  <si>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</si>
  <si>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</si>
  <si>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</si>
  <si>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</si>
  <si>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</si>
  <si>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</si>
  <si>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</si>
  <si>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</si>
  <si>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</si>
  <si>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</si>
  <si>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</si>
  <si>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</si>
  <si>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</si>
  <si>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</si>
  <si>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</si>
  <si>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</si>
  <si>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</si>
  <si>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</si>
  <si>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</si>
  <si>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</si>
  <si>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</si>
  <si>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</si>
  <si>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</si>
  <si>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</si>
  <si>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</si>
  <si>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</si>
  <si>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</si>
  <si>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</si>
  <si>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</si>
  <si>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</si>
  <si>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</si>
  <si>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</si>
  <si>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</si>
  <si>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</si>
  <si>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</si>
  <si>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</si>
  <si>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</si>
  <si>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</si>
  <si>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</si>
  <si>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</si>
  <si>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</si>
  <si>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</si>
  <si>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</si>
  <si>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</si>
  <si>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</si>
  <si>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</si>
  <si>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</si>
  <si>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</si>
  <si>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</si>
  <si>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</si>
  <si>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</si>
  <si>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</si>
  <si>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</si>
  <si>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</si>
  <si>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</si>
  <si>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</si>
  <si>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</si>
  <si>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</si>
  <si>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</si>
  <si>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</si>
  <si>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</si>
  <si>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</si>
  <si>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</si>
  <si>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</si>
  <si>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</si>
  <si>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</si>
  <si>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</si>
  <si>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</si>
  <si>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</si>
  <si>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</si>
  <si>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</si>
  <si>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</si>
  <si>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</si>
  <si>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</si>
  <si>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</si>
  <si>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</si>
  <si>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</si>
  <si>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</si>
  <si>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</si>
  <si>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</si>
  <si>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</si>
  <si>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</si>
  <si>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</si>
  <si>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</si>
  <si>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</si>
  <si>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</si>
  <si>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</si>
  <si>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</si>
  <si>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</si>
  <si>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</si>
  <si>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</si>
  <si>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</si>
  <si>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</si>
  <si>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</si>
  <si>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</si>
  <si>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</si>
  <si>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</si>
  <si>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</si>
  <si>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</si>
  <si>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</si>
  <si>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</si>
  <si>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</si>
  <si>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</si>
  <si>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</si>
  <si>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</si>
  <si>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</si>
  <si>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</si>
  <si>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</si>
  <si>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</si>
  <si>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</si>
  <si>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</si>
  <si>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</si>
  <si>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</si>
  <si>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</si>
  <si>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</si>
  <si>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</si>
  <si>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</si>
  <si>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</si>
  <si>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</si>
  <si>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</si>
  <si>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</si>
  <si>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</si>
  <si>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</si>
  <si>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</si>
  <si>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</si>
  <si>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</si>
  <si>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</si>
  <si>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</si>
  <si>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</si>
  <si>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</si>
  <si>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</si>
  <si>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</si>
  <si>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</si>
  <si>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</si>
  <si>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</si>
  <si>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</si>
  <si>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</si>
  <si>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</si>
  <si>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</si>
  <si>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</si>
  <si>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</si>
  <si>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</si>
  <si>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</si>
  <si>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</si>
  <si>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</si>
  <si>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</si>
  <si>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</si>
  <si>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</si>
  <si>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</si>
  <si>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</si>
  <si>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</si>
  <si>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</si>
  <si>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</si>
  <si>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</si>
  <si>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</si>
  <si>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</si>
  <si>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</si>
  <si>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</si>
  <si>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</si>
  <si>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</si>
  <si>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</si>
  <si>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</si>
  <si>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</si>
  <si>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</si>
  <si>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</si>
  <si>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</si>
  <si>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</si>
  <si>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</si>
  <si>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</si>
  <si>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</si>
  <si>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</si>
  <si>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</si>
  <si>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</si>
  <si>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</si>
  <si>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</si>
  <si>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</si>
  <si>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</si>
  <si>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</si>
  <si>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</si>
  <si>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</si>
  <si>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</si>
  <si>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</si>
  <si>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</si>
  <si>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</si>
  <si>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</si>
  <si>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</si>
  <si>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</si>
  <si>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</si>
  <si>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</si>
  <si>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</si>
  <si>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</si>
  <si>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</si>
  <si>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</si>
  <si>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</si>
  <si>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</si>
  <si>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</si>
  <si>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</si>
  <si>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</si>
  <si>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</si>
  <si>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</si>
  <si>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</si>
  <si>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</si>
  <si>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</si>
  <si>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</si>
  <si>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</si>
  <si>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</si>
  <si>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</si>
  <si>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</si>
  <si>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</si>
  <si>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</si>
  <si>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</si>
  <si>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</si>
  <si>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</si>
  <si>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</si>
  <si>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</si>
  <si>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</si>
  <si>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</si>
  <si>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</si>
  <si>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</si>
  <si>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</si>
  <si>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</si>
  <si>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</si>
  <si>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</si>
  <si>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</si>
  <si>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</si>
  <si>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</si>
  <si>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</si>
  <si>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</si>
  <si>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</si>
  <si>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</si>
  <si>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</si>
  <si>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</si>
  <si>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</si>
  <si>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</si>
  <si>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</si>
  <si>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</si>
  <si>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</si>
  <si>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</si>
  <si>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</si>
  <si>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</si>
  <si>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</si>
  <si>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</si>
  <si>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</si>
  <si>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</si>
  <si>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</si>
  <si>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</si>
  <si>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</si>
  <si>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</si>
  <si>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</si>
  <si>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</si>
  <si>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</si>
  <si>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</si>
  <si>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</si>
  <si>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</si>
  <si>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</si>
  <si>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</si>
  <si>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</si>
  <si>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</si>
  <si>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</si>
  <si>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</si>
  <si>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</si>
  <si>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</si>
  <si>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</si>
  <si>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</si>
  <si>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</si>
  <si>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</si>
  <si>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</si>
  <si>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</si>
  <si>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</si>
  <si>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</si>
  <si>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</si>
  <si>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</si>
  <si>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</si>
  <si>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</si>
  <si>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</si>
  <si>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</si>
  <si>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</si>
  <si>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</si>
  <si>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</si>
  <si>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</si>
  <si>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</si>
  <si>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</si>
  <si>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</si>
  <si>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</si>
  <si>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</si>
  <si>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</si>
  <si>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</si>
  <si>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</si>
  <si>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</si>
  <si>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</si>
  <si>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</si>
  <si>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</si>
  <si>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</si>
  <si>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</si>
  <si>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</si>
  <si>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</si>
  <si>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</si>
  <si>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</si>
  <si>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</si>
  <si>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</si>
  <si>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</si>
  <si>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</si>
  <si>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</si>
  <si>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</si>
  <si>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</si>
  <si>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</si>
  <si>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</si>
  <si>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</si>
  <si>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</si>
  <si>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</si>
  <si>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</si>
  <si>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</si>
  <si>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</si>
  <si>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</si>
  <si>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</si>
  <si>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</si>
  <si>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</si>
  <si>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</si>
  <si>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</si>
  <si>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</si>
  <si>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</si>
  <si>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</si>
  <si>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</si>
  <si>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</si>
  <si>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</si>
  <si>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</si>
  <si>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</si>
  <si>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</si>
  <si>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</si>
  <si>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</si>
  <si>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</si>
  <si>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</si>
  <si>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</si>
  <si>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</si>
  <si>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</si>
  <si>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</si>
  <si>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</si>
  <si>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</si>
  <si>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</si>
  <si>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</si>
  <si>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</si>
  <si>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</si>
  <si>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</si>
  <si>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</si>
  <si>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</si>
  <si>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</si>
  <si>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</si>
  <si>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</si>
  <si>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</si>
  <si>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</si>
  <si>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</si>
  <si>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</si>
  <si>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</si>
  <si>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</si>
  <si>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</si>
  <si>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</si>
  <si>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</si>
  <si>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</si>
  <si>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</si>
  <si>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</si>
  <si>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</si>
  <si>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</si>
  <si>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</si>
  <si>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</si>
  <si>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</si>
  <si>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</si>
  <si>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</si>
  <si>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</si>
  <si>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</si>
  <si>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</si>
  <si>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</si>
  <si>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</si>
  <si>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</si>
  <si>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</si>
  <si>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</si>
  <si>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</si>
  <si>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</si>
  <si>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</si>
  <si>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</si>
  <si>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</si>
  <si>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</si>
  <si>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</si>
  <si>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</si>
  <si>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</si>
  <si>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</si>
  <si>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</si>
  <si>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</si>
  <si>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</si>
  <si>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</si>
  <si>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</si>
  <si>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</si>
  <si>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</si>
  <si>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</si>
  <si>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</si>
  <si>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</si>
  <si>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</si>
  <si>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</si>
  <si>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</si>
  <si>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</si>
  <si>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</si>
  <si>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</si>
  <si>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</si>
  <si>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</si>
  <si>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</si>
  <si>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</si>
  <si>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</si>
  <si>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</si>
  <si>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</si>
  <si>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</si>
  <si>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</si>
  <si>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</si>
  <si>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</si>
  <si>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</si>
  <si>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</si>
  <si>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</si>
  <si>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</si>
  <si>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</si>
  <si>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</si>
  <si>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</si>
  <si>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</si>
  <si>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</si>
  <si>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</si>
  <si>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</si>
  <si>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</si>
  <si>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</si>
  <si>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</si>
  <si>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</si>
  <si>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</si>
  <si>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</si>
  <si>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</si>
  <si>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</si>
  <si>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</si>
  <si>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</si>
  <si>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</si>
  <si>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</si>
  <si>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</si>
  <si>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</si>
  <si>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</si>
  <si>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</si>
  <si>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</si>
  <si>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</si>
  <si>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</si>
  <si>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</si>
  <si>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</si>
  <si>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</si>
  <si>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</si>
  <si>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</si>
  <si>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</si>
  <si>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</si>
  <si>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</si>
  <si>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</si>
  <si>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</si>
  <si>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</si>
  <si>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</si>
  <si>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</si>
  <si>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</si>
  <si>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</si>
  <si>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</si>
  <si>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</si>
  <si>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</si>
  <si>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</si>
  <si>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</si>
  <si>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</si>
  <si>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</si>
  <si>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</si>
  <si>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</si>
  <si>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</si>
  <si>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</si>
  <si>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</si>
  <si>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</si>
  <si>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</si>
  <si>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</si>
  <si>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</si>
  <si>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</si>
  <si>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</si>
  <si>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</si>
  <si>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</si>
  <si>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</si>
  <si>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</si>
  <si>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</si>
  <si>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</si>
  <si>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</si>
  <si>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</si>
  <si>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</si>
  <si>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</si>
  <si>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</si>
  <si>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</si>
  <si>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</si>
  <si>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</si>
  <si>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</si>
  <si>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</si>
  <si>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</si>
  <si>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</si>
  <si>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</si>
  <si>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</si>
  <si>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</si>
  <si>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</si>
  <si>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</si>
  <si>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</si>
  <si>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</si>
  <si>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</si>
  <si>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</si>
  <si>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</si>
  <si>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</si>
  <si>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</si>
  <si>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</si>
  <si>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</si>
  <si>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</si>
  <si>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</si>
  <si>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</si>
  <si>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</si>
  <si>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</si>
  <si>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</si>
  <si>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</si>
  <si>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</si>
  <si>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</si>
  <si>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</si>
  <si>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</si>
  <si>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</si>
  <si>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</si>
  <si>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</si>
  <si>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</si>
  <si>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</si>
  <si>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</si>
  <si>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</si>
  <si>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</si>
  <si>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</si>
  <si>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</si>
  <si>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</si>
  <si>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</si>
  <si>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</si>
  <si>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</si>
  <si>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</si>
  <si>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</si>
  <si>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</si>
  <si>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</si>
  <si>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</si>
  <si>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</si>
  <si>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</si>
  <si>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</si>
  <si>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</si>
  <si>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</si>
  <si>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</si>
  <si>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</si>
  <si>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</si>
  <si>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</si>
  <si>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</si>
  <si>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</si>
  <si>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</si>
  <si>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</si>
  <si>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</si>
  <si>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</si>
  <si>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</si>
  <si>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</si>
  <si>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</si>
  <si>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</si>
  <si>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</si>
  <si>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</si>
  <si>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</si>
  <si>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</si>
  <si>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</si>
  <si>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</si>
  <si>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</si>
  <si>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</si>
  <si>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</si>
  <si>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</si>
  <si>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</si>
  <si>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</si>
  <si>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</si>
  <si>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</si>
  <si>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</si>
  <si>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</si>
  <si>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</si>
  <si>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</si>
  <si>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</si>
  <si>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</si>
  <si>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</si>
  <si>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</si>
  <si>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</si>
  <si>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</si>
  <si>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</si>
  <si>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</si>
  <si>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</si>
  <si>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</si>
  <si>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</si>
  <si>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</si>
  <si>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</si>
  <si>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</si>
  <si>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</si>
  <si>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</si>
  <si>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</si>
  <si>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</si>
  <si>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</si>
  <si>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</si>
  <si>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</si>
  <si>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</si>
  <si>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</si>
  <si>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</si>
  <si>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</si>
  <si>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</si>
  <si>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</si>
  <si>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</si>
  <si>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</si>
  <si>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</si>
  <si>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</si>
  <si>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</si>
  <si>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</si>
  <si>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</si>
  <si>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</si>
  <si>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</si>
  <si>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</si>
  <si>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</si>
  <si>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</si>
  <si>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</si>
  <si>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</si>
  <si>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</si>
  <si>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</si>
  <si>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</si>
  <si>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</si>
  <si>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</si>
  <si>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</si>
  <si>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</si>
  <si>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</si>
  <si>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</si>
  <si>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</si>
  <si>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</si>
  <si>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</si>
  <si>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</si>
  <si>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</si>
  <si>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</si>
  <si>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</si>
  <si>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</si>
  <si>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</si>
  <si>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</si>
  <si>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</si>
  <si>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</si>
  <si>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</si>
  <si>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</si>
  <si>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</si>
  <si>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</si>
  <si>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</si>
  <si>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</si>
  <si>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</si>
  <si>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</si>
  <si>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</si>
  <si>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</si>
  <si>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</si>
  <si>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</si>
  <si>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</si>
  <si>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</si>
  <si>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</si>
  <si>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</si>
  <si>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</si>
  <si>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</si>
  <si>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</si>
  <si>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</si>
  <si>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</si>
  <si>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</si>
  <si>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</si>
  <si>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</si>
  <si>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</si>
  <si>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</si>
  <si>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</si>
  <si>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</si>
  <si>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</si>
  <si>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</si>
  <si>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</si>
  <si>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</si>
  <si>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</si>
  <si>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</si>
  <si>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</si>
  <si>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</si>
  <si>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</si>
  <si>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</si>
  <si>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</si>
  <si>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</si>
  <si>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</si>
  <si>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</si>
  <si>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</si>
  <si>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</si>
  <si>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</si>
  <si>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</si>
  <si>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</si>
  <si>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</si>
  <si>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</si>
  <si>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</si>
  <si>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</si>
  <si>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</si>
  <si>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</si>
  <si>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</si>
  <si>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</si>
  <si>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</si>
  <si>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</si>
  <si>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</si>
  <si>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</si>
  <si>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</si>
  <si>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</si>
  <si>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</si>
  <si>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</si>
  <si>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</si>
  <si>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</si>
  <si>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</si>
  <si>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</si>
  <si>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</si>
  <si>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</si>
  <si>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</si>
  <si>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</si>
  <si>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</si>
  <si>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</si>
  <si>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</si>
  <si>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</si>
  <si>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</si>
  <si>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</si>
  <si>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</si>
  <si>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</si>
  <si>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</si>
  <si>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</si>
  <si>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</si>
  <si>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</si>
  <si>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</si>
  <si>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</si>
  <si>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</si>
  <si>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</si>
  <si>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</si>
  <si>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</si>
  <si>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</si>
  <si>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</si>
  <si>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</si>
  <si>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</si>
  <si>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</si>
  <si>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</si>
  <si>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</si>
  <si>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</si>
  <si>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</si>
  <si>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</si>
  <si>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</si>
  <si>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</si>
  <si>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</si>
  <si>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</si>
  <si>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</si>
  <si>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</si>
  <si>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</si>
  <si>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</si>
  <si>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</si>
  <si>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</si>
  <si>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</si>
  <si>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</si>
  <si>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</si>
  <si>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</si>
  <si>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</si>
  <si>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</si>
  <si>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</si>
  <si>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</si>
  <si>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</si>
  <si>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</si>
  <si>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</si>
  <si>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</si>
  <si>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</si>
  <si>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</si>
  <si>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</si>
  <si>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</si>
  <si>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</si>
  <si>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</si>
  <si>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</si>
  <si>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</si>
  <si>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</si>
  <si>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</si>
  <si>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</si>
  <si>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</si>
  <si>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</si>
  <si>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</si>
  <si>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</si>
  <si>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</si>
  <si>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</si>
  <si>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</si>
  <si>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</si>
  <si>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</si>
  <si>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</si>
  <si>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</si>
  <si>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</si>
  <si>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</si>
  <si>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</si>
  <si>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</si>
  <si>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</si>
  <si>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</si>
  <si>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</si>
  <si>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</si>
  <si>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</si>
  <si>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</si>
  <si>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</si>
  <si>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</si>
  <si>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</si>
  <si>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</si>
  <si>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</si>
  <si>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</si>
  <si>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</si>
  <si>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</si>
  <si>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</si>
  <si>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</si>
  <si>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</si>
  <si>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</si>
  <si>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</si>
  <si>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</si>
  <si>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</si>
  <si>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</si>
  <si>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</si>
  <si>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</si>
  <si>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</si>
  <si>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</si>
  <si>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</si>
  <si>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</si>
  <si>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</si>
  <si>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</si>
  <si>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</si>
  <si>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</si>
  <si>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</si>
  <si>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</si>
  <si>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</si>
  <si>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</si>
  <si>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</si>
  <si>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</si>
  <si>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</si>
  <si>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</si>
  <si>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</si>
  <si>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</si>
  <si>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</si>
  <si>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</si>
  <si>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</si>
  <si>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</si>
  <si>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</si>
  <si>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</si>
  <si>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</si>
  <si>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</si>
  <si>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</si>
  <si>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</si>
  <si>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</si>
  <si>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</si>
  <si>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</si>
  <si>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</si>
  <si>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</si>
  <si>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</si>
  <si>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</si>
  <si>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</si>
  <si>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</si>
  <si>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</si>
  <si>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</si>
  <si>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</si>
  <si>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</si>
  <si>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</si>
  <si>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</si>
  <si>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</si>
  <si>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</si>
  <si>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</si>
  <si>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</si>
  <si>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</si>
  <si>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</si>
  <si>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</si>
  <si>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</si>
  <si>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</si>
  <si>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</si>
  <si>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</si>
  <si>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</si>
  <si>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</si>
  <si>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</si>
  <si>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</si>
  <si>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</si>
  <si>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</si>
  <si>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</si>
  <si>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</si>
  <si>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</si>
  <si>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</si>
  <si>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</si>
  <si>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</si>
  <si>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</si>
  <si>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</si>
  <si>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</si>
  <si>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</si>
  <si>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</si>
  <si>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</si>
  <si>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</si>
  <si>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</si>
  <si>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</si>
  <si>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</si>
  <si>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</si>
  <si>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</si>
  <si>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</si>
  <si>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</si>
  <si>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</si>
  <si>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</si>
  <si>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</si>
  <si>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</si>
  <si>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</si>
  <si>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</si>
  <si>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</si>
  <si>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</si>
  <si>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</si>
  <si>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</si>
  <si>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</si>
  <si>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</si>
  <si>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</si>
  <si>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</si>
  <si>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</si>
  <si>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</si>
  <si>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</si>
  <si>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</si>
  <si>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</si>
  <si>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</si>
  <si>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</si>
  <si>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</si>
  <si>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</si>
  <si>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</si>
  <si>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</si>
  <si>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</si>
  <si>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</si>
  <si>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</si>
  <si>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</si>
  <si>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</si>
  <si>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</si>
  <si>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</si>
  <si>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</si>
  <si>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</si>
  <si>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</si>
  <si>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</si>
  <si>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</si>
  <si>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</si>
  <si>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</si>
  <si>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</si>
  <si>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</si>
  <si>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</si>
  <si>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</si>
  <si>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</si>
  <si>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</si>
  <si>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</si>
  <si>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</si>
  <si>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</si>
  <si>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</si>
  <si>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</si>
  <si>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</si>
  <si>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</si>
  <si>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</si>
  <si>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</si>
  <si>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</si>
  <si>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</si>
  <si>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</si>
  <si>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</si>
  <si>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</si>
  <si>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</si>
  <si>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</si>
  <si>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</si>
  <si>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</si>
  <si>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</si>
  <si>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</si>
  <si>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</si>
  <si>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</si>
  <si>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</si>
  <si>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</si>
  <si>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</si>
  <si>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</si>
  <si>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</si>
  <si>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</si>
  <si>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</si>
  <si>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</si>
  <si>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</si>
  <si>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</si>
  <si>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</si>
  <si>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</si>
  <si>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</si>
  <si>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</si>
  <si>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</si>
  <si>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</si>
  <si>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</si>
  <si>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</si>
  <si>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</si>
  <si>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</si>
  <si>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</si>
  <si>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</si>
  <si>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</si>
  <si>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</si>
  <si>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</si>
  <si>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</si>
  <si>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</si>
  <si>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</si>
  <si>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</si>
  <si>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</si>
  <si>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</si>
  <si>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</si>
  <si>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</si>
  <si>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</si>
  <si>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</si>
  <si>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</si>
  <si>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</si>
  <si>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</si>
  <si>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</si>
  <si>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</si>
  <si>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</si>
  <si>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</si>
  <si>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</si>
  <si>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</si>
  <si>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</si>
  <si>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</si>
  <si>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</si>
  <si>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</si>
  <si>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</si>
  <si>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</si>
  <si>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</si>
  <si>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</si>
  <si>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</si>
  <si>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</si>
  <si>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</si>
  <si>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</si>
  <si>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</si>
  <si>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</si>
  <si>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</si>
  <si>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</si>
  <si>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</si>
  <si>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</si>
  <si>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</si>
  <si>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</si>
  <si>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</si>
  <si>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</si>
  <si>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</si>
  <si>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</si>
  <si>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</si>
  <si>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</si>
  <si>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</si>
  <si>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</si>
  <si>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</si>
  <si>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</si>
  <si>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</si>
  <si>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</si>
  <si>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</si>
  <si>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</si>
  <si>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</si>
  <si>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</si>
  <si>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</si>
  <si>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</si>
  <si>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</si>
  <si>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</si>
  <si>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</si>
  <si>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</si>
  <si>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</si>
  <si>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</si>
  <si>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</si>
  <si>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</si>
  <si>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</si>
  <si>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</si>
  <si>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</si>
  <si>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</si>
  <si>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</si>
  <si>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</si>
  <si>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</si>
  <si>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</si>
  <si>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</si>
  <si>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</si>
  <si>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</si>
  <si>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</si>
  <si>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</si>
  <si>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</si>
  <si>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</si>
  <si>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</si>
  <si>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</si>
  <si>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</si>
  <si>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</si>
  <si>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</si>
  <si>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</si>
  <si>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</si>
  <si>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</si>
  <si>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</si>
  <si>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</si>
  <si>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</si>
  <si>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</si>
  <si>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</si>
  <si>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</si>
  <si>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</si>
  <si>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</si>
  <si>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</si>
  <si>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</si>
  <si>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</si>
  <si>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</si>
  <si>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</si>
  <si>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</si>
  <si>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</si>
  <si>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</si>
  <si>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</si>
  <si>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</si>
  <si>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</si>
  <si>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</si>
  <si>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</si>
  <si>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</si>
  <si>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</si>
  <si>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</si>
  <si>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</si>
  <si>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</si>
  <si>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</si>
  <si>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</si>
  <si>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</si>
  <si>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</si>
  <si>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</si>
  <si>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</si>
  <si>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</si>
  <si>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</si>
  <si>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</si>
  <si>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</si>
  <si>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</si>
  <si>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</si>
  <si>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</si>
  <si>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</si>
  <si>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</si>
  <si>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</si>
  <si>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</si>
  <si>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</si>
  <si>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</si>
  <si>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</si>
  <si>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</si>
  <si>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</si>
  <si>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</si>
  <si>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</si>
  <si>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</si>
  <si>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</si>
  <si>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</si>
  <si>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</si>
  <si>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</si>
  <si>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</si>
  <si>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</si>
  <si>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</si>
  <si>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</si>
  <si>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</si>
  <si>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</si>
  <si>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</si>
  <si>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</si>
  <si>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</si>
  <si>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</si>
  <si>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</si>
  <si>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</si>
  <si>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</si>
  <si>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</si>
  <si>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</si>
  <si>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</si>
  <si>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</si>
  <si>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</si>
  <si>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</si>
  <si>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</si>
  <si>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</si>
  <si>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</si>
  <si>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</si>
  <si>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</si>
  <si>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</si>
  <si>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</si>
  <si>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</si>
  <si>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</si>
  <si>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</si>
  <si>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</si>
  <si>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</si>
  <si>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</si>
  <si>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</si>
  <si>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</si>
  <si>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</si>
  <si>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</si>
  <si>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</si>
  <si>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</si>
  <si>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</si>
  <si>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</si>
  <si>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</si>
  <si>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</si>
  <si>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</si>
  <si>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</si>
  <si>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</si>
  <si>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</si>
  <si>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</si>
  <si>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</si>
  <si>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</si>
  <si>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</si>
  <si>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</si>
  <si>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</si>
  <si>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</si>
  <si>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</si>
  <si>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</si>
  <si>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</si>
  <si>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</si>
  <si>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</si>
  <si>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</si>
  <si>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</si>
  <si>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</si>
  <si>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</si>
  <si>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</si>
  <si>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</si>
  <si>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</si>
  <si>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</si>
  <si>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</si>
  <si>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</si>
  <si>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</si>
  <si>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</si>
  <si>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</si>
  <si>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</si>
  <si>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</si>
  <si>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</si>
  <si>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</si>
  <si>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</si>
  <si>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</si>
  <si>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</si>
  <si>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</si>
  <si>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</si>
  <si>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</si>
  <si>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</si>
  <si>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</si>
  <si>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</si>
  <si>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</si>
  <si>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</si>
  <si>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</si>
  <si>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</si>
  <si>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</si>
  <si>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</si>
  <si>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</si>
  <si>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</si>
  <si>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</si>
  <si>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</si>
  <si>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</si>
  <si>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</si>
  <si>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</si>
  <si>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</si>
  <si>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</si>
  <si>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</si>
  <si>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</si>
  <si>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</si>
  <si>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</si>
  <si>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</si>
  <si>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</si>
  <si>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</si>
  <si>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</si>
  <si>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</si>
  <si>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</si>
  <si>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</si>
  <si>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</si>
  <si>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</si>
  <si>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</si>
  <si>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</si>
  <si>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</si>
  <si>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</si>
  <si>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</si>
  <si>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</si>
  <si>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</si>
  <si>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</si>
  <si>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</si>
  <si>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</si>
  <si>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</si>
  <si>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</si>
  <si>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</si>
  <si>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</si>
  <si>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</si>
  <si>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</si>
  <si>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</si>
  <si>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</si>
  <si>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</si>
  <si>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</si>
  <si>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</si>
  <si>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</si>
  <si>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</si>
  <si>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</si>
  <si>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</si>
  <si>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</si>
  <si>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</si>
  <si>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</si>
  <si>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</si>
  <si>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</si>
  <si>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</si>
  <si>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</si>
  <si>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</si>
  <si>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</si>
  <si>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</si>
  <si>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</si>
  <si>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</si>
  <si>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</si>
  <si>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</si>
  <si>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</si>
  <si>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</si>
  <si>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</si>
  <si>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</si>
  <si>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</si>
  <si>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</si>
  <si>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</si>
  <si>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</si>
  <si>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</si>
  <si>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</si>
  <si>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</si>
  <si>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</si>
  <si>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</si>
  <si>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</si>
  <si>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</si>
  <si>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</si>
  <si>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</si>
  <si>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</si>
  <si>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</si>
  <si>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</si>
  <si>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</si>
  <si>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</si>
  <si>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</si>
  <si>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</si>
  <si>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</si>
  <si>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</si>
  <si>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</si>
  <si>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</si>
  <si>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</si>
  <si>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</si>
  <si>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</si>
  <si>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</si>
  <si>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</si>
  <si>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</si>
  <si>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</si>
  <si>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</si>
  <si>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</si>
  <si>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</si>
  <si>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</si>
  <si>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</si>
  <si>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</si>
  <si>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</si>
  <si>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</si>
  <si>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</si>
  <si>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</si>
  <si>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</si>
  <si>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</si>
  <si>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</si>
  <si>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</si>
  <si>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</si>
  <si>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</si>
  <si>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</si>
  <si>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</si>
  <si>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</si>
  <si>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</si>
  <si>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</si>
  <si>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</si>
  <si>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</si>
  <si>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</si>
  <si>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</si>
  <si>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</si>
  <si>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</si>
  <si>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</si>
  <si>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</si>
  <si>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</si>
  <si>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</si>
  <si>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</si>
  <si>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</si>
  <si>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</si>
  <si>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</si>
  <si>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</si>
  <si>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</si>
  <si>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</si>
  <si>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</si>
  <si>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</si>
  <si>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</si>
  <si>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</si>
  <si>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</si>
  <si>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</si>
  <si>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</si>
  <si>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</si>
  <si>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</si>
  <si>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</si>
  <si>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</si>
  <si>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</si>
  <si>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</si>
  <si>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</si>
  <si>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</si>
  <si>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</si>
  <si>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</si>
  <si>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</si>
  <si>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</si>
  <si>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</si>
  <si>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</si>
  <si>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</si>
  <si>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</si>
  <si>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</si>
  <si>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</si>
  <si>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</si>
  <si>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</si>
  <si>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</si>
  <si>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</si>
  <si>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</si>
  <si>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</si>
  <si>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</si>
  <si>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</si>
  <si>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</si>
  <si>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</si>
  <si>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</si>
  <si>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</si>
  <si>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</si>
  <si>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</si>
  <si>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</si>
  <si>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</si>
  <si>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</si>
  <si>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</si>
  <si>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</si>
  <si>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</si>
  <si>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</si>
  <si>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</si>
  <si>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</si>
  <si>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</si>
  <si>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</si>
  <si>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</si>
  <si>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</si>
  <si>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</si>
  <si>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</si>
  <si>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</si>
  <si>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</si>
  <si>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</si>
  <si>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</si>
  <si>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</si>
  <si>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</si>
  <si>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</si>
  <si>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</si>
  <si>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</si>
  <si>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</si>
  <si>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</si>
  <si>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</si>
  <si>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</si>
  <si>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</si>
  <si>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</si>
  <si>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</si>
  <si>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</si>
  <si>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</si>
  <si>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</si>
  <si>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</si>
  <si>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</si>
  <si>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</si>
  <si>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</si>
  <si>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</si>
  <si>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</si>
  <si>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</si>
  <si>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</si>
  <si>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</si>
  <si>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</si>
  <si>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</si>
  <si>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</si>
  <si>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</si>
  <si>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</si>
  <si>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</si>
  <si>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</si>
  <si>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</si>
  <si>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</si>
  <si>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</si>
  <si>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</si>
  <si>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</si>
  <si>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</si>
  <si>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</si>
  <si>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</si>
  <si>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</si>
  <si>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</si>
  <si>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</si>
  <si>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</si>
  <si>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</si>
  <si>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</si>
  <si>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</si>
  <si>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</si>
  <si>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</si>
  <si>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</si>
  <si>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</si>
  <si>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</si>
  <si>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</si>
  <si>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</si>
  <si>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</si>
  <si>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</si>
  <si>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</si>
  <si>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</si>
  <si>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</si>
  <si>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</si>
  <si>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</si>
  <si>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</si>
  <si>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</si>
  <si>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</si>
  <si>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</si>
  <si>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</si>
  <si>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</si>
  <si>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</si>
  <si>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</si>
  <si>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</si>
  <si>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</si>
  <si>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</si>
  <si>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</si>
  <si>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</si>
  <si>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</si>
  <si>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</si>
  <si>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</si>
  <si>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</si>
  <si>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</si>
  <si>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</si>
  <si>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</si>
  <si>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</si>
  <si>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</si>
  <si>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</si>
  <si>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</si>
  <si>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</si>
  <si>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</si>
  <si>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</si>
  <si>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</si>
  <si>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</si>
  <si>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</si>
  <si>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</si>
  <si>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</si>
  <si>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</si>
  <si>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</si>
  <si>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</si>
  <si>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</si>
  <si>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</si>
  <si>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</si>
  <si>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</si>
  <si>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</si>
  <si>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</si>
  <si>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</si>
  <si>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</si>
  <si>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</si>
  <si>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</si>
  <si>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</si>
  <si>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</si>
  <si>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</si>
  <si>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</si>
  <si>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</si>
  <si>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</si>
  <si>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</si>
  <si>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</si>
  <si>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</si>
  <si>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</si>
  <si>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</si>
  <si>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</si>
  <si>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</si>
  <si>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</si>
  <si>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</si>
  <si>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</si>
  <si>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</si>
  <si>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</si>
  <si>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</si>
  <si>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</si>
  <si>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</si>
  <si>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</si>
  <si>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</si>
  <si>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</si>
  <si>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</si>
  <si>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</si>
  <si>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</si>
  <si>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</si>
  <si>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</si>
  <si>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</si>
  <si>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</si>
  <si>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</si>
  <si>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</si>
  <si>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</si>
  <si>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</si>
  <si>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</si>
  <si>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</si>
  <si>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</si>
  <si>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</si>
  <si>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</si>
  <si>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</si>
  <si>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</si>
  <si>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</si>
  <si>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</si>
  <si>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</si>
  <si>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</si>
  <si>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</si>
  <si>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</si>
  <si>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</si>
  <si>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</si>
  <si>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</si>
  <si>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</si>
  <si>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</si>
  <si>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</si>
  <si>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</si>
  <si>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</si>
  <si>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</si>
  <si>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</si>
  <si>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</si>
  <si>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</si>
  <si>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</si>
  <si>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</si>
  <si>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</si>
  <si>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</si>
  <si>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</si>
  <si>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</si>
  <si>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</si>
  <si>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</si>
  <si>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</si>
  <si>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</si>
  <si>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</si>
  <si>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</si>
  <si>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</si>
  <si>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</si>
  <si>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</si>
  <si>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</si>
  <si>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</si>
  <si>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</si>
  <si>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</si>
  <si>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</si>
  <si>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</si>
  <si>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</si>
  <si>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</si>
  <si>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</si>
  <si>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</si>
  <si>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</si>
  <si>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</si>
  <si>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</si>
  <si>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</si>
  <si>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</si>
  <si>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</si>
  <si>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</si>
  <si>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</si>
  <si>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</si>
  <si>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</si>
  <si>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</si>
  <si>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</si>
  <si>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</si>
  <si>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</si>
  <si>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</si>
  <si>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</si>
  <si>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</si>
  <si>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</si>
  <si>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</si>
  <si>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</si>
  <si>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</si>
  <si>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</si>
  <si>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</si>
  <si>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</si>
  <si>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</si>
  <si>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</si>
  <si>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</si>
  <si>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</si>
  <si>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</si>
  <si>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</si>
  <si>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</si>
  <si>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</si>
  <si>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</si>
  <si>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</si>
  <si>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</si>
  <si>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</si>
  <si>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</si>
  <si>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</si>
  <si>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</si>
  <si>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</si>
  <si>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</si>
  <si>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</si>
  <si>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</si>
  <si>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</si>
  <si>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</si>
  <si>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</si>
  <si>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</si>
  <si>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</si>
  <si>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</si>
  <si>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</si>
  <si>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</si>
  <si>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</si>
  <si>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</si>
  <si>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</si>
  <si>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</si>
  <si>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</si>
  <si>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</si>
  <si>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</si>
  <si>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</si>
  <si>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</si>
  <si>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</si>
  <si>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</si>
  <si>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</si>
  <si>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</si>
  <si>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</si>
  <si>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</si>
  <si>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</si>
  <si>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</si>
  <si>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</si>
  <si>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</si>
  <si>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</si>
  <si>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</si>
  <si>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</si>
  <si>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</si>
  <si>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</si>
  <si>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</si>
  <si>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</si>
  <si>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</si>
  <si>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</si>
  <si>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</si>
  <si>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</si>
  <si>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</si>
  <si>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</si>
  <si>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</si>
  <si>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00252616301030</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</si>
  <si>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</si>
  <si>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</si>
  <si>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</si>
  <si>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</si>
  <si>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</si>
  <si>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</si>
  <si>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</si>
  <si>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</si>
  <si>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</si>
  <si>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</si>
  <si>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</si>
  <si>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</si>
  <si>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</si>
  <si>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</si>
  <si>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</si>
  <si>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</si>
  <si>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</si>
  <si>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</si>
  <si>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</si>
  <si>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</si>
  <si>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</si>
  <si>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</si>
  <si>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</si>
  <si>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</si>
  <si>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</si>
  <si>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</si>
  <si>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</si>
  <si>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</si>
  <si>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</si>
  <si>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</si>
  <si>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</si>
  <si>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</si>
  <si>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</si>
  <si>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</si>
  <si>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</si>
  <si>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</si>
  <si>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</si>
  <si>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</si>
  <si>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</si>
  <si>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</si>
  <si>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</si>
  <si>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</si>
  <si>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</si>
  <si>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</si>
  <si>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</si>
  <si>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</si>
  <si>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</si>
  <si>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</si>
  <si>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</si>
  <si>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</si>
  <si>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</si>
  <si>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</si>
  <si>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</si>
  <si>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</si>
  <si>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</si>
  <si>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</si>
  <si>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</si>
  <si>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</si>
  <si>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</si>
  <si>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</si>
  <si>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</si>
  <si>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</si>
  <si>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</si>
  <si>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</si>
  <si>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</si>
  <si>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</si>
  <si>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</si>
  <si>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</si>
  <si>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</si>
  <si>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</si>
  <si>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</si>
  <si>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</si>
  <si>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</si>
  <si>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</si>
  <si>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</si>
  <si>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</si>
  <si>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</si>
  <si>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</si>
  <si>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</si>
  <si>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</si>
  <si>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</si>
  <si>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</si>
  <si>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</si>
  <si>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</si>
  <si>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</si>
  <si>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</si>
  <si>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</si>
  <si>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</si>
  <si>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</si>
  <si>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</si>
  <si>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</si>
  <si>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</si>
  <si>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</si>
  <si>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</si>
  <si>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</si>
  <si>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</si>
  <si>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</si>
  <si>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</si>
  <si>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</si>
  <si>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</si>
  <si>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</si>
  <si>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</si>
  <si>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</si>
  <si>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</si>
  <si>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</si>
  <si>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</si>
  <si>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</si>
  <si>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</si>
  <si>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</si>
  <si>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</si>
  <si>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</si>
  <si>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</si>
  <si>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</si>
  <si>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</si>
  <si>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</si>
  <si>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</si>
  <si>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</si>
  <si>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</si>
  <si>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</si>
  <si>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</si>
  <si>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</si>
  <si>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</si>
  <si>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</si>
  <si>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</si>
  <si>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</si>
  <si>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</si>
  <si>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</si>
  <si>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</si>
  <si>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</si>
  <si>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</si>
  <si>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</si>
  <si>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</si>
  <si>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</si>
  <si>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</si>
  <si>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</si>
  <si>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</si>
  <si>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</si>
  <si>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</si>
  <si>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</si>
  <si>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</si>
  <si>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</si>
  <si>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</si>
  <si>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</si>
  <si>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</si>
  <si>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</si>
  <si>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</si>
  <si>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</si>
  <si>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</si>
  <si>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</si>
  <si>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</si>
  <si>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</si>
  <si>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</si>
  <si>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</si>
  <si>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</si>
  <si>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</si>
  <si>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</si>
  <si>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</si>
  <si>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</si>
  <si>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</si>
  <si>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</si>
  <si>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</si>
  <si>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</si>
  <si>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</si>
  <si>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</si>
  <si>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</si>
  <si>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</si>
  <si>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</si>
  <si>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</si>
  <si>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</si>
  <si>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</si>
  <si>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</si>
  <si>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</si>
  <si>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</si>
  <si>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</si>
  <si>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</si>
  <si>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</si>
  <si>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</si>
  <si>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</si>
  <si>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</si>
  <si>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</si>
  <si>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</si>
  <si>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+255622710335</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</si>
  <si>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</si>
  <si>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</si>
  <si>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</si>
  <si>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</si>
  <si>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</si>
  <si>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</si>
  <si>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</si>
  <si>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</si>
  <si>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</si>
  <si>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+27731686196</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</si>
  <si>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</si>
  <si>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</si>
  <si>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</si>
  <si>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</si>
  <si>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</si>
  <si>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</si>
  <si>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</si>
  <si>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</si>
  <si>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</si>
  <si>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</si>
  <si>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+2348169407755</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</si>
  <si>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</si>
  <si>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</si>
  <si>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</si>
  <si>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</si>
  <si>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</si>
  <si>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</si>
  <si>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</si>
  <si>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</si>
  <si>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</si>
  <si>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</si>
  <si>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+250788661755</t>
  </si>
  <si>
    <t>A FRAMEWORK FOR THE IMPLEMENTATION OF AI-ENABLED DIGITAL HEALTH TOOLS FOR ENHANCING ADOLESCENTS' SEXUAL AND REPRODUCTIVE HEALTH IN RWANDA</t>
  </si>
  <si>
    <t>0000-0002-5601-0326</t>
  </si>
  <si>
    <t>C12/005</t>
  </si>
  <si>
    <t>Mandala</t>
  </si>
  <si>
    <t>emandala@cartafrica.org</t>
  </si>
  <si>
    <t>emandala@kuhes.ac.mw</t>
  </si>
  <si>
    <t>+265997786593</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</si>
  <si>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</si>
  <si>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</si>
  <si>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</si>
  <si>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</si>
  <si>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</si>
  <si>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</si>
  <si>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</si>
  <si>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</si>
  <si>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</si>
  <si>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+256781577222</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</si>
  <si>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</si>
  <si>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</si>
  <si>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</si>
  <si>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</si>
  <si>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</si>
  <si>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</si>
  <si>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</si>
  <si>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</si>
  <si>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</si>
  <si>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+250788273931</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</si>
  <si>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</si>
  <si>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</si>
  <si>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</si>
  <si>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</si>
  <si>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</si>
  <si>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</si>
  <si>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</si>
  <si>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</si>
  <si>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+250788534046</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</si>
  <si>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</si>
  <si>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</si>
  <si>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</si>
  <si>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</si>
  <si>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</si>
  <si>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</si>
  <si>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</si>
  <si>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</si>
  <si>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</si>
  <si>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+265888022796, +27630537898</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</si>
  <si>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</si>
  <si>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</si>
  <si>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</si>
  <si>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</si>
  <si>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</si>
  <si>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</si>
  <si>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</si>
  <si>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</si>
  <si>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</si>
  <si>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</si>
  <si>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</si>
  <si>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+265994622253, +265881133688</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</si>
  <si>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</si>
  <si>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</si>
  <si>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</si>
  <si>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</si>
  <si>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</si>
  <si>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</si>
  <si>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</si>
  <si>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</si>
  <si>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+265888221557, +265 1 871449</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</si>
  <si>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</si>
  <si>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</si>
  <si>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</si>
  <si>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</si>
  <si>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</si>
  <si>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</si>
  <si>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</si>
  <si>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</si>
  <si>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</si>
  <si>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+265888221557</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</si>
  <si>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</si>
  <si>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</si>
  <si>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</si>
  <si>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</si>
  <si>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</si>
  <si>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</si>
  <si>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</si>
  <si>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</si>
  <si>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</si>
  <si>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+254723031495</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</si>
  <si>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</si>
  <si>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</si>
  <si>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</si>
  <si>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</si>
  <si>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</si>
  <si>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</si>
  <si>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</si>
  <si>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</si>
  <si>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+2348038293440</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</si>
  <si>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</si>
  <si>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</si>
  <si>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</si>
  <si>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</si>
  <si>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</si>
  <si>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</si>
  <si>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</si>
  <si>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</si>
  <si>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+234 8058258556</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</si>
  <si>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</si>
  <si>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</si>
  <si>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</si>
  <si>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</si>
  <si>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</si>
  <si>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</si>
  <si>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</si>
  <si>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</si>
  <si>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</si>
  <si>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</si>
  <si>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+2348147768741</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</si>
  <si>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</si>
  <si>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</si>
  <si>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</si>
  <si>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</si>
  <si>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</si>
  <si>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</si>
  <si>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</si>
  <si>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</si>
  <si>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+254702602571</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</si>
  <si>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</si>
  <si>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</si>
  <si>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</si>
  <si>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</si>
  <si>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</si>
  <si>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</si>
  <si>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</si>
  <si>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</si>
  <si>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</si>
  <si>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</si>
  <si>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+256773472633</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</si>
  <si>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</si>
  <si>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</si>
  <si>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</si>
  <si>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</si>
  <si>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</si>
  <si>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</si>
  <si>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</si>
  <si>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</si>
  <si>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</si>
  <si>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+265999150295, +265992971222</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</si>
  <si>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</si>
  <si>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</si>
  <si>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</si>
  <si>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</si>
  <si>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</si>
  <si>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</si>
  <si>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</si>
  <si>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</si>
  <si>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</si>
  <si>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</si>
  <si>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</si>
  <si>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+250783305359, +250722174009</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</si>
  <si>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</si>
  <si>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</si>
  <si>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</si>
  <si>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</si>
  <si>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</si>
  <si>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</si>
  <si>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</si>
  <si>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</si>
  <si>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</si>
  <si>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</si>
  <si>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</si>
  <si>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+254706713382</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</si>
  <si>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</si>
  <si>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</si>
  <si>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</si>
  <si>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</si>
  <si>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</si>
  <si>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</si>
  <si>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</si>
  <si>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</si>
  <si>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</si>
  <si>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+256783923827</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</si>
  <si>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</si>
  <si>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</si>
  <si>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</si>
  <si>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</si>
  <si>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</si>
  <si>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</si>
  <si>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</si>
  <si>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</si>
  <si>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</si>
  <si>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</si>
  <si>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</si>
  <si>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</si>
  <si>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</si>
  <si>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</si>
  <si>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</si>
  <si>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</si>
  <si>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</si>
  <si>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</si>
  <si>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</si>
  <si>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</si>
  <si>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</si>
  <si>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</si>
  <si>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</si>
  <si>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</si>
  <si>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</si>
  <si>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</si>
  <si>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</si>
  <si>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</si>
  <si>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University of Malawi</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</si>
  <si>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</si>
  <si>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</si>
  <si>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</si>
  <si>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</si>
  <si>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</si>
  <si>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</si>
  <si>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</si>
  <si>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</si>
  <si>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</si>
  <si>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</si>
  <si>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</si>
  <si>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</si>
  <si>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</si>
  <si>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</si>
  <si>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</si>
  <si>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</si>
  <si>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</si>
  <si>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</si>
  <si>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</si>
  <si>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</si>
  <si>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</si>
  <si>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</si>
  <si>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</si>
  <si>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</si>
  <si>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</si>
  <si>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</si>
  <si>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</si>
  <si>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</si>
  <si>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</si>
  <si>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</si>
  <si>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</si>
  <si>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</si>
  <si>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</si>
  <si>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</si>
  <si>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</si>
  <si>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</si>
  <si>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</si>
  <si>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</si>
  <si>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</si>
  <si>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</si>
  <si>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</si>
  <si>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</si>
  <si>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</si>
  <si>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Woman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</si>
</sst>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2">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2" fontId="0" fillId="20" borderId="14" xfId="0" quotePrefix="1" applyNumberFormat="1" applyFill="1" applyBorder="1"/>
    <xf numFmtId="0" fontId="7" fillId="18" borderId="14" xfId="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Analysis'!$B$6:$B$16</c:f>
              <c:numCache>
                <c:formatCode>General</c:formatCode>
                <c:ptCount val="10"/>
                <c:pt idx="0">
                  <c:v>17</c:v>
                </c:pt>
                <c:pt idx="1">
                  <c:v>7</c:v>
                </c:pt>
                <c:pt idx="2">
                  <c:v>19</c:v>
                </c:pt>
                <c:pt idx="3">
                  <c:v>6</c:v>
                </c:pt>
                <c:pt idx="4">
                  <c:v>29</c:v>
                </c:pt>
                <c:pt idx="5">
                  <c:v>22</c:v>
                </c:pt>
                <c:pt idx="6">
                  <c:v>6</c:v>
                </c:pt>
                <c:pt idx="7">
                  <c:v>75</c:v>
                </c:pt>
                <c:pt idx="9">
                  <c:v>16</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Analysis'!$C$6:$C$16</c:f>
              <c:numCache>
                <c:formatCode>General</c:formatCode>
                <c:ptCount val="10"/>
                <c:pt idx="0">
                  <c:v>9</c:v>
                </c:pt>
                <c:pt idx="1">
                  <c:v>6</c:v>
                </c:pt>
                <c:pt idx="2">
                  <c:v>1</c:v>
                </c:pt>
                <c:pt idx="4">
                  <c:v>10</c:v>
                </c:pt>
                <c:pt idx="5">
                  <c:v>10</c:v>
                </c:pt>
                <c:pt idx="6">
                  <c:v>7</c:v>
                </c:pt>
                <c:pt idx="7">
                  <c:v>14</c:v>
                </c:pt>
                <c:pt idx="8">
                  <c:v>1</c:v>
                </c:pt>
                <c:pt idx="9">
                  <c:v>6</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Analysis'!$D$6:$D$16</c:f>
              <c:numCache>
                <c:formatCode>General</c:formatCode>
                <c:ptCount val="10"/>
                <c:pt idx="0">
                  <c:v>3</c:v>
                </c:pt>
                <c:pt idx="3">
                  <c:v>2</c:v>
                </c:pt>
                <c:pt idx="5">
                  <c:v>5</c:v>
                </c:pt>
                <c:pt idx="7">
                  <c:v>8</c:v>
                </c:pt>
                <c:pt idx="8">
                  <c:v>5</c:v>
                </c:pt>
                <c:pt idx="9">
                  <c:v>3</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Analysis'!$I$6:$I$19</c:f>
              <c:numCache>
                <c:formatCode>General</c:formatCode>
                <c:ptCount val="13"/>
                <c:pt idx="0">
                  <c:v>1</c:v>
                </c:pt>
                <c:pt idx="1">
                  <c:v>4</c:v>
                </c:pt>
                <c:pt idx="2">
                  <c:v>7</c:v>
                </c:pt>
                <c:pt idx="3">
                  <c:v>19</c:v>
                </c:pt>
                <c:pt idx="4">
                  <c:v>13</c:v>
                </c:pt>
                <c:pt idx="5">
                  <c:v>30</c:v>
                </c:pt>
                <c:pt idx="6">
                  <c:v>4</c:v>
                </c:pt>
                <c:pt idx="7">
                  <c:v>32</c:v>
                </c:pt>
                <c:pt idx="8">
                  <c:v>17</c:v>
                </c:pt>
                <c:pt idx="9">
                  <c:v>20</c:v>
                </c:pt>
                <c:pt idx="10">
                  <c:v>25</c:v>
                </c:pt>
                <c:pt idx="12">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Analysis'!$J$6:$J$19</c:f>
              <c:numCache>
                <c:formatCode>General</c:formatCode>
                <c:ptCount val="13"/>
                <c:pt idx="0">
                  <c:v>2</c:v>
                </c:pt>
                <c:pt idx="1">
                  <c:v>1</c:v>
                </c:pt>
                <c:pt idx="2">
                  <c:v>2</c:v>
                </c:pt>
                <c:pt idx="3">
                  <c:v>8</c:v>
                </c:pt>
                <c:pt idx="4">
                  <c:v>8</c:v>
                </c:pt>
                <c:pt idx="5">
                  <c:v>3</c:v>
                </c:pt>
                <c:pt idx="7">
                  <c:v>11</c:v>
                </c:pt>
                <c:pt idx="8">
                  <c:v>7</c:v>
                </c:pt>
                <c:pt idx="9">
                  <c:v>9</c:v>
                </c:pt>
                <c:pt idx="10">
                  <c:v>2</c:v>
                </c:pt>
                <c:pt idx="11">
                  <c:v>2</c:v>
                </c:pt>
                <c:pt idx="12">
                  <c:v>9</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Analysis'!$K$6:$K$19</c:f>
              <c:numCache>
                <c:formatCode>General</c:formatCode>
                <c:ptCount val="13"/>
                <c:pt idx="1">
                  <c:v>1</c:v>
                </c:pt>
                <c:pt idx="2">
                  <c:v>1</c:v>
                </c:pt>
                <c:pt idx="3">
                  <c:v>4</c:v>
                </c:pt>
                <c:pt idx="4">
                  <c:v>1</c:v>
                </c:pt>
                <c:pt idx="6">
                  <c:v>2</c:v>
                </c:pt>
                <c:pt idx="8">
                  <c:v>7</c:v>
                </c:pt>
                <c:pt idx="9">
                  <c:v>2</c:v>
                </c:pt>
                <c:pt idx="10">
                  <c:v>5</c:v>
                </c:pt>
                <c:pt idx="12">
                  <c:v>3</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Dashboard!$C$44:$C$56</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Dashboard!$D$44:$D$56</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Dashboard!$E$44:$E$56</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Man</c:v>
                </c:pt>
                <c:pt idx="1">
                  <c:v>Woman</c:v>
                </c:pt>
              </c:strCache>
            </c:strRef>
          </c:cat>
          <c:val>
            <c:numRef>
              <c:f>'Pivot Analysis'!$Q$5:$Q$7</c:f>
              <c:numCache>
                <c:formatCode>General</c:formatCode>
                <c:ptCount val="2"/>
                <c:pt idx="0">
                  <c:v>86</c:v>
                </c:pt>
                <c:pt idx="1">
                  <c:v>111</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Man</c:v>
                </c:pt>
                <c:pt idx="1">
                  <c:v>Woman</c:v>
                </c:pt>
              </c:strCache>
            </c:strRef>
          </c:cat>
          <c:val>
            <c:numRef>
              <c:f>'Pivot Analysis'!$O$5:$O$7</c:f>
              <c:numCache>
                <c:formatCode>General</c:formatCode>
                <c:ptCount val="2"/>
                <c:pt idx="0">
                  <c:v>130</c:v>
                </c:pt>
                <c:pt idx="1">
                  <c:v>157</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Man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Woman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Sheet2!$B$22:$B$24</c:f>
              <c:numCache>
                <c:formatCode>General</c:formatCode>
                <c:ptCount val="2"/>
                <c:pt idx="0">
                  <c:v>86</c:v>
                </c:pt>
                <c:pt idx="1">
                  <c:v>111</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Sheet2!$C$22:$C$24</c:f>
              <c:numCache>
                <c:formatCode>General</c:formatCode>
                <c:ptCount val="2"/>
                <c:pt idx="0">
                  <c:v>10</c:v>
                </c:pt>
                <c:pt idx="1">
                  <c:v>13</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Sheet2!$D$22:$D$24</c:f>
              <c:numCache>
                <c:formatCode>General</c:formatCode>
                <c:ptCount val="2"/>
                <c:pt idx="0">
                  <c:v>13</c:v>
                </c:pt>
                <c:pt idx="1">
                  <c:v>12</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Woman - Completed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Promotions!$F$28:$F$41</c:f>
              <c:numCache>
                <c:formatCode>General</c:formatCode>
                <c:ptCount val="13"/>
                <c:pt idx="0">
                  <c:v>3</c:v>
                </c:pt>
                <c:pt idx="1">
                  <c:v>5</c:v>
                </c:pt>
                <c:pt idx="2">
                  <c:v>4</c:v>
                </c:pt>
                <c:pt idx="3">
                  <c:v>17</c:v>
                </c:pt>
                <c:pt idx="4">
                  <c:v>5</c:v>
                </c:pt>
                <c:pt idx="5">
                  <c:v>15</c:v>
                </c:pt>
                <c:pt idx="6">
                  <c:v>3</c:v>
                </c:pt>
                <c:pt idx="7">
                  <c:v>20</c:v>
                </c:pt>
                <c:pt idx="8">
                  <c:v>7</c:v>
                </c:pt>
                <c:pt idx="9">
                  <c:v>19</c:v>
                </c:pt>
                <c:pt idx="10">
                  <c:v>9</c:v>
                </c:pt>
                <c:pt idx="11">
                  <c:v>1</c:v>
                </c:pt>
                <c:pt idx="12">
                  <c:v>22</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Promotions!$G$28:$G$41</c:f>
              <c:numCache>
                <c:formatCode>General</c:formatCode>
                <c:ptCount val="13"/>
                <c:pt idx="1">
                  <c:v>1</c:v>
                </c:pt>
                <c:pt idx="2">
                  <c:v>6</c:v>
                </c:pt>
                <c:pt idx="3">
                  <c:v>14</c:v>
                </c:pt>
                <c:pt idx="4">
                  <c:v>17</c:v>
                </c:pt>
                <c:pt idx="5">
                  <c:v>18</c:v>
                </c:pt>
                <c:pt idx="6">
                  <c:v>3</c:v>
                </c:pt>
                <c:pt idx="7">
                  <c:v>23</c:v>
                </c:pt>
                <c:pt idx="8">
                  <c:v>24</c:v>
                </c:pt>
                <c:pt idx="9">
                  <c:v>12</c:v>
                </c:pt>
                <c:pt idx="10">
                  <c:v>23</c:v>
                </c:pt>
                <c:pt idx="11">
                  <c:v>1</c:v>
                </c:pt>
                <c:pt idx="12">
                  <c:v>15</c:v>
                </c:pt>
              </c:numCache>
            </c:numRef>
          </c:val>
          <c:extLst>
            <c:ext xmlns:c16="http://schemas.microsoft.com/office/drawing/2014/chart" uri="{C3380CC4-5D6E-409C-BE32-E72D297353CC}">
              <c16:uniqueId val="{00000001-0D58-423D-998B-49A6C260278D}"/>
            </c:ext>
          </c:extLst>
        </c:ser>
        <c:dLbls>
          <c:dLblPos val="inEnd"/>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CEE2-405A-BD69-EB2C16DB3E90}"/>
            </c:ext>
          </c:extLst>
        </c:ser>
        <c:dLbls>
          <c:dLblPos val="inEnd"/>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336066</xdr:colOff>
      <xdr:row>0</xdr:row>
      <xdr:rowOff>0</xdr:rowOff>
    </xdr:from>
    <xdr:to>
      <xdr:col>25</xdr:col>
      <xdr:colOff>287417</xdr:colOff>
      <xdr:row>12</xdr:row>
      <xdr:rowOff>181198</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544400</xdr:colOff>
      <xdr:row>26</xdr:row>
      <xdr:rowOff>97815</xdr:rowOff>
    </xdr:from>
    <xdr:to>
      <xdr:col>21</xdr:col>
      <xdr:colOff>467429</xdr:colOff>
      <xdr:row>39</xdr:row>
      <xdr:rowOff>51312</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0.780353125003"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2">
        <s v="University of Ibadan"/>
        <s v="University of Dar es Salaam"/>
        <s v="Moi University"/>
        <s v="University of the Witwatersrand"/>
        <s v="University of Malawi and Associates"/>
        <s v="University of Rwanda"/>
        <s v="University of Nairobi"/>
        <s v="Obafemi Awolowo University"/>
        <m/>
        <s v="Makerere University"/>
        <s v=" " u="1"/>
        <s v="University of the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36574073"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4">
        <s v="Man"/>
        <s v="Woman"/>
        <s v="Male" u="1"/>
        <s v="Female" u="1"/>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ontainsBlank="1" count="15">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Malawi" u="1"/>
        <m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95138889"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6">
        <s v="Man"/>
        <s v="Woman"/>
        <s v="Men" u="1"/>
        <s v="Women" u="1"/>
        <s v="Male" u="1"/>
        <s v="Female" u="1"/>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7">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the Malawi and Associates" u="1"/>
        <s v="University of the Malawi" u="1"/>
        <s v="University of Malawi" u="1"/>
        <s v="Kamuzu University of Health Sciences (formerly University of Malawi)"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308.604665393519"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5">
        <s v="Man"/>
        <s v="Woman"/>
        <s v="Male" u="1"/>
        <s v="Female" u="1"/>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and Associates"/>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and Associates"/>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and Associates"/>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and Associates"/>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and Associates"/>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and Associates"/>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and Associates"/>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and Associates"/>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and Associates"/>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and Associates"/>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and Associates"/>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and Associates"/>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and Associates"/>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and Associates"/>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and Associates"/>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and Associates"/>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and Associates"/>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and Associates"/>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and Associates"/>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and Associates"/>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and Associates"/>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and Associates"/>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and Associates"/>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and Associates"/>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and Associates"/>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and Associates"/>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and Associates"/>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and Associates"/>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and Associates"/>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and Associates"/>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9"/>
    <s v="Yes"/>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and Associates"/>
    <s v="Physiotherapy"/>
    <s v="Department of Rehabilitation Sciences "/>
    <x v="3"/>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9"/>
    <s v="No"/>
    <m/>
    <s v="Married"/>
    <m/>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6"/>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and Associates"/>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and Associates"/>
    <s v="Public Health"/>
    <s v="Centre for Reproductive Health"/>
    <x v="3"/>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5"/>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3"/>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3"/>
    <s v="No"/>
    <m/>
    <s v="Married"/>
    <m/>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3"/>
    <s v="Yes"/>
    <m/>
    <s v="Married"/>
    <m/>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0"/>
    <s v="Yes"/>
    <m/>
    <s v="Single"/>
    <m/>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5"/>
    <s v="Yes"/>
    <m/>
    <s v="Married"/>
    <m/>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m/>
    <x v="2"/>
    <m/>
    <m/>
    <m/>
    <n v="4"/>
    <m/>
    <m/>
    <m/>
    <m/>
    <m/>
    <m/>
    <m/>
    <m/>
    <m/>
    <m/>
    <m/>
    <m/>
    <m/>
    <m/>
    <m/>
    <m/>
    <m/>
    <m/>
    <m/>
  </r>
  <r>
    <n v="274"/>
    <s v="C12/005"/>
    <s v="Edna"/>
    <m/>
    <s v="Mandala"/>
    <x v="1"/>
    <n v="12"/>
    <s v="Malawi"/>
    <s v="University of Malawi and Associates"/>
    <s v="Nursing"/>
    <m/>
    <x v="4"/>
    <s v="Yes"/>
    <m/>
    <s v="Single"/>
    <m/>
    <m/>
    <s v="emandala@cartafrica.org"/>
    <s v="emandala@kuhes.ac.mw"/>
    <s v="+265997786593"/>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9"/>
    <s v="Yes"/>
    <m/>
    <s v="Single"/>
    <m/>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m/>
    <x v="2"/>
    <m/>
    <m/>
    <m/>
    <n v="5"/>
    <m/>
    <m/>
    <m/>
    <m/>
    <m/>
    <m/>
    <m/>
    <m/>
    <m/>
    <m/>
    <m/>
    <m/>
    <m/>
    <m/>
    <m/>
    <m/>
    <m/>
    <m/>
    <m/>
  </r>
  <r>
    <n v="276"/>
    <s v="C12/007"/>
    <s v="Jean Bosco Henri "/>
    <m/>
    <s v="HITAYEZU "/>
    <x v="0"/>
    <n v="12"/>
    <s v="Rwanda"/>
    <s v="University of Rwanda"/>
    <s v="Nursing and Midwifery: Maternal and new-born health, and reproductive health"/>
    <s v="Midwifery"/>
    <x v="5"/>
    <s v="Yes"/>
    <m/>
    <s v="Married"/>
    <m/>
    <m/>
    <s v="jhitayezu@cartafrica.org_x000a_"/>
    <s v="hitab88@gmail.com"/>
    <s v="+250788273931"/>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5"/>
    <s v="Yes"/>
    <m/>
    <s v="Single"/>
    <m/>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3"/>
    <m/>
    <m/>
    <s v="Married"/>
    <m/>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m/>
    <x v="2"/>
    <m/>
    <m/>
    <m/>
    <n v="4"/>
    <m/>
    <m/>
    <m/>
    <m/>
    <m/>
    <m/>
    <m/>
    <m/>
    <m/>
    <m/>
    <m/>
    <m/>
    <m/>
    <m/>
    <m/>
    <m/>
    <m/>
    <m/>
    <m/>
  </r>
  <r>
    <n v="279"/>
    <s v="C12/010"/>
    <s v="Mphatso"/>
    <s v="Saulos"/>
    <s v="Kantonya"/>
    <x v="0"/>
    <n v="12"/>
    <s v="Malawi"/>
    <s v="University of Malawi and Associates"/>
    <s v="Public Health (Infectious Diseases Pharmacoepidemiology)"/>
    <s v="School of Public and Global health"/>
    <x v="4"/>
    <s v="Yes"/>
    <m/>
    <s v="Married"/>
    <m/>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m/>
    <x v="2"/>
    <m/>
    <m/>
    <m/>
    <n v="2"/>
    <m/>
    <m/>
    <m/>
    <m/>
    <m/>
    <m/>
    <m/>
    <m/>
    <m/>
    <m/>
    <m/>
    <m/>
    <m/>
    <m/>
    <m/>
    <m/>
    <m/>
    <m/>
    <m/>
  </r>
  <r>
    <n v="280"/>
    <s v="C12/011"/>
    <s v="Martha"/>
    <m/>
    <s v="Masamba"/>
    <x v="1"/>
    <n v="12"/>
    <s v="Malawi"/>
    <s v="University of Malawi and Associates"/>
    <s v="Obstetrics and Gynaecology"/>
    <m/>
    <x v="4"/>
    <m/>
    <m/>
    <s v="Married"/>
    <m/>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9"/>
    <s v="Yes"/>
    <m/>
    <s v="Single"/>
    <m/>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6"/>
    <s v="Yes"/>
    <m/>
    <s v="Single"/>
    <m/>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0"/>
    <s v="Yes"/>
    <m/>
    <s v="Married"/>
    <m/>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0"/>
    <m/>
    <m/>
    <s v="Married"/>
    <m/>
    <m/>
    <s v="ofolayan@cartafrica.org"/>
    <s v="olufolayan19@gmail.com"/>
    <s v="+234 8058258556"/>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0"/>
    <m/>
    <m/>
    <s v="Married"/>
    <m/>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m/>
    <x v="2"/>
    <m/>
    <m/>
    <m/>
    <n v="16"/>
    <m/>
    <m/>
    <m/>
    <m/>
    <m/>
    <m/>
    <m/>
    <m/>
    <m/>
    <m/>
    <m/>
    <m/>
    <m/>
    <m/>
    <m/>
    <m/>
    <m/>
    <m/>
    <m/>
  </r>
  <r>
    <n v="286"/>
    <s v="C12/017"/>
    <s v="Patrick"/>
    <m/>
    <s v="Amboka"/>
    <x v="0"/>
    <n v="12"/>
    <s v="Kenya"/>
    <s v="APHRC"/>
    <s v="Public Health"/>
    <m/>
    <x v="3"/>
    <m/>
    <m/>
    <s v="Single"/>
    <m/>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9"/>
    <s v="Yes"/>
    <m/>
    <s v="Married"/>
    <m/>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m/>
    <x v="2"/>
    <m/>
    <m/>
    <m/>
    <n v="18"/>
    <m/>
    <m/>
    <m/>
    <m/>
    <m/>
    <m/>
    <m/>
    <m/>
    <m/>
    <m/>
    <m/>
    <m/>
    <m/>
    <m/>
    <m/>
    <m/>
    <m/>
    <m/>
    <m/>
  </r>
  <r>
    <n v="288"/>
    <s v="C12/019"/>
    <s v="Regina"/>
    <s v="Tikhala"/>
    <s v="Makuluni"/>
    <x v="1"/>
    <n v="12"/>
    <s v="Malawi"/>
    <s v="University of Malawi and Associates"/>
    <s v="Public Health"/>
    <m/>
    <x v="4"/>
    <m/>
    <m/>
    <s v="Married"/>
    <m/>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5"/>
    <s v="Yes"/>
    <m/>
    <s v="Married"/>
    <m/>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2"/>
    <s v="Yes"/>
    <m/>
    <s v="Married"/>
    <m/>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9"/>
    <s v="Yes"/>
    <m/>
    <s v="Married"/>
    <m/>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n v="1"/>
    <s v="Nigeria"/>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n v="1"/>
    <s v="Rwanda"/>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n v="1"/>
    <s v="Rwanda"/>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n v="1"/>
    <s v="Malawi"/>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n v="1"/>
    <s v="Tanzania"/>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n v="1"/>
    <s v="Malawi"/>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n v="1"/>
    <s v="Nigeria"/>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n v="1"/>
    <s v="Malawi"/>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n v="1"/>
    <s v="Rwanda"/>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n v="1"/>
    <s v="Malawi"/>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n v="1"/>
    <s v="Kenya"/>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n v="1"/>
    <s v="South Africa"/>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n v="1"/>
    <s v="Malawi"/>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n v="1"/>
    <s v="Kenya"/>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n v="1"/>
    <s v="Nigeria"/>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n v="1"/>
    <s v="Kenya"/>
    <x v="7"/>
    <m/>
    <m/>
    <m/>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n v="1"/>
    <s v="Kenya"/>
    <x v="7"/>
    <m/>
    <m/>
    <s v="University of Nairobi"/>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n v="1"/>
    <s v="Tanzania"/>
    <x v="9"/>
    <m/>
    <m/>
    <m/>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n v="2"/>
    <s v="Nigeria"/>
    <x v="0"/>
    <s v="Epidemiology"/>
    <m/>
    <s v="University of Ibadan"/>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n v="2"/>
    <s v="Malawi"/>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n v="2"/>
    <s v="Malawi"/>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n v="2"/>
    <s v="Kenya"/>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n v="2"/>
    <s v="Tanzania"/>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n v="2"/>
    <s v="Uganda"/>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n v="2"/>
    <s v="Nigeria"/>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n v="2"/>
    <s v="Uganda"/>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n v="2"/>
    <s v="Malawi"/>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n v="2"/>
    <s v="Nigeria"/>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n v="2"/>
    <s v="Nigeria"/>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n v="2"/>
    <s v="Malawi"/>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n v="2"/>
    <s v="South Africa"/>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n v="2"/>
    <s v="Uganda"/>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n v="2"/>
    <s v="Uganda"/>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n v="2"/>
    <s v="South Africa"/>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n v="2"/>
    <s v="Kenya"/>
    <x v="7"/>
    <m/>
    <m/>
    <s v="University of the Witwatersrand"/>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n v="2"/>
    <s v="Tanzania"/>
    <x v="4"/>
    <m/>
    <s v="TB Clinic"/>
    <s v="University of Dar es Salaam"/>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n v="3"/>
    <s v="Nigeria"/>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n v="3"/>
    <s v="Kenya"/>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n v="3"/>
    <s v="Uganda"/>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n v="3"/>
    <s v="Rwanda"/>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n v="3"/>
    <s v="Malawi"/>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n v="3"/>
    <s v="Kenya"/>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n v="3"/>
    <s v="South Africa"/>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n v="3"/>
    <s v="Rwanda"/>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n v="3"/>
    <s v="Kenya"/>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n v="3"/>
    <s v="Nigeria"/>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n v="3"/>
    <s v="Nigeria"/>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n v="3"/>
    <s v="Nigeria"/>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n v="3"/>
    <s v="Malawi"/>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n v="3"/>
    <s v="South Africa"/>
    <x v="6"/>
    <m/>
    <m/>
    <s v="University of the Witwatersrand"/>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n v="4"/>
    <s v="Nigeria"/>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n v="4"/>
    <s v="South Africa"/>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n v="4"/>
    <s v="Uganda"/>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n v="4"/>
    <s v="Nigeria"/>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n v="4"/>
    <s v="Uganda"/>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n v="4"/>
    <s v="South Africa"/>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n v="4"/>
    <s v="Kenya"/>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n v="4"/>
    <s v="Uganda"/>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n v="4"/>
    <s v="Kenya"/>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n v="4"/>
    <s v="Uganda"/>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n v="4"/>
    <s v="Kenya"/>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n v="4"/>
    <s v="Rwanda"/>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n v="4"/>
    <s v="Tanzania"/>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Associate Professo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n v="4"/>
    <s v="Nigeria"/>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n v="4"/>
    <s v="South Africa"/>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0"/>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n v="4"/>
    <s v="Tanzania"/>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n v="4"/>
    <s v="South Africa"/>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n v="5"/>
    <s v="Senegal"/>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n v="5"/>
    <s v="Rwanda"/>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n v="5"/>
    <s v="Nigeria"/>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n v="5"/>
    <s v="South Africa"/>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n v="5"/>
    <s v="Nigeria"/>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n v="5"/>
    <s v="Malawi"/>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n v="5"/>
    <s v="Uganda"/>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n v="5"/>
    <s v="Kenya"/>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n v="5"/>
    <s v="Nigeria"/>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n v="5"/>
    <s v="Uganda"/>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n v="5"/>
    <s v="Kenya"/>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n v="5"/>
    <s v="Kenya"/>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n v="5"/>
    <s v="Nigeria"/>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n v="5"/>
    <s v="Malawi"/>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n v="5"/>
    <s v="Malawi"/>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n v="5"/>
    <s v="South Africa"/>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n v="5"/>
    <s v="Nigeria"/>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n v="5"/>
    <s v="Malawi"/>
    <x v="3"/>
    <m/>
    <m/>
    <s v="University of Malawi and Associates"/>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n v="5"/>
    <s v="Tanzania"/>
    <x v="9"/>
    <m/>
    <m/>
    <s v="University of Dar es Salaam"/>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n v="5"/>
    <s v="Kenya"/>
    <x v="7"/>
    <m/>
    <m/>
    <s v="University of Nairobi"/>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n v="6"/>
    <s v="Kenya"/>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n v="6"/>
    <s v="Nigeria"/>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n v="6"/>
    <s v="Rwanda"/>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n v="6"/>
    <s v="South Africa"/>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n v="6"/>
    <s v="Malawi"/>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n v="6"/>
    <s v="Uganda"/>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n v="6"/>
    <s v="Nigeria"/>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n v="6"/>
    <s v="Malawi"/>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n v="6"/>
    <s v="Nigeria"/>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n v="6"/>
    <s v="Nigeria"/>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n v="6"/>
    <s v="Rwanda"/>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n v="6"/>
    <s v="South Africa"/>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n v="6"/>
    <s v="Kenya"/>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n v="6"/>
    <s v="Nigeria"/>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n v="6"/>
    <s v="South Africa"/>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n v="6"/>
    <s v="Tanzania"/>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n v="6"/>
    <s v="Kenya"/>
    <x v="2"/>
    <s v="BIOSTATISTICS"/>
    <s v="Public and Population Health"/>
    <s v="University of the Witwatersrand"/>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n v="7"/>
    <s v="South Africa"/>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n v="7"/>
    <s v="Malawi"/>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n v="7"/>
    <s v="Kenya"/>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n v="7"/>
    <s v="Nigeria"/>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n v="7"/>
    <s v="Kenya"/>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n v="7"/>
    <s v="Nigeria"/>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n v="7"/>
    <s v="Kenya"/>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n v="7"/>
    <s v="South Africa"/>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n v="7"/>
    <s v="Rwanda"/>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n v="7"/>
    <s v="Rwanda"/>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n v="7"/>
    <s v="Nigeria"/>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n v="7"/>
    <s v="Nigeria"/>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n v="7"/>
    <s v="Nigeria"/>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n v="7"/>
    <s v="Uganda"/>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n v="7"/>
    <s v="Rwanda"/>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n v="8"/>
    <s v="South Africa"/>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n v="8"/>
    <s v="Rwanda"/>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n v="8"/>
    <s v="Rwanda"/>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n v="8"/>
    <s v="Uganda"/>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n v="8"/>
    <s v="Kenya"/>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n v="8"/>
    <s v="South Africa"/>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n v="8"/>
    <s v="Uganda"/>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n v="8"/>
    <s v="Rwanda"/>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n v="8"/>
    <s v="Kenya"/>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n v="8"/>
    <s v="South Africa"/>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n v="8"/>
    <s v="Kenya"/>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n v="8"/>
    <s v="Nigeria"/>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n v="8"/>
    <s v="Rwanda"/>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n v="8"/>
    <s v="Nigeria"/>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n v="8"/>
    <s v="Malawi"/>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n v="8"/>
    <s v="Uganda"/>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n v="8"/>
    <s v="Nigeria"/>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n v="8"/>
    <s v="Kenya"/>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n v="8"/>
    <s v="Kenya"/>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n v="9"/>
    <s v="Malawi"/>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n v="9"/>
    <s v="Nigeria"/>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n v="9"/>
    <s v="Rwanda"/>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n v="9"/>
    <s v="Rwanda"/>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n v="9"/>
    <s v="Rwanda"/>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n v="9"/>
    <s v="Uganda"/>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Researcher"/>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x v="7"/>
    <s v="Dentistry"/>
    <s v="Conservative and Prosthetic Dentisry"/>
    <s v="University of the Witwatersrand"/>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0"/>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n v="9"/>
    <s v="Rwanda"/>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n v="9"/>
    <s v="South Africa"/>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n v="9"/>
    <s v="Nigeria"/>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n v="9"/>
    <s v="Nigeria"/>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x v="7"/>
    <s v="Chemistry"/>
    <s v="Department of Chemistry"/>
    <s v="University of Nairobi"/>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n v="9"/>
    <s v="Nigeria"/>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0"/>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n v="9"/>
    <s v="Kenya"/>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n v="9"/>
    <s v="Nigeria"/>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n v="9"/>
    <s v="Tanzania"/>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n v="9"/>
    <s v="Nigeria"/>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n v="9"/>
    <s v="Uganda"/>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n v="10"/>
    <s v="Rwanda"/>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n v="10"/>
    <s v="Rwanda"/>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n v="10"/>
    <s v="Tanzania"/>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n v="10"/>
    <s v="Nigeria"/>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n v="10"/>
    <s v="Malawi"/>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n v="10"/>
    <s v="Kenya"/>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n v="10"/>
    <s v="Nigeria"/>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Associate Professor"/>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n v="10"/>
    <s v="Nigeria"/>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n v="10"/>
    <s v="Uganda"/>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n v="10"/>
    <s v="Nigeria"/>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n v="10"/>
    <s v="Malawi"/>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n v="10"/>
    <s v="Nigeria"/>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n v="10"/>
    <s v="Rwanda"/>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n v="10"/>
    <s v="Malawi"/>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n v="10"/>
    <s v="Rwanda"/>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n v="10"/>
    <s v="Kenya"/>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n v="10"/>
    <s v="South Africa"/>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n v="10"/>
    <s v="Nigeria"/>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n v="11"/>
    <s v="Nigeria"/>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s v="Prof. Denloye O.  Obafunke"/>
    <s v="Prof. Lawal Barakat Folake"/>
    <s v="Dr Yetunde  Adeniyi"/>
    <n v="3"/>
    <s v="Home"/>
    <s v="Home"/>
    <s v="Home"/>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n v="11"/>
    <s v="Somalia"/>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x v="10"/>
    <m/>
    <s v="ProfChristopher Garimoi Orach"/>
    <s v="Dr. Dinah Amongin"/>
    <s v="Dr. Abdullahi Muse Mohamoud"/>
    <n v="3"/>
    <s v="Host"/>
    <s v="Host"/>
    <s v="Host"/>
    <m/>
    <m/>
    <m/>
    <m/>
    <m/>
    <m/>
    <x v="1"/>
    <m/>
    <m/>
    <s v="0009-0006-9247-6453"/>
    <m/>
    <d v="2025-03-03T00:00:00"/>
    <m/>
    <m/>
    <m/>
    <m/>
    <m/>
    <m/>
    <m/>
    <m/>
    <m/>
    <m/>
    <m/>
    <m/>
    <m/>
    <m/>
    <m/>
    <x v="19"/>
    <x v="2"/>
    <m/>
    <m/>
    <m/>
    <n v="0"/>
    <m/>
    <m/>
    <m/>
    <m/>
    <m/>
    <m/>
    <m/>
    <m/>
    <m/>
    <m/>
    <m/>
    <m/>
    <m/>
    <m/>
    <m/>
    <n v="1"/>
    <m/>
    <m/>
    <s v="SIDA"/>
  </r>
  <r>
    <n v="252"/>
    <s v="C11/003"/>
    <s v="Christabellah"/>
    <m/>
    <s v="Namugenyi"/>
    <x v="1"/>
    <n v="11"/>
    <s v="Uganda"/>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s v="Dr. Roy William Mayega "/>
    <s v="Prof Rhoda Wanyenze"/>
    <s v="Dr John Ssenkusu"/>
    <n v="3"/>
    <s v="Home"/>
    <s v="Home"/>
    <s v="Home"/>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n v="11"/>
    <s v="Zimbabwe"/>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s v="Tobias Chirwa"/>
    <s v="Chodziwadziwa Kabudula"/>
    <s v="Farai Mlambo"/>
    <n v="3"/>
    <s v="Host"/>
    <s v="Home"/>
    <s v="Host"/>
    <m/>
    <m/>
    <m/>
    <m/>
    <m/>
    <m/>
    <x v="1"/>
    <m/>
    <m/>
    <s v="0000-0002-0412-1059"/>
    <m/>
    <d v="2025-03-03T00:00:00"/>
    <m/>
    <m/>
    <m/>
    <m/>
    <m/>
    <m/>
    <m/>
    <m/>
    <m/>
    <m/>
    <m/>
    <m/>
    <m/>
    <m/>
    <m/>
    <x v="19"/>
    <x v="2"/>
    <m/>
    <m/>
    <m/>
    <n v="2"/>
    <m/>
    <m/>
    <m/>
    <m/>
    <m/>
    <m/>
    <m/>
    <m/>
    <m/>
    <m/>
    <m/>
    <m/>
    <m/>
    <m/>
    <m/>
    <n v="1"/>
    <m/>
    <m/>
    <s v="SIDA"/>
  </r>
  <r>
    <n v="254"/>
    <s v="C11/005"/>
    <s v="Elizabeth"/>
    <s v="Oluwatoyin"/>
    <s v="Abe"/>
    <x v="1"/>
    <n v="11"/>
    <s v="Nigeria"/>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s v="Prof Adeyemi Folasade  Bukola"/>
    <s v="Prof Arowojolu Olayinka  Modupeola"/>
    <m/>
    <n v="2"/>
    <s v="Home"/>
    <s v="Home"/>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n v="11"/>
    <s v="Malawi"/>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s v="Prof Ronel Roos _x000a_"/>
    <s v="Prof Roos Ronel"/>
    <s v="Dr Manifield R. James "/>
    <n v="3"/>
    <s v="Host"/>
    <s v="Host"/>
    <s v="Other"/>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n v="11"/>
    <s v="Nigeria"/>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s v="Prof. Penny Clement"/>
    <s v="Dr Ayeni Oluwatosin"/>
    <s v="Prof Alatise Oluwasegun Isaac"/>
    <n v="3"/>
    <s v="Host"/>
    <s v="Host"/>
    <s v="Home"/>
    <m/>
    <m/>
    <m/>
    <m/>
    <m/>
    <m/>
    <x v="1"/>
    <m/>
    <m/>
    <s v="0000-0003-3315-990x"/>
    <m/>
    <d v="2025-03-03T00:00:00"/>
    <m/>
    <m/>
    <m/>
    <m/>
    <m/>
    <m/>
    <m/>
    <m/>
    <m/>
    <m/>
    <m/>
    <m/>
    <m/>
    <m/>
    <m/>
    <x v="19"/>
    <x v="2"/>
    <m/>
    <m/>
    <m/>
    <n v="40"/>
    <m/>
    <m/>
    <m/>
    <m/>
    <m/>
    <m/>
    <m/>
    <m/>
    <m/>
    <m/>
    <m/>
    <m/>
    <m/>
    <m/>
    <m/>
    <n v="1"/>
    <m/>
    <m/>
    <s v="SIDA"/>
  </r>
  <r>
    <n v="257"/>
    <s v="C11/008"/>
    <s v="Gallad"/>
    <s v="Dahir"/>
    <s v="Hassan"/>
    <x v="0"/>
    <n v="11"/>
    <s v="Somalia"/>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x v="10"/>
    <m/>
    <s v="Prof. Wanyenze Rhoda"/>
    <s v="Dr Isunju Bosco John"/>
    <s v="Dr Omar Salaad Elmi"/>
    <n v="3"/>
    <s v="Host"/>
    <s v="Host"/>
    <s v="Home"/>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n v="11"/>
    <s v="Uganda"/>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s v="Dr. Luke Nyakarahuka"/>
    <s v="Prof. Clovice Kankya"/>
    <s v="Prof Robert F. Breiman"/>
    <n v="3"/>
    <s v="Home"/>
    <s v="Home"/>
    <s v="Other"/>
    <m/>
    <m/>
    <m/>
    <m/>
    <m/>
    <m/>
    <x v="1"/>
    <m/>
    <m/>
    <s v="0000-0001-6218-8318"/>
    <m/>
    <d v="2025-03-03T00:00:00"/>
    <m/>
    <m/>
    <m/>
    <m/>
    <m/>
    <m/>
    <m/>
    <m/>
    <m/>
    <m/>
    <m/>
    <m/>
    <m/>
    <m/>
    <m/>
    <x v="19"/>
    <x v="2"/>
    <m/>
    <m/>
    <m/>
    <n v="10"/>
    <m/>
    <m/>
    <m/>
    <m/>
    <m/>
    <m/>
    <m/>
    <m/>
    <m/>
    <m/>
    <m/>
    <m/>
    <m/>
    <m/>
    <m/>
    <n v="0"/>
    <m/>
    <m/>
    <s v="SIDA"/>
  </r>
  <r>
    <n v="259"/>
    <s v="C11/010"/>
    <s v="Lydiah"/>
    <s v="Wanjiru"/>
    <s v="Njihia"/>
    <x v="1"/>
    <n v="11"/>
    <s v="Kenya"/>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s v="Gitao George Chege_x000a_"/>
    <s v="Moses Masika"/>
    <s v="Prof Gitao Chege George"/>
    <n v="3"/>
    <s v="Home"/>
    <s v="Home"/>
    <s v="Home"/>
    <m/>
    <m/>
    <m/>
    <m/>
    <m/>
    <m/>
    <x v="1"/>
    <m/>
    <m/>
    <s v="0009-0007-0633-3294"/>
    <m/>
    <d v="2025-03-03T00:00:00"/>
    <m/>
    <m/>
    <m/>
    <m/>
    <m/>
    <m/>
    <m/>
    <m/>
    <m/>
    <m/>
    <m/>
    <m/>
    <m/>
    <m/>
    <m/>
    <x v="19"/>
    <x v="2"/>
    <m/>
    <m/>
    <m/>
    <n v="1"/>
    <m/>
    <m/>
    <m/>
    <m/>
    <m/>
    <m/>
    <m/>
    <m/>
    <m/>
    <m/>
    <m/>
    <m/>
    <m/>
    <m/>
    <m/>
    <n v="1"/>
    <m/>
    <m/>
    <s v="SIDA"/>
  </r>
  <r>
    <n v="260"/>
    <s v="C11/011"/>
    <s v="Mary"/>
    <s v="Nigandi"/>
    <s v="Kubo"/>
    <x v="1"/>
    <n v="11"/>
    <s v="Kenya"/>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s v="Dr Opiyo Okoyo Rose"/>
    <s v="Dr Mweu Mutinda Marshal"/>
    <m/>
    <n v="2"/>
    <s v="Home"/>
    <s v="Home"/>
    <m/>
    <m/>
    <m/>
    <m/>
    <m/>
    <m/>
    <m/>
    <x v="1"/>
    <m/>
    <m/>
    <s v="0000-0002-0708-605X"/>
    <m/>
    <d v="2025-03-03T00:00:00"/>
    <m/>
    <m/>
    <m/>
    <m/>
    <m/>
    <m/>
    <m/>
    <m/>
    <m/>
    <m/>
    <m/>
    <m/>
    <m/>
    <m/>
    <m/>
    <x v="19"/>
    <x v="2"/>
    <m/>
    <m/>
    <m/>
    <n v="10"/>
    <m/>
    <m/>
    <m/>
    <m/>
    <m/>
    <m/>
    <m/>
    <m/>
    <m/>
    <m/>
    <m/>
    <m/>
    <m/>
    <m/>
    <m/>
    <n v="2"/>
    <m/>
    <m/>
    <s v="SIDA"/>
  </r>
  <r>
    <n v="261"/>
    <s v="C11/012"/>
    <s v="Miles-Dei"/>
    <s v="Benedict"/>
    <s v="Olufeagba"/>
    <x v="0"/>
    <n v="11"/>
    <s v="Nigeria"/>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s v="Prof Amodu Kehinde Olukemi"/>
    <s v="Prof  Kotila Rachel Taiwo"/>
    <m/>
    <n v="2"/>
    <s v="Home"/>
    <s v="Home"/>
    <m/>
    <m/>
    <m/>
    <m/>
    <m/>
    <m/>
    <m/>
    <x v="1"/>
    <m/>
    <m/>
    <s v="0000-0003-0065-5990"/>
    <m/>
    <d v="2025-03-03T00:00:00"/>
    <m/>
    <m/>
    <m/>
    <m/>
    <m/>
    <m/>
    <m/>
    <m/>
    <m/>
    <m/>
    <m/>
    <m/>
    <m/>
    <m/>
    <m/>
    <x v="19"/>
    <x v="2"/>
    <m/>
    <m/>
    <m/>
    <n v="2"/>
    <m/>
    <m/>
    <m/>
    <m/>
    <m/>
    <m/>
    <m/>
    <m/>
    <m/>
    <m/>
    <m/>
    <m/>
    <m/>
    <m/>
    <m/>
    <n v="2"/>
    <m/>
    <m/>
    <s v="SIDA"/>
  </r>
  <r>
    <n v="262"/>
    <s v="C11/013"/>
    <s v="Molly"/>
    <s v="Mercy"/>
    <s v="Jerono"/>
    <x v="1"/>
    <n v="11"/>
    <s v="Kenya"/>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s v="Dr. Simeon Nganai"/>
    <s v="Dr. Felishana Cherop "/>
    <s v="Dr. Richard Siele"/>
    <n v="3"/>
    <s v="Home"/>
    <s v="Home"/>
    <s v="Home"/>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n v="11"/>
    <s v="Malawi"/>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s v="Dr. Mipando Nyondo Linda"/>
    <s v="Dr  Conco  Nozizwe Daphney"/>
    <m/>
    <n v="2"/>
    <s v="Home"/>
    <s v="Host"/>
    <m/>
    <m/>
    <m/>
    <m/>
    <m/>
    <m/>
    <m/>
    <x v="1"/>
    <m/>
    <m/>
    <s v="0009-0000-6991-6912"/>
    <m/>
    <d v="2025-03-03T00:00:00"/>
    <m/>
    <m/>
    <m/>
    <m/>
    <m/>
    <m/>
    <m/>
    <m/>
    <m/>
    <m/>
    <m/>
    <m/>
    <m/>
    <m/>
    <m/>
    <x v="19"/>
    <x v="2"/>
    <m/>
    <m/>
    <m/>
    <n v="0"/>
    <m/>
    <m/>
    <m/>
    <m/>
    <m/>
    <m/>
    <m/>
    <m/>
    <m/>
    <m/>
    <m/>
    <m/>
    <m/>
    <m/>
    <m/>
    <n v="1"/>
    <m/>
    <m/>
    <s v="OAK"/>
  </r>
  <r>
    <n v="264"/>
    <s v="C11/015"/>
    <s v="Nichodemus"/>
    <s v="Mutinda"/>
    <s v="Kamuti"/>
    <x v="0"/>
    <n v="11"/>
    <s v="Kenya"/>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s v="Prof Gathumbi Karuri Peter_x000a_"/>
    <s v="Prof  Githigia Maina Samuel"/>
    <s v="Dr. Mulei Rumpel Isaac"/>
    <n v="3"/>
    <s v="Home"/>
    <s v="Home"/>
    <s v="Home"/>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n v="11"/>
    <s v="Nigeria"/>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s v="Dr. Babatunde Adeagbo"/>
    <s v="Dr. Adeagbo Ayodeji Babatunde"/>
    <m/>
    <n v="2"/>
    <s v="Home"/>
    <s v="Home"/>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n v="11"/>
    <s v="Malawi"/>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s v=" Prof Nicola Christofides"/>
    <s v="Dr Blessings N. Kaunda-Khangamwa"/>
    <s v="Professor Khudejha Asghar"/>
    <n v="3"/>
    <s v="Host"/>
    <s v="Home"/>
    <s v="Other"/>
    <m/>
    <m/>
    <m/>
    <m/>
    <m/>
    <m/>
    <x v="1"/>
    <m/>
    <m/>
    <s v="0000-0002-1492-260X"/>
    <m/>
    <d v="2025-03-03T00:00:00"/>
    <m/>
    <m/>
    <m/>
    <m/>
    <m/>
    <m/>
    <m/>
    <m/>
    <m/>
    <m/>
    <m/>
    <m/>
    <m/>
    <m/>
    <m/>
    <x v="19"/>
    <x v="2"/>
    <m/>
    <m/>
    <m/>
    <n v="8"/>
    <m/>
    <m/>
    <m/>
    <m/>
    <m/>
    <m/>
    <m/>
    <m/>
    <m/>
    <m/>
    <m/>
    <m/>
    <m/>
    <m/>
    <m/>
    <n v="2"/>
    <m/>
    <m/>
    <s v="SIDA"/>
  </r>
  <r>
    <n v="267"/>
    <s v="C11/018"/>
    <s v="Pierre Celestin"/>
    <m/>
    <s v="Munezero"/>
    <x v="0"/>
    <n v="11"/>
    <s v="Rwanda"/>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n v="11"/>
    <s v="Rwanda"/>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x v="10"/>
    <m/>
    <s v="Assoc.Prof Erigene Rutayisire_x000a_"/>
    <s v="Assoc. Prof. Olive Bazirete"/>
    <m/>
    <n v="2"/>
    <s v="Home"/>
    <s v="Home"/>
    <m/>
    <m/>
    <m/>
    <m/>
    <m/>
    <m/>
    <m/>
    <x v="1"/>
    <m/>
    <m/>
    <s v="0009-0008-1667-3046"/>
    <m/>
    <d v="2025-03-03T00:00:00"/>
    <m/>
    <m/>
    <m/>
    <m/>
    <m/>
    <m/>
    <m/>
    <m/>
    <m/>
    <m/>
    <m/>
    <m/>
    <m/>
    <m/>
    <m/>
    <x v="19"/>
    <x v="2"/>
    <m/>
    <m/>
    <m/>
    <n v="3"/>
    <m/>
    <m/>
    <m/>
    <m/>
    <m/>
    <m/>
    <m/>
    <m/>
    <m/>
    <m/>
    <m/>
    <m/>
    <m/>
    <m/>
    <m/>
    <n v="1"/>
    <m/>
    <m/>
    <s v="OAK"/>
  </r>
  <r>
    <n v="269"/>
    <s v="C11/020"/>
    <s v="Winifrida"/>
    <s v="Paschal"/>
    <s v="Mponzi"/>
    <x v="1"/>
    <n v="11"/>
    <s v="Tanzania"/>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s v=" Prof Nicola Christofides"/>
    <s v="Dr Emmanuel Willson Kaindoa"/>
    <s v="Prof. Ann Kelly"/>
    <n v="3"/>
    <s v="Host"/>
    <s v="Home"/>
    <s v="Other"/>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Malawi and Associates"/>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s v="University of the Witwatersrand"/>
    <s v="No"/>
    <m/>
    <s v="Married"/>
    <s v="Married"/>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s v="Researcher"/>
    <s v="Program Coordinator"/>
    <m/>
    <m/>
    <m/>
    <m/>
    <s v="0000-0002-9559-2816"/>
    <m/>
    <d v="2026-03-02T00:00:00"/>
    <m/>
    <m/>
    <m/>
    <m/>
    <m/>
    <m/>
    <m/>
    <m/>
    <m/>
    <m/>
    <m/>
    <m/>
    <m/>
    <m/>
    <m/>
    <x v="19"/>
    <x v="2"/>
    <m/>
    <m/>
    <m/>
    <n v="10"/>
    <m/>
    <m/>
    <m/>
    <m/>
    <m/>
    <m/>
    <m/>
    <m/>
    <m/>
    <m/>
    <m/>
    <m/>
    <m/>
    <m/>
    <m/>
    <m/>
    <m/>
    <m/>
    <m/>
  </r>
  <r>
    <n v="271"/>
    <s v="C12/002"/>
    <s v="Itumeleng"/>
    <m/>
    <s v="Tsatsi-Mosala"/>
    <x v="1"/>
    <x v="11"/>
    <x v="5"/>
    <x v="6"/>
    <s v="Public Health"/>
    <s v="Public Health "/>
    <s v="University of the Witwatersrand"/>
    <s v="Yes"/>
    <m/>
    <s v="Married"/>
    <s v="Married"/>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s v="Academic"/>
    <s v="Lecturer"/>
    <m/>
    <m/>
    <m/>
    <m/>
    <s v="0000-0001-5509-9659"/>
    <m/>
    <d v="2026-03-02T00:00:00"/>
    <m/>
    <m/>
    <m/>
    <m/>
    <m/>
    <m/>
    <m/>
    <m/>
    <m/>
    <m/>
    <m/>
    <m/>
    <m/>
    <m/>
    <m/>
    <x v="19"/>
    <x v="2"/>
    <m/>
    <m/>
    <m/>
    <n v="6"/>
    <m/>
    <m/>
    <m/>
    <m/>
    <m/>
    <m/>
    <m/>
    <m/>
    <m/>
    <m/>
    <m/>
    <m/>
    <m/>
    <m/>
    <m/>
    <m/>
    <m/>
    <m/>
    <m/>
  </r>
  <r>
    <n v="272"/>
    <s v="C12/003"/>
    <s v="Qamar"/>
    <s v="Olamide"/>
    <s v="Adeosun"/>
    <x v="0"/>
    <x v="11"/>
    <x v="0"/>
    <x v="0"/>
    <s v="Sociology"/>
    <s v="Department of Sociology"/>
    <s v="University of Ibadan"/>
    <s v="Yes"/>
    <m/>
    <s v="Single"/>
    <s v="Single"/>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s v="Academic"/>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s v="University of Rwanda"/>
    <s v="Yes"/>
    <m/>
    <s v="Married"/>
    <s v="Married"/>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s v="Academic"/>
    <s v="Assistant Lecturer"/>
    <m/>
    <m/>
    <m/>
    <m/>
    <s v="0000-0002-5601-0326"/>
    <m/>
    <d v="2026-03-02T00:00:00"/>
    <m/>
    <m/>
    <m/>
    <m/>
    <m/>
    <m/>
    <m/>
    <m/>
    <m/>
    <m/>
    <m/>
    <m/>
    <m/>
    <m/>
    <m/>
    <x v="19"/>
    <x v="2"/>
    <m/>
    <m/>
    <m/>
    <n v="4"/>
    <m/>
    <m/>
    <m/>
    <m/>
    <m/>
    <m/>
    <m/>
    <m/>
    <m/>
    <m/>
    <m/>
    <m/>
    <m/>
    <m/>
    <m/>
    <m/>
    <m/>
    <m/>
    <m/>
  </r>
  <r>
    <n v="274"/>
    <s v="C12/005"/>
    <s v="Edna"/>
    <m/>
    <s v="Mandala"/>
    <x v="1"/>
    <x v="11"/>
    <x v="3"/>
    <x v="3"/>
    <s v="Nursing"/>
    <m/>
    <s v="University of Malawi and Associates"/>
    <s v="Yes"/>
    <m/>
    <s v="Single"/>
    <s v="Single"/>
    <m/>
    <s v="emandala@cartafrica.org"/>
    <s v="emandala@kuhes.ac.mw"/>
    <s v="+265997786593"/>
    <s v="Master in Public Health (2019)"/>
    <d v="1987-05-08T00:00:00"/>
    <s v="Preventing Antimicrobial resistance in under f five children in Malawi"/>
    <s v="Field based"/>
    <m/>
    <m/>
    <m/>
    <m/>
    <d v="2026-03-02T00:00:00"/>
    <m/>
    <m/>
    <m/>
    <m/>
    <m/>
    <m/>
    <m/>
    <m/>
    <m/>
    <m/>
    <m/>
    <s v="Academic"/>
    <s v="Lecturer"/>
    <m/>
    <m/>
    <m/>
    <m/>
    <s v="0000-0002-0866-0818"/>
    <m/>
    <d v="2026-03-02T00:00:00"/>
    <m/>
    <m/>
    <m/>
    <m/>
    <m/>
    <m/>
    <m/>
    <m/>
    <m/>
    <m/>
    <m/>
    <m/>
    <m/>
    <m/>
    <m/>
    <x v="19"/>
    <x v="2"/>
    <m/>
    <m/>
    <m/>
    <n v="4"/>
    <m/>
    <m/>
    <m/>
    <m/>
    <m/>
    <m/>
    <m/>
    <m/>
    <m/>
    <m/>
    <m/>
    <m/>
    <m/>
    <m/>
    <m/>
    <m/>
    <m/>
    <m/>
    <m/>
  </r>
  <r>
    <n v="275"/>
    <s v="C12/006"/>
    <s v="Hellen"/>
    <m/>
    <s v="Butungi"/>
    <x v="1"/>
    <x v="11"/>
    <x v="6"/>
    <x v="10"/>
    <s v="Microbial genomics"/>
    <s v="Biochemistry and Sports Science"/>
    <s v="Makerere University"/>
    <s v="Yes"/>
    <m/>
    <s v="Single"/>
    <s v="Single"/>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s v="Academic"/>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s v="University of Rwanda"/>
    <s v="Yes"/>
    <m/>
    <s v="Married"/>
    <s v="Married"/>
    <m/>
    <s v="jhitayezu@cartafrica.org_x000a_"/>
    <s v="hitab88@gmail.com"/>
    <s v="+250788273931"/>
    <n v="2022"/>
    <d v="1988-01-31T00:00:00"/>
    <s v="Integrating trauma-and violence-Informed maternity care for women with previous poor neonatal outcomes in Rwanda"/>
    <s v="Field based"/>
    <m/>
    <m/>
    <m/>
    <m/>
    <d v="2026-03-02T00:00:00"/>
    <m/>
    <m/>
    <m/>
    <m/>
    <m/>
    <m/>
    <m/>
    <m/>
    <m/>
    <m/>
    <m/>
    <s v="Academic"/>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s v="University of Rwanda"/>
    <s v="Yes"/>
    <m/>
    <s v="Single"/>
    <s v="Single"/>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s v="Academic"/>
    <s v="Assistant Lecturer"/>
    <m/>
    <m/>
    <m/>
    <m/>
    <s v="0000-0001-9420-882X"/>
    <m/>
    <d v="2026-03-02T00:00:00"/>
    <m/>
    <m/>
    <m/>
    <m/>
    <m/>
    <m/>
    <m/>
    <m/>
    <m/>
    <m/>
    <m/>
    <m/>
    <m/>
    <m/>
    <m/>
    <x v="19"/>
    <x v="2"/>
    <m/>
    <m/>
    <m/>
    <n v="3"/>
    <m/>
    <m/>
    <m/>
    <m/>
    <m/>
    <m/>
    <m/>
    <m/>
    <m/>
    <m/>
    <m/>
    <m/>
    <m/>
    <m/>
    <m/>
    <m/>
    <m/>
    <m/>
    <m/>
  </r>
  <r>
    <n v="278"/>
    <s v="C12/009"/>
    <s v="Kingsley"/>
    <m/>
    <s v="Kanzoole"/>
    <x v="0"/>
    <x v="11"/>
    <x v="3"/>
    <x v="8"/>
    <s v="Public Health"/>
    <m/>
    <s v="University of the Witwatersrand"/>
    <m/>
    <m/>
    <s v="Married"/>
    <s v="Married"/>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s v="Researcher"/>
    <s v="Research Assistant "/>
    <m/>
    <m/>
    <m/>
    <m/>
    <s v="0000-0003-1287-9430"/>
    <m/>
    <d v="2026-03-02T00:00:00"/>
    <m/>
    <m/>
    <m/>
    <m/>
    <m/>
    <m/>
    <m/>
    <m/>
    <m/>
    <m/>
    <m/>
    <m/>
    <m/>
    <m/>
    <m/>
    <x v="19"/>
    <x v="2"/>
    <m/>
    <m/>
    <m/>
    <n v="4"/>
    <m/>
    <m/>
    <m/>
    <m/>
    <m/>
    <m/>
    <m/>
    <m/>
    <m/>
    <m/>
    <m/>
    <m/>
    <m/>
    <m/>
    <m/>
    <m/>
    <m/>
    <m/>
    <m/>
  </r>
  <r>
    <n v="279"/>
    <s v="C12/010"/>
    <s v="Mphatso"/>
    <s v="Saulos"/>
    <s v="Kantonya"/>
    <x v="0"/>
    <x v="11"/>
    <x v="3"/>
    <x v="3"/>
    <s v="Public Health (Infectious Diseases Pharmacoepidemiology)"/>
    <s v="School of Public and Global health"/>
    <s v="University of Malawi and Associates"/>
    <s v="Yes"/>
    <m/>
    <s v="Married"/>
    <s v="Married"/>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3"/>
    <s v="Obstetrics and Gynaecology"/>
    <m/>
    <s v="University of Malawi and Associates"/>
    <m/>
    <m/>
    <s v="Married"/>
    <s v="Married"/>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s v="Academic"/>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s v="Makerere University"/>
    <s v="Yes"/>
    <m/>
    <s v="Single"/>
    <s v="Single"/>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s v="Academic"/>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s v="University of Nairobi"/>
    <s v="Yes"/>
    <m/>
    <s v="Single"/>
    <s v="Single"/>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s v="Academic"/>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s v="University of Ibadan"/>
    <s v="Yes"/>
    <m/>
    <s v="Married"/>
    <s v="Married"/>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s v="Academic"/>
    <s v="Lecturer"/>
    <m/>
    <m/>
    <m/>
    <m/>
    <s v="0000-0002-0686-1544"/>
    <m/>
    <d v="2026-03-02T00:00:00"/>
    <m/>
    <m/>
    <m/>
    <m/>
    <m/>
    <m/>
    <m/>
    <m/>
    <m/>
    <m/>
    <m/>
    <m/>
    <m/>
    <m/>
    <m/>
    <x v="19"/>
    <x v="2"/>
    <m/>
    <m/>
    <m/>
    <n v="43"/>
    <m/>
    <m/>
    <m/>
    <m/>
    <m/>
    <m/>
    <m/>
    <m/>
    <m/>
    <m/>
    <m/>
    <m/>
    <m/>
    <m/>
    <m/>
    <m/>
    <m/>
    <m/>
    <m/>
  </r>
  <r>
    <n v="284"/>
    <s v="C12/015"/>
    <s v="Olumuyiwa"/>
    <s v="Shola"/>
    <s v="Folayan"/>
    <x v="0"/>
    <x v="11"/>
    <x v="0"/>
    <x v="0"/>
    <s v="Paediatrics and Child Health"/>
    <m/>
    <s v="University of Ibadan"/>
    <m/>
    <m/>
    <s v="Married"/>
    <s v="Married"/>
    <m/>
    <s v="ofolayan@cartafrica.org"/>
    <s v="olufolayan19@gmail.com"/>
    <s v="+234 8058258556"/>
    <s v="Master in Public Health(2025)"/>
    <m/>
    <s v="Cardiovascular Risk Factors among  Adolescents living in Ibadan North  Local Government Area"/>
    <s v="Clinical research"/>
    <m/>
    <m/>
    <m/>
    <m/>
    <d v="2026-03-02T00:00:00"/>
    <m/>
    <m/>
    <m/>
    <m/>
    <m/>
    <m/>
    <m/>
    <m/>
    <m/>
    <m/>
    <m/>
    <s v="Academic"/>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s v="University of Ibadan"/>
    <m/>
    <m/>
    <s v="Married"/>
    <s v="Married"/>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s v="Academic"/>
    <s v="Assistant Lecturer"/>
    <m/>
    <m/>
    <m/>
    <m/>
    <s v="0000-0002-4249-7380"/>
    <m/>
    <d v="2026-03-02T00:00:00"/>
    <m/>
    <m/>
    <m/>
    <m/>
    <m/>
    <m/>
    <m/>
    <m/>
    <m/>
    <m/>
    <m/>
    <m/>
    <m/>
    <m/>
    <m/>
    <x v="19"/>
    <x v="2"/>
    <m/>
    <m/>
    <m/>
    <n v="16"/>
    <m/>
    <m/>
    <m/>
    <m/>
    <m/>
    <m/>
    <m/>
    <m/>
    <m/>
    <m/>
    <m/>
    <m/>
    <m/>
    <m/>
    <m/>
    <m/>
    <m/>
    <m/>
    <m/>
  </r>
  <r>
    <n v="286"/>
    <s v="C12/017"/>
    <s v="Patrick"/>
    <m/>
    <s v="Amboka"/>
    <x v="0"/>
    <x v="11"/>
    <x v="2"/>
    <x v="11"/>
    <s v="Public Health"/>
    <m/>
    <s v="University of the Witwatersrand"/>
    <m/>
    <m/>
    <s v="Single"/>
    <s v="Single"/>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s v="Researcher"/>
    <s v="Project Officer"/>
    <m/>
    <m/>
    <m/>
    <m/>
    <s v="0000-0003-4295-3515"/>
    <m/>
    <d v="2026-03-02T00:00:00"/>
    <m/>
    <m/>
    <m/>
    <m/>
    <m/>
    <m/>
    <m/>
    <m/>
    <m/>
    <m/>
    <m/>
    <m/>
    <m/>
    <m/>
    <m/>
    <x v="19"/>
    <x v="2"/>
    <m/>
    <m/>
    <m/>
    <n v="12"/>
    <m/>
    <m/>
    <m/>
    <m/>
    <m/>
    <m/>
    <m/>
    <m/>
    <m/>
    <m/>
    <m/>
    <m/>
    <m/>
    <m/>
    <m/>
    <m/>
    <m/>
    <m/>
    <m/>
  </r>
  <r>
    <n v="287"/>
    <s v="C12/018"/>
    <s v="REBECCA CLAIRE"/>
    <m/>
    <s v="LUSOBYA"/>
    <x v="1"/>
    <x v="11"/>
    <x v="6"/>
    <x v="10"/>
    <s v="Ophthalmology"/>
    <s v="OPHTHALMOLOGY"/>
    <s v="Makerere University"/>
    <s v="Yes"/>
    <m/>
    <s v="Married"/>
    <s v="Married"/>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s v="Academic"/>
    <s v="Senior Lecturer"/>
    <m/>
    <m/>
    <m/>
    <m/>
    <s v="0000-0002-7149-703X"/>
    <m/>
    <d v="2026-03-02T00:00:00"/>
    <m/>
    <m/>
    <m/>
    <m/>
    <m/>
    <m/>
    <m/>
    <m/>
    <m/>
    <m/>
    <m/>
    <m/>
    <m/>
    <m/>
    <m/>
    <x v="19"/>
    <x v="2"/>
    <m/>
    <m/>
    <m/>
    <n v="18"/>
    <m/>
    <m/>
    <m/>
    <m/>
    <m/>
    <m/>
    <m/>
    <m/>
    <m/>
    <m/>
    <m/>
    <m/>
    <m/>
    <m/>
    <m/>
    <m/>
    <m/>
    <m/>
    <m/>
  </r>
  <r>
    <n v="288"/>
    <s v="C12/019"/>
    <s v="Regina"/>
    <s v="Tikhala"/>
    <s v="Makuluni"/>
    <x v="1"/>
    <x v="11"/>
    <x v="3"/>
    <x v="3"/>
    <s v="Public Health"/>
    <m/>
    <s v="University of Malawi and Associates"/>
    <m/>
    <m/>
    <s v="Married"/>
    <s v="Married"/>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s v="University of Rwanda"/>
    <s v="Yes"/>
    <m/>
    <s v="Married"/>
    <s v="Married"/>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s v="Other"/>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s v="Moi University"/>
    <s v="Yes"/>
    <m/>
    <s v="Married"/>
    <s v="Married"/>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s v="Researcher"/>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s v="Makerere University"/>
    <s v="Yes"/>
    <m/>
    <s v="Married"/>
    <s v="Married"/>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s v="Other"/>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and Associates"/>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and Associates"/>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and Associates"/>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and Associates"/>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and Associates"/>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and Associates"/>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and Associates"/>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and Associates"/>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and Associates"/>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8"/>
    <s v="C3/022"/>
    <s v="Save"/>
    <m/>
    <s v="Kumwenda"/>
    <x v="0"/>
    <x v="2"/>
    <s v="Malawi"/>
    <s v="University of Malawi and Associates"/>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and Associates"/>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and Associates"/>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Associate Professo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and Associates"/>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and Associates"/>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and Associates"/>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and Associates"/>
    <m/>
    <m/>
    <s v="University of Malawi and Associates"/>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and Associates"/>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and Associates"/>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and Associates"/>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and Associates"/>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and Associates"/>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and Associates"/>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and Associates"/>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and Associates"/>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and Associates"/>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and Associates"/>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and Associates"/>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and Associates"/>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and Associates"/>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and Associates"/>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89319-9EF5-40A0-B009-F394B78B311C}" name="PivotTable3" cacheId="51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6"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2">
    <conditionalFormat priority="1">
      <pivotAreas count="1">
        <pivotArea type="data" outline="0" collapsedLevelsAreSubtotals="1" fieldPosition="0">
          <references count="3">
            <reference field="4294967294" count="1" selected="0">
              <x v="0"/>
            </reference>
            <reference field="6" count="2" selected="0">
              <x v="10"/>
              <x v="11"/>
            </reference>
            <reference field="65" count="3" selected="0">
              <x v="0"/>
              <x v="1"/>
              <x v="2"/>
            </reference>
          </references>
        </pivotArea>
      </pivotAreas>
    </conditionalFormat>
    <conditionalFormat priority="2">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1"/>
              <x v="2"/>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1"/>
          </reference>
        </references>
      </pivotArea>
    </chartFormat>
    <chartFormat chart="17" format="2" series="1">
      <pivotArea type="data" outline="0" fieldPosition="0">
        <references count="2">
          <reference field="4294967294" count="1" selected="0">
            <x v="0"/>
          </reference>
          <reference field="65" count="1" selected="0">
            <x v="2"/>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1"/>
          </reference>
        </references>
      </pivotArea>
    </chartFormat>
    <chartFormat chart="18" format="5" series="1">
      <pivotArea type="data" outline="0" fieldPosition="0">
        <references count="2">
          <reference field="4294967294" count="1" selected="0">
            <x v="0"/>
          </reference>
          <reference field="65" count="1" selected="0">
            <x v="2"/>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1"/>
          </reference>
        </references>
      </pivotArea>
    </chartFormat>
    <chartFormat chart="19" format="8" series="1">
      <pivotArea type="data" outline="0" fieldPosition="0">
        <references count="2">
          <reference field="4294967294" count="1" selected="0">
            <x v="0"/>
          </reference>
          <reference field="65" count="1" selected="0">
            <x v="2"/>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1"/>
          </reference>
        </references>
      </pivotArea>
    </chartFormat>
    <chartFormat chart="20" format="16" series="1">
      <pivotArea type="data" outline="0" fieldPosition="0">
        <references count="2">
          <reference field="4294967294" count="1" selected="0">
            <x v="0"/>
          </reference>
          <reference field="65" count="1" selected="0">
            <x v="2"/>
          </reference>
        </references>
      </pivotArea>
    </chartFormat>
    <chartFormat chart="20" format="17">
      <pivotArea type="data" outline="0" fieldPosition="0">
        <references count="3">
          <reference field="4294967294" count="1" selected="0">
            <x v="0"/>
          </reference>
          <reference field="6" count="1" selected="0">
            <x v="0"/>
          </reference>
          <reference field="65" count="1" selected="0">
            <x v="1"/>
          </reference>
        </references>
      </pivotArea>
    </chartFormat>
    <chartFormat chart="20" format="18">
      <pivotArea type="data" outline="0" fieldPosition="0">
        <references count="3">
          <reference field="4294967294" count="1" selected="0">
            <x v="0"/>
          </reference>
          <reference field="6" count="1" selected="0">
            <x v="8"/>
          </reference>
          <reference field="65" count="1" selected="0">
            <x v="2"/>
          </reference>
        </references>
      </pivotArea>
    </chartFormat>
    <chartFormat chart="20" format="19">
      <pivotArea type="data" outline="0" fieldPosition="0">
        <references count="3">
          <reference field="4294967294" count="1" selected="0">
            <x v="0"/>
          </reference>
          <reference field="6" count="1" selected="0">
            <x v="9"/>
          </reference>
          <reference field="65" count="1" selected="0">
            <x v="2"/>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51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51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F82A39-8EFA-48BE-AB85-39E2E32CD5C4}" name="PivotTable8" cacheId="51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O13:R27"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51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51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4">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25">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 chart="21" format="13">
      <pivotArea type="data" outline="0" fieldPosition="0">
        <references count="2">
          <reference field="4294967294" count="1" selected="0">
            <x v="0"/>
          </reference>
          <reference field="5" count="1" selected="0">
            <x v="2"/>
          </reference>
        </references>
      </pivotArea>
    </chartFormat>
    <chartFormat chart="21" format="14">
      <pivotArea type="data" outline="0" fieldPosition="0">
        <references count="2">
          <reference field="4294967294" count="1" selected="0">
            <x v="0"/>
          </reference>
          <reference field="5" count="1" selected="0">
            <x v="3"/>
          </reference>
        </references>
      </pivotArea>
    </chartFormat>
    <chartFormat chart="21" format="15">
      <pivotArea type="data" outline="0" fieldPosition="0">
        <references count="2">
          <reference field="4294967294" count="1" selected="0">
            <x v="0"/>
          </reference>
          <reference field="5" count="1" selected="0">
            <x v="4"/>
          </reference>
        </references>
      </pivotArea>
    </chartFormat>
    <chartFormat chart="21" format="1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3912B6-8389-4694-8F1E-477DCF932AE3}" name="PivotTable10" cacheId="51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100:E115"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dataFields count="1">
    <dataField name="Count of Unique ID" fld="1" subtotal="count" baseField="0" baseItem="0"/>
  </dataFields>
  <conditionalFormats count="2">
    <conditionalFormat priority="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518"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51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51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v="4"/>
    </i>
    <i>
      <x v="5"/>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51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3">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pageFields count="1">
    <pageField fld="65" hier="-1"/>
  </pageFields>
  <dataFields count="1">
    <dataField name="Count of Unique ID" fld="1" subtotal="count" baseField="0" baseItem="0"/>
  </dataFields>
  <conditionalFormats count="1">
    <conditionalFormat priority="10">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10">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 chart="19" format="6" series="1">
      <pivotArea type="data" outline="0" fieldPosition="0">
        <references count="2">
          <reference field="4294967294" count="1" selected="0">
            <x v="0"/>
          </reference>
          <reference field="5" count="1" selected="0">
            <x v="2"/>
          </reference>
        </references>
      </pivotArea>
    </chartFormat>
    <chartFormat chart="19" format="7" series="1">
      <pivotArea type="data" outline="0" fieldPosition="0">
        <references count="2">
          <reference field="4294967294" count="1" selected="0">
            <x v="0"/>
          </reference>
          <reference field="5" count="1" selected="0">
            <x v="3"/>
          </reference>
        </references>
      </pivotArea>
    </chartFormat>
    <chartFormat chart="19" format="8" series="1">
      <pivotArea type="data" outline="0" fieldPosition="0">
        <references count="2">
          <reference field="4294967294" count="1" selected="0">
            <x v="0"/>
          </reference>
          <reference field="5" count="1" selected="0">
            <x v="4"/>
          </reference>
        </references>
      </pivotArea>
    </chartFormat>
    <chartFormat chart="19" format="9"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C6FE4A-9062-424F-86E3-96F7B52900A8}" name="PivotTable5" cacheId="51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9">
  <location ref="N4:O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3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 chart="26" format="17">
      <pivotArea type="data" outline="0" fieldPosition="0">
        <references count="2">
          <reference field="4294967294" count="1" selected="0">
            <x v="0"/>
          </reference>
          <reference field="5" count="1" selected="0">
            <x v="2"/>
          </reference>
        </references>
      </pivotArea>
    </chartFormat>
    <chartFormat chart="26" format="18">
      <pivotArea type="data" outline="0" fieldPosition="0">
        <references count="2">
          <reference field="4294967294" count="1" selected="0">
            <x v="0"/>
          </reference>
          <reference field="5" count="1" selected="0">
            <x v="3"/>
          </reference>
        </references>
      </pivotArea>
    </chartFormat>
    <chartFormat chart="26" format="19">
      <pivotArea type="data" outline="0" fieldPosition="0">
        <references count="2">
          <reference field="4294967294" count="1" selected="0">
            <x v="0"/>
          </reference>
          <reference field="5" count="1" selected="0">
            <x v="4"/>
          </reference>
        </references>
      </pivotArea>
    </chartFormat>
    <chartFormat chart="26"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50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2">
        <item x="9"/>
        <item x="2"/>
        <item x="7"/>
        <item x="1"/>
        <item x="0"/>
        <item x="6"/>
        <item x="5"/>
        <item m="1" x="11"/>
        <item x="3"/>
        <item x="8"/>
        <item x="4"/>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8"/>
    </i>
    <i>
      <x v="9"/>
    </i>
    <i>
      <x v="10"/>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51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3">
    <conditionalFormat priority="8">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1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6">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E2DCDB6-8277-4CD9-9866-060EC10A744E}" name="PivotTable9" cacheId="51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93:K108"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5"/>
  </colFields>
  <colItems count="3">
    <i>
      <x v="4"/>
    </i>
    <i>
      <x v="5"/>
    </i>
    <i t="grand">
      <x/>
    </i>
  </colItem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3">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51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multipleItemSelectionAllowed="1" showAll="0"/>
    <pivotField compact="0" outline="0" showAll="0"/>
    <pivotField axis="axisRow" compact="0" outline="0" showAll="0" sortType="ascending" defaultSubtotal="0">
      <items count="15">
        <item x="8"/>
        <item x="11"/>
        <item x="4"/>
        <item x="10"/>
        <item x="2"/>
        <item x="5"/>
        <item x="12"/>
        <item x="9"/>
        <item x="0"/>
        <item m="1" x="13"/>
        <item x="3"/>
        <item x="7"/>
        <item x="1"/>
        <item x="6"/>
        <item m="1" x="14"/>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5"/>
        <item h="1" x="51"/>
        <item h="1" x="113"/>
        <item h="1" x="137"/>
        <item h="1" x="161"/>
        <item h="1" x="144"/>
        <item h="1" x="142"/>
        <item h="1" x="139"/>
        <item h="1" x="157"/>
        <item h="1" x="133"/>
        <item h="1" x="107"/>
        <item h="1" x="159"/>
        <item h="1" x="147"/>
        <item h="1" x="104"/>
        <item h="1" x="149"/>
        <item h="1" x="136"/>
        <item h="1" x="125"/>
        <item h="1" x="146"/>
        <item h="1" x="101"/>
        <item h="1" x="143"/>
        <item h="1" x="134"/>
        <item h="1" x="150"/>
        <item h="1" x="162"/>
        <item h="1" x="163"/>
        <item h="1" x="84"/>
        <item h="1" x="115"/>
        <item h="1" x="166"/>
        <item h="1" x="89"/>
        <item h="1" x="165"/>
        <item x="135"/>
        <item x="140"/>
        <item x="153"/>
        <item x="156"/>
        <item x="123"/>
        <item x="102"/>
        <item h="1" x="19"/>
        <item h="1" x="82"/>
        <item h="1" x="151"/>
        <item h="1" x="138"/>
        <item h="1" x="164"/>
        <item h="1" x="167"/>
        <item h="1" x="160"/>
        <item h="1" x="152"/>
        <item h="1" x="154"/>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1"/>
    </i>
    <i>
      <x v="13"/>
    </i>
    <i t="grand">
      <x/>
    </i>
  </rowItems>
  <colFields count="2">
    <field x="5"/>
    <field x="65"/>
  </colFields>
  <colItems count="3">
    <i>
      <x v="3"/>
      <x/>
    </i>
    <i t="default">
      <x v="3"/>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5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showAll="0"/>
    <pivotField compact="0" outline="0" showAll="0"/>
    <pivotField axis="axisRow" compact="0" outline="0" showAll="0">
      <items count="16">
        <item x="8"/>
        <item x="11"/>
        <item x="4"/>
        <item x="10"/>
        <item x="2"/>
        <item x="5"/>
        <item x="12"/>
        <item x="9"/>
        <item x="0"/>
        <item m="1" x="13"/>
        <item x="7"/>
        <item x="1"/>
        <item x="6"/>
        <item m="1" x="1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10"/>
    </i>
    <i>
      <x v="11"/>
    </i>
    <i>
      <x v="12"/>
    </i>
    <i>
      <x v="14"/>
    </i>
    <i t="grand">
      <x/>
    </i>
  </rowItems>
  <colFields count="1">
    <field x="5"/>
  </colFields>
  <colItems count="3">
    <i>
      <x v="2"/>
    </i>
    <i>
      <x v="3"/>
    </i>
    <i t="grand">
      <x/>
    </i>
  </colItems>
  <pageFields count="1">
    <pageField fld="43" hier="-1"/>
  </pageFields>
  <dataFields count="1">
    <dataField name="Count of S.No." fld="0"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5" count="1" selected="0">
            <x v="2"/>
          </reference>
        </references>
      </pivotArea>
    </chartFormat>
    <chartFormat chart="9" format="7"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E736162-8216-4474-9285-61CE69C42524}" name="PivotTable8" cacheId="51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E26:H41" firstHeaderRow="1" firstDataRow="2" firstDataCol="1" rowPageCount="1" colPageCount="1"/>
  <pivotFields count="89">
    <pivotField dataField="1" compact="0" outline="0" showAll="0"/>
    <pivotField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x="3"/>
        <item m="1" x="13"/>
        <item m="1" x="14"/>
        <item m="1" x="16"/>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3"/>
    </i>
    <i t="grand">
      <x/>
    </i>
  </rowItems>
  <colFields count="1">
    <field x="5"/>
  </colFields>
  <colItems count="3">
    <i>
      <x v="4"/>
    </i>
    <i>
      <x v="5"/>
    </i>
    <i t="grand">
      <x/>
    </i>
  </colItems>
  <pageFields count="1">
    <pageField fld="65" hier="-1"/>
  </pageFields>
  <dataFields count="1">
    <dataField name="Count of S.No." fld="0" subtotal="count" baseField="8" baseItem="0"/>
  </dataFields>
  <chartFormats count="10">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14" format="3" series="1">
      <pivotArea type="data" outline="0" fieldPosition="0">
        <references count="2">
          <reference field="4294967294" count="1" selected="0">
            <x v="0"/>
          </reference>
          <reference field="5" count="1" selected="0">
            <x v="3"/>
          </reference>
        </references>
      </pivotArea>
    </chartFormat>
    <chartFormat chart="14" format="4" series="1">
      <pivotArea type="data" outline="0" fieldPosition="0">
        <references count="2">
          <reference field="4294967294" count="1" selected="0">
            <x v="0"/>
          </reference>
          <reference field="5" count="1" selected="0">
            <x v="4"/>
          </reference>
        </references>
      </pivotArea>
    </chartFormat>
    <chartFormat chart="14"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5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4"/>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1"/>
        <item x="2"/>
        <item x="3"/>
        <item x="4"/>
        <item x="5"/>
        <item x="6"/>
        <item x="7"/>
        <item x="8"/>
        <item x="9"/>
        <item x="10"/>
        <item x="11"/>
        <item x="12"/>
        <item x="13"/>
        <item x="14"/>
        <item x="15"/>
        <item x="0"/>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5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8"/>
        <item x="15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rinterSettings" Target="../printerSettings/printerSettings1.bin"/><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205" Type="http://schemas.openxmlformats.org/officeDocument/2006/relationships/hyperlink" Target="mailto:kgakzin88@gmail.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206" Type="http://schemas.openxmlformats.org/officeDocument/2006/relationships/hyperlink" Target="mailto:patieshamu@gmail.com;%20pshamu@wrhi.ac.za"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207" Type="http://schemas.openxmlformats.org/officeDocument/2006/relationships/hyperlink" Target="mailto:marifamuchemwa@yahoo.com"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4" Type="http://schemas.openxmlformats.org/officeDocument/2006/relationships/hyperlink" Target="mailto:rrutayisire@cartafrica.org"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31" Type="http://schemas.openxmlformats.org/officeDocument/2006/relationships/hyperlink" Target="mailto:mnalweyiso@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hyperlink" Target="mailto:ahusien@cartafrica.org" TargetMode="External"/><Relationship Id="rId203" Type="http://schemas.openxmlformats.org/officeDocument/2006/relationships/hyperlink" Target="mailto:cohia@cartafrica.org" TargetMode="External"/><Relationship Id="rId208" Type="http://schemas.openxmlformats.org/officeDocument/2006/relationships/printerSettings" Target="../printerSettings/printerSettings2.bin"/><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209" Type="http://schemas.openxmlformats.org/officeDocument/2006/relationships/vmlDrawing" Target="../drawings/vmlDrawing1.vml"/><Relationship Id="rId190" Type="http://schemas.openxmlformats.org/officeDocument/2006/relationships/hyperlink" Target="mailto:aadefolarin@cartafrica.org" TargetMode="External"/><Relationship Id="rId204" Type="http://schemas.openxmlformats.org/officeDocument/2006/relationships/hyperlink" Target="mailto:ohiacmd@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10" Type="http://schemas.openxmlformats.org/officeDocument/2006/relationships/comments" Target="../comments1.xm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hyperlink" Target="mailto:dramiina12@gmail.com"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11" Type="http://schemas.microsoft.com/office/2017/10/relationships/threadedComment" Target="../threadedComments/threadedComment1.xm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openxmlformats.org/officeDocument/2006/relationships/hyperlink" Target="mailto:ghassan@cartafrica.org" TargetMode="Externa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hyperlink" Target="mailto:fntirenganya@cartafrica.org" TargetMode="External"/><Relationship Id="rId202" Type="http://schemas.openxmlformats.org/officeDocument/2006/relationships/hyperlink" Target="mailto:amuhayimana@cartafrica.org"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40" Type="http://schemas.openxmlformats.org/officeDocument/2006/relationships/hyperlink" Target="mailto:mben.olufsen@gmail.com" TargetMode="External"/><Relationship Id="rId115" Type="http://schemas.openxmlformats.org/officeDocument/2006/relationships/hyperlink" Target="mailto:oomosehin@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6"/>
  <sheetViews>
    <sheetView showGridLines="0" tabSelected="1" topLeftCell="B16" zoomScale="88" zoomScaleNormal="88" workbookViewId="0">
      <selection activeCell="E59" sqref="E59"/>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20</v>
      </c>
      <c r="D53">
        <v>4</v>
      </c>
      <c r="E53">
        <v>1</v>
      </c>
      <c r="F53">
        <v>25</v>
      </c>
      <c r="G53" s="308"/>
    </row>
    <row r="54" spans="2:8">
      <c r="B54">
        <v>11</v>
      </c>
      <c r="C54"/>
      <c r="D54">
        <v>19</v>
      </c>
      <c r="E54">
        <v>1</v>
      </c>
      <c r="F54">
        <v>20</v>
      </c>
      <c r="G54" s="308"/>
    </row>
    <row r="55" spans="2:8">
      <c r="B55">
        <v>12</v>
      </c>
      <c r="C55"/>
      <c r="D55">
        <v>22</v>
      </c>
      <c r="E55"/>
      <c r="F55">
        <v>22</v>
      </c>
      <c r="G55" s="308"/>
    </row>
    <row r="56" spans="2:8">
      <c r="B56" t="s">
        <v>19</v>
      </c>
      <c r="C56">
        <v>197</v>
      </c>
      <c r="D56">
        <v>64</v>
      </c>
      <c r="E56">
        <v>26</v>
      </c>
      <c r="F56">
        <v>287</v>
      </c>
    </row>
  </sheetData>
  <conditionalFormatting pivot="1" sqref="C44:E53">
    <cfRule type="dataBar" priority="2">
      <dataBar>
        <cfvo type="min"/>
        <cfvo type="max"/>
        <color rgb="FFFF555A"/>
      </dataBar>
      <extLst>
        <ext xmlns:x14="http://schemas.microsoft.com/office/spreadsheetml/2009/9/main" uri="{B025F937-C7B1-47D3-B67F-A62EFF666E3E}">
          <x14:id>{05CF808C-860C-4632-BC11-F79804AE8385}</x14:id>
        </ext>
      </extLst>
    </cfRule>
  </conditionalFormatting>
  <conditionalFormatting pivot="1" sqref="C54:E55">
    <cfRule type="dataBar" priority="1">
      <dataBar>
        <cfvo type="min"/>
        <cfvo type="max"/>
        <color rgb="FFFF555A"/>
      </dataBar>
      <extLst>
        <ext xmlns:x14="http://schemas.microsoft.com/office/spreadsheetml/2009/9/main" uri="{B025F937-C7B1-47D3-B67F-A62EFF666E3E}">
          <x14:id>{287B1AF2-9A0F-4E1A-9E3D-FDC1E5C6C219}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 xmlns:xm="http://schemas.microsoft.com/office/excel/2006/main" pivot="1">
          <x14:cfRule type="dataBar" id="{287B1AF2-9A0F-4E1A-9E3D-FDC1E5C6C219}">
            <x14:dataBar minLength="0" maxLength="100" gradient="0">
              <x14:cfvo type="autoMin"/>
              <x14:cfvo type="autoMax"/>
              <x14:negativeFillColor rgb="FFFF0000"/>
              <x14:axisColor rgb="FF000000"/>
            </x14:dataBar>
          </x14:cfRule>
          <xm:sqref>C54:E55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91">
        <v>20</v>
      </c>
      <c r="C5" s="491"/>
      <c r="D5" s="491">
        <v>3</v>
      </c>
      <c r="E5" s="491">
        <v>23</v>
      </c>
    </row>
    <row r="6" spans="1:5">
      <c r="A6" s="41">
        <v>2</v>
      </c>
      <c r="B6" s="491">
        <v>15</v>
      </c>
      <c r="C6" s="491">
        <v>1</v>
      </c>
      <c r="D6" s="491">
        <v>4</v>
      </c>
      <c r="E6" s="491">
        <v>20</v>
      </c>
    </row>
    <row r="7" spans="1:5">
      <c r="A7" s="41">
        <v>3</v>
      </c>
      <c r="B7" s="491">
        <v>18</v>
      </c>
      <c r="C7" s="491">
        <v>3</v>
      </c>
      <c r="D7" s="491">
        <v>2</v>
      </c>
      <c r="E7" s="491">
        <v>23</v>
      </c>
    </row>
    <row r="8" spans="1:5">
      <c r="A8" s="41">
        <v>4</v>
      </c>
      <c r="B8" s="491">
        <v>25</v>
      </c>
      <c r="C8" s="491">
        <v>1</v>
      </c>
      <c r="D8" s="491">
        <v>1</v>
      </c>
      <c r="E8" s="491">
        <v>27</v>
      </c>
    </row>
    <row r="9" spans="1:5">
      <c r="A9" s="41">
        <v>5</v>
      </c>
      <c r="B9" s="491">
        <v>18</v>
      </c>
      <c r="C9" s="491">
        <v>2</v>
      </c>
      <c r="D9" s="491">
        <v>5</v>
      </c>
      <c r="E9" s="491">
        <v>25</v>
      </c>
    </row>
    <row r="10" spans="1:5">
      <c r="A10" s="41">
        <v>6</v>
      </c>
      <c r="B10" s="491">
        <v>24</v>
      </c>
      <c r="C10" s="491"/>
      <c r="D10" s="491">
        <v>1</v>
      </c>
      <c r="E10" s="491">
        <v>25</v>
      </c>
    </row>
    <row r="11" spans="1:5">
      <c r="A11" s="41">
        <v>7</v>
      </c>
      <c r="B11" s="491">
        <v>24</v>
      </c>
      <c r="C11" s="491"/>
      <c r="D11" s="491">
        <v>3</v>
      </c>
      <c r="E11" s="491">
        <v>27</v>
      </c>
    </row>
    <row r="12" spans="1:5">
      <c r="A12" s="41">
        <v>8</v>
      </c>
      <c r="B12" s="491">
        <v>17</v>
      </c>
      <c r="C12" s="491">
        <v>6</v>
      </c>
      <c r="D12" s="491">
        <v>3</v>
      </c>
      <c r="E12" s="491">
        <v>26</v>
      </c>
    </row>
    <row r="13" spans="1:5">
      <c r="A13" s="41">
        <v>9</v>
      </c>
      <c r="B13" s="491">
        <v>16</v>
      </c>
      <c r="C13" s="491">
        <v>6</v>
      </c>
      <c r="D13" s="491">
        <v>2</v>
      </c>
      <c r="E13" s="491">
        <v>24</v>
      </c>
    </row>
    <row r="14" spans="1:5">
      <c r="A14" s="41">
        <v>10</v>
      </c>
      <c r="B14" s="491">
        <v>20</v>
      </c>
      <c r="C14" s="491">
        <v>4</v>
      </c>
      <c r="D14" s="491">
        <v>1</v>
      </c>
      <c r="E14" s="491">
        <v>25</v>
      </c>
    </row>
    <row r="15" spans="1:5">
      <c r="A15" s="41" t="s">
        <v>19</v>
      </c>
      <c r="B15" s="491">
        <v>197</v>
      </c>
      <c r="C15" s="491">
        <v>23</v>
      </c>
      <c r="D15" s="491">
        <v>25</v>
      </c>
      <c r="E15" s="491">
        <v>245</v>
      </c>
    </row>
    <row r="20" spans="1:5">
      <c r="A20" s="54" t="s">
        <v>21</v>
      </c>
      <c r="B20" s="54" t="s">
        <v>22</v>
      </c>
    </row>
    <row r="21" spans="1:5">
      <c r="A21" s="54" t="s">
        <v>23</v>
      </c>
      <c r="B21" t="s">
        <v>16</v>
      </c>
      <c r="C21" t="s">
        <v>17</v>
      </c>
      <c r="D21" t="s">
        <v>18</v>
      </c>
      <c r="E21" t="s">
        <v>19</v>
      </c>
    </row>
    <row r="22" spans="1:5">
      <c r="A22" s="41" t="s">
        <v>24</v>
      </c>
      <c r="B22" s="491">
        <v>86</v>
      </c>
      <c r="C22" s="491">
        <v>10</v>
      </c>
      <c r="D22" s="491">
        <v>13</v>
      </c>
      <c r="E22" s="491">
        <v>109</v>
      </c>
    </row>
    <row r="23" spans="1:5">
      <c r="A23" s="41" t="s">
        <v>25</v>
      </c>
      <c r="B23" s="491">
        <v>111</v>
      </c>
      <c r="C23" s="491">
        <v>13</v>
      </c>
      <c r="D23" s="491">
        <v>12</v>
      </c>
      <c r="E23" s="491">
        <v>136</v>
      </c>
    </row>
    <row r="24" spans="1:5">
      <c r="A24" s="41" t="s">
        <v>19</v>
      </c>
      <c r="B24" s="491">
        <v>197</v>
      </c>
      <c r="C24" s="491">
        <v>23</v>
      </c>
      <c r="D24" s="491">
        <v>25</v>
      </c>
      <c r="E24" s="491">
        <v>245</v>
      </c>
    </row>
    <row r="33" spans="2:5">
      <c r="C33">
        <f>65+78+32+49+12+9</f>
        <v>245</v>
      </c>
    </row>
    <row r="34" spans="2:5">
      <c r="B34" t="s">
        <v>23</v>
      </c>
      <c r="C34" t="s">
        <v>26</v>
      </c>
      <c r="D34" t="s">
        <v>27</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15"/>
  <sheetViews>
    <sheetView topLeftCell="A98" zoomScale="72" zoomScaleNormal="72" workbookViewId="0">
      <selection activeCell="E112" sqref="E112"/>
    </sheetView>
  </sheetViews>
  <sheetFormatPr defaultRowHeight="15" customHeight="1"/>
  <cols>
    <col min="1" max="1" width="14.28515625"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28</v>
      </c>
      <c r="H1" s="59" t="s">
        <v>29</v>
      </c>
      <c r="S1" s="58" t="s">
        <v>15</v>
      </c>
      <c r="T1" s="58" t="s">
        <v>27</v>
      </c>
      <c r="U1" s="58" t="s">
        <v>26</v>
      </c>
      <c r="V1" s="58" t="s">
        <v>30</v>
      </c>
    </row>
    <row r="2" spans="1:22" ht="14.45">
      <c r="A2" s="54" t="s">
        <v>31</v>
      </c>
      <c r="B2" t="s">
        <v>32</v>
      </c>
      <c r="H2" s="54" t="s">
        <v>31</v>
      </c>
      <c r="I2" t="s">
        <v>32</v>
      </c>
      <c r="N2" s="54" t="s">
        <v>14</v>
      </c>
      <c r="O2" t="s">
        <v>32</v>
      </c>
      <c r="P2" s="54" t="s">
        <v>14</v>
      </c>
      <c r="Q2" t="s">
        <v>16</v>
      </c>
      <c r="S2" s="56" t="s">
        <v>33</v>
      </c>
      <c r="T2" s="24"/>
      <c r="U2" s="24"/>
      <c r="V2" s="24"/>
    </row>
    <row r="3" spans="1:22" ht="14.45">
      <c r="N3" s="60" t="s">
        <v>12</v>
      </c>
      <c r="P3" s="60" t="s">
        <v>12</v>
      </c>
    </row>
    <row r="4" spans="1:22" ht="14.45">
      <c r="A4" s="54" t="s">
        <v>13</v>
      </c>
      <c r="B4" s="54" t="s">
        <v>14</v>
      </c>
      <c r="H4" s="54" t="s">
        <v>13</v>
      </c>
      <c r="I4" s="54" t="s">
        <v>14</v>
      </c>
      <c r="N4" s="54" t="s">
        <v>31</v>
      </c>
      <c r="O4" t="s">
        <v>13</v>
      </c>
      <c r="P4" s="54" t="s">
        <v>31</v>
      </c>
      <c r="Q4" t="s">
        <v>13</v>
      </c>
    </row>
    <row r="5" spans="1:22" ht="14.45">
      <c r="A5" s="54" t="s">
        <v>34</v>
      </c>
      <c r="B5" t="s">
        <v>16</v>
      </c>
      <c r="C5" t="s">
        <v>17</v>
      </c>
      <c r="D5" t="s">
        <v>18</v>
      </c>
      <c r="E5" t="s">
        <v>35</v>
      </c>
      <c r="F5" t="s">
        <v>19</v>
      </c>
      <c r="H5" s="54" t="s">
        <v>36</v>
      </c>
      <c r="I5" t="s">
        <v>16</v>
      </c>
      <c r="J5" t="s">
        <v>17</v>
      </c>
      <c r="K5" t="s">
        <v>18</v>
      </c>
      <c r="L5" t="s">
        <v>19</v>
      </c>
      <c r="N5" t="s">
        <v>24</v>
      </c>
      <c r="O5">
        <v>130</v>
      </c>
      <c r="P5" t="s">
        <v>24</v>
      </c>
      <c r="Q5">
        <v>86</v>
      </c>
    </row>
    <row r="6" spans="1:22" ht="14.45">
      <c r="A6" t="s">
        <v>37</v>
      </c>
      <c r="B6">
        <v>17</v>
      </c>
      <c r="C6">
        <v>9</v>
      </c>
      <c r="D6">
        <v>3</v>
      </c>
      <c r="F6">
        <v>29</v>
      </c>
      <c r="H6" t="s">
        <v>38</v>
      </c>
      <c r="I6">
        <v>1</v>
      </c>
      <c r="J6">
        <v>2</v>
      </c>
      <c r="L6">
        <v>3</v>
      </c>
      <c r="N6" t="s">
        <v>25</v>
      </c>
      <c r="O6">
        <v>157</v>
      </c>
      <c r="P6" t="s">
        <v>25</v>
      </c>
      <c r="Q6">
        <v>111</v>
      </c>
    </row>
    <row r="7" spans="1:22" ht="14.45">
      <c r="A7" t="s">
        <v>39</v>
      </c>
      <c r="B7">
        <v>7</v>
      </c>
      <c r="C7">
        <v>6</v>
      </c>
      <c r="F7">
        <v>13</v>
      </c>
      <c r="H7" t="s">
        <v>40</v>
      </c>
      <c r="I7">
        <v>4</v>
      </c>
      <c r="J7">
        <v>1</v>
      </c>
      <c r="K7">
        <v>1</v>
      </c>
      <c r="L7">
        <v>6</v>
      </c>
      <c r="N7" t="s">
        <v>19</v>
      </c>
      <c r="O7">
        <v>287</v>
      </c>
      <c r="P7" t="s">
        <v>19</v>
      </c>
      <c r="Q7">
        <v>197</v>
      </c>
    </row>
    <row r="8" spans="1:22" ht="14.45">
      <c r="A8" t="s">
        <v>41</v>
      </c>
      <c r="B8">
        <v>19</v>
      </c>
      <c r="C8">
        <v>1</v>
      </c>
      <c r="F8">
        <v>20</v>
      </c>
      <c r="H8" t="s">
        <v>42</v>
      </c>
      <c r="I8">
        <v>7</v>
      </c>
      <c r="J8">
        <v>2</v>
      </c>
      <c r="K8">
        <v>1</v>
      </c>
      <c r="L8">
        <v>10</v>
      </c>
    </row>
    <row r="9" spans="1:22" ht="14.45">
      <c r="A9" t="s">
        <v>43</v>
      </c>
      <c r="B9">
        <v>6</v>
      </c>
      <c r="D9">
        <v>2</v>
      </c>
      <c r="F9">
        <v>8</v>
      </c>
      <c r="H9" t="s">
        <v>37</v>
      </c>
      <c r="I9">
        <v>19</v>
      </c>
      <c r="J9">
        <v>8</v>
      </c>
      <c r="K9">
        <v>4</v>
      </c>
      <c r="L9">
        <v>31</v>
      </c>
    </row>
    <row r="10" spans="1:22" ht="14.45">
      <c r="A10" t="s">
        <v>33</v>
      </c>
      <c r="B10">
        <v>29</v>
      </c>
      <c r="C10">
        <v>10</v>
      </c>
      <c r="F10">
        <v>39</v>
      </c>
      <c r="H10" t="s">
        <v>39</v>
      </c>
      <c r="I10">
        <v>13</v>
      </c>
      <c r="J10">
        <v>8</v>
      </c>
      <c r="K10">
        <v>1</v>
      </c>
      <c r="L10">
        <v>22</v>
      </c>
    </row>
    <row r="11" spans="1:22" ht="14.45">
      <c r="A11" t="s">
        <v>44</v>
      </c>
      <c r="B11">
        <v>22</v>
      </c>
      <c r="C11">
        <v>10</v>
      </c>
      <c r="D11">
        <v>5</v>
      </c>
      <c r="F11">
        <v>37</v>
      </c>
      <c r="H11" t="s">
        <v>41</v>
      </c>
      <c r="I11">
        <v>30</v>
      </c>
      <c r="J11">
        <v>3</v>
      </c>
      <c r="L11">
        <v>33</v>
      </c>
    </row>
    <row r="12" spans="1:22" ht="14.45">
      <c r="A12" t="s">
        <v>45</v>
      </c>
      <c r="B12">
        <v>6</v>
      </c>
      <c r="C12">
        <v>7</v>
      </c>
      <c r="F12">
        <v>13</v>
      </c>
      <c r="H12" t="s">
        <v>43</v>
      </c>
      <c r="I12">
        <v>4</v>
      </c>
      <c r="K12">
        <v>2</v>
      </c>
      <c r="L12">
        <v>6</v>
      </c>
    </row>
    <row r="13" spans="1:22" ht="14.45">
      <c r="A13" t="s">
        <v>46</v>
      </c>
      <c r="B13">
        <v>75</v>
      </c>
      <c r="C13">
        <v>14</v>
      </c>
      <c r="D13">
        <v>8</v>
      </c>
      <c r="F13">
        <v>97</v>
      </c>
      <c r="H13" t="s">
        <v>33</v>
      </c>
      <c r="I13">
        <v>32</v>
      </c>
      <c r="J13">
        <v>11</v>
      </c>
      <c r="L13">
        <v>43</v>
      </c>
      <c r="O13" s="54" t="s">
        <v>13</v>
      </c>
      <c r="P13" s="54" t="s">
        <v>31</v>
      </c>
    </row>
    <row r="14" spans="1:22" ht="14.45">
      <c r="A14" t="s">
        <v>35</v>
      </c>
      <c r="C14">
        <v>1</v>
      </c>
      <c r="D14">
        <v>5</v>
      </c>
      <c r="F14">
        <v>6</v>
      </c>
      <c r="H14" t="s">
        <v>44</v>
      </c>
      <c r="I14">
        <v>17</v>
      </c>
      <c r="J14">
        <v>7</v>
      </c>
      <c r="K14">
        <v>7</v>
      </c>
      <c r="L14">
        <v>31</v>
      </c>
      <c r="O14" s="54" t="s">
        <v>15</v>
      </c>
      <c r="P14" t="s">
        <v>24</v>
      </c>
      <c r="Q14" t="s">
        <v>25</v>
      </c>
      <c r="R14" t="s">
        <v>19</v>
      </c>
    </row>
    <row r="15" spans="1:22" ht="14.45">
      <c r="A15" t="s">
        <v>47</v>
      </c>
      <c r="B15">
        <v>16</v>
      </c>
      <c r="C15">
        <v>6</v>
      </c>
      <c r="D15">
        <v>3</v>
      </c>
      <c r="F15">
        <v>25</v>
      </c>
      <c r="H15" t="s">
        <v>45</v>
      </c>
      <c r="I15">
        <v>20</v>
      </c>
      <c r="J15">
        <v>9</v>
      </c>
      <c r="K15">
        <v>2</v>
      </c>
      <c r="L15">
        <v>31</v>
      </c>
      <c r="O15">
        <v>1</v>
      </c>
      <c r="P15">
        <v>14</v>
      </c>
      <c r="Q15">
        <v>9</v>
      </c>
      <c r="R15">
        <v>23</v>
      </c>
    </row>
    <row r="16" spans="1:22" ht="14.45">
      <c r="A16" t="s">
        <v>19</v>
      </c>
      <c r="B16">
        <v>197</v>
      </c>
      <c r="C16">
        <v>64</v>
      </c>
      <c r="D16">
        <v>26</v>
      </c>
      <c r="F16">
        <v>287</v>
      </c>
      <c r="H16" t="s">
        <v>46</v>
      </c>
      <c r="I16">
        <v>25</v>
      </c>
      <c r="J16">
        <v>2</v>
      </c>
      <c r="K16">
        <v>5</v>
      </c>
      <c r="L16">
        <v>32</v>
      </c>
      <c r="O16">
        <v>2</v>
      </c>
      <c r="P16">
        <v>11</v>
      </c>
      <c r="Q16">
        <v>9</v>
      </c>
      <c r="R16">
        <v>20</v>
      </c>
    </row>
    <row r="17" spans="1:18" ht="14.45">
      <c r="H17" t="s">
        <v>48</v>
      </c>
      <c r="J17">
        <v>2</v>
      </c>
      <c r="L17">
        <v>2</v>
      </c>
      <c r="O17">
        <v>3</v>
      </c>
      <c r="P17">
        <v>10</v>
      </c>
      <c r="Q17">
        <v>13</v>
      </c>
      <c r="R17">
        <v>23</v>
      </c>
    </row>
    <row r="18" spans="1:18" ht="14.45">
      <c r="H18" t="s">
        <v>47</v>
      </c>
      <c r="I18">
        <v>25</v>
      </c>
      <c r="J18">
        <v>9</v>
      </c>
      <c r="K18">
        <v>3</v>
      </c>
      <c r="L18">
        <v>37</v>
      </c>
      <c r="O18">
        <v>4</v>
      </c>
      <c r="P18">
        <v>15</v>
      </c>
      <c r="Q18">
        <v>12</v>
      </c>
      <c r="R18">
        <v>27</v>
      </c>
    </row>
    <row r="19" spans="1:18" ht="14.45">
      <c r="H19" t="s">
        <v>19</v>
      </c>
      <c r="I19">
        <v>197</v>
      </c>
      <c r="J19">
        <v>64</v>
      </c>
      <c r="K19">
        <v>26</v>
      </c>
      <c r="L19">
        <v>287</v>
      </c>
      <c r="O19">
        <v>5</v>
      </c>
      <c r="P19">
        <v>12</v>
      </c>
      <c r="Q19">
        <v>13</v>
      </c>
      <c r="R19">
        <v>25</v>
      </c>
    </row>
    <row r="20" spans="1:18" ht="14.45">
      <c r="O20">
        <v>6</v>
      </c>
      <c r="P20">
        <v>10</v>
      </c>
      <c r="Q20">
        <v>15</v>
      </c>
      <c r="R20">
        <v>25</v>
      </c>
    </row>
    <row r="21" spans="1:18" ht="14.45">
      <c r="O21">
        <v>7</v>
      </c>
      <c r="P21">
        <v>8</v>
      </c>
      <c r="Q21">
        <v>19</v>
      </c>
      <c r="R21">
        <v>27</v>
      </c>
    </row>
    <row r="22" spans="1:18" ht="14.45">
      <c r="O22">
        <v>8</v>
      </c>
      <c r="P22">
        <v>10</v>
      </c>
      <c r="Q22">
        <v>16</v>
      </c>
      <c r="R22">
        <v>26</v>
      </c>
    </row>
    <row r="23" spans="1:18" ht="14.45">
      <c r="O23">
        <v>9</v>
      </c>
      <c r="P23">
        <v>9</v>
      </c>
      <c r="Q23">
        <v>15</v>
      </c>
      <c r="R23">
        <v>24</v>
      </c>
    </row>
    <row r="24" spans="1:18" ht="14.45">
      <c r="O24">
        <v>10</v>
      </c>
      <c r="P24">
        <v>10</v>
      </c>
      <c r="Q24">
        <v>15</v>
      </c>
      <c r="R24">
        <v>25</v>
      </c>
    </row>
    <row r="25" spans="1:18" ht="15" customHeight="1">
      <c r="O25">
        <v>11</v>
      </c>
      <c r="P25">
        <v>9</v>
      </c>
      <c r="Q25">
        <v>11</v>
      </c>
      <c r="R25">
        <v>20</v>
      </c>
    </row>
    <row r="26" spans="1:18" ht="15" customHeight="1">
      <c r="O26">
        <v>12</v>
      </c>
      <c r="P26">
        <v>12</v>
      </c>
      <c r="Q26">
        <v>10</v>
      </c>
      <c r="R26">
        <v>22</v>
      </c>
    </row>
    <row r="27" spans="1:18" ht="14.45">
      <c r="A27" s="60" t="s">
        <v>12</v>
      </c>
      <c r="H27" s="54" t="s">
        <v>14</v>
      </c>
      <c r="I27" t="s">
        <v>32</v>
      </c>
      <c r="O27" t="s">
        <v>19</v>
      </c>
      <c r="P27">
        <v>130</v>
      </c>
      <c r="Q27">
        <v>157</v>
      </c>
      <c r="R27">
        <v>287</v>
      </c>
    </row>
    <row r="28" spans="1:18" ht="14.45">
      <c r="A28" s="54" t="s">
        <v>13</v>
      </c>
      <c r="B28" s="54" t="s">
        <v>14</v>
      </c>
    </row>
    <row r="29" spans="1:18" ht="14.45">
      <c r="A29" s="54" t="s">
        <v>15</v>
      </c>
      <c r="B29" t="s">
        <v>16</v>
      </c>
      <c r="C29" t="s">
        <v>17</v>
      </c>
      <c r="D29" t="s">
        <v>18</v>
      </c>
      <c r="E29" t="s">
        <v>19</v>
      </c>
      <c r="F29" t="s">
        <v>49</v>
      </c>
      <c r="H29" s="54" t="s">
        <v>13</v>
      </c>
      <c r="I29" s="54" t="s">
        <v>31</v>
      </c>
    </row>
    <row r="30" spans="1:18" ht="15" customHeight="1">
      <c r="A30">
        <v>1</v>
      </c>
      <c r="B30">
        <v>20</v>
      </c>
      <c r="D30">
        <v>3</v>
      </c>
      <c r="E30">
        <v>23</v>
      </c>
      <c r="F30" s="390">
        <f>SUM(B30:C30)/E30</f>
        <v>0.86956521739130432</v>
      </c>
      <c r="G30" s="390"/>
      <c r="H30" s="54" t="s">
        <v>50</v>
      </c>
      <c r="I30" t="s">
        <v>24</v>
      </c>
      <c r="J30" t="s">
        <v>25</v>
      </c>
      <c r="K30" t="s">
        <v>19</v>
      </c>
      <c r="N30" s="425" t="s">
        <v>51</v>
      </c>
    </row>
    <row r="31" spans="1:18" ht="14.45">
      <c r="A31">
        <v>2</v>
      </c>
      <c r="B31">
        <v>15</v>
      </c>
      <c r="C31">
        <v>1</v>
      </c>
      <c r="D31">
        <v>4</v>
      </c>
      <c r="E31">
        <v>20</v>
      </c>
      <c r="F31" s="390">
        <f t="shared" ref="F31:F40" si="0">SUM(B31:C31)/E31</f>
        <v>0.8</v>
      </c>
      <c r="G31" s="390"/>
      <c r="H31" t="s">
        <v>52</v>
      </c>
      <c r="I31">
        <v>16</v>
      </c>
      <c r="J31">
        <v>42</v>
      </c>
      <c r="K31">
        <v>58</v>
      </c>
    </row>
    <row r="32" spans="1:18" ht="14.45">
      <c r="A32">
        <v>3</v>
      </c>
      <c r="B32">
        <v>18</v>
      </c>
      <c r="C32">
        <v>3</v>
      </c>
      <c r="D32">
        <v>2</v>
      </c>
      <c r="E32">
        <v>23</v>
      </c>
      <c r="F32" s="390">
        <f t="shared" si="0"/>
        <v>0.91304347826086951</v>
      </c>
      <c r="G32" s="390"/>
      <c r="H32" t="s">
        <v>53</v>
      </c>
      <c r="I32">
        <v>24</v>
      </c>
      <c r="J32">
        <v>15</v>
      </c>
      <c r="K32">
        <v>39</v>
      </c>
    </row>
    <row r="33" spans="1:11" ht="14.45">
      <c r="A33">
        <v>4</v>
      </c>
      <c r="B33">
        <v>25</v>
      </c>
      <c r="C33">
        <v>1</v>
      </c>
      <c r="D33">
        <v>1</v>
      </c>
      <c r="E33">
        <v>27</v>
      </c>
      <c r="F33" s="390">
        <f t="shared" si="0"/>
        <v>0.96296296296296291</v>
      </c>
      <c r="G33" s="390"/>
      <c r="H33" t="s">
        <v>54</v>
      </c>
      <c r="I33">
        <v>36</v>
      </c>
      <c r="J33">
        <v>42</v>
      </c>
      <c r="K33">
        <v>78</v>
      </c>
    </row>
    <row r="34" spans="1:11" ht="14.45">
      <c r="A34">
        <v>5</v>
      </c>
      <c r="B34">
        <v>18</v>
      </c>
      <c r="C34">
        <v>2</v>
      </c>
      <c r="D34">
        <v>5</v>
      </c>
      <c r="E34">
        <v>25</v>
      </c>
      <c r="F34" s="390">
        <f t="shared" si="0"/>
        <v>0.8</v>
      </c>
      <c r="G34" s="390"/>
      <c r="H34" t="s">
        <v>55</v>
      </c>
      <c r="I34">
        <v>19</v>
      </c>
      <c r="J34">
        <v>12</v>
      </c>
      <c r="K34">
        <v>31</v>
      </c>
    </row>
    <row r="35" spans="1:11" ht="14.45">
      <c r="A35">
        <v>6</v>
      </c>
      <c r="B35">
        <v>24</v>
      </c>
      <c r="D35">
        <v>1</v>
      </c>
      <c r="E35">
        <v>25</v>
      </c>
      <c r="F35" s="390">
        <f t="shared" si="0"/>
        <v>0.96</v>
      </c>
      <c r="G35" s="390"/>
      <c r="H35" t="s">
        <v>56</v>
      </c>
      <c r="I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8</v>
      </c>
      <c r="J37">
        <v>20</v>
      </c>
      <c r="K37">
        <v>28</v>
      </c>
    </row>
    <row r="38" spans="1:11" ht="14.45">
      <c r="A38">
        <v>9</v>
      </c>
      <c r="B38">
        <v>16</v>
      </c>
      <c r="C38">
        <v>6</v>
      </c>
      <c r="D38">
        <v>2</v>
      </c>
      <c r="E38">
        <v>24</v>
      </c>
      <c r="F38" s="390">
        <f t="shared" si="0"/>
        <v>0.91666666666666663</v>
      </c>
      <c r="G38" s="390"/>
      <c r="H38" t="s">
        <v>59</v>
      </c>
      <c r="I38">
        <v>7</v>
      </c>
      <c r="J38">
        <v>9</v>
      </c>
      <c r="K38">
        <v>16</v>
      </c>
    </row>
    <row r="39" spans="1:11" ht="14.45">
      <c r="A39">
        <v>10</v>
      </c>
      <c r="B39">
        <v>20</v>
      </c>
      <c r="C39">
        <v>4</v>
      </c>
      <c r="D39">
        <v>1</v>
      </c>
      <c r="E39">
        <v>25</v>
      </c>
      <c r="F39" s="390">
        <f t="shared" si="0"/>
        <v>0.96</v>
      </c>
      <c r="G39" s="390"/>
      <c r="H39" t="s">
        <v>60</v>
      </c>
      <c r="I39">
        <v>17</v>
      </c>
      <c r="J39">
        <v>14</v>
      </c>
      <c r="K39">
        <v>31</v>
      </c>
    </row>
    <row r="40" spans="1:11" ht="14.45">
      <c r="A40">
        <v>11</v>
      </c>
      <c r="C40">
        <v>19</v>
      </c>
      <c r="D40">
        <v>1</v>
      </c>
      <c r="E40">
        <v>20</v>
      </c>
      <c r="F40" s="390">
        <f t="shared" si="0"/>
        <v>0.95</v>
      </c>
      <c r="G40" s="390"/>
      <c r="H40" t="s">
        <v>61</v>
      </c>
      <c r="I40">
        <v>1</v>
      </c>
      <c r="J40">
        <v>2</v>
      </c>
      <c r="K40">
        <v>3</v>
      </c>
    </row>
    <row r="41" spans="1:11" ht="14.45">
      <c r="A41">
        <v>12</v>
      </c>
      <c r="C41">
        <v>22</v>
      </c>
      <c r="E41">
        <v>22</v>
      </c>
      <c r="F41" s="390">
        <f>SUM(B41:C41)/E41</f>
        <v>1</v>
      </c>
      <c r="G41" s="390"/>
      <c r="H41" t="s">
        <v>19</v>
      </c>
      <c r="I41">
        <v>130</v>
      </c>
      <c r="J41">
        <v>157</v>
      </c>
      <c r="K41">
        <v>287</v>
      </c>
    </row>
    <row r="42" spans="1:11" ht="14.45">
      <c r="A42" t="s">
        <v>19</v>
      </c>
      <c r="B42">
        <v>197</v>
      </c>
      <c r="C42">
        <v>64</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32</v>
      </c>
    </row>
    <row r="63" spans="1:16" ht="14.45"/>
    <row r="64" spans="1:16" ht="14.45">
      <c r="A64" s="54" t="s">
        <v>13</v>
      </c>
      <c r="B64" s="54" t="s">
        <v>31</v>
      </c>
    </row>
    <row r="65" spans="1:12" ht="14.45">
      <c r="A65" s="54" t="s">
        <v>15</v>
      </c>
      <c r="B65" t="s">
        <v>24</v>
      </c>
      <c r="C65" t="s">
        <v>25</v>
      </c>
      <c r="D65" t="s">
        <v>19</v>
      </c>
      <c r="H65" s="60" t="s">
        <v>15</v>
      </c>
    </row>
    <row r="66" spans="1:12" ht="14.45">
      <c r="A66">
        <v>1</v>
      </c>
      <c r="B66">
        <v>14</v>
      </c>
      <c r="C66">
        <v>9</v>
      </c>
      <c r="D66">
        <v>23</v>
      </c>
      <c r="H66" s="54" t="s">
        <v>13</v>
      </c>
      <c r="I66" s="54" t="s">
        <v>14</v>
      </c>
    </row>
    <row r="67" spans="1:12" ht="14.45">
      <c r="A67">
        <v>2</v>
      </c>
      <c r="B67">
        <v>11</v>
      </c>
      <c r="C67">
        <v>9</v>
      </c>
      <c r="D67">
        <v>20</v>
      </c>
      <c r="H67" s="54" t="s">
        <v>15</v>
      </c>
      <c r="I67" t="s">
        <v>16</v>
      </c>
      <c r="J67" t="s">
        <v>17</v>
      </c>
      <c r="K67" t="s">
        <v>18</v>
      </c>
      <c r="L67" t="s">
        <v>19</v>
      </c>
    </row>
    <row r="68" spans="1:12" ht="14.45">
      <c r="A68">
        <v>3</v>
      </c>
      <c r="B68">
        <v>10</v>
      </c>
      <c r="C68">
        <v>13</v>
      </c>
      <c r="D68">
        <v>23</v>
      </c>
      <c r="H68">
        <v>1</v>
      </c>
      <c r="I68">
        <v>20</v>
      </c>
      <c r="K68">
        <v>3</v>
      </c>
      <c r="L68">
        <v>23</v>
      </c>
    </row>
    <row r="69" spans="1:12" ht="14.45">
      <c r="A69">
        <v>4</v>
      </c>
      <c r="B69">
        <v>15</v>
      </c>
      <c r="C69">
        <v>12</v>
      </c>
      <c r="D69">
        <v>27</v>
      </c>
      <c r="H69">
        <v>2</v>
      </c>
      <c r="I69">
        <v>15</v>
      </c>
      <c r="J69">
        <v>1</v>
      </c>
      <c r="K69">
        <v>4</v>
      </c>
      <c r="L69">
        <v>20</v>
      </c>
    </row>
    <row r="70" spans="1:12" ht="14.45">
      <c r="A70">
        <v>5</v>
      </c>
      <c r="B70">
        <v>12</v>
      </c>
      <c r="C70">
        <v>13</v>
      </c>
      <c r="D70">
        <v>25</v>
      </c>
      <c r="H70">
        <v>3</v>
      </c>
      <c r="I70">
        <v>18</v>
      </c>
      <c r="J70">
        <v>3</v>
      </c>
      <c r="K70">
        <v>2</v>
      </c>
      <c r="L70">
        <v>23</v>
      </c>
    </row>
    <row r="71" spans="1:12" ht="14.45">
      <c r="A71">
        <v>6</v>
      </c>
      <c r="B71">
        <v>10</v>
      </c>
      <c r="C71">
        <v>15</v>
      </c>
      <c r="D71">
        <v>25</v>
      </c>
      <c r="H71">
        <v>4</v>
      </c>
      <c r="I71">
        <v>25</v>
      </c>
      <c r="J71">
        <v>1</v>
      </c>
      <c r="K71">
        <v>1</v>
      </c>
      <c r="L71">
        <v>27</v>
      </c>
    </row>
    <row r="72" spans="1:12" ht="14.45">
      <c r="A72">
        <v>7</v>
      </c>
      <c r="B72">
        <v>8</v>
      </c>
      <c r="C72">
        <v>19</v>
      </c>
      <c r="D72">
        <v>27</v>
      </c>
      <c r="H72">
        <v>5</v>
      </c>
      <c r="I72">
        <v>18</v>
      </c>
      <c r="J72">
        <v>2</v>
      </c>
      <c r="K72">
        <v>5</v>
      </c>
      <c r="L72">
        <v>25</v>
      </c>
    </row>
    <row r="73" spans="1:12" ht="14.45">
      <c r="A73">
        <v>8</v>
      </c>
      <c r="B73">
        <v>10</v>
      </c>
      <c r="C73">
        <v>16</v>
      </c>
      <c r="D73">
        <v>26</v>
      </c>
      <c r="H73">
        <v>6</v>
      </c>
      <c r="I73">
        <v>24</v>
      </c>
      <c r="K73">
        <v>1</v>
      </c>
      <c r="L73">
        <v>25</v>
      </c>
    </row>
    <row r="74" spans="1:12" ht="14.45">
      <c r="A74">
        <v>9</v>
      </c>
      <c r="B74">
        <v>9</v>
      </c>
      <c r="C74">
        <v>15</v>
      </c>
      <c r="D74">
        <v>24</v>
      </c>
      <c r="H74">
        <v>7</v>
      </c>
      <c r="I74">
        <v>24</v>
      </c>
      <c r="K74">
        <v>3</v>
      </c>
      <c r="L74">
        <v>27</v>
      </c>
    </row>
    <row r="75" spans="1:12" ht="14.45">
      <c r="A75">
        <v>10</v>
      </c>
      <c r="B75">
        <v>10</v>
      </c>
      <c r="C75">
        <v>15</v>
      </c>
      <c r="D75">
        <v>25</v>
      </c>
      <c r="H75">
        <v>8</v>
      </c>
      <c r="I75">
        <v>17</v>
      </c>
      <c r="J75">
        <v>6</v>
      </c>
      <c r="K75">
        <v>3</v>
      </c>
      <c r="L75">
        <v>26</v>
      </c>
    </row>
    <row r="76" spans="1:12" ht="14.45">
      <c r="A76">
        <v>11</v>
      </c>
      <c r="B76">
        <v>9</v>
      </c>
      <c r="C76">
        <v>11</v>
      </c>
      <c r="D76">
        <v>20</v>
      </c>
      <c r="H76">
        <v>9</v>
      </c>
      <c r="I76">
        <v>16</v>
      </c>
      <c r="J76">
        <v>6</v>
      </c>
      <c r="K76">
        <v>2</v>
      </c>
      <c r="L76">
        <v>24</v>
      </c>
    </row>
    <row r="77" spans="1:12" ht="14.45">
      <c r="A77">
        <v>12</v>
      </c>
      <c r="B77">
        <v>12</v>
      </c>
      <c r="C77">
        <v>10</v>
      </c>
      <c r="D77">
        <v>22</v>
      </c>
      <c r="H77">
        <v>10</v>
      </c>
      <c r="I77">
        <v>20</v>
      </c>
      <c r="J77">
        <v>4</v>
      </c>
      <c r="K77">
        <v>1</v>
      </c>
      <c r="L77">
        <v>25</v>
      </c>
    </row>
    <row r="78" spans="1:12" ht="14.45">
      <c r="A78" t="s">
        <v>19</v>
      </c>
      <c r="B78">
        <v>130</v>
      </c>
      <c r="C78">
        <v>157</v>
      </c>
      <c r="D78">
        <v>287</v>
      </c>
      <c r="H78">
        <v>11</v>
      </c>
      <c r="J78">
        <v>19</v>
      </c>
      <c r="K78">
        <v>1</v>
      </c>
      <c r="L78">
        <v>20</v>
      </c>
    </row>
    <row r="79" spans="1:12" ht="14.45">
      <c r="H79">
        <v>12</v>
      </c>
      <c r="J79">
        <v>22</v>
      </c>
      <c r="L79">
        <v>22</v>
      </c>
    </row>
    <row r="80" spans="1:12" ht="14.45">
      <c r="H80" t="s">
        <v>19</v>
      </c>
      <c r="I80">
        <v>197</v>
      </c>
      <c r="J80">
        <v>64</v>
      </c>
      <c r="K80">
        <v>26</v>
      </c>
      <c r="L80">
        <v>287</v>
      </c>
    </row>
    <row r="81" spans="1:11" ht="14.45"/>
    <row r="82" spans="1:11" ht="14.45"/>
    <row r="83" spans="1:11" ht="14.45"/>
    <row r="84" spans="1:11" ht="14.45"/>
    <row r="86" spans="1:11" ht="14.45"/>
    <row r="87" spans="1:11" ht="14.45"/>
    <row r="88" spans="1:11" ht="14.45"/>
    <row r="90" spans="1:11" ht="14.45">
      <c r="A90" s="54" t="s">
        <v>21</v>
      </c>
      <c r="B90" s="54" t="s">
        <v>22</v>
      </c>
    </row>
    <row r="91" spans="1:11" ht="14.45">
      <c r="A91" s="54" t="s">
        <v>23</v>
      </c>
      <c r="B91" t="s">
        <v>16</v>
      </c>
      <c r="C91" t="s">
        <v>17</v>
      </c>
      <c r="D91" t="s">
        <v>18</v>
      </c>
      <c r="E91" t="s">
        <v>19</v>
      </c>
    </row>
    <row r="92" spans="1:11" ht="14.45">
      <c r="A92" s="41" t="s">
        <v>24</v>
      </c>
      <c r="B92" s="491">
        <v>86</v>
      </c>
      <c r="C92" s="491">
        <v>10</v>
      </c>
      <c r="D92" s="491">
        <v>13</v>
      </c>
      <c r="E92" s="491">
        <v>109</v>
      </c>
    </row>
    <row r="93" spans="1:11" ht="14.45">
      <c r="A93" s="41" t="s">
        <v>25</v>
      </c>
      <c r="B93" s="491">
        <v>111</v>
      </c>
      <c r="C93" s="491">
        <v>13</v>
      </c>
      <c r="D93" s="491">
        <v>12</v>
      </c>
      <c r="E93" s="491">
        <v>136</v>
      </c>
      <c r="H93" s="54" t="s">
        <v>13</v>
      </c>
      <c r="I93" s="54" t="s">
        <v>31</v>
      </c>
    </row>
    <row r="94" spans="1:11" ht="14.45">
      <c r="A94" s="41" t="s">
        <v>19</v>
      </c>
      <c r="B94" s="491">
        <v>197</v>
      </c>
      <c r="C94" s="491">
        <v>23</v>
      </c>
      <c r="D94" s="491">
        <v>25</v>
      </c>
      <c r="E94" s="491">
        <v>245</v>
      </c>
      <c r="H94" s="54" t="s">
        <v>36</v>
      </c>
      <c r="I94" t="s">
        <v>24</v>
      </c>
      <c r="J94" t="s">
        <v>25</v>
      </c>
      <c r="K94" t="s">
        <v>19</v>
      </c>
    </row>
    <row r="95" spans="1:11" ht="15" customHeight="1">
      <c r="H95" t="s">
        <v>38</v>
      </c>
      <c r="I95">
        <v>3</v>
      </c>
      <c r="K95">
        <v>3</v>
      </c>
    </row>
    <row r="96" spans="1:11" ht="15" customHeight="1">
      <c r="H96" t="s">
        <v>40</v>
      </c>
      <c r="I96">
        <v>5</v>
      </c>
      <c r="J96">
        <v>1</v>
      </c>
      <c r="K96">
        <v>6</v>
      </c>
    </row>
    <row r="97" spans="1:11" ht="15" customHeight="1">
      <c r="H97" t="s">
        <v>42</v>
      </c>
      <c r="I97">
        <v>4</v>
      </c>
      <c r="J97">
        <v>6</v>
      </c>
      <c r="K97">
        <v>10</v>
      </c>
    </row>
    <row r="98" spans="1:11" ht="15" customHeight="1">
      <c r="H98" t="s">
        <v>37</v>
      </c>
      <c r="I98">
        <v>17</v>
      </c>
      <c r="J98">
        <v>14</v>
      </c>
      <c r="K98">
        <v>31</v>
      </c>
    </row>
    <row r="99" spans="1:11" ht="15" customHeight="1">
      <c r="H99" t="s">
        <v>39</v>
      </c>
      <c r="I99">
        <v>5</v>
      </c>
      <c r="J99">
        <v>17</v>
      </c>
      <c r="K99">
        <v>22</v>
      </c>
    </row>
    <row r="100" spans="1:11" ht="15" customHeight="1">
      <c r="A100" s="54" t="s">
        <v>13</v>
      </c>
      <c r="B100" s="54" t="s">
        <v>14</v>
      </c>
      <c r="H100" t="s">
        <v>41</v>
      </c>
      <c r="I100">
        <v>15</v>
      </c>
      <c r="J100">
        <v>18</v>
      </c>
      <c r="K100">
        <v>33</v>
      </c>
    </row>
    <row r="101" spans="1:11" ht="15" customHeight="1">
      <c r="A101" s="54" t="s">
        <v>36</v>
      </c>
      <c r="B101" t="s">
        <v>16</v>
      </c>
      <c r="C101" t="s">
        <v>17</v>
      </c>
      <c r="D101" t="s">
        <v>18</v>
      </c>
      <c r="E101" t="s">
        <v>19</v>
      </c>
      <c r="H101" t="s">
        <v>43</v>
      </c>
      <c r="I101">
        <v>3</v>
      </c>
      <c r="J101">
        <v>3</v>
      </c>
      <c r="K101">
        <v>6</v>
      </c>
    </row>
    <row r="102" spans="1:11" ht="15" customHeight="1">
      <c r="A102" t="s">
        <v>38</v>
      </c>
      <c r="B102">
        <v>1</v>
      </c>
      <c r="C102">
        <v>2</v>
      </c>
      <c r="E102">
        <v>3</v>
      </c>
      <c r="H102" t="s">
        <v>33</v>
      </c>
      <c r="I102">
        <v>20</v>
      </c>
      <c r="J102">
        <v>23</v>
      </c>
      <c r="K102">
        <v>43</v>
      </c>
    </row>
    <row r="103" spans="1:11" ht="15" customHeight="1">
      <c r="A103" t="s">
        <v>40</v>
      </c>
      <c r="B103">
        <v>4</v>
      </c>
      <c r="C103">
        <v>1</v>
      </c>
      <c r="D103">
        <v>1</v>
      </c>
      <c r="E103">
        <v>6</v>
      </c>
      <c r="H103" t="s">
        <v>44</v>
      </c>
      <c r="I103">
        <v>7</v>
      </c>
      <c r="J103">
        <v>24</v>
      </c>
      <c r="K103">
        <v>31</v>
      </c>
    </row>
    <row r="104" spans="1:11" ht="15" customHeight="1">
      <c r="A104" t="s">
        <v>42</v>
      </c>
      <c r="B104">
        <v>7</v>
      </c>
      <c r="C104">
        <v>2</v>
      </c>
      <c r="D104">
        <v>1</v>
      </c>
      <c r="E104">
        <v>10</v>
      </c>
      <c r="H104" t="s">
        <v>45</v>
      </c>
      <c r="I104">
        <v>19</v>
      </c>
      <c r="J104">
        <v>12</v>
      </c>
      <c r="K104">
        <v>31</v>
      </c>
    </row>
    <row r="105" spans="1:11" ht="15" customHeight="1">
      <c r="A105" t="s">
        <v>37</v>
      </c>
      <c r="B105">
        <v>19</v>
      </c>
      <c r="C105">
        <v>8</v>
      </c>
      <c r="D105">
        <v>4</v>
      </c>
      <c r="E105">
        <v>31</v>
      </c>
      <c r="H105" t="s">
        <v>46</v>
      </c>
      <c r="I105">
        <v>9</v>
      </c>
      <c r="J105">
        <v>23</v>
      </c>
      <c r="K105">
        <v>32</v>
      </c>
    </row>
    <row r="106" spans="1:11" ht="15" customHeight="1">
      <c r="A106" t="s">
        <v>39</v>
      </c>
      <c r="B106">
        <v>13</v>
      </c>
      <c r="C106">
        <v>8</v>
      </c>
      <c r="D106">
        <v>1</v>
      </c>
      <c r="E106">
        <v>22</v>
      </c>
      <c r="H106" t="s">
        <v>48</v>
      </c>
      <c r="I106">
        <v>1</v>
      </c>
      <c r="J106">
        <v>1</v>
      </c>
      <c r="K106">
        <v>2</v>
      </c>
    </row>
    <row r="107" spans="1:11" ht="15" customHeight="1">
      <c r="A107" t="s">
        <v>41</v>
      </c>
      <c r="B107">
        <v>30</v>
      </c>
      <c r="C107">
        <v>3</v>
      </c>
      <c r="E107">
        <v>33</v>
      </c>
      <c r="H107" t="s">
        <v>47</v>
      </c>
      <c r="I107">
        <v>22</v>
      </c>
      <c r="J107">
        <v>15</v>
      </c>
      <c r="K107">
        <v>37</v>
      </c>
    </row>
    <row r="108" spans="1:11" ht="15" customHeight="1">
      <c r="A108" t="s">
        <v>43</v>
      </c>
      <c r="B108">
        <v>4</v>
      </c>
      <c r="D108">
        <v>2</v>
      </c>
      <c r="E108">
        <v>6</v>
      </c>
      <c r="H108" t="s">
        <v>19</v>
      </c>
      <c r="I108">
        <v>130</v>
      </c>
      <c r="J108">
        <v>157</v>
      </c>
      <c r="K108">
        <v>287</v>
      </c>
    </row>
    <row r="109" spans="1:11" ht="15" customHeight="1">
      <c r="A109" t="s">
        <v>33</v>
      </c>
      <c r="B109">
        <v>32</v>
      </c>
      <c r="C109">
        <v>11</v>
      </c>
      <c r="E109">
        <v>43</v>
      </c>
    </row>
    <row r="110" spans="1:11" ht="15" customHeight="1">
      <c r="A110" t="s">
        <v>44</v>
      </c>
      <c r="B110">
        <v>17</v>
      </c>
      <c r="C110">
        <v>7</v>
      </c>
      <c r="D110">
        <v>7</v>
      </c>
      <c r="E110">
        <v>31</v>
      </c>
    </row>
    <row r="111" spans="1:11" ht="15" customHeight="1">
      <c r="A111" t="s">
        <v>45</v>
      </c>
      <c r="B111">
        <v>20</v>
      </c>
      <c r="C111">
        <v>9</v>
      </c>
      <c r="D111">
        <v>2</v>
      </c>
      <c r="E111">
        <v>31</v>
      </c>
    </row>
    <row r="112" spans="1:11" ht="15" customHeight="1">
      <c r="A112" t="s">
        <v>46</v>
      </c>
      <c r="B112">
        <v>25</v>
      </c>
      <c r="C112">
        <v>2</v>
      </c>
      <c r="D112">
        <v>5</v>
      </c>
      <c r="E112">
        <v>32</v>
      </c>
    </row>
    <row r="113" spans="1:5" ht="15" customHeight="1">
      <c r="A113" t="s">
        <v>48</v>
      </c>
      <c r="C113">
        <v>2</v>
      </c>
      <c r="E113">
        <v>2</v>
      </c>
    </row>
    <row r="114" spans="1:5" ht="15" customHeight="1">
      <c r="A114" t="s">
        <v>47</v>
      </c>
      <c r="B114">
        <v>25</v>
      </c>
      <c r="C114">
        <v>9</v>
      </c>
      <c r="D114">
        <v>3</v>
      </c>
      <c r="E114">
        <v>37</v>
      </c>
    </row>
    <row r="115" spans="1:5" ht="15" customHeight="1">
      <c r="A115" t="s">
        <v>19</v>
      </c>
      <c r="B115">
        <v>197</v>
      </c>
      <c r="C115">
        <v>64</v>
      </c>
      <c r="D115">
        <v>26</v>
      </c>
      <c r="E115">
        <v>287</v>
      </c>
    </row>
  </sheetData>
  <conditionalFormatting pivot="1" sqref="L6:L16">
    <cfRule type="dataBar" priority="12">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10">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6">
    <cfRule type="dataBar" priority="8">
      <dataBar>
        <cfvo type="min"/>
        <cfvo type="max"/>
        <color rgb="FFFF555A"/>
      </dataBar>
      <extLst>
        <ext xmlns:x14="http://schemas.microsoft.com/office/spreadsheetml/2009/9/main" uri="{B025F937-C7B1-47D3-B67F-A62EFF666E3E}">
          <x14:id>{A87087E6-181B-449D-9A8F-FD3A103FD2A5}</x14:id>
        </ext>
      </extLst>
    </cfRule>
  </conditionalFormatting>
  <conditionalFormatting pivot="1" sqref="I17:L18">
    <cfRule type="dataBar" priority="6">
      <dataBar>
        <cfvo type="min"/>
        <cfvo type="max"/>
        <color rgb="FFFF555A"/>
      </dataBar>
      <extLst>
        <ext xmlns:x14="http://schemas.microsoft.com/office/spreadsheetml/2009/9/main" uri="{B025F937-C7B1-47D3-B67F-A62EFF666E3E}">
          <x14:id>{525E59C2-F4A0-45BD-8E73-A04DA2BC8FD4}</x14:id>
        </ext>
      </extLst>
    </cfRule>
  </conditionalFormatting>
  <conditionalFormatting pivot="1" sqref="K95:K105">
    <cfRule type="dataBar" priority="5">
      <dataBar>
        <cfvo type="min"/>
        <cfvo type="max"/>
        <color rgb="FFFF555A"/>
      </dataBar>
      <extLst>
        <ext xmlns:x14="http://schemas.microsoft.com/office/spreadsheetml/2009/9/main" uri="{B025F937-C7B1-47D3-B67F-A62EFF666E3E}">
          <x14:id>{75624552-EAD8-4475-AC31-CE7E54943B31}</x14:id>
        </ext>
      </extLst>
    </cfRule>
  </conditionalFormatting>
  <conditionalFormatting pivot="1" sqref="I106:K107">
    <cfRule type="dataBar" priority="3">
      <dataBar>
        <cfvo type="min"/>
        <cfvo type="max"/>
        <color rgb="FFFF555A"/>
      </dataBar>
      <extLst>
        <ext xmlns:x14="http://schemas.microsoft.com/office/spreadsheetml/2009/9/main" uri="{B025F937-C7B1-47D3-B67F-A62EFF666E3E}">
          <x14:id>{59AE5541-5B0B-4FE3-A387-43FCA6F447B9}</x14:id>
        </ext>
      </extLst>
    </cfRule>
  </conditionalFormatting>
  <conditionalFormatting pivot="1" sqref="E102:E112">
    <cfRule type="dataBar" priority="2">
      <dataBar>
        <cfvo type="min"/>
        <cfvo type="max"/>
        <color rgb="FFFF555A"/>
      </dataBar>
      <extLst>
        <ext xmlns:x14="http://schemas.microsoft.com/office/spreadsheetml/2009/9/main" uri="{B025F937-C7B1-47D3-B67F-A62EFF666E3E}">
          <x14:id>{4E68A946-470A-4EB2-8465-A9A2814E6AA4}</x14:id>
        </ext>
      </extLst>
    </cfRule>
  </conditionalFormatting>
  <conditionalFormatting pivot="1" sqref="B113:E114">
    <cfRule type="dataBar" priority="1">
      <dataBar>
        <cfvo type="min"/>
        <cfvo type="max"/>
        <color rgb="FFFF555A"/>
      </dataBar>
      <extLst>
        <ext xmlns:x14="http://schemas.microsoft.com/office/spreadsheetml/2009/9/main" uri="{B025F937-C7B1-47D3-B67F-A62EFF666E3E}">
          <x14:id>{4E84F5AE-3D8D-4A8D-A0DE-550AED8B16FA}</x14:id>
        </ext>
      </extLst>
    </cfRule>
  </conditionalFormatting>
  <pageMargins left="0.7" right="0.7" top="0.75" bottom="0.75" header="0.3" footer="0.3"/>
  <pageSetup paperSize="9" orientation="portrait" r:id="rId13"/>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L6:L16</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I6:K16</xm:sqref>
        </x14:conditionalFormatting>
        <x14:conditionalFormatting xmlns:xm="http://schemas.microsoft.com/office/excel/2006/main" pivot="1">
          <x14:cfRule type="dataBar" id="{525E59C2-F4A0-45BD-8E73-A04DA2BC8FD4}">
            <x14:dataBar minLength="0" maxLength="100" gradient="0">
              <x14:cfvo type="autoMin"/>
              <x14:cfvo type="autoMax"/>
              <x14:negativeFillColor rgb="FFFF0000"/>
              <x14:axisColor rgb="FF000000"/>
            </x14:dataBar>
          </x14:cfRule>
          <xm:sqref>I17:L18</xm:sqref>
        </x14:conditionalFormatting>
        <x14:conditionalFormatting xmlns:xm="http://schemas.microsoft.com/office/excel/2006/main" pivot="1">
          <x14:cfRule type="dataBar" id="{75624552-EAD8-4475-AC31-CE7E54943B31}">
            <x14:dataBar minLength="0" maxLength="100" gradient="0">
              <x14:cfvo type="autoMin"/>
              <x14:cfvo type="autoMax"/>
              <x14:negativeFillColor rgb="FFFF0000"/>
              <x14:axisColor rgb="FF000000"/>
            </x14:dataBar>
          </x14:cfRule>
          <xm:sqref>K95:K105</xm:sqref>
        </x14:conditionalFormatting>
        <x14:conditionalFormatting xmlns:xm="http://schemas.microsoft.com/office/excel/2006/main" pivot="1">
          <x14:cfRule type="dataBar" id="{59AE5541-5B0B-4FE3-A387-43FCA6F447B9}">
            <x14:dataBar minLength="0" maxLength="100" gradient="0">
              <x14:cfvo type="autoMin"/>
              <x14:cfvo type="autoMax"/>
              <x14:negativeFillColor rgb="FFFF0000"/>
              <x14:axisColor rgb="FF000000"/>
            </x14:dataBar>
          </x14:cfRule>
          <xm:sqref>I106:K107</xm:sqref>
        </x14:conditionalFormatting>
        <x14:conditionalFormatting xmlns:xm="http://schemas.microsoft.com/office/excel/2006/main" pivot="1">
          <x14:cfRule type="dataBar" id="{4E68A946-470A-4EB2-8465-A9A2814E6AA4}">
            <x14:dataBar minLength="0" maxLength="100" gradient="0">
              <x14:cfvo type="autoMin"/>
              <x14:cfvo type="autoMax"/>
              <x14:negativeFillColor rgb="FFFF0000"/>
              <x14:axisColor rgb="FF000000"/>
            </x14:dataBar>
          </x14:cfRule>
          <xm:sqref>E102:E112</xm:sqref>
        </x14:conditionalFormatting>
        <x14:conditionalFormatting xmlns:xm="http://schemas.microsoft.com/office/excel/2006/main" pivot="1">
          <x14:cfRule type="dataBar" id="{4E84F5AE-3D8D-4A8D-A0DE-550AED8B16FA}">
            <x14:dataBar minLength="0" maxLength="100" gradient="0">
              <x14:cfvo type="autoMin"/>
              <x14:cfvo type="autoMax"/>
              <x14:negativeFillColor rgb="FFFF0000"/>
              <x14:axisColor rgb="FF000000"/>
            </x14:dataBar>
          </x14:cfRule>
          <xm:sqref>B113:E114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X311"/>
  <sheetViews>
    <sheetView topLeftCell="T1" zoomScaleNormal="100" workbookViewId="0">
      <pane ySplit="1" topLeftCell="B248" activePane="bottomLeft" state="frozen"/>
      <selection pane="bottomLeft" activeCell="AH254" sqref="AH254"/>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31</v>
      </c>
      <c r="G1" s="297" t="s">
        <v>15</v>
      </c>
      <c r="H1" s="297" t="s">
        <v>50</v>
      </c>
      <c r="I1" s="297" t="s">
        <v>36</v>
      </c>
      <c r="J1" s="297" t="s">
        <v>67</v>
      </c>
      <c r="K1" s="297" t="s">
        <v>68</v>
      </c>
      <c r="L1" s="297" t="s">
        <v>34</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hidden="1" customHeight="1">
      <c r="A2" s="75">
        <v>1</v>
      </c>
      <c r="B2" s="75" t="s">
        <v>144</v>
      </c>
      <c r="C2" s="75" t="s">
        <v>145</v>
      </c>
      <c r="D2" s="75" t="s">
        <v>146</v>
      </c>
      <c r="E2" s="75" t="s">
        <v>147</v>
      </c>
      <c r="F2" s="75" t="s">
        <v>24</v>
      </c>
      <c r="G2" s="75">
        <v>1</v>
      </c>
      <c r="H2" s="75" t="s">
        <v>54</v>
      </c>
      <c r="I2" s="75" t="s">
        <v>33</v>
      </c>
      <c r="J2" s="75" t="s">
        <v>148</v>
      </c>
      <c r="K2" s="75" t="s">
        <v>149</v>
      </c>
      <c r="L2" s="75" t="s">
        <v>33</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hidden="1" customHeight="1">
      <c r="A3" s="75">
        <v>2</v>
      </c>
      <c r="B3" s="75" t="s">
        <v>169</v>
      </c>
      <c r="C3" s="75" t="s">
        <v>170</v>
      </c>
      <c r="D3" s="75"/>
      <c r="E3" s="75" t="s">
        <v>171</v>
      </c>
      <c r="F3" s="75" t="s">
        <v>25</v>
      </c>
      <c r="G3" s="75">
        <v>1</v>
      </c>
      <c r="H3" s="75" t="s">
        <v>55</v>
      </c>
      <c r="I3" s="75" t="s">
        <v>45</v>
      </c>
      <c r="J3" s="75" t="s">
        <v>172</v>
      </c>
      <c r="K3" s="75" t="s">
        <v>173</v>
      </c>
      <c r="L3" s="75" t="s">
        <v>43</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hidden="1" customHeight="1">
      <c r="A4" s="75">
        <v>3</v>
      </c>
      <c r="B4" s="75" t="s">
        <v>186</v>
      </c>
      <c r="C4" s="75" t="s">
        <v>187</v>
      </c>
      <c r="D4" s="75" t="s">
        <v>188</v>
      </c>
      <c r="E4" s="75" t="s">
        <v>189</v>
      </c>
      <c r="F4" s="75" t="s">
        <v>25</v>
      </c>
      <c r="G4" s="75">
        <v>1</v>
      </c>
      <c r="H4" s="75" t="s">
        <v>52</v>
      </c>
      <c r="I4" s="75" t="s">
        <v>39</v>
      </c>
      <c r="J4" s="75" t="s">
        <v>190</v>
      </c>
      <c r="K4" s="75" t="s">
        <v>191</v>
      </c>
      <c r="L4" s="75" t="s">
        <v>39</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hidden="1" customHeight="1">
      <c r="A5" s="75">
        <v>4</v>
      </c>
      <c r="B5" s="75" t="s">
        <v>207</v>
      </c>
      <c r="C5" s="75" t="s">
        <v>208</v>
      </c>
      <c r="D5" s="75"/>
      <c r="E5" s="75" t="s">
        <v>209</v>
      </c>
      <c r="F5" s="75" t="s">
        <v>24</v>
      </c>
      <c r="G5" s="75">
        <v>1</v>
      </c>
      <c r="H5" s="75" t="s">
        <v>55</v>
      </c>
      <c r="I5" s="75" t="s">
        <v>45</v>
      </c>
      <c r="J5" s="75" t="s">
        <v>172</v>
      </c>
      <c r="K5" s="75" t="s">
        <v>210</v>
      </c>
      <c r="L5" s="75" t="s">
        <v>43</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hidden="1" customHeight="1">
      <c r="A6" s="75">
        <v>5</v>
      </c>
      <c r="B6" s="75" t="s">
        <v>221</v>
      </c>
      <c r="C6" s="75" t="s">
        <v>222</v>
      </c>
      <c r="D6" s="75"/>
      <c r="E6" s="75" t="s">
        <v>223</v>
      </c>
      <c r="F6" s="75" t="s">
        <v>24</v>
      </c>
      <c r="G6" s="75">
        <v>1</v>
      </c>
      <c r="H6" s="75" t="s">
        <v>53</v>
      </c>
      <c r="I6" s="75" t="s">
        <v>47</v>
      </c>
      <c r="J6" s="75" t="s">
        <v>224</v>
      </c>
      <c r="K6" s="75" t="s">
        <v>225</v>
      </c>
      <c r="L6" s="75" t="s">
        <v>46</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hidden="1" customHeight="1">
      <c r="A7" s="75">
        <v>6</v>
      </c>
      <c r="B7" s="75" t="s">
        <v>235</v>
      </c>
      <c r="C7" s="75" t="s">
        <v>236</v>
      </c>
      <c r="D7" s="75" t="s">
        <v>237</v>
      </c>
      <c r="E7" s="75" t="s">
        <v>238</v>
      </c>
      <c r="F7" s="75" t="s">
        <v>25</v>
      </c>
      <c r="G7" s="75">
        <v>1</v>
      </c>
      <c r="H7" s="75" t="s">
        <v>59</v>
      </c>
      <c r="I7" s="75" t="s">
        <v>42</v>
      </c>
      <c r="J7" s="75" t="s">
        <v>239</v>
      </c>
      <c r="K7" s="75"/>
      <c r="L7" s="75" t="s">
        <v>46</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hidden="1" customHeight="1">
      <c r="A8" s="75">
        <v>7</v>
      </c>
      <c r="B8" s="75" t="s">
        <v>253</v>
      </c>
      <c r="C8" s="75" t="s">
        <v>254</v>
      </c>
      <c r="D8" s="75" t="s">
        <v>255</v>
      </c>
      <c r="E8" s="75" t="s">
        <v>256</v>
      </c>
      <c r="F8" s="75" t="s">
        <v>25</v>
      </c>
      <c r="G8" s="75">
        <v>1</v>
      </c>
      <c r="H8" s="75" t="s">
        <v>53</v>
      </c>
      <c r="I8" s="75" t="s">
        <v>47</v>
      </c>
      <c r="J8" s="75" t="s">
        <v>257</v>
      </c>
      <c r="K8" s="75" t="s">
        <v>258</v>
      </c>
      <c r="L8" s="75" t="s">
        <v>46</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hidden="1" customHeight="1">
      <c r="A9" s="75">
        <v>8</v>
      </c>
      <c r="B9" s="75" t="s">
        <v>269</v>
      </c>
      <c r="C9" s="75" t="s">
        <v>270</v>
      </c>
      <c r="D9" s="75" t="s">
        <v>271</v>
      </c>
      <c r="E9" s="75" t="s">
        <v>272</v>
      </c>
      <c r="F9" s="75" t="s">
        <v>24</v>
      </c>
      <c r="G9" s="75">
        <v>1</v>
      </c>
      <c r="H9" s="75" t="s">
        <v>54</v>
      </c>
      <c r="I9" s="75" t="s">
        <v>41</v>
      </c>
      <c r="J9" s="75" t="s">
        <v>273</v>
      </c>
      <c r="K9" s="75" t="s">
        <v>274</v>
      </c>
      <c r="L9" s="75" t="s">
        <v>33</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hidden="1" customHeight="1">
      <c r="A10" s="75">
        <v>9</v>
      </c>
      <c r="B10" s="75" t="s">
        <v>287</v>
      </c>
      <c r="C10" s="75" t="s">
        <v>288</v>
      </c>
      <c r="D10" s="75"/>
      <c r="E10" s="75" t="s">
        <v>289</v>
      </c>
      <c r="F10" s="75" t="s">
        <v>24</v>
      </c>
      <c r="G10" s="75">
        <v>1</v>
      </c>
      <c r="H10" s="75" t="s">
        <v>53</v>
      </c>
      <c r="I10" s="75" t="s">
        <v>47</v>
      </c>
      <c r="J10" s="75" t="s">
        <v>290</v>
      </c>
      <c r="K10" s="75" t="s">
        <v>291</v>
      </c>
      <c r="L10" s="75" t="s">
        <v>47</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hidden="1" customHeight="1">
      <c r="A11" s="75">
        <v>10</v>
      </c>
      <c r="B11" s="75" t="s">
        <v>300</v>
      </c>
      <c r="C11" s="75" t="s">
        <v>301</v>
      </c>
      <c r="D11" s="75"/>
      <c r="E11" s="75" t="s">
        <v>302</v>
      </c>
      <c r="F11" s="75" t="s">
        <v>24</v>
      </c>
      <c r="G11" s="75">
        <v>1</v>
      </c>
      <c r="H11" s="75" t="s">
        <v>55</v>
      </c>
      <c r="I11" s="75" t="s">
        <v>45</v>
      </c>
      <c r="J11" s="75" t="s">
        <v>303</v>
      </c>
      <c r="K11" s="75" t="s">
        <v>173</v>
      </c>
      <c r="L11" s="75" t="s">
        <v>45</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hidden="1" customHeight="1">
      <c r="A12" s="75">
        <v>11</v>
      </c>
      <c r="B12" s="75" t="s">
        <v>317</v>
      </c>
      <c r="C12" s="75" t="s">
        <v>318</v>
      </c>
      <c r="D12" s="75" t="s">
        <v>319</v>
      </c>
      <c r="E12" s="75" t="s">
        <v>320</v>
      </c>
      <c r="F12" s="75" t="s">
        <v>24</v>
      </c>
      <c r="G12" s="75">
        <v>1</v>
      </c>
      <c r="H12" s="75" t="s">
        <v>54</v>
      </c>
      <c r="I12" s="75" t="s">
        <v>33</v>
      </c>
      <c r="J12" s="75" t="s">
        <v>321</v>
      </c>
      <c r="K12" s="75" t="s">
        <v>149</v>
      </c>
      <c r="L12" s="75" t="s">
        <v>33</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hidden="1" customHeight="1">
      <c r="A13" s="75">
        <v>12</v>
      </c>
      <c r="B13" s="75" t="s">
        <v>331</v>
      </c>
      <c r="C13" s="75" t="s">
        <v>332</v>
      </c>
      <c r="D13" s="75" t="s">
        <v>333</v>
      </c>
      <c r="E13" s="75" t="s">
        <v>334</v>
      </c>
      <c r="F13" s="75" t="s">
        <v>24</v>
      </c>
      <c r="G13" s="75">
        <v>1</v>
      </c>
      <c r="H13" s="75" t="s">
        <v>53</v>
      </c>
      <c r="I13" s="75" t="s">
        <v>47</v>
      </c>
      <c r="J13" s="75" t="s">
        <v>335</v>
      </c>
      <c r="K13" s="75"/>
      <c r="L13" s="75" t="s">
        <v>46</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hidden="1" customHeight="1">
      <c r="A14" s="75">
        <v>13</v>
      </c>
      <c r="B14" s="75" t="s">
        <v>346</v>
      </c>
      <c r="C14" s="75" t="s">
        <v>347</v>
      </c>
      <c r="D14" s="75" t="s">
        <v>348</v>
      </c>
      <c r="E14" s="75" t="s">
        <v>349</v>
      </c>
      <c r="F14" s="75" t="s">
        <v>25</v>
      </c>
      <c r="G14" s="75">
        <v>1</v>
      </c>
      <c r="H14" s="75" t="s">
        <v>52</v>
      </c>
      <c r="I14" s="75" t="s">
        <v>39</v>
      </c>
      <c r="J14" s="75" t="s">
        <v>350</v>
      </c>
      <c r="K14" s="75"/>
      <c r="L14" s="75" t="s">
        <v>39</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hidden="1" customHeight="1">
      <c r="A15" s="75">
        <v>14</v>
      </c>
      <c r="B15" s="75" t="s">
        <v>359</v>
      </c>
      <c r="C15" s="75" t="s">
        <v>360</v>
      </c>
      <c r="D15" s="75"/>
      <c r="E15" s="75" t="s">
        <v>361</v>
      </c>
      <c r="F15" s="75" t="s">
        <v>25</v>
      </c>
      <c r="G15" s="75">
        <v>1</v>
      </c>
      <c r="H15" s="75" t="s">
        <v>58</v>
      </c>
      <c r="I15" s="84" t="s">
        <v>46</v>
      </c>
      <c r="J15" s="75" t="s">
        <v>362</v>
      </c>
      <c r="K15" s="75" t="s">
        <v>363</v>
      </c>
      <c r="L15" s="75" t="s">
        <v>46</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hidden="1" customHeight="1">
      <c r="A16" s="75">
        <v>15</v>
      </c>
      <c r="B16" s="75" t="s">
        <v>374</v>
      </c>
      <c r="C16" s="75" t="s">
        <v>375</v>
      </c>
      <c r="D16" s="75" t="s">
        <v>376</v>
      </c>
      <c r="E16" s="75" t="s">
        <v>377</v>
      </c>
      <c r="F16" s="75" t="s">
        <v>24</v>
      </c>
      <c r="G16" s="75">
        <v>1</v>
      </c>
      <c r="H16" s="75" t="s">
        <v>58</v>
      </c>
      <c r="I16" s="75" t="s">
        <v>46</v>
      </c>
      <c r="J16" s="75" t="s">
        <v>378</v>
      </c>
      <c r="K16" s="75" t="s">
        <v>379</v>
      </c>
      <c r="L16" s="75" t="s">
        <v>46</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hidden="1" customHeight="1">
      <c r="A17" s="75">
        <v>16</v>
      </c>
      <c r="B17" s="75" t="s">
        <v>387</v>
      </c>
      <c r="C17" s="75" t="s">
        <v>388</v>
      </c>
      <c r="D17" s="75" t="s">
        <v>389</v>
      </c>
      <c r="E17" s="75" t="s">
        <v>390</v>
      </c>
      <c r="F17" s="75" t="s">
        <v>24</v>
      </c>
      <c r="G17" s="75">
        <v>1</v>
      </c>
      <c r="H17" s="75" t="s">
        <v>53</v>
      </c>
      <c r="I17" s="75" t="s">
        <v>46</v>
      </c>
      <c r="J17" s="75" t="s">
        <v>378</v>
      </c>
      <c r="K17" s="75" t="s">
        <v>391</v>
      </c>
      <c r="L17" s="75" t="s">
        <v>46</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hidden="1" customHeight="1">
      <c r="A18" s="75">
        <v>17</v>
      </c>
      <c r="B18" s="75" t="s">
        <v>402</v>
      </c>
      <c r="C18" s="75" t="s">
        <v>403</v>
      </c>
      <c r="D18" s="75" t="s">
        <v>404</v>
      </c>
      <c r="E18" s="75" t="s">
        <v>405</v>
      </c>
      <c r="F18" s="75" t="s">
        <v>25</v>
      </c>
      <c r="G18" s="75">
        <v>1</v>
      </c>
      <c r="H18" s="75" t="s">
        <v>52</v>
      </c>
      <c r="I18" s="75" t="s">
        <v>44</v>
      </c>
      <c r="J18" s="75" t="s">
        <v>406</v>
      </c>
      <c r="K18" s="75" t="s">
        <v>407</v>
      </c>
      <c r="L18" s="75" t="s">
        <v>44</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hidden="1" customHeight="1">
      <c r="A19" s="75">
        <v>18</v>
      </c>
      <c r="B19" s="75" t="s">
        <v>423</v>
      </c>
      <c r="C19" s="75" t="s">
        <v>424</v>
      </c>
      <c r="D19" s="75" t="s">
        <v>425</v>
      </c>
      <c r="E19" s="75" t="s">
        <v>426</v>
      </c>
      <c r="F19" s="75" t="s">
        <v>24</v>
      </c>
      <c r="G19" s="75">
        <v>1</v>
      </c>
      <c r="H19" s="75" t="s">
        <v>54</v>
      </c>
      <c r="I19" s="75" t="s">
        <v>41</v>
      </c>
      <c r="J19" s="75" t="s">
        <v>363</v>
      </c>
      <c r="K19" s="75" t="s">
        <v>363</v>
      </c>
      <c r="L19" s="75" t="s">
        <v>46</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hidden="1" customHeight="1">
      <c r="A20" s="75">
        <v>19</v>
      </c>
      <c r="B20" s="75" t="s">
        <v>436</v>
      </c>
      <c r="C20" s="75" t="s">
        <v>437</v>
      </c>
      <c r="D20" s="75" t="s">
        <v>438</v>
      </c>
      <c r="E20" s="75" t="s">
        <v>147</v>
      </c>
      <c r="F20" s="75" t="s">
        <v>24</v>
      </c>
      <c r="G20" s="75">
        <v>1</v>
      </c>
      <c r="H20" s="75" t="s">
        <v>54</v>
      </c>
      <c r="I20" s="75" t="s">
        <v>41</v>
      </c>
      <c r="J20" s="75" t="s">
        <v>439</v>
      </c>
      <c r="K20" s="75" t="s">
        <v>439</v>
      </c>
      <c r="L20" s="75" t="s">
        <v>41</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hidden="1" customHeight="1">
      <c r="A21" s="85">
        <v>20</v>
      </c>
      <c r="B21" s="85" t="s">
        <v>448</v>
      </c>
      <c r="C21" s="85" t="s">
        <v>437</v>
      </c>
      <c r="D21" s="85" t="s">
        <v>449</v>
      </c>
      <c r="E21" s="85" t="s">
        <v>450</v>
      </c>
      <c r="F21" s="85" t="s">
        <v>24</v>
      </c>
      <c r="G21" s="85">
        <v>1</v>
      </c>
      <c r="H21" s="85" t="s">
        <v>54</v>
      </c>
      <c r="I21" s="85" t="s">
        <v>38</v>
      </c>
      <c r="J21" s="85" t="s">
        <v>172</v>
      </c>
      <c r="K21" s="85" t="s">
        <v>172</v>
      </c>
      <c r="L21" s="85" t="s">
        <v>46</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hidden="1" customHeight="1">
      <c r="A22" s="91">
        <v>22</v>
      </c>
      <c r="B22" s="91" t="s">
        <v>462</v>
      </c>
      <c r="C22" s="91" t="s">
        <v>463</v>
      </c>
      <c r="D22" s="91" t="s">
        <v>464</v>
      </c>
      <c r="E22" s="91" t="s">
        <v>465</v>
      </c>
      <c r="F22" s="91" t="s">
        <v>25</v>
      </c>
      <c r="G22" s="91">
        <v>1</v>
      </c>
      <c r="H22" s="91" t="s">
        <v>52</v>
      </c>
      <c r="I22" s="91" t="s">
        <v>44</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hidden="1" customHeight="1">
      <c r="A23" s="91">
        <v>23</v>
      </c>
      <c r="B23" s="91" t="s">
        <v>466</v>
      </c>
      <c r="C23" s="91" t="s">
        <v>467</v>
      </c>
      <c r="D23" s="91" t="s">
        <v>468</v>
      </c>
      <c r="E23" s="91" t="s">
        <v>469</v>
      </c>
      <c r="F23" s="91" t="s">
        <v>24</v>
      </c>
      <c r="G23" s="91">
        <v>1</v>
      </c>
      <c r="H23" s="91" t="s">
        <v>52</v>
      </c>
      <c r="I23" s="91" t="s">
        <v>44</v>
      </c>
      <c r="J23" s="91"/>
      <c r="K23" s="91"/>
      <c r="L23" s="91" t="s">
        <v>44</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hidden="1" customHeight="1">
      <c r="A24" s="91">
        <v>24</v>
      </c>
      <c r="B24" s="91" t="s">
        <v>470</v>
      </c>
      <c r="C24" s="91" t="s">
        <v>471</v>
      </c>
      <c r="D24" s="91" t="s">
        <v>472</v>
      </c>
      <c r="E24" s="91" t="s">
        <v>473</v>
      </c>
      <c r="F24" s="91" t="s">
        <v>25</v>
      </c>
      <c r="G24" s="91">
        <v>1</v>
      </c>
      <c r="H24" s="91" t="s">
        <v>59</v>
      </c>
      <c r="I24" s="91" t="s">
        <v>43</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hidden="1" customHeight="1">
      <c r="A25" s="96">
        <v>26</v>
      </c>
      <c r="B25" s="96" t="s">
        <v>474</v>
      </c>
      <c r="C25" s="96" t="s">
        <v>475</v>
      </c>
      <c r="D25" s="96"/>
      <c r="E25" s="96" t="s">
        <v>476</v>
      </c>
      <c r="F25" s="96" t="s">
        <v>24</v>
      </c>
      <c r="G25" s="96">
        <v>2</v>
      </c>
      <c r="H25" s="96" t="s">
        <v>54</v>
      </c>
      <c r="I25" s="96" t="s">
        <v>33</v>
      </c>
      <c r="J25" s="96" t="s">
        <v>477</v>
      </c>
      <c r="K25" s="96"/>
      <c r="L25" s="96" t="s">
        <v>33</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hidden="1" customHeight="1">
      <c r="A26" s="96">
        <v>27</v>
      </c>
      <c r="B26" s="96" t="s">
        <v>486</v>
      </c>
      <c r="C26" s="96" t="s">
        <v>487</v>
      </c>
      <c r="D26" s="96"/>
      <c r="E26" s="96" t="s">
        <v>488</v>
      </c>
      <c r="F26" s="96" t="s">
        <v>25</v>
      </c>
      <c r="G26" s="96">
        <v>2</v>
      </c>
      <c r="H26" s="96" t="s">
        <v>53</v>
      </c>
      <c r="I26" s="96" t="s">
        <v>47</v>
      </c>
      <c r="J26" s="96" t="s">
        <v>489</v>
      </c>
      <c r="K26" s="96" t="s">
        <v>489</v>
      </c>
      <c r="L26" s="96" t="s">
        <v>47</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hidden="1" customHeight="1">
      <c r="A27" s="96">
        <v>28</v>
      </c>
      <c r="B27" s="96" t="s">
        <v>501</v>
      </c>
      <c r="C27" s="96" t="s">
        <v>502</v>
      </c>
      <c r="D27" s="96" t="s">
        <v>503</v>
      </c>
      <c r="E27" s="96" t="s">
        <v>504</v>
      </c>
      <c r="F27" s="96" t="s">
        <v>24</v>
      </c>
      <c r="G27" s="96">
        <v>2</v>
      </c>
      <c r="H27" s="96" t="s">
        <v>53</v>
      </c>
      <c r="I27" s="96" t="s">
        <v>47</v>
      </c>
      <c r="J27" s="96" t="s">
        <v>224</v>
      </c>
      <c r="K27" s="96"/>
      <c r="L27" s="96" t="s">
        <v>47</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hidden="1" customHeight="1">
      <c r="A28" s="96">
        <v>29</v>
      </c>
      <c r="B28" s="96" t="s">
        <v>513</v>
      </c>
      <c r="C28" s="96" t="s">
        <v>514</v>
      </c>
      <c r="D28" s="96" t="s">
        <v>20</v>
      </c>
      <c r="E28" s="96" t="s">
        <v>515</v>
      </c>
      <c r="F28" s="96" t="s">
        <v>25</v>
      </c>
      <c r="G28" s="96">
        <v>2</v>
      </c>
      <c r="H28" s="96" t="s">
        <v>52</v>
      </c>
      <c r="I28" s="96" t="s">
        <v>39</v>
      </c>
      <c r="J28" s="96" t="s">
        <v>516</v>
      </c>
      <c r="K28" s="96" t="s">
        <v>517</v>
      </c>
      <c r="L28" s="96" t="s">
        <v>39</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hidden="1" customHeight="1">
      <c r="A29" s="96">
        <v>30</v>
      </c>
      <c r="B29" s="96" t="s">
        <v>527</v>
      </c>
      <c r="C29" s="96" t="s">
        <v>528</v>
      </c>
      <c r="D29" s="96"/>
      <c r="E29" s="96" t="s">
        <v>529</v>
      </c>
      <c r="F29" s="96" t="s">
        <v>25</v>
      </c>
      <c r="G29" s="96">
        <v>2</v>
      </c>
      <c r="H29" s="96" t="s">
        <v>59</v>
      </c>
      <c r="I29" s="96" t="s">
        <v>43</v>
      </c>
      <c r="J29" s="96" t="s">
        <v>477</v>
      </c>
      <c r="K29" s="96" t="s">
        <v>530</v>
      </c>
      <c r="L29" s="96" t="s">
        <v>44</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hidden="1" customHeight="1">
      <c r="A30" s="96">
        <v>31</v>
      </c>
      <c r="B30" s="96" t="s">
        <v>539</v>
      </c>
      <c r="C30" s="96" t="s">
        <v>540</v>
      </c>
      <c r="D30" s="96" t="s">
        <v>541</v>
      </c>
      <c r="E30" s="96" t="s">
        <v>542</v>
      </c>
      <c r="F30" s="96" t="s">
        <v>24</v>
      </c>
      <c r="G30" s="96">
        <v>2</v>
      </c>
      <c r="H30" s="96" t="s">
        <v>60</v>
      </c>
      <c r="I30" s="96" t="s">
        <v>37</v>
      </c>
      <c r="J30" s="96" t="s">
        <v>477</v>
      </c>
      <c r="K30" s="96" t="s">
        <v>543</v>
      </c>
      <c r="L30" s="96" t="s">
        <v>37</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hidden="1" customHeight="1">
      <c r="A31" s="96">
        <v>32</v>
      </c>
      <c r="B31" s="96" t="s">
        <v>555</v>
      </c>
      <c r="C31" s="96" t="s">
        <v>556</v>
      </c>
      <c r="D31" s="96" t="s">
        <v>557</v>
      </c>
      <c r="E31" s="96" t="s">
        <v>558</v>
      </c>
      <c r="F31" s="96" t="s">
        <v>24</v>
      </c>
      <c r="G31" s="96">
        <v>2</v>
      </c>
      <c r="H31" s="96" t="s">
        <v>54</v>
      </c>
      <c r="I31" s="96" t="s">
        <v>33</v>
      </c>
      <c r="J31" s="96" t="s">
        <v>559</v>
      </c>
      <c r="K31" s="96" t="s">
        <v>560</v>
      </c>
      <c r="L31" s="96" t="s">
        <v>33</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hidden="1" customHeight="1">
      <c r="A32" s="96">
        <v>33</v>
      </c>
      <c r="B32" s="96" t="s">
        <v>569</v>
      </c>
      <c r="C32" s="96" t="s">
        <v>570</v>
      </c>
      <c r="D32" s="96"/>
      <c r="E32" s="96" t="s">
        <v>571</v>
      </c>
      <c r="F32" s="96" t="s">
        <v>24</v>
      </c>
      <c r="G32" s="96">
        <v>2</v>
      </c>
      <c r="H32" s="96" t="s">
        <v>60</v>
      </c>
      <c r="I32" s="96" t="s">
        <v>37</v>
      </c>
      <c r="J32" s="96" t="s">
        <v>477</v>
      </c>
      <c r="K32" s="96"/>
      <c r="L32" s="96" t="s">
        <v>37</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hidden="1" customHeight="1">
      <c r="A33" s="96">
        <v>34</v>
      </c>
      <c r="B33" s="96" t="s">
        <v>582</v>
      </c>
      <c r="C33" s="96" t="s">
        <v>583</v>
      </c>
      <c r="D33" s="96" t="s">
        <v>584</v>
      </c>
      <c r="E33" s="96" t="s">
        <v>585</v>
      </c>
      <c r="F33" s="96" t="s">
        <v>24</v>
      </c>
      <c r="G33" s="96">
        <v>2</v>
      </c>
      <c r="H33" s="96" t="s">
        <v>53</v>
      </c>
      <c r="I33" s="96" t="s">
        <v>47</v>
      </c>
      <c r="J33" s="96" t="s">
        <v>477</v>
      </c>
      <c r="K33" s="96" t="s">
        <v>543</v>
      </c>
      <c r="L33" s="96" t="s">
        <v>47</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hidden="1" customHeight="1">
      <c r="A34" s="96">
        <v>35</v>
      </c>
      <c r="B34" s="96" t="s">
        <v>598</v>
      </c>
      <c r="C34" s="96" t="s">
        <v>599</v>
      </c>
      <c r="D34" s="96" t="s">
        <v>600</v>
      </c>
      <c r="E34" s="96" t="s">
        <v>601</v>
      </c>
      <c r="F34" s="96" t="s">
        <v>24</v>
      </c>
      <c r="G34" s="96">
        <v>2</v>
      </c>
      <c r="H34" s="96" t="s">
        <v>52</v>
      </c>
      <c r="I34" s="96" t="s">
        <v>40</v>
      </c>
      <c r="J34" s="96" t="s">
        <v>602</v>
      </c>
      <c r="K34" s="96" t="s">
        <v>603</v>
      </c>
      <c r="L34" s="96" t="s">
        <v>46</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hidden="1" customHeight="1">
      <c r="A35" s="96">
        <v>36</v>
      </c>
      <c r="B35" s="96" t="s">
        <v>617</v>
      </c>
      <c r="C35" s="96" t="s">
        <v>618</v>
      </c>
      <c r="D35" s="96" t="s">
        <v>619</v>
      </c>
      <c r="E35" s="96" t="s">
        <v>620</v>
      </c>
      <c r="F35" s="96" t="s">
        <v>24</v>
      </c>
      <c r="G35" s="96">
        <v>2</v>
      </c>
      <c r="H35" s="96" t="s">
        <v>52</v>
      </c>
      <c r="I35" s="96" t="s">
        <v>44</v>
      </c>
      <c r="J35" s="96" t="s">
        <v>621</v>
      </c>
      <c r="K35" s="96" t="s">
        <v>622</v>
      </c>
      <c r="L35" s="96" t="s">
        <v>44</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hidden="1" customHeight="1">
      <c r="A36" s="96">
        <v>37</v>
      </c>
      <c r="B36" s="96" t="s">
        <v>628</v>
      </c>
      <c r="C36" s="96" t="s">
        <v>629</v>
      </c>
      <c r="D36" s="96" t="s">
        <v>630</v>
      </c>
      <c r="E36" s="96" t="s">
        <v>631</v>
      </c>
      <c r="F36" s="96" t="s">
        <v>25</v>
      </c>
      <c r="G36" s="96">
        <v>2</v>
      </c>
      <c r="H36" s="96" t="s">
        <v>54</v>
      </c>
      <c r="I36" s="96" t="s">
        <v>41</v>
      </c>
      <c r="J36" s="96" t="s">
        <v>362</v>
      </c>
      <c r="K36" s="96" t="s">
        <v>439</v>
      </c>
      <c r="L36" s="96" t="s">
        <v>41</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hidden="1" customHeight="1">
      <c r="A37" s="85">
        <v>38</v>
      </c>
      <c r="B37" s="85" t="s">
        <v>640</v>
      </c>
      <c r="C37" s="85" t="s">
        <v>641</v>
      </c>
      <c r="D37" s="85" t="s">
        <v>642</v>
      </c>
      <c r="E37" s="85" t="s">
        <v>643</v>
      </c>
      <c r="F37" s="85" t="s">
        <v>25</v>
      </c>
      <c r="G37" s="85">
        <v>2</v>
      </c>
      <c r="H37" s="85" t="s">
        <v>54</v>
      </c>
      <c r="I37" s="85" t="s">
        <v>33</v>
      </c>
      <c r="J37" s="85" t="s">
        <v>224</v>
      </c>
      <c r="K37" s="85"/>
      <c r="L37" s="85" t="s">
        <v>33</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33</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hidden="1" customHeight="1">
      <c r="A38" s="96">
        <v>39</v>
      </c>
      <c r="B38" s="96" t="s">
        <v>652</v>
      </c>
      <c r="C38" s="96" t="s">
        <v>388</v>
      </c>
      <c r="D38" s="96" t="s">
        <v>653</v>
      </c>
      <c r="E38" s="96" t="s">
        <v>654</v>
      </c>
      <c r="F38" s="96" t="s">
        <v>24</v>
      </c>
      <c r="G38" s="96">
        <v>2</v>
      </c>
      <c r="H38" s="96" t="s">
        <v>53</v>
      </c>
      <c r="I38" s="96" t="s">
        <v>47</v>
      </c>
      <c r="J38" s="96" t="s">
        <v>655</v>
      </c>
      <c r="K38" s="96" t="s">
        <v>656</v>
      </c>
      <c r="L38" s="96" t="s">
        <v>47</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hidden="1" customHeight="1">
      <c r="A39" s="91">
        <v>40</v>
      </c>
      <c r="B39" s="91" t="s">
        <v>667</v>
      </c>
      <c r="C39" s="91" t="s">
        <v>668</v>
      </c>
      <c r="D39" s="91" t="s">
        <v>669</v>
      </c>
      <c r="E39" s="91" t="s">
        <v>670</v>
      </c>
      <c r="F39" s="91" t="s">
        <v>25</v>
      </c>
      <c r="G39" s="91">
        <v>2</v>
      </c>
      <c r="H39" s="91" t="s">
        <v>58</v>
      </c>
      <c r="I39" s="91" t="s">
        <v>46</v>
      </c>
      <c r="J39" s="91" t="s">
        <v>671</v>
      </c>
      <c r="K39" s="91" t="s">
        <v>672</v>
      </c>
      <c r="L39" s="91" t="s">
        <v>46</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hidden="1" customHeight="1">
      <c r="A40" s="96">
        <v>41</v>
      </c>
      <c r="B40" s="96" t="s">
        <v>683</v>
      </c>
      <c r="C40" s="96" t="s">
        <v>684</v>
      </c>
      <c r="D40" s="96" t="s">
        <v>685</v>
      </c>
      <c r="E40" s="96" t="s">
        <v>686</v>
      </c>
      <c r="F40" s="96" t="s">
        <v>25</v>
      </c>
      <c r="G40" s="96">
        <v>2</v>
      </c>
      <c r="H40" s="96" t="s">
        <v>60</v>
      </c>
      <c r="I40" s="96" t="s">
        <v>37</v>
      </c>
      <c r="J40" s="96" t="s">
        <v>477</v>
      </c>
      <c r="K40" s="96" t="s">
        <v>687</v>
      </c>
      <c r="L40" s="96" t="s">
        <v>37</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hidden="1" customHeight="1">
      <c r="A41" s="96">
        <v>42</v>
      </c>
      <c r="B41" s="96" t="s">
        <v>699</v>
      </c>
      <c r="C41" s="96" t="s">
        <v>700</v>
      </c>
      <c r="D41" s="96"/>
      <c r="E41" s="96" t="s">
        <v>701</v>
      </c>
      <c r="F41" s="96" t="s">
        <v>25</v>
      </c>
      <c r="G41" s="96">
        <v>2</v>
      </c>
      <c r="H41" s="96" t="s">
        <v>60</v>
      </c>
      <c r="I41" s="96" t="s">
        <v>37</v>
      </c>
      <c r="J41" s="96" t="s">
        <v>702</v>
      </c>
      <c r="K41" s="96"/>
      <c r="L41" s="96" t="s">
        <v>37</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hidden="1" customHeight="1">
      <c r="A42" s="91">
        <v>43</v>
      </c>
      <c r="B42" s="91" t="s">
        <v>711</v>
      </c>
      <c r="C42" s="91" t="s">
        <v>712</v>
      </c>
      <c r="D42" s="91"/>
      <c r="E42" s="91" t="s">
        <v>713</v>
      </c>
      <c r="F42" s="91" t="s">
        <v>24</v>
      </c>
      <c r="G42" s="91">
        <v>2</v>
      </c>
      <c r="H42" s="91" t="s">
        <v>58</v>
      </c>
      <c r="I42" s="91" t="s">
        <v>46</v>
      </c>
      <c r="J42" s="91" t="s">
        <v>477</v>
      </c>
      <c r="K42" s="91"/>
      <c r="L42" s="91" t="s">
        <v>46</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hidden="1" customHeight="1">
      <c r="A43" s="91">
        <v>44</v>
      </c>
      <c r="B43" s="91" t="s">
        <v>723</v>
      </c>
      <c r="C43" s="91" t="s">
        <v>724</v>
      </c>
      <c r="D43" s="91" t="s">
        <v>725</v>
      </c>
      <c r="E43" s="91" t="s">
        <v>726</v>
      </c>
      <c r="F43" s="91" t="s">
        <v>25</v>
      </c>
      <c r="G43" s="91">
        <v>2</v>
      </c>
      <c r="H43" s="108" t="s">
        <v>52</v>
      </c>
      <c r="I43" s="91" t="s">
        <v>44</v>
      </c>
      <c r="J43" s="91"/>
      <c r="K43" s="91"/>
      <c r="L43" s="91" t="s">
        <v>46</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hidden="1" customHeight="1">
      <c r="A44" s="91">
        <v>45</v>
      </c>
      <c r="B44" s="91" t="s">
        <v>727</v>
      </c>
      <c r="C44" s="91" t="s">
        <v>728</v>
      </c>
      <c r="D44" s="91" t="s">
        <v>729</v>
      </c>
      <c r="E44" s="91" t="s">
        <v>730</v>
      </c>
      <c r="F44" s="91" t="s">
        <v>24</v>
      </c>
      <c r="G44" s="91">
        <v>2</v>
      </c>
      <c r="H44" s="108" t="s">
        <v>59</v>
      </c>
      <c r="I44" s="91" t="s">
        <v>42</v>
      </c>
      <c r="J44" s="91"/>
      <c r="K44" s="91" t="s">
        <v>731</v>
      </c>
      <c r="L44" s="91" t="s">
        <v>43</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hidden="1" customHeight="1">
      <c r="A45" s="116">
        <v>47</v>
      </c>
      <c r="B45" s="116" t="s">
        <v>734</v>
      </c>
      <c r="C45" s="116" t="s">
        <v>735</v>
      </c>
      <c r="D45" s="116" t="s">
        <v>736</v>
      </c>
      <c r="E45" s="116" t="s">
        <v>737</v>
      </c>
      <c r="F45" s="116" t="s">
        <v>25</v>
      </c>
      <c r="G45" s="116">
        <v>3</v>
      </c>
      <c r="H45" s="116" t="s">
        <v>54</v>
      </c>
      <c r="I45" s="116" t="s">
        <v>33</v>
      </c>
      <c r="J45" s="116" t="s">
        <v>738</v>
      </c>
      <c r="K45" s="116" t="s">
        <v>739</v>
      </c>
      <c r="L45" s="116" t="s">
        <v>33</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hidden="1" customHeight="1">
      <c r="A46" s="116">
        <v>48</v>
      </c>
      <c r="B46" s="116" t="s">
        <v>752</v>
      </c>
      <c r="C46" s="116" t="s">
        <v>753</v>
      </c>
      <c r="D46" s="116"/>
      <c r="E46" s="116" t="s">
        <v>754</v>
      </c>
      <c r="F46" s="116" t="s">
        <v>25</v>
      </c>
      <c r="G46" s="116">
        <v>3</v>
      </c>
      <c r="H46" s="116" t="s">
        <v>52</v>
      </c>
      <c r="I46" s="116" t="s">
        <v>44</v>
      </c>
      <c r="J46" s="116" t="s">
        <v>477</v>
      </c>
      <c r="K46" s="116"/>
      <c r="L46" s="116" t="s">
        <v>44</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hidden="1" customHeight="1">
      <c r="A47" s="116">
        <v>49</v>
      </c>
      <c r="B47" s="116" t="s">
        <v>762</v>
      </c>
      <c r="C47" s="116" t="s">
        <v>763</v>
      </c>
      <c r="D47" s="116" t="s">
        <v>764</v>
      </c>
      <c r="E47" s="116" t="s">
        <v>765</v>
      </c>
      <c r="F47" s="116" t="s">
        <v>25</v>
      </c>
      <c r="G47" s="116">
        <v>3</v>
      </c>
      <c r="H47" s="116" t="s">
        <v>52</v>
      </c>
      <c r="I47" s="116" t="s">
        <v>44</v>
      </c>
      <c r="J47" s="116" t="s">
        <v>702</v>
      </c>
      <c r="K47" s="116" t="s">
        <v>766</v>
      </c>
      <c r="L47" s="116" t="s">
        <v>44</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hidden="1" customHeight="1">
      <c r="A48" s="116">
        <v>50</v>
      </c>
      <c r="B48" s="116" t="s">
        <v>780</v>
      </c>
      <c r="C48" s="116" t="s">
        <v>781</v>
      </c>
      <c r="D48" s="116" t="s">
        <v>782</v>
      </c>
      <c r="E48" s="116" t="s">
        <v>783</v>
      </c>
      <c r="F48" s="116" t="s">
        <v>25</v>
      </c>
      <c r="G48" s="116">
        <v>3</v>
      </c>
      <c r="H48" s="116" t="s">
        <v>54</v>
      </c>
      <c r="I48" s="116" t="s">
        <v>33</v>
      </c>
      <c r="J48" s="116" t="s">
        <v>784</v>
      </c>
      <c r="K48" s="116" t="s">
        <v>785</v>
      </c>
      <c r="L48" s="116" t="s">
        <v>33</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hidden="1" customHeight="1">
      <c r="A49" s="116">
        <v>51</v>
      </c>
      <c r="B49" s="116" t="s">
        <v>795</v>
      </c>
      <c r="C49" s="116" t="s">
        <v>796</v>
      </c>
      <c r="D49" s="116" t="s">
        <v>797</v>
      </c>
      <c r="E49" s="116" t="s">
        <v>798</v>
      </c>
      <c r="F49" s="116" t="s">
        <v>24</v>
      </c>
      <c r="G49" s="116">
        <v>3</v>
      </c>
      <c r="H49" s="116" t="s">
        <v>60</v>
      </c>
      <c r="I49" s="116" t="s">
        <v>37</v>
      </c>
      <c r="J49" s="116" t="s">
        <v>799</v>
      </c>
      <c r="K49" s="116"/>
      <c r="L49" s="116" t="s">
        <v>37</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hidden="1" customHeight="1">
      <c r="A50" s="116">
        <v>52</v>
      </c>
      <c r="B50" s="116" t="s">
        <v>810</v>
      </c>
      <c r="C50" s="116" t="s">
        <v>811</v>
      </c>
      <c r="D50" s="116" t="s">
        <v>812</v>
      </c>
      <c r="E50" s="116" t="s">
        <v>813</v>
      </c>
      <c r="F50" s="116" t="s">
        <v>24</v>
      </c>
      <c r="G50" s="116">
        <v>3</v>
      </c>
      <c r="H50" s="116" t="s">
        <v>55</v>
      </c>
      <c r="I50" s="116" t="s">
        <v>45</v>
      </c>
      <c r="J50" s="116" t="s">
        <v>602</v>
      </c>
      <c r="K50" s="116"/>
      <c r="L50" s="116" t="s">
        <v>45</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hidden="1" customHeight="1">
      <c r="A51" s="116">
        <v>53</v>
      </c>
      <c r="B51" s="116" t="s">
        <v>823</v>
      </c>
      <c r="C51" s="116" t="s">
        <v>824</v>
      </c>
      <c r="D51" s="116" t="s">
        <v>825</v>
      </c>
      <c r="E51" s="116" t="s">
        <v>826</v>
      </c>
      <c r="F51" s="116" t="s">
        <v>24</v>
      </c>
      <c r="G51" s="116">
        <v>3</v>
      </c>
      <c r="H51" s="116" t="s">
        <v>54</v>
      </c>
      <c r="I51" s="116" t="s">
        <v>33</v>
      </c>
      <c r="J51" s="116" t="s">
        <v>827</v>
      </c>
      <c r="K51" s="116" t="s">
        <v>828</v>
      </c>
      <c r="L51" s="116" t="s">
        <v>33</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hidden="1" customHeight="1">
      <c r="A52" s="116">
        <v>54</v>
      </c>
      <c r="B52" s="116" t="s">
        <v>836</v>
      </c>
      <c r="C52" s="116" t="s">
        <v>837</v>
      </c>
      <c r="D52" s="116" t="s">
        <v>838</v>
      </c>
      <c r="E52" s="116" t="s">
        <v>839</v>
      </c>
      <c r="F52" s="116" t="s">
        <v>24</v>
      </c>
      <c r="G52" s="116">
        <v>3</v>
      </c>
      <c r="H52" s="116" t="s">
        <v>53</v>
      </c>
      <c r="I52" s="116" t="s">
        <v>47</v>
      </c>
      <c r="J52" s="116" t="s">
        <v>799</v>
      </c>
      <c r="K52" s="116" t="s">
        <v>840</v>
      </c>
      <c r="L52" s="116" t="s">
        <v>47</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hidden="1" customHeight="1">
      <c r="A53" s="116">
        <v>55</v>
      </c>
      <c r="B53" s="116" t="s">
        <v>848</v>
      </c>
      <c r="C53" s="116" t="s">
        <v>849</v>
      </c>
      <c r="D53" s="116" t="s">
        <v>850</v>
      </c>
      <c r="E53" s="116" t="s">
        <v>851</v>
      </c>
      <c r="F53" s="116" t="s">
        <v>25</v>
      </c>
      <c r="G53" s="116">
        <v>3</v>
      </c>
      <c r="H53" s="116" t="s">
        <v>52</v>
      </c>
      <c r="I53" s="116" t="s">
        <v>39</v>
      </c>
      <c r="J53" s="116" t="s">
        <v>852</v>
      </c>
      <c r="K53" s="116" t="s">
        <v>853</v>
      </c>
      <c r="L53" s="116" t="s">
        <v>39</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hidden="1" customHeight="1">
      <c r="A54" s="116">
        <v>56</v>
      </c>
      <c r="B54" s="116" t="s">
        <v>864</v>
      </c>
      <c r="C54" s="116" t="s">
        <v>865</v>
      </c>
      <c r="D54" s="116" t="s">
        <v>866</v>
      </c>
      <c r="E54" s="116" t="s">
        <v>867</v>
      </c>
      <c r="F54" s="116" t="s">
        <v>25</v>
      </c>
      <c r="G54" s="116">
        <v>3</v>
      </c>
      <c r="H54" s="116" t="s">
        <v>58</v>
      </c>
      <c r="I54" s="116" t="s">
        <v>46</v>
      </c>
      <c r="J54" s="116" t="s">
        <v>602</v>
      </c>
      <c r="K54" s="116" t="s">
        <v>868</v>
      </c>
      <c r="L54" s="116" t="s">
        <v>46</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hidden="1" customHeight="1">
      <c r="A55" s="116">
        <v>57</v>
      </c>
      <c r="B55" s="116" t="s">
        <v>879</v>
      </c>
      <c r="C55" s="116" t="s">
        <v>825</v>
      </c>
      <c r="D55" s="116"/>
      <c r="E55" s="116" t="s">
        <v>880</v>
      </c>
      <c r="F55" s="116" t="s">
        <v>24</v>
      </c>
      <c r="G55" s="116">
        <v>3</v>
      </c>
      <c r="H55" s="116" t="s">
        <v>55</v>
      </c>
      <c r="I55" s="116" t="s">
        <v>45</v>
      </c>
      <c r="J55" s="116" t="s">
        <v>362</v>
      </c>
      <c r="K55" s="116"/>
      <c r="L55" s="116" t="s">
        <v>39</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hidden="1" customHeight="1">
      <c r="A56" s="116">
        <v>58</v>
      </c>
      <c r="B56" s="116" t="s">
        <v>890</v>
      </c>
      <c r="C56" s="116" t="s">
        <v>891</v>
      </c>
      <c r="D56" s="116" t="s">
        <v>892</v>
      </c>
      <c r="E56" s="116" t="s">
        <v>893</v>
      </c>
      <c r="F56" s="116" t="s">
        <v>24</v>
      </c>
      <c r="G56" s="116">
        <v>3</v>
      </c>
      <c r="H56" s="116" t="s">
        <v>52</v>
      </c>
      <c r="I56" s="116" t="s">
        <v>39</v>
      </c>
      <c r="J56" s="116" t="s">
        <v>894</v>
      </c>
      <c r="K56" s="116" t="s">
        <v>530</v>
      </c>
      <c r="L56" s="116" t="s">
        <v>39</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hidden="1" customHeight="1">
      <c r="A57" s="116">
        <v>59</v>
      </c>
      <c r="B57" s="116" t="s">
        <v>905</v>
      </c>
      <c r="C57" s="116" t="s">
        <v>906</v>
      </c>
      <c r="D57" s="116" t="s">
        <v>907</v>
      </c>
      <c r="E57" s="116" t="s">
        <v>908</v>
      </c>
      <c r="F57" s="116" t="s">
        <v>24</v>
      </c>
      <c r="G57" s="116">
        <v>3</v>
      </c>
      <c r="H57" s="116" t="s">
        <v>54</v>
      </c>
      <c r="I57" s="116" t="s">
        <v>41</v>
      </c>
      <c r="J57" s="116" t="s">
        <v>477</v>
      </c>
      <c r="K57" s="116"/>
      <c r="L57" s="116" t="s">
        <v>41</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hidden="1" customHeight="1">
      <c r="A58" s="116">
        <v>60</v>
      </c>
      <c r="B58" s="116" t="s">
        <v>918</v>
      </c>
      <c r="C58" s="116" t="s">
        <v>919</v>
      </c>
      <c r="D58" s="116" t="s">
        <v>920</v>
      </c>
      <c r="E58" s="116" t="s">
        <v>921</v>
      </c>
      <c r="F58" s="116" t="s">
        <v>25</v>
      </c>
      <c r="G58" s="116">
        <v>3</v>
      </c>
      <c r="H58" s="116" t="s">
        <v>52</v>
      </c>
      <c r="I58" s="116" t="s">
        <v>39</v>
      </c>
      <c r="J58" s="116" t="s">
        <v>477</v>
      </c>
      <c r="K58" s="116" t="s">
        <v>922</v>
      </c>
      <c r="L58" s="116" t="s">
        <v>44</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hidden="1" customHeight="1">
      <c r="A59" s="116">
        <v>61</v>
      </c>
      <c r="B59" s="116" t="s">
        <v>932</v>
      </c>
      <c r="C59" s="116" t="s">
        <v>933</v>
      </c>
      <c r="D59" s="116" t="s">
        <v>934</v>
      </c>
      <c r="E59" s="116" t="s">
        <v>935</v>
      </c>
      <c r="F59" s="116" t="s">
        <v>24</v>
      </c>
      <c r="G59" s="116">
        <v>3</v>
      </c>
      <c r="H59" s="116" t="s">
        <v>54</v>
      </c>
      <c r="I59" s="116" t="s">
        <v>41</v>
      </c>
      <c r="J59" s="116" t="s">
        <v>936</v>
      </c>
      <c r="K59" s="116" t="s">
        <v>936</v>
      </c>
      <c r="L59" s="116" t="s">
        <v>46</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hidden="1" customHeight="1">
      <c r="A60" s="116">
        <v>62</v>
      </c>
      <c r="B60" s="116" t="s">
        <v>947</v>
      </c>
      <c r="C60" s="116" t="s">
        <v>948</v>
      </c>
      <c r="D60" s="116" t="s">
        <v>949</v>
      </c>
      <c r="E60" s="116" t="s">
        <v>950</v>
      </c>
      <c r="F60" s="116" t="s">
        <v>25</v>
      </c>
      <c r="G60" s="116">
        <v>3</v>
      </c>
      <c r="H60" s="116" t="s">
        <v>60</v>
      </c>
      <c r="I60" s="116" t="s">
        <v>37</v>
      </c>
      <c r="J60" s="116" t="s">
        <v>602</v>
      </c>
      <c r="K60" s="116" t="s">
        <v>951</v>
      </c>
      <c r="L60" s="116" t="s">
        <v>37</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hidden="1" customHeight="1">
      <c r="A61" s="91">
        <v>63</v>
      </c>
      <c r="B61" s="91" t="s">
        <v>961</v>
      </c>
      <c r="C61" s="91" t="s">
        <v>962</v>
      </c>
      <c r="D61" s="91" t="s">
        <v>963</v>
      </c>
      <c r="E61" s="91" t="s">
        <v>964</v>
      </c>
      <c r="F61" s="91" t="s">
        <v>25</v>
      </c>
      <c r="G61" s="91">
        <v>3</v>
      </c>
      <c r="H61" s="91" t="s">
        <v>58</v>
      </c>
      <c r="I61" s="91" t="s">
        <v>46</v>
      </c>
      <c r="J61" s="91" t="s">
        <v>602</v>
      </c>
      <c r="K61" s="91"/>
      <c r="L61" s="91" t="s">
        <v>46</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hidden="1" customHeight="1">
      <c r="A62" s="116">
        <v>64</v>
      </c>
      <c r="B62" s="116" t="s">
        <v>973</v>
      </c>
      <c r="C62" s="116" t="s">
        <v>974</v>
      </c>
      <c r="D62" s="116" t="s">
        <v>975</v>
      </c>
      <c r="E62" s="116" t="s">
        <v>976</v>
      </c>
      <c r="F62" s="116" t="s">
        <v>25</v>
      </c>
      <c r="G62" s="116">
        <v>3</v>
      </c>
      <c r="H62" s="116" t="s">
        <v>54</v>
      </c>
      <c r="I62" s="116" t="s">
        <v>41</v>
      </c>
      <c r="J62" s="116" t="s">
        <v>362</v>
      </c>
      <c r="K62" s="116" t="s">
        <v>977</v>
      </c>
      <c r="L62" s="116" t="s">
        <v>41</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hidden="1" customHeight="1">
      <c r="A63" s="116">
        <v>65</v>
      </c>
      <c r="B63" s="116" t="s">
        <v>989</v>
      </c>
      <c r="C63" s="116" t="s">
        <v>990</v>
      </c>
      <c r="D63" s="116" t="s">
        <v>991</v>
      </c>
      <c r="E63" s="116" t="s">
        <v>992</v>
      </c>
      <c r="F63" s="116" t="s">
        <v>25</v>
      </c>
      <c r="G63" s="116">
        <v>3</v>
      </c>
      <c r="H63" s="116" t="s">
        <v>54</v>
      </c>
      <c r="I63" s="116" t="s">
        <v>33</v>
      </c>
      <c r="J63" s="116" t="s">
        <v>602</v>
      </c>
      <c r="K63" s="116"/>
      <c r="L63" s="116" t="s">
        <v>33</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hidden="1" customHeight="1">
      <c r="A64" s="116">
        <v>66</v>
      </c>
      <c r="B64" s="116" t="s">
        <v>1005</v>
      </c>
      <c r="C64" s="116" t="s">
        <v>1006</v>
      </c>
      <c r="D64" s="116" t="s">
        <v>20</v>
      </c>
      <c r="E64" s="116" t="s">
        <v>1007</v>
      </c>
      <c r="F64" s="116" t="s">
        <v>25</v>
      </c>
      <c r="G64" s="116">
        <v>3</v>
      </c>
      <c r="H64" s="116" t="s">
        <v>59</v>
      </c>
      <c r="I64" s="116" t="s">
        <v>43</v>
      </c>
      <c r="J64" s="116" t="s">
        <v>1008</v>
      </c>
      <c r="K64" s="116" t="s">
        <v>1009</v>
      </c>
      <c r="L64" s="116" t="s">
        <v>43</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3"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hidden="1" customHeight="1">
      <c r="A65" s="116">
        <v>68</v>
      </c>
      <c r="B65" s="116" t="s">
        <v>1021</v>
      </c>
      <c r="C65" s="116" t="s">
        <v>1022</v>
      </c>
      <c r="D65" s="116"/>
      <c r="E65" s="116" t="s">
        <v>1023</v>
      </c>
      <c r="F65" s="116" t="s">
        <v>24</v>
      </c>
      <c r="G65" s="116">
        <v>3</v>
      </c>
      <c r="H65" s="116" t="s">
        <v>53</v>
      </c>
      <c r="I65" s="116" t="s">
        <v>47</v>
      </c>
      <c r="J65" s="116" t="s">
        <v>602</v>
      </c>
      <c r="K65" s="116" t="s">
        <v>602</v>
      </c>
      <c r="L65" s="116" t="s">
        <v>47</v>
      </c>
      <c r="M65" s="116" t="s">
        <v>150</v>
      </c>
      <c r="N65" s="231" t="s">
        <v>1024</v>
      </c>
      <c r="O65" s="228"/>
      <c r="P65" s="22" t="s">
        <v>151</v>
      </c>
      <c r="Q65" s="116" t="s">
        <v>151</v>
      </c>
      <c r="R65" s="126" t="s">
        <v>1025</v>
      </c>
      <c r="S65" s="116" t="s">
        <v>1026</v>
      </c>
      <c r="T65" s="342" t="s">
        <v>1027</v>
      </c>
      <c r="U65" s="117" t="s">
        <v>817</v>
      </c>
      <c r="V65" s="117">
        <v>28167</v>
      </c>
      <c r="W65" s="121" t="s">
        <v>1028</v>
      </c>
      <c r="X65" s="121" t="s">
        <v>179</v>
      </c>
      <c r="Y65" s="121" t="s">
        <v>157</v>
      </c>
      <c r="Z65" s="121" t="s">
        <v>158</v>
      </c>
      <c r="AA65" s="116">
        <v>8.5</v>
      </c>
      <c r="AB65" s="117">
        <v>41579</v>
      </c>
      <c r="AC65" s="283">
        <v>41334</v>
      </c>
      <c r="AD65" s="117"/>
      <c r="AE65" s="20" t="s">
        <v>1029</v>
      </c>
      <c r="AF65" s="20" t="s">
        <v>1030</v>
      </c>
      <c r="AG65" s="20"/>
      <c r="AH65" s="116">
        <f t="shared" si="16"/>
        <v>2</v>
      </c>
      <c r="AI65" s="20" t="s">
        <v>161</v>
      </c>
      <c r="AJ65" s="20" t="s">
        <v>161</v>
      </c>
      <c r="AK65" s="20"/>
      <c r="AL65" s="20" t="s">
        <v>163</v>
      </c>
      <c r="AM65" s="20" t="s">
        <v>163</v>
      </c>
      <c r="AN65" s="20"/>
      <c r="AO65" s="20" t="s">
        <v>164</v>
      </c>
      <c r="AP65" s="20" t="s">
        <v>203</v>
      </c>
      <c r="AQ65" s="20" t="s">
        <v>217</v>
      </c>
      <c r="AR65" s="20" t="s">
        <v>150</v>
      </c>
      <c r="AS65" s="20"/>
      <c r="AT65" s="405" t="s">
        <v>298</v>
      </c>
      <c r="AU65" s="116" t="s">
        <v>1031</v>
      </c>
      <c r="AV65" s="117"/>
      <c r="AW65" s="118">
        <v>41334</v>
      </c>
      <c r="AX65" s="118">
        <v>41579</v>
      </c>
      <c r="AY65" s="118" t="s">
        <v>150</v>
      </c>
      <c r="AZ65" s="118">
        <v>41415</v>
      </c>
      <c r="BA65" s="118">
        <v>41700</v>
      </c>
      <c r="BB65" s="118"/>
      <c r="BC65" s="118"/>
      <c r="BD65" s="118"/>
      <c r="BE65" s="119" t="s">
        <v>1032</v>
      </c>
      <c r="BF65" s="118">
        <v>42217</v>
      </c>
      <c r="BG65" s="118" t="s">
        <v>150</v>
      </c>
      <c r="BH65" s="118">
        <v>42428</v>
      </c>
      <c r="BI65" s="118" t="s">
        <v>150</v>
      </c>
      <c r="BJ65" s="117"/>
      <c r="BK65" s="117"/>
      <c r="BL65" s="117"/>
      <c r="BM65" s="120">
        <v>43568</v>
      </c>
      <c r="BN65" s="116" t="s">
        <v>16</v>
      </c>
      <c r="BO65" s="224">
        <f>DATEDIF(AW65,BM65, "M")+1</f>
        <v>74</v>
      </c>
      <c r="BP65" s="116">
        <f>DATEDIF(AX65,BM65, "M")+1</f>
        <v>66</v>
      </c>
      <c r="BQ65" s="116"/>
      <c r="BR65" s="116">
        <v>1</v>
      </c>
      <c r="BS65" s="116">
        <v>16</v>
      </c>
      <c r="BT65" s="116">
        <v>5</v>
      </c>
      <c r="BU65" s="116">
        <v>5</v>
      </c>
      <c r="BV65" s="116">
        <v>1</v>
      </c>
      <c r="BW65" s="116">
        <v>0</v>
      </c>
      <c r="BX65" s="116">
        <v>0</v>
      </c>
      <c r="BY65" s="116" t="s">
        <v>163</v>
      </c>
      <c r="BZ65" s="116">
        <v>0</v>
      </c>
      <c r="CA65" s="116"/>
      <c r="CB65" s="122"/>
      <c r="CC65" s="122"/>
      <c r="CD65" s="116"/>
      <c r="CE65" s="116" t="s">
        <v>163</v>
      </c>
      <c r="CF65" s="116"/>
      <c r="CG65" s="116"/>
      <c r="CH65" s="372">
        <v>1</v>
      </c>
      <c r="CI65" s="116">
        <v>3</v>
      </c>
      <c r="CJ65" s="116"/>
      <c r="CK65" s="116" t="s">
        <v>809</v>
      </c>
    </row>
    <row r="66" spans="1:89" ht="24.95" hidden="1" customHeight="1">
      <c r="A66" s="91">
        <v>70</v>
      </c>
      <c r="B66" s="91" t="s">
        <v>1033</v>
      </c>
      <c r="C66" s="91" t="s">
        <v>1034</v>
      </c>
      <c r="D66" s="91"/>
      <c r="E66" s="91" t="s">
        <v>1035</v>
      </c>
      <c r="F66" s="91" t="s">
        <v>24</v>
      </c>
      <c r="G66" s="91">
        <v>3</v>
      </c>
      <c r="H66" s="91" t="s">
        <v>58</v>
      </c>
      <c r="I66" s="91" t="s">
        <v>46</v>
      </c>
      <c r="J66" s="91"/>
      <c r="K66" s="91"/>
      <c r="L66" s="91" t="s">
        <v>46</v>
      </c>
      <c r="M66" s="91" t="s">
        <v>163</v>
      </c>
      <c r="N66" s="91" t="s">
        <v>168</v>
      </c>
      <c r="O66" s="91" t="s">
        <v>168</v>
      </c>
      <c r="P66" s="91" t="s">
        <v>168</v>
      </c>
      <c r="Q66" s="91" t="s">
        <v>168</v>
      </c>
      <c r="R66" s="91"/>
      <c r="S66" s="91"/>
      <c r="T66" s="341"/>
      <c r="U66" s="92"/>
      <c r="V66" s="92"/>
      <c r="W66" s="164"/>
      <c r="X66" s="164"/>
      <c r="Y66" s="164"/>
      <c r="Z66" s="164"/>
      <c r="AA66" s="91"/>
      <c r="AB66" s="92"/>
      <c r="AC66" s="281">
        <v>41334</v>
      </c>
      <c r="AD66" s="92">
        <v>42004</v>
      </c>
      <c r="AE66" s="92"/>
      <c r="AF66" s="92"/>
      <c r="AG66" s="92"/>
      <c r="AH66" s="91">
        <f t="shared" si="16"/>
        <v>0</v>
      </c>
      <c r="AI66" s="92"/>
      <c r="AJ66" s="92"/>
      <c r="AK66" s="92"/>
      <c r="AL66" s="92"/>
      <c r="AM66" s="92"/>
      <c r="AN66" s="92"/>
      <c r="AO66" s="92"/>
      <c r="AP66" s="92"/>
      <c r="AQ66" s="92"/>
      <c r="AR66" s="92"/>
      <c r="AS66" s="92"/>
      <c r="AT66" s="400"/>
      <c r="AU66" s="91"/>
      <c r="AV66" s="92"/>
      <c r="AW66" s="93">
        <v>41334</v>
      </c>
      <c r="AX66" s="93"/>
      <c r="AY66" s="93"/>
      <c r="AZ66" s="93"/>
      <c r="BA66" s="93"/>
      <c r="BB66" s="93"/>
      <c r="BC66" s="93"/>
      <c r="BD66" s="93"/>
      <c r="BE66" s="94"/>
      <c r="BF66" s="93"/>
      <c r="BG66" s="93"/>
      <c r="BH66" s="93"/>
      <c r="BI66" s="93"/>
      <c r="BJ66" s="92"/>
      <c r="BK66" s="92"/>
      <c r="BL66" s="92"/>
      <c r="BM66" s="92"/>
      <c r="BN66" s="115" t="s">
        <v>18</v>
      </c>
      <c r="BO66" s="218" t="s">
        <v>18</v>
      </c>
      <c r="BP66" s="218"/>
      <c r="BQ66" s="91"/>
      <c r="BR66" s="91"/>
      <c r="BS66" s="91"/>
      <c r="BT66" s="91"/>
      <c r="BU66" s="91"/>
      <c r="BV66" s="91"/>
      <c r="BW66" s="91"/>
      <c r="BX66" s="91"/>
      <c r="BY66" s="91" t="s">
        <v>163</v>
      </c>
      <c r="BZ66" s="91"/>
      <c r="CA66" s="91"/>
      <c r="CB66" s="95"/>
      <c r="CC66" s="95"/>
      <c r="CD66" s="91"/>
      <c r="CE66" s="91"/>
      <c r="CF66" s="91"/>
      <c r="CG66" s="91"/>
      <c r="CH66" s="113"/>
      <c r="CI66" s="91"/>
      <c r="CJ66" s="91"/>
      <c r="CK66" s="91" t="s">
        <v>168</v>
      </c>
    </row>
    <row r="67" spans="1:89" ht="24.95" hidden="1" customHeight="1">
      <c r="A67" s="129">
        <v>71</v>
      </c>
      <c r="B67" s="129" t="s">
        <v>1036</v>
      </c>
      <c r="C67" s="129" t="s">
        <v>1037</v>
      </c>
      <c r="D67" s="129" t="s">
        <v>619</v>
      </c>
      <c r="E67" s="129" t="s">
        <v>1038</v>
      </c>
      <c r="F67" s="129" t="s">
        <v>24</v>
      </c>
      <c r="G67" s="129">
        <v>4</v>
      </c>
      <c r="H67" s="129" t="s">
        <v>54</v>
      </c>
      <c r="I67" s="129" t="s">
        <v>33</v>
      </c>
      <c r="J67" s="129" t="s">
        <v>1039</v>
      </c>
      <c r="K67" s="129" t="s">
        <v>1040</v>
      </c>
      <c r="L67" s="129" t="s">
        <v>44</v>
      </c>
      <c r="M67" s="129" t="s">
        <v>163</v>
      </c>
      <c r="N67" s="232" t="s">
        <v>1041</v>
      </c>
      <c r="O67" s="48" t="s">
        <v>151</v>
      </c>
      <c r="P67" s="48" t="s">
        <v>151</v>
      </c>
      <c r="Q67" s="129"/>
      <c r="R67" s="129" t="s">
        <v>1042</v>
      </c>
      <c r="S67" s="130" t="s">
        <v>1043</v>
      </c>
      <c r="T67" s="344" t="s">
        <v>1044</v>
      </c>
      <c r="U67" s="131" t="s">
        <v>1045</v>
      </c>
      <c r="V67" s="131">
        <v>27906</v>
      </c>
      <c r="W67" s="233" t="s">
        <v>1046</v>
      </c>
      <c r="X67" s="233" t="s">
        <v>179</v>
      </c>
      <c r="Y67" s="233" t="s">
        <v>163</v>
      </c>
      <c r="Z67" s="233" t="s">
        <v>158</v>
      </c>
      <c r="AA67" s="129">
        <v>33</v>
      </c>
      <c r="AB67" s="131">
        <v>42277</v>
      </c>
      <c r="AC67" s="284">
        <v>41699</v>
      </c>
      <c r="AD67" s="131"/>
      <c r="AE67" s="129" t="s">
        <v>1047</v>
      </c>
      <c r="AF67" s="132" t="s">
        <v>1048</v>
      </c>
      <c r="AG67" s="132"/>
      <c r="AH67" s="129">
        <f t="shared" si="16"/>
        <v>2</v>
      </c>
      <c r="AI67" s="234" t="s">
        <v>162</v>
      </c>
      <c r="AJ67" s="132"/>
      <c r="AK67" s="132"/>
      <c r="AL67" s="132" t="s">
        <v>150</v>
      </c>
      <c r="AM67" s="132"/>
      <c r="AN67" s="132"/>
      <c r="AO67" s="132" t="s">
        <v>164</v>
      </c>
      <c r="AP67" s="132" t="s">
        <v>999</v>
      </c>
      <c r="AQ67" s="132" t="s">
        <v>445</v>
      </c>
      <c r="AR67" s="132" t="s">
        <v>150</v>
      </c>
      <c r="AS67" s="132"/>
      <c r="AT67" s="410" t="s">
        <v>328</v>
      </c>
      <c r="AU67" s="129" t="s">
        <v>1049</v>
      </c>
      <c r="AV67" s="131"/>
      <c r="AW67" s="133">
        <v>41700</v>
      </c>
      <c r="AX67" s="133">
        <v>41946</v>
      </c>
      <c r="AY67" s="133" t="s">
        <v>150</v>
      </c>
      <c r="AZ67" s="133"/>
      <c r="BA67" s="133"/>
      <c r="BB67" s="133"/>
      <c r="BC67" s="133"/>
      <c r="BD67" s="133"/>
      <c r="BE67" s="134" t="s">
        <v>1050</v>
      </c>
      <c r="BF67" s="133">
        <v>42585</v>
      </c>
      <c r="BG67" s="133" t="s">
        <v>150</v>
      </c>
      <c r="BH67" s="133">
        <v>42793</v>
      </c>
      <c r="BI67" s="133" t="s">
        <v>150</v>
      </c>
      <c r="BJ67" s="131">
        <v>42951</v>
      </c>
      <c r="BK67" s="131"/>
      <c r="BL67" s="131"/>
      <c r="BM67" s="135">
        <v>43089</v>
      </c>
      <c r="BN67" s="136" t="s">
        <v>16</v>
      </c>
      <c r="BO67" s="235">
        <f>DATEDIF(AW67,BM67, "M")+1</f>
        <v>46</v>
      </c>
      <c r="BP67" s="136">
        <f t="shared" ref="BP67:BP81" si="17">DATEDIF(AX67,BM67, "M")+1</f>
        <v>38</v>
      </c>
      <c r="BQ67" s="129"/>
      <c r="BR67" s="129">
        <v>2</v>
      </c>
      <c r="BS67" s="129">
        <v>0</v>
      </c>
      <c r="BT67" s="129">
        <v>2</v>
      </c>
      <c r="BU67" s="129">
        <v>3</v>
      </c>
      <c r="BV67" s="129">
        <v>1</v>
      </c>
      <c r="BW67" s="129">
        <v>0</v>
      </c>
      <c r="BX67" s="129">
        <v>1</v>
      </c>
      <c r="BY67" s="129" t="s">
        <v>163</v>
      </c>
      <c r="BZ67" s="129">
        <v>0</v>
      </c>
      <c r="CA67" s="129"/>
      <c r="CB67" s="137"/>
      <c r="CC67" s="137"/>
      <c r="CD67" s="129"/>
      <c r="CE67" s="129" t="s">
        <v>163</v>
      </c>
      <c r="CF67" s="129"/>
      <c r="CG67" s="129"/>
      <c r="CH67" s="373">
        <v>2</v>
      </c>
      <c r="CI67" s="136">
        <v>3</v>
      </c>
      <c r="CJ67" s="136">
        <v>2</v>
      </c>
      <c r="CK67" s="136" t="s">
        <v>500</v>
      </c>
    </row>
    <row r="68" spans="1:89" ht="24.95" hidden="1" customHeight="1">
      <c r="A68" s="136">
        <v>72</v>
      </c>
      <c r="B68" s="136" t="s">
        <v>1051</v>
      </c>
      <c r="C68" s="136" t="s">
        <v>1052</v>
      </c>
      <c r="D68" s="136" t="s">
        <v>1053</v>
      </c>
      <c r="E68" s="136" t="s">
        <v>1054</v>
      </c>
      <c r="F68" s="136" t="s">
        <v>24</v>
      </c>
      <c r="G68" s="136">
        <v>4</v>
      </c>
      <c r="H68" s="129" t="s">
        <v>58</v>
      </c>
      <c r="I68" s="129" t="s">
        <v>46</v>
      </c>
      <c r="J68" s="129" t="s">
        <v>1055</v>
      </c>
      <c r="K68" s="129" t="s">
        <v>1056</v>
      </c>
      <c r="L68" s="129" t="s">
        <v>46</v>
      </c>
      <c r="M68" s="129" t="s">
        <v>150</v>
      </c>
      <c r="N68" s="136">
        <v>769258</v>
      </c>
      <c r="O68" s="236" t="s">
        <v>151</v>
      </c>
      <c r="P68" s="237" t="s">
        <v>151</v>
      </c>
      <c r="Q68" s="136" t="s">
        <v>151</v>
      </c>
      <c r="R68" s="136" t="s">
        <v>1057</v>
      </c>
      <c r="S68" s="136" t="s">
        <v>1058</v>
      </c>
      <c r="T68" s="345" t="s">
        <v>1059</v>
      </c>
      <c r="U68" s="139" t="s">
        <v>817</v>
      </c>
      <c r="V68" s="139">
        <v>29840</v>
      </c>
      <c r="W68" s="147" t="s">
        <v>1060</v>
      </c>
      <c r="X68" s="147" t="s">
        <v>156</v>
      </c>
      <c r="Y68" s="147" t="s">
        <v>157</v>
      </c>
      <c r="Z68" s="147" t="s">
        <v>158</v>
      </c>
      <c r="AA68" s="136">
        <v>6</v>
      </c>
      <c r="AB68" s="139">
        <v>42809</v>
      </c>
      <c r="AC68" s="285">
        <v>41699</v>
      </c>
      <c r="AD68" s="139"/>
      <c r="AE68" s="28" t="s">
        <v>1061</v>
      </c>
      <c r="AF68" s="136"/>
      <c r="AG68" s="136"/>
      <c r="AH68" s="136">
        <f t="shared" si="16"/>
        <v>1</v>
      </c>
      <c r="AI68" s="27" t="s">
        <v>161</v>
      </c>
      <c r="AJ68" s="136"/>
      <c r="AK68" s="136"/>
      <c r="AL68" s="136" t="s">
        <v>150</v>
      </c>
      <c r="AM68" s="136"/>
      <c r="AN68" s="136"/>
      <c r="AO68" s="136" t="s">
        <v>182</v>
      </c>
      <c r="AP68" s="136" t="s">
        <v>182</v>
      </c>
      <c r="AQ68" s="136" t="s">
        <v>1062</v>
      </c>
      <c r="AR68" s="136" t="s">
        <v>150</v>
      </c>
      <c r="AS68" s="136"/>
      <c r="AT68" s="26" t="s">
        <v>372</v>
      </c>
      <c r="AU68" s="136" t="s">
        <v>1063</v>
      </c>
      <c r="AV68" s="139"/>
      <c r="AW68" s="141">
        <v>41700</v>
      </c>
      <c r="AX68" s="141">
        <v>41946</v>
      </c>
      <c r="AY68" s="141" t="s">
        <v>150</v>
      </c>
      <c r="AZ68" s="141">
        <v>42341</v>
      </c>
      <c r="BA68" s="141">
        <v>42579</v>
      </c>
      <c r="BB68" s="141"/>
      <c r="BC68" s="141"/>
      <c r="BD68" s="141"/>
      <c r="BE68" s="142" t="s">
        <v>1064</v>
      </c>
      <c r="BF68" s="141">
        <v>42950</v>
      </c>
      <c r="BG68" s="141" t="s">
        <v>163</v>
      </c>
      <c r="BH68" s="141">
        <v>43164</v>
      </c>
      <c r="BI68" s="141" t="s">
        <v>163</v>
      </c>
      <c r="BJ68" s="139"/>
      <c r="BK68" s="139"/>
      <c r="BL68" s="139"/>
      <c r="BM68" s="143">
        <v>43799</v>
      </c>
      <c r="BN68" s="136" t="s">
        <v>16</v>
      </c>
      <c r="BO68" s="235">
        <f t="shared" ref="BO68:BO75" si="18">DATEDIF(AW68,BM68, "M")+1</f>
        <v>69</v>
      </c>
      <c r="BP68" s="136">
        <f t="shared" si="17"/>
        <v>61</v>
      </c>
      <c r="BQ68" s="136"/>
      <c r="BR68" s="136">
        <v>1</v>
      </c>
      <c r="BS68" s="136">
        <v>17</v>
      </c>
      <c r="BT68" s="136">
        <v>11</v>
      </c>
      <c r="BU68" s="136">
        <v>4</v>
      </c>
      <c r="BV68" s="136">
        <v>0</v>
      </c>
      <c r="BW68" s="136">
        <v>0</v>
      </c>
      <c r="BX68" s="136">
        <v>0</v>
      </c>
      <c r="BY68" s="136" t="s">
        <v>163</v>
      </c>
      <c r="BZ68" s="136">
        <v>0</v>
      </c>
      <c r="CA68" s="136"/>
      <c r="CB68" s="144"/>
      <c r="CC68" s="144"/>
      <c r="CD68" s="136"/>
      <c r="CE68" s="136" t="s">
        <v>163</v>
      </c>
      <c r="CF68" s="136"/>
      <c r="CG68" s="136"/>
      <c r="CH68" s="374">
        <v>1</v>
      </c>
      <c r="CI68" s="136" t="s">
        <v>168</v>
      </c>
      <c r="CJ68" s="136"/>
      <c r="CK68" s="136" t="s">
        <v>809</v>
      </c>
    </row>
    <row r="69" spans="1:89" ht="24.95" hidden="1" customHeight="1">
      <c r="A69" s="136">
        <v>73</v>
      </c>
      <c r="B69" s="136" t="s">
        <v>1065</v>
      </c>
      <c r="C69" s="136" t="s">
        <v>1066</v>
      </c>
      <c r="D69" s="136" t="s">
        <v>20</v>
      </c>
      <c r="E69" s="136" t="s">
        <v>1067</v>
      </c>
      <c r="F69" s="136" t="s">
        <v>24</v>
      </c>
      <c r="G69" s="136">
        <v>4</v>
      </c>
      <c r="H69" s="129" t="s">
        <v>60</v>
      </c>
      <c r="I69" s="129" t="s">
        <v>37</v>
      </c>
      <c r="J69" s="129" t="s">
        <v>602</v>
      </c>
      <c r="K69" s="129" t="s">
        <v>1068</v>
      </c>
      <c r="L69" s="129" t="s">
        <v>37</v>
      </c>
      <c r="M69" s="129" t="s">
        <v>150</v>
      </c>
      <c r="N69" s="195" t="s">
        <v>1069</v>
      </c>
      <c r="O69" s="239" t="s">
        <v>151</v>
      </c>
      <c r="P69" s="25" t="s">
        <v>151</v>
      </c>
      <c r="Q69" s="136" t="s">
        <v>151</v>
      </c>
      <c r="R69" s="136" t="s">
        <v>1070</v>
      </c>
      <c r="S69" s="145" t="s">
        <v>1071</v>
      </c>
      <c r="T69" s="345" t="s">
        <v>1072</v>
      </c>
      <c r="U69" s="139" t="s">
        <v>817</v>
      </c>
      <c r="V69" s="139">
        <v>28400</v>
      </c>
      <c r="W69" s="147" t="s">
        <v>1073</v>
      </c>
      <c r="X69" s="147" t="s">
        <v>805</v>
      </c>
      <c r="Y69" s="147" t="s">
        <v>157</v>
      </c>
      <c r="Z69" s="147" t="s">
        <v>158</v>
      </c>
      <c r="AA69" s="136">
        <v>25.5</v>
      </c>
      <c r="AB69" s="139">
        <v>41710</v>
      </c>
      <c r="AC69" s="285">
        <v>41699</v>
      </c>
      <c r="AD69" s="139"/>
      <c r="AE69" s="27" t="s">
        <v>1074</v>
      </c>
      <c r="AF69" s="27" t="s">
        <v>1075</v>
      </c>
      <c r="AG69" s="27" t="s">
        <v>1076</v>
      </c>
      <c r="AH69" s="136">
        <f t="shared" si="16"/>
        <v>3</v>
      </c>
      <c r="AI69" s="27" t="s">
        <v>161</v>
      </c>
      <c r="AJ69" s="146"/>
      <c r="AK69" s="146"/>
      <c r="AL69" s="146" t="s">
        <v>163</v>
      </c>
      <c r="AM69" s="146"/>
      <c r="AN69" s="146"/>
      <c r="AO69" s="146" t="s">
        <v>164</v>
      </c>
      <c r="AP69" s="146" t="s">
        <v>181</v>
      </c>
      <c r="AQ69" s="146" t="s">
        <v>203</v>
      </c>
      <c r="AR69" s="146" t="s">
        <v>163</v>
      </c>
      <c r="AS69" s="146"/>
      <c r="AT69" s="411" t="s">
        <v>552</v>
      </c>
      <c r="AU69" s="136" t="s">
        <v>1077</v>
      </c>
      <c r="AV69" s="139"/>
      <c r="AW69" s="141">
        <v>41700</v>
      </c>
      <c r="AX69" s="141">
        <v>41946</v>
      </c>
      <c r="AY69" s="141" t="s">
        <v>150</v>
      </c>
      <c r="AZ69" s="141"/>
      <c r="BA69" s="141"/>
      <c r="BB69" s="141"/>
      <c r="BC69" s="141"/>
      <c r="BD69" s="141"/>
      <c r="BE69" s="142"/>
      <c r="BF69" s="141">
        <v>42585</v>
      </c>
      <c r="BG69" s="141" t="s">
        <v>150</v>
      </c>
      <c r="BH69" s="141">
        <v>42793</v>
      </c>
      <c r="BI69" s="141" t="s">
        <v>150</v>
      </c>
      <c r="BJ69" s="139"/>
      <c r="BK69" s="139"/>
      <c r="BL69" s="139"/>
      <c r="BM69" s="143">
        <v>42824</v>
      </c>
      <c r="BN69" s="136" t="s">
        <v>16</v>
      </c>
      <c r="BO69" s="235">
        <f t="shared" si="18"/>
        <v>37</v>
      </c>
      <c r="BP69" s="136">
        <f t="shared" si="17"/>
        <v>29</v>
      </c>
      <c r="BQ69" s="136"/>
      <c r="BR69" s="136">
        <v>1</v>
      </c>
      <c r="BS69" s="136">
        <v>4</v>
      </c>
      <c r="BT69" s="136">
        <v>8</v>
      </c>
      <c r="BU69" s="136">
        <v>1</v>
      </c>
      <c r="BV69" s="136">
        <v>0</v>
      </c>
      <c r="BW69" s="136">
        <v>0</v>
      </c>
      <c r="BX69" s="136">
        <v>0</v>
      </c>
      <c r="BY69" s="136" t="s">
        <v>163</v>
      </c>
      <c r="BZ69" s="136">
        <v>0</v>
      </c>
      <c r="CA69" s="136"/>
      <c r="CB69" s="144"/>
      <c r="CC69" s="144"/>
      <c r="CD69" s="136"/>
      <c r="CE69" s="136" t="s">
        <v>163</v>
      </c>
      <c r="CF69" s="136"/>
      <c r="CG69" s="136"/>
      <c r="CH69" s="374">
        <v>3</v>
      </c>
      <c r="CI69" s="136">
        <v>4</v>
      </c>
      <c r="CJ69" s="136"/>
      <c r="CK69" s="136" t="s">
        <v>809</v>
      </c>
    </row>
    <row r="70" spans="1:89" ht="24.95" hidden="1" customHeight="1">
      <c r="A70" s="136">
        <v>74</v>
      </c>
      <c r="B70" s="136" t="s">
        <v>1078</v>
      </c>
      <c r="C70" s="136" t="s">
        <v>1079</v>
      </c>
      <c r="D70" s="136" t="s">
        <v>1080</v>
      </c>
      <c r="E70" s="136" t="s">
        <v>1081</v>
      </c>
      <c r="F70" s="136" t="s">
        <v>25</v>
      </c>
      <c r="G70" s="136">
        <v>4</v>
      </c>
      <c r="H70" s="129" t="s">
        <v>54</v>
      </c>
      <c r="I70" s="129" t="s">
        <v>41</v>
      </c>
      <c r="J70" s="129" t="s">
        <v>1082</v>
      </c>
      <c r="K70" s="129" t="s">
        <v>1083</v>
      </c>
      <c r="L70" s="129" t="s">
        <v>41</v>
      </c>
      <c r="M70" s="129" t="s">
        <v>150</v>
      </c>
      <c r="N70" s="195" t="s">
        <v>1084</v>
      </c>
      <c r="O70" s="239" t="s">
        <v>151</v>
      </c>
      <c r="P70" s="25" t="s">
        <v>151</v>
      </c>
      <c r="Q70" s="136" t="s">
        <v>151</v>
      </c>
      <c r="R70" s="136" t="s">
        <v>1085</v>
      </c>
      <c r="S70" s="136" t="s">
        <v>1086</v>
      </c>
      <c r="T70" s="345" t="s">
        <v>1087</v>
      </c>
      <c r="U70" s="139" t="s">
        <v>1088</v>
      </c>
      <c r="V70" s="139">
        <v>27152</v>
      </c>
      <c r="W70" s="147" t="s">
        <v>1089</v>
      </c>
      <c r="X70" s="147" t="s">
        <v>156</v>
      </c>
      <c r="Y70" s="147" t="s">
        <v>163</v>
      </c>
      <c r="Z70" s="147" t="s">
        <v>158</v>
      </c>
      <c r="AA70" s="136">
        <v>14</v>
      </c>
      <c r="AB70" s="139">
        <v>41348</v>
      </c>
      <c r="AC70" s="285">
        <v>41699</v>
      </c>
      <c r="AD70" s="139"/>
      <c r="AE70" s="136" t="s">
        <v>1090</v>
      </c>
      <c r="AF70" s="136" t="s">
        <v>1091</v>
      </c>
      <c r="AG70" s="146"/>
      <c r="AH70" s="136">
        <f t="shared" si="16"/>
        <v>2</v>
      </c>
      <c r="AI70" s="27" t="s">
        <v>161</v>
      </c>
      <c r="AJ70" s="146"/>
      <c r="AK70" s="146"/>
      <c r="AL70" s="146" t="s">
        <v>150</v>
      </c>
      <c r="AM70" s="146"/>
      <c r="AN70" s="146"/>
      <c r="AO70" s="146" t="s">
        <v>164</v>
      </c>
      <c r="AP70" s="146" t="s">
        <v>203</v>
      </c>
      <c r="AQ70" s="293" t="s">
        <v>217</v>
      </c>
      <c r="AR70" s="146" t="s">
        <v>150</v>
      </c>
      <c r="AS70" s="293" t="s">
        <v>1092</v>
      </c>
      <c r="AT70" s="411" t="s">
        <v>285</v>
      </c>
      <c r="AU70" s="136" t="s">
        <v>1093</v>
      </c>
      <c r="AV70" s="139"/>
      <c r="AW70" s="141">
        <v>41700</v>
      </c>
      <c r="AX70" s="141">
        <v>41946</v>
      </c>
      <c r="AY70" s="141" t="s">
        <v>150</v>
      </c>
      <c r="AZ70" s="141"/>
      <c r="BA70" s="141"/>
      <c r="BB70" s="141"/>
      <c r="BC70" s="141"/>
      <c r="BD70" s="141"/>
      <c r="BE70" s="142" t="s">
        <v>1094</v>
      </c>
      <c r="BF70" s="141">
        <v>42585</v>
      </c>
      <c r="BG70" s="141" t="s">
        <v>150</v>
      </c>
      <c r="BH70" s="141">
        <v>42793</v>
      </c>
      <c r="BI70" s="141" t="s">
        <v>150</v>
      </c>
      <c r="BJ70" s="139"/>
      <c r="BK70" s="139"/>
      <c r="BL70" s="139"/>
      <c r="BM70" s="143">
        <v>42825</v>
      </c>
      <c r="BN70" s="136" t="s">
        <v>16</v>
      </c>
      <c r="BO70" s="235">
        <f t="shared" si="18"/>
        <v>37</v>
      </c>
      <c r="BP70" s="136">
        <f t="shared" si="17"/>
        <v>29</v>
      </c>
      <c r="BQ70" s="147" t="s">
        <v>1094</v>
      </c>
      <c r="BR70" s="136">
        <v>9</v>
      </c>
      <c r="BS70" s="136">
        <v>6</v>
      </c>
      <c r="BT70" s="136">
        <v>15</v>
      </c>
      <c r="BU70" s="136">
        <v>0</v>
      </c>
      <c r="BV70" s="136">
        <v>1</v>
      </c>
      <c r="BW70" s="136">
        <v>0</v>
      </c>
      <c r="BX70" s="136">
        <v>0</v>
      </c>
      <c r="BY70" s="136" t="s">
        <v>163</v>
      </c>
      <c r="BZ70" s="136">
        <v>0</v>
      </c>
      <c r="CA70" s="136"/>
      <c r="CB70" s="144"/>
      <c r="CC70" s="144"/>
      <c r="CD70" s="136"/>
      <c r="CE70" s="136" t="s">
        <v>163</v>
      </c>
      <c r="CF70" s="136"/>
      <c r="CG70" s="136"/>
      <c r="CH70" s="374">
        <v>3</v>
      </c>
      <c r="CI70" s="136">
        <v>3</v>
      </c>
      <c r="CJ70" s="136"/>
      <c r="CK70" s="136" t="s">
        <v>809</v>
      </c>
    </row>
    <row r="71" spans="1:89" ht="24.95" hidden="1" customHeight="1">
      <c r="A71" s="136">
        <v>75</v>
      </c>
      <c r="B71" s="136" t="s">
        <v>1095</v>
      </c>
      <c r="C71" s="136" t="s">
        <v>1096</v>
      </c>
      <c r="D71" s="136" t="s">
        <v>1097</v>
      </c>
      <c r="E71" s="136" t="s">
        <v>1098</v>
      </c>
      <c r="F71" s="136" t="s">
        <v>24</v>
      </c>
      <c r="G71" s="136">
        <v>4</v>
      </c>
      <c r="H71" s="129" t="s">
        <v>54</v>
      </c>
      <c r="I71" s="129" t="s">
        <v>33</v>
      </c>
      <c r="J71" s="129" t="s">
        <v>1099</v>
      </c>
      <c r="K71" s="129" t="s">
        <v>149</v>
      </c>
      <c r="L71" s="129" t="s">
        <v>33</v>
      </c>
      <c r="M71" s="129" t="s">
        <v>150</v>
      </c>
      <c r="N71" s="136">
        <v>65466</v>
      </c>
      <c r="O71" s="236" t="s">
        <v>151</v>
      </c>
      <c r="P71" s="237" t="s">
        <v>151</v>
      </c>
      <c r="Q71" s="136" t="s">
        <v>151</v>
      </c>
      <c r="R71" s="387" t="s">
        <v>1100</v>
      </c>
      <c r="S71" s="136" t="s">
        <v>1101</v>
      </c>
      <c r="T71" s="345" t="s">
        <v>1102</v>
      </c>
      <c r="U71" s="139" t="s">
        <v>154</v>
      </c>
      <c r="V71" s="139">
        <v>27687</v>
      </c>
      <c r="W71" s="147" t="s">
        <v>1103</v>
      </c>
      <c r="X71" s="147" t="s">
        <v>179</v>
      </c>
      <c r="Y71" s="147" t="s">
        <v>163</v>
      </c>
      <c r="Z71" s="147" t="s">
        <v>158</v>
      </c>
      <c r="AA71" s="136">
        <v>3</v>
      </c>
      <c r="AB71" s="139">
        <v>41830</v>
      </c>
      <c r="AC71" s="285">
        <v>41699</v>
      </c>
      <c r="AD71" s="139"/>
      <c r="AE71" s="28" t="s">
        <v>1104</v>
      </c>
      <c r="AF71" s="28" t="s">
        <v>1105</v>
      </c>
      <c r="AG71" s="136"/>
      <c r="AH71" s="136">
        <f t="shared" si="16"/>
        <v>2</v>
      </c>
      <c r="AI71" s="27" t="s">
        <v>161</v>
      </c>
      <c r="AJ71" s="136"/>
      <c r="AK71" s="136"/>
      <c r="AL71" s="136" t="s">
        <v>150</v>
      </c>
      <c r="AM71" s="136"/>
      <c r="AN71" s="136"/>
      <c r="AO71" s="136" t="s">
        <v>164</v>
      </c>
      <c r="AP71" s="136" t="s">
        <v>203</v>
      </c>
      <c r="AQ71" s="147" t="s">
        <v>1106</v>
      </c>
      <c r="AR71" s="136" t="s">
        <v>150</v>
      </c>
      <c r="AS71" s="136"/>
      <c r="AT71" s="26" t="s">
        <v>328</v>
      </c>
      <c r="AU71" s="136" t="s">
        <v>1107</v>
      </c>
      <c r="AV71" s="139"/>
      <c r="AW71" s="141">
        <v>41700</v>
      </c>
      <c r="AX71" s="141">
        <v>41946</v>
      </c>
      <c r="AY71" s="141" t="s">
        <v>150</v>
      </c>
      <c r="AZ71" s="141">
        <v>42866</v>
      </c>
      <c r="BA71" s="141">
        <v>42829</v>
      </c>
      <c r="BB71" s="141">
        <v>42863</v>
      </c>
      <c r="BC71" s="141"/>
      <c r="BD71" s="141"/>
      <c r="BE71" s="142" t="s">
        <v>1108</v>
      </c>
      <c r="BF71" s="141">
        <v>42950</v>
      </c>
      <c r="BG71" s="141" t="s">
        <v>163</v>
      </c>
      <c r="BH71" s="141">
        <v>43164</v>
      </c>
      <c r="BI71" s="141" t="s">
        <v>163</v>
      </c>
      <c r="BJ71" s="139"/>
      <c r="BK71" s="139"/>
      <c r="BL71" s="139"/>
      <c r="BM71" s="143">
        <v>44260</v>
      </c>
      <c r="BN71" s="136" t="s">
        <v>16</v>
      </c>
      <c r="BO71" s="235">
        <f t="shared" si="18"/>
        <v>85</v>
      </c>
      <c r="BP71" s="136">
        <f t="shared" si="17"/>
        <v>77</v>
      </c>
      <c r="BQ71" s="136"/>
      <c r="BR71" s="136">
        <v>14</v>
      </c>
      <c r="BS71" s="136">
        <v>17</v>
      </c>
      <c r="BT71" s="136">
        <v>2</v>
      </c>
      <c r="BU71" s="136">
        <v>5</v>
      </c>
      <c r="BV71" s="136">
        <v>5</v>
      </c>
      <c r="BW71" s="136">
        <v>0</v>
      </c>
      <c r="BX71" s="136">
        <v>0</v>
      </c>
      <c r="BY71" s="136" t="s">
        <v>163</v>
      </c>
      <c r="BZ71" s="136">
        <v>0</v>
      </c>
      <c r="CA71" s="136"/>
      <c r="CB71" s="144"/>
      <c r="CC71" s="144"/>
      <c r="CD71" s="136"/>
      <c r="CE71" s="136" t="s">
        <v>163</v>
      </c>
      <c r="CF71" s="136"/>
      <c r="CG71" s="136"/>
      <c r="CH71" s="374">
        <v>2</v>
      </c>
      <c r="CI71" s="136">
        <v>2</v>
      </c>
      <c r="CJ71" s="136"/>
      <c r="CK71" s="136" t="s">
        <v>538</v>
      </c>
    </row>
    <row r="72" spans="1:89" ht="24.95" hidden="1" customHeight="1">
      <c r="A72" s="136">
        <v>76</v>
      </c>
      <c r="B72" s="136" t="s">
        <v>1109</v>
      </c>
      <c r="C72" s="136" t="s">
        <v>1110</v>
      </c>
      <c r="D72" s="136" t="s">
        <v>20</v>
      </c>
      <c r="E72" s="136" t="s">
        <v>1111</v>
      </c>
      <c r="F72" s="136" t="s">
        <v>24</v>
      </c>
      <c r="G72" s="136">
        <v>4</v>
      </c>
      <c r="H72" s="129" t="s">
        <v>60</v>
      </c>
      <c r="I72" s="129" t="s">
        <v>37</v>
      </c>
      <c r="J72" s="129" t="s">
        <v>1112</v>
      </c>
      <c r="K72" s="129" t="s">
        <v>1113</v>
      </c>
      <c r="L72" s="129" t="s">
        <v>46</v>
      </c>
      <c r="M72" s="129" t="s">
        <v>163</v>
      </c>
      <c r="N72" s="136">
        <v>1018550</v>
      </c>
      <c r="O72" s="236" t="s">
        <v>151</v>
      </c>
      <c r="P72" s="237" t="s">
        <v>151</v>
      </c>
      <c r="Q72" s="136" t="s">
        <v>151</v>
      </c>
      <c r="R72" s="136" t="s">
        <v>1114</v>
      </c>
      <c r="S72" s="136" t="s">
        <v>1115</v>
      </c>
      <c r="T72" s="345" t="s">
        <v>1116</v>
      </c>
      <c r="U72" s="139" t="s">
        <v>1117</v>
      </c>
      <c r="V72" s="139">
        <v>29807</v>
      </c>
      <c r="W72" s="147" t="s">
        <v>1118</v>
      </c>
      <c r="X72" s="147" t="s">
        <v>179</v>
      </c>
      <c r="Y72" s="147" t="s">
        <v>163</v>
      </c>
      <c r="Z72" s="147" t="s">
        <v>158</v>
      </c>
      <c r="AA72" s="136">
        <v>13.5</v>
      </c>
      <c r="AB72" s="139">
        <v>42005</v>
      </c>
      <c r="AC72" s="285">
        <v>41699</v>
      </c>
      <c r="AD72" s="139"/>
      <c r="AE72" s="28" t="s">
        <v>1119</v>
      </c>
      <c r="AF72" s="136" t="s">
        <v>1120</v>
      </c>
      <c r="AG72" s="136" t="s">
        <v>1121</v>
      </c>
      <c r="AH72" s="136">
        <f t="shared" si="16"/>
        <v>3</v>
      </c>
      <c r="AI72" s="27" t="s">
        <v>162</v>
      </c>
      <c r="AJ72" s="136"/>
      <c r="AK72" s="136"/>
      <c r="AL72" s="136" t="s">
        <v>150</v>
      </c>
      <c r="AM72" s="136"/>
      <c r="AN72" s="136"/>
      <c r="AO72" s="136" t="s">
        <v>164</v>
      </c>
      <c r="AP72" s="136" t="s">
        <v>181</v>
      </c>
      <c r="AQ72" s="136" t="s">
        <v>181</v>
      </c>
      <c r="AR72" s="136" t="s">
        <v>163</v>
      </c>
      <c r="AS72" s="136"/>
      <c r="AT72" s="26" t="s">
        <v>580</v>
      </c>
      <c r="AU72" s="136" t="s">
        <v>1122</v>
      </c>
      <c r="AV72" s="139"/>
      <c r="AW72" s="141">
        <v>41700</v>
      </c>
      <c r="AX72" s="141">
        <v>41946</v>
      </c>
      <c r="AY72" s="141" t="s">
        <v>150</v>
      </c>
      <c r="AZ72" s="141">
        <v>42104</v>
      </c>
      <c r="BA72" s="141">
        <v>42109</v>
      </c>
      <c r="BB72" s="141"/>
      <c r="BC72" s="141"/>
      <c r="BD72" s="141"/>
      <c r="BE72" s="142"/>
      <c r="BF72" s="141">
        <v>42585</v>
      </c>
      <c r="BG72" s="141" t="s">
        <v>150</v>
      </c>
      <c r="BH72" s="141">
        <v>42793</v>
      </c>
      <c r="BI72" s="141" t="s">
        <v>150</v>
      </c>
      <c r="BJ72" s="139"/>
      <c r="BK72" s="139"/>
      <c r="BL72" s="139"/>
      <c r="BM72" s="143">
        <v>44365</v>
      </c>
      <c r="BN72" s="136" t="s">
        <v>16</v>
      </c>
      <c r="BO72" s="235">
        <f t="shared" si="18"/>
        <v>88</v>
      </c>
      <c r="BP72" s="136">
        <f t="shared" si="17"/>
        <v>80</v>
      </c>
      <c r="BQ72" s="136" t="s">
        <v>1123</v>
      </c>
      <c r="BR72" s="136">
        <v>1</v>
      </c>
      <c r="BS72" s="136">
        <v>11</v>
      </c>
      <c r="BT72" s="136">
        <v>3</v>
      </c>
      <c r="BU72" s="136">
        <v>2</v>
      </c>
      <c r="BV72" s="136">
        <v>0</v>
      </c>
      <c r="BW72" s="136">
        <v>0</v>
      </c>
      <c r="BX72" s="136">
        <v>0</v>
      </c>
      <c r="BY72" s="136" t="s">
        <v>163</v>
      </c>
      <c r="BZ72" s="136">
        <v>0</v>
      </c>
      <c r="CA72" s="136"/>
      <c r="CB72" s="144"/>
      <c r="CC72" s="144"/>
      <c r="CD72" s="136"/>
      <c r="CE72" s="136" t="s">
        <v>163</v>
      </c>
      <c r="CF72" s="136"/>
      <c r="CG72" s="136"/>
      <c r="CH72" s="374">
        <v>1</v>
      </c>
      <c r="CI72" s="136">
        <v>2</v>
      </c>
      <c r="CJ72" s="136"/>
      <c r="CK72" s="136" t="s">
        <v>809</v>
      </c>
    </row>
    <row r="73" spans="1:89" ht="24.95" hidden="1" customHeight="1">
      <c r="A73" s="136">
        <v>77</v>
      </c>
      <c r="B73" s="136" t="s">
        <v>1124</v>
      </c>
      <c r="C73" s="136" t="s">
        <v>187</v>
      </c>
      <c r="D73" s="136" t="s">
        <v>1125</v>
      </c>
      <c r="E73" s="136" t="s">
        <v>1126</v>
      </c>
      <c r="F73" s="136" t="s">
        <v>25</v>
      </c>
      <c r="G73" s="136">
        <v>4</v>
      </c>
      <c r="H73" s="129" t="s">
        <v>52</v>
      </c>
      <c r="I73" s="129" t="s">
        <v>39</v>
      </c>
      <c r="J73" s="129" t="s">
        <v>1127</v>
      </c>
      <c r="K73" s="129" t="s">
        <v>1128</v>
      </c>
      <c r="L73" s="129" t="s">
        <v>44</v>
      </c>
      <c r="M73" s="129" t="s">
        <v>163</v>
      </c>
      <c r="N73" s="136" t="s">
        <v>1129</v>
      </c>
      <c r="O73" s="236" t="s">
        <v>151</v>
      </c>
      <c r="P73" s="237" t="s">
        <v>151</v>
      </c>
      <c r="Q73" s="237"/>
      <c r="R73" s="136" t="s">
        <v>1130</v>
      </c>
      <c r="S73" s="136" t="s">
        <v>1131</v>
      </c>
      <c r="T73" s="345" t="s">
        <v>1132</v>
      </c>
      <c r="U73" s="139" t="s">
        <v>817</v>
      </c>
      <c r="V73" s="139">
        <v>29345</v>
      </c>
      <c r="W73" s="147" t="s">
        <v>1133</v>
      </c>
      <c r="X73" s="147" t="s">
        <v>179</v>
      </c>
      <c r="Y73" s="147" t="s">
        <v>163</v>
      </c>
      <c r="Z73" s="147" t="s">
        <v>158</v>
      </c>
      <c r="AA73" s="136">
        <v>17</v>
      </c>
      <c r="AB73" s="139">
        <v>41730</v>
      </c>
      <c r="AC73" s="285">
        <v>41699</v>
      </c>
      <c r="AD73" s="139"/>
      <c r="AE73" s="136" t="s">
        <v>1134</v>
      </c>
      <c r="AF73" s="136" t="s">
        <v>1135</v>
      </c>
      <c r="AG73" s="136" t="s">
        <v>1136</v>
      </c>
      <c r="AH73" s="136">
        <f>COUNTA(AF73:AG73)</f>
        <v>2</v>
      </c>
      <c r="AI73" s="27" t="s">
        <v>162</v>
      </c>
      <c r="AJ73" s="136"/>
      <c r="AK73" s="136"/>
      <c r="AL73" s="136" t="s">
        <v>150</v>
      </c>
      <c r="AM73" s="136"/>
      <c r="AN73" s="136"/>
      <c r="AO73" s="136" t="s">
        <v>164</v>
      </c>
      <c r="AP73" s="136" t="s">
        <v>1137</v>
      </c>
      <c r="AQ73" s="136" t="s">
        <v>203</v>
      </c>
      <c r="AR73" s="136" t="s">
        <v>150</v>
      </c>
      <c r="AS73" s="136"/>
      <c r="AT73" s="26" t="s">
        <v>204</v>
      </c>
      <c r="AU73" s="136" t="s">
        <v>1138</v>
      </c>
      <c r="AV73" s="139"/>
      <c r="AW73" s="141">
        <v>41700</v>
      </c>
      <c r="AX73" s="141">
        <v>41946</v>
      </c>
      <c r="AY73" s="141" t="s">
        <v>150</v>
      </c>
      <c r="AZ73" s="141">
        <v>42047</v>
      </c>
      <c r="BA73" s="141">
        <v>42073</v>
      </c>
      <c r="BB73" s="141"/>
      <c r="BC73" s="141"/>
      <c r="BD73" s="141"/>
      <c r="BE73" s="142" t="s">
        <v>1139</v>
      </c>
      <c r="BF73" s="141">
        <v>42585</v>
      </c>
      <c r="BG73" s="141" t="s">
        <v>150</v>
      </c>
      <c r="BH73" s="141">
        <v>42793</v>
      </c>
      <c r="BI73" s="141" t="s">
        <v>150</v>
      </c>
      <c r="BJ73" s="139"/>
      <c r="BK73" s="139"/>
      <c r="BL73" s="139"/>
      <c r="BM73" s="143">
        <v>44442</v>
      </c>
      <c r="BN73" s="136" t="s">
        <v>16</v>
      </c>
      <c r="BO73" s="235">
        <f t="shared" si="18"/>
        <v>91</v>
      </c>
      <c r="BP73" s="136">
        <f t="shared" si="17"/>
        <v>83</v>
      </c>
      <c r="BQ73" s="136"/>
      <c r="BR73" s="136">
        <v>0</v>
      </c>
      <c r="BS73" s="136">
        <v>0</v>
      </c>
      <c r="BT73" s="136">
        <v>0</v>
      </c>
      <c r="BU73" s="136">
        <v>0</v>
      </c>
      <c r="BV73" s="136">
        <v>0</v>
      </c>
      <c r="BW73" s="136">
        <v>0</v>
      </c>
      <c r="BX73" s="136">
        <v>0</v>
      </c>
      <c r="BY73" s="136" t="s">
        <v>1140</v>
      </c>
      <c r="BZ73" s="136">
        <v>0</v>
      </c>
      <c r="CA73" s="136"/>
      <c r="CB73" s="144"/>
      <c r="CC73" s="144"/>
      <c r="CD73" s="136"/>
      <c r="CE73" s="136" t="s">
        <v>163</v>
      </c>
      <c r="CF73" s="136"/>
      <c r="CG73" s="136"/>
      <c r="CH73" s="374">
        <v>1</v>
      </c>
      <c r="CI73" s="136">
        <v>2</v>
      </c>
      <c r="CJ73" s="136"/>
      <c r="CK73" s="136" t="s">
        <v>809</v>
      </c>
    </row>
    <row r="74" spans="1:89" ht="24.95" hidden="1" customHeight="1">
      <c r="A74" s="136">
        <v>78</v>
      </c>
      <c r="B74" s="136" t="s">
        <v>1141</v>
      </c>
      <c r="C74" s="136" t="s">
        <v>1142</v>
      </c>
      <c r="D74" s="136"/>
      <c r="E74" s="136" t="s">
        <v>1143</v>
      </c>
      <c r="F74" s="136" t="s">
        <v>24</v>
      </c>
      <c r="G74" s="136">
        <v>4</v>
      </c>
      <c r="H74" s="129" t="s">
        <v>58</v>
      </c>
      <c r="I74" s="129" t="s">
        <v>46</v>
      </c>
      <c r="J74" s="129" t="s">
        <v>1144</v>
      </c>
      <c r="K74" s="129" t="s">
        <v>1145</v>
      </c>
      <c r="L74" s="129" t="s">
        <v>46</v>
      </c>
      <c r="M74" s="129" t="s">
        <v>150</v>
      </c>
      <c r="N74" s="136"/>
      <c r="O74" s="236" t="s">
        <v>151</v>
      </c>
      <c r="P74" s="236" t="s">
        <v>151</v>
      </c>
      <c r="Q74" s="136" t="s">
        <v>151</v>
      </c>
      <c r="R74" s="136" t="s">
        <v>1146</v>
      </c>
      <c r="S74" s="136" t="s">
        <v>1147</v>
      </c>
      <c r="T74" s="346">
        <v>27716861252</v>
      </c>
      <c r="U74" s="139" t="s">
        <v>1148</v>
      </c>
      <c r="V74" s="139">
        <v>29781</v>
      </c>
      <c r="W74" s="147" t="s">
        <v>1149</v>
      </c>
      <c r="X74" s="147" t="s">
        <v>156</v>
      </c>
      <c r="Y74" s="147" t="s">
        <v>163</v>
      </c>
      <c r="Z74" s="147" t="s">
        <v>158</v>
      </c>
      <c r="AA74" s="136">
        <v>12</v>
      </c>
      <c r="AB74" s="139">
        <v>41617</v>
      </c>
      <c r="AC74" s="285">
        <v>41699</v>
      </c>
      <c r="AD74" s="139"/>
      <c r="AE74" s="28" t="s">
        <v>1150</v>
      </c>
      <c r="AF74" s="136"/>
      <c r="AG74" s="136"/>
      <c r="AH74" s="136">
        <f t="shared" si="16"/>
        <v>1</v>
      </c>
      <c r="AI74" s="27" t="s">
        <v>161</v>
      </c>
      <c r="AJ74" s="136"/>
      <c r="AK74" s="136"/>
      <c r="AL74" s="136" t="s">
        <v>163</v>
      </c>
      <c r="AM74" s="136"/>
      <c r="AN74" s="136"/>
      <c r="AO74" s="136" t="s">
        <v>164</v>
      </c>
      <c r="AP74" s="136" t="s">
        <v>203</v>
      </c>
      <c r="AQ74" s="136"/>
      <c r="AR74" s="136"/>
      <c r="AS74" s="136"/>
      <c r="AT74" s="26" t="s">
        <v>372</v>
      </c>
      <c r="AU74" s="136" t="s">
        <v>1151</v>
      </c>
      <c r="AV74" s="139"/>
      <c r="AW74" s="141">
        <v>41700</v>
      </c>
      <c r="AX74" s="141">
        <v>41946</v>
      </c>
      <c r="AY74" s="141" t="s">
        <v>150</v>
      </c>
      <c r="AZ74" s="141">
        <v>42846</v>
      </c>
      <c r="BA74" s="141">
        <v>42509</v>
      </c>
      <c r="BB74" s="141"/>
      <c r="BC74" s="141"/>
      <c r="BD74" s="141"/>
      <c r="BE74" s="142" t="s">
        <v>1152</v>
      </c>
      <c r="BF74" s="141">
        <v>43315</v>
      </c>
      <c r="BG74" s="141" t="s">
        <v>163</v>
      </c>
      <c r="BH74" s="141">
        <v>43528</v>
      </c>
      <c r="BI74" s="141" t="s">
        <v>163</v>
      </c>
      <c r="BJ74" s="139"/>
      <c r="BK74" s="139"/>
      <c r="BL74" s="139"/>
      <c r="BM74" s="143">
        <v>44658</v>
      </c>
      <c r="BN74" s="129" t="s">
        <v>16</v>
      </c>
      <c r="BO74" s="235">
        <f t="shared" si="18"/>
        <v>98</v>
      </c>
      <c r="BP74" s="136">
        <f t="shared" si="17"/>
        <v>90</v>
      </c>
      <c r="BQ74" s="136" t="s">
        <v>1153</v>
      </c>
      <c r="BR74" s="136">
        <v>4</v>
      </c>
      <c r="BS74" s="136">
        <v>5</v>
      </c>
      <c r="BT74" s="136">
        <v>0</v>
      </c>
      <c r="BU74" s="136">
        <v>2</v>
      </c>
      <c r="BV74" s="136">
        <v>3</v>
      </c>
      <c r="BW74" s="136">
        <v>0</v>
      </c>
      <c r="BX74" s="136">
        <v>0</v>
      </c>
      <c r="BY74" s="136" t="s">
        <v>163</v>
      </c>
      <c r="BZ74" s="136">
        <v>0</v>
      </c>
      <c r="CA74" s="136"/>
      <c r="CB74" s="144"/>
      <c r="CC74" s="144"/>
      <c r="CD74" s="136"/>
      <c r="CE74" s="136" t="s">
        <v>163</v>
      </c>
      <c r="CF74" s="136"/>
      <c r="CG74" s="136"/>
      <c r="CH74" s="374">
        <v>0</v>
      </c>
      <c r="CI74" s="136">
        <v>1</v>
      </c>
      <c r="CJ74" s="136"/>
      <c r="CK74" s="136" t="s">
        <v>809</v>
      </c>
    </row>
    <row r="75" spans="1:89" ht="24.95" hidden="1" customHeight="1">
      <c r="A75" s="136">
        <v>79</v>
      </c>
      <c r="B75" s="136" t="s">
        <v>1154</v>
      </c>
      <c r="C75" s="136" t="s">
        <v>1155</v>
      </c>
      <c r="D75" s="136" t="s">
        <v>1156</v>
      </c>
      <c r="E75" s="136" t="s">
        <v>1157</v>
      </c>
      <c r="F75" s="136" t="s">
        <v>25</v>
      </c>
      <c r="G75" s="136">
        <v>4</v>
      </c>
      <c r="H75" s="129" t="s">
        <v>52</v>
      </c>
      <c r="I75" s="129" t="s">
        <v>44</v>
      </c>
      <c r="J75" s="129" t="s">
        <v>1158</v>
      </c>
      <c r="K75" s="129" t="s">
        <v>1159</v>
      </c>
      <c r="L75" s="129" t="s">
        <v>44</v>
      </c>
      <c r="M75" s="129" t="s">
        <v>150</v>
      </c>
      <c r="N75" s="136" t="s">
        <v>1160</v>
      </c>
      <c r="O75" s="236" t="s">
        <v>151</v>
      </c>
      <c r="P75" s="237" t="s">
        <v>855</v>
      </c>
      <c r="Q75" s="136" t="s">
        <v>855</v>
      </c>
      <c r="R75" s="136" t="s">
        <v>1161</v>
      </c>
      <c r="S75" s="136" t="s">
        <v>1162</v>
      </c>
      <c r="T75" s="345" t="s">
        <v>1163</v>
      </c>
      <c r="U75" s="139" t="s">
        <v>1164</v>
      </c>
      <c r="V75" s="139">
        <v>29842</v>
      </c>
      <c r="W75" s="147" t="s">
        <v>1165</v>
      </c>
      <c r="X75" s="147" t="s">
        <v>156</v>
      </c>
      <c r="Y75" s="147" t="s">
        <v>157</v>
      </c>
      <c r="Z75" s="147" t="s">
        <v>158</v>
      </c>
      <c r="AA75" s="136">
        <v>37</v>
      </c>
      <c r="AB75" s="139">
        <v>42078</v>
      </c>
      <c r="AC75" s="285">
        <v>41699</v>
      </c>
      <c r="AD75" s="139"/>
      <c r="AE75" s="28" t="s">
        <v>1166</v>
      </c>
      <c r="AF75" s="136"/>
      <c r="AG75" s="136"/>
      <c r="AH75" s="136">
        <f t="shared" si="16"/>
        <v>1</v>
      </c>
      <c r="AI75" s="27" t="s">
        <v>161</v>
      </c>
      <c r="AJ75" s="136"/>
      <c r="AK75" s="136"/>
      <c r="AL75" s="136" t="s">
        <v>150</v>
      </c>
      <c r="AM75" s="136"/>
      <c r="AN75" s="136"/>
      <c r="AO75" s="136" t="s">
        <v>164</v>
      </c>
      <c r="AP75" s="136" t="s">
        <v>1167</v>
      </c>
      <c r="AQ75" s="136" t="s">
        <v>1167</v>
      </c>
      <c r="AR75" s="136"/>
      <c r="AS75" s="136"/>
      <c r="AT75" s="26" t="s">
        <v>420</v>
      </c>
      <c r="AU75" s="136" t="s">
        <v>1168</v>
      </c>
      <c r="AV75" s="139"/>
      <c r="AW75" s="141">
        <v>41700</v>
      </c>
      <c r="AX75" s="141">
        <v>41946</v>
      </c>
      <c r="AY75" s="141" t="s">
        <v>150</v>
      </c>
      <c r="AZ75" s="141">
        <v>43699</v>
      </c>
      <c r="BA75" s="141">
        <v>42238</v>
      </c>
      <c r="BB75" s="141"/>
      <c r="BC75" s="141"/>
      <c r="BD75" s="141"/>
      <c r="BE75" s="142"/>
      <c r="BF75" s="141">
        <v>42585</v>
      </c>
      <c r="BG75" s="141" t="s">
        <v>150</v>
      </c>
      <c r="BH75" s="141">
        <v>42793</v>
      </c>
      <c r="BI75" s="141" t="s">
        <v>150</v>
      </c>
      <c r="BJ75" s="139"/>
      <c r="BK75" s="139"/>
      <c r="BL75" s="139"/>
      <c r="BM75" s="143">
        <v>45191</v>
      </c>
      <c r="BN75" s="148" t="s">
        <v>16</v>
      </c>
      <c r="BO75" s="238">
        <f t="shared" si="18"/>
        <v>115</v>
      </c>
      <c r="BP75" s="136">
        <f t="shared" si="17"/>
        <v>107</v>
      </c>
      <c r="BQ75" s="136" t="s">
        <v>1169</v>
      </c>
      <c r="BR75" s="136">
        <v>0</v>
      </c>
      <c r="BS75" s="136">
        <v>5</v>
      </c>
      <c r="BT75" s="136">
        <v>0</v>
      </c>
      <c r="BU75" s="136">
        <v>1</v>
      </c>
      <c r="BV75" s="136">
        <v>0</v>
      </c>
      <c r="BW75" s="136">
        <v>0</v>
      </c>
      <c r="BX75" s="136">
        <v>0</v>
      </c>
      <c r="BY75" s="136" t="s">
        <v>1140</v>
      </c>
      <c r="BZ75" s="136">
        <v>0</v>
      </c>
      <c r="CA75" s="136"/>
      <c r="CB75" s="144"/>
      <c r="CC75" s="144"/>
      <c r="CD75" s="136"/>
      <c r="CE75" s="136" t="s">
        <v>163</v>
      </c>
      <c r="CF75" s="136"/>
      <c r="CG75" s="136"/>
      <c r="CH75" s="374">
        <v>1</v>
      </c>
      <c r="CI75" s="136">
        <v>3</v>
      </c>
      <c r="CJ75" s="136"/>
      <c r="CK75" s="136" t="s">
        <v>809</v>
      </c>
    </row>
    <row r="76" spans="1:89" ht="24.95" hidden="1" customHeight="1">
      <c r="A76" s="136">
        <v>80</v>
      </c>
      <c r="B76" s="136" t="s">
        <v>1170</v>
      </c>
      <c r="C76" s="136" t="s">
        <v>1171</v>
      </c>
      <c r="D76" s="136" t="s">
        <v>1172</v>
      </c>
      <c r="E76" s="136" t="s">
        <v>1173</v>
      </c>
      <c r="F76" s="136" t="s">
        <v>25</v>
      </c>
      <c r="G76" s="136">
        <v>4</v>
      </c>
      <c r="H76" s="129" t="s">
        <v>53</v>
      </c>
      <c r="I76" s="129" t="s">
        <v>47</v>
      </c>
      <c r="J76" s="129" t="s">
        <v>1174</v>
      </c>
      <c r="K76" s="129" t="s">
        <v>1175</v>
      </c>
      <c r="L76" s="129" t="s">
        <v>47</v>
      </c>
      <c r="M76" s="129" t="s">
        <v>150</v>
      </c>
      <c r="N76" s="138" t="s">
        <v>1176</v>
      </c>
      <c r="O76" s="236" t="s">
        <v>322</v>
      </c>
      <c r="P76" s="237" t="s">
        <v>151</v>
      </c>
      <c r="Q76" s="136" t="s">
        <v>151</v>
      </c>
      <c r="R76" s="136" t="s">
        <v>1177</v>
      </c>
      <c r="S76" s="136" t="s">
        <v>1178</v>
      </c>
      <c r="T76" s="345" t="s">
        <v>1179</v>
      </c>
      <c r="U76" s="139" t="s">
        <v>1180</v>
      </c>
      <c r="V76" s="139">
        <v>30933</v>
      </c>
      <c r="W76" s="147" t="s">
        <v>1181</v>
      </c>
      <c r="X76" s="147" t="s">
        <v>179</v>
      </c>
      <c r="Y76" s="147" t="s">
        <v>163</v>
      </c>
      <c r="Z76" s="147" t="s">
        <v>158</v>
      </c>
      <c r="AA76" s="136">
        <v>36</v>
      </c>
      <c r="AB76" s="139">
        <v>41729</v>
      </c>
      <c r="AC76" s="285">
        <v>41699</v>
      </c>
      <c r="AD76" s="139"/>
      <c r="AE76" s="29" t="s">
        <v>1182</v>
      </c>
      <c r="AF76" s="136" t="s">
        <v>1183</v>
      </c>
      <c r="AG76" s="136" t="s">
        <v>1184</v>
      </c>
      <c r="AH76" s="136">
        <f t="shared" si="16"/>
        <v>3</v>
      </c>
      <c r="AI76" s="27" t="s">
        <v>161</v>
      </c>
      <c r="AJ76" s="136"/>
      <c r="AK76" s="136"/>
      <c r="AL76" s="136" t="s">
        <v>150</v>
      </c>
      <c r="AM76" s="136"/>
      <c r="AN76" s="136"/>
      <c r="AO76" s="136" t="s">
        <v>182</v>
      </c>
      <c r="AP76" s="136" t="s">
        <v>1185</v>
      </c>
      <c r="AQ76" s="136" t="s">
        <v>1186</v>
      </c>
      <c r="AR76" s="136" t="s">
        <v>150</v>
      </c>
      <c r="AS76" s="136"/>
      <c r="AT76" s="26" t="s">
        <v>1187</v>
      </c>
      <c r="AU76" s="136" t="s">
        <v>1188</v>
      </c>
      <c r="AV76" s="139"/>
      <c r="AW76" s="141">
        <v>41700</v>
      </c>
      <c r="AX76" s="141">
        <v>41946</v>
      </c>
      <c r="AY76" s="141" t="s">
        <v>150</v>
      </c>
      <c r="AZ76" s="141"/>
      <c r="BA76" s="141"/>
      <c r="BB76" s="141"/>
      <c r="BC76" s="141"/>
      <c r="BD76" s="141"/>
      <c r="BE76" s="142"/>
      <c r="BF76" s="141">
        <v>42585</v>
      </c>
      <c r="BG76" s="141" t="s">
        <v>150</v>
      </c>
      <c r="BH76" s="141">
        <v>42793</v>
      </c>
      <c r="BI76" s="141" t="s">
        <v>150</v>
      </c>
      <c r="BJ76" s="139"/>
      <c r="BK76" s="139">
        <v>44176</v>
      </c>
      <c r="BL76" s="139"/>
      <c r="BM76" s="143">
        <v>44539</v>
      </c>
      <c r="BN76" s="136" t="s">
        <v>16</v>
      </c>
      <c r="BO76" s="136">
        <f t="shared" ref="BO76" si="19">DATEDIF(AW76,BM76, "M")+1</f>
        <v>94</v>
      </c>
      <c r="BP76" s="136">
        <f t="shared" si="17"/>
        <v>86</v>
      </c>
      <c r="BQ76" s="136"/>
      <c r="BR76" s="136">
        <v>0</v>
      </c>
      <c r="BS76" s="136">
        <v>6</v>
      </c>
      <c r="BT76" s="136">
        <v>0</v>
      </c>
      <c r="BU76" s="136">
        <v>1</v>
      </c>
      <c r="BV76" s="136">
        <v>0</v>
      </c>
      <c r="BW76" s="136">
        <v>0</v>
      </c>
      <c r="BX76" s="136">
        <v>0</v>
      </c>
      <c r="BY76" s="136" t="s">
        <v>163</v>
      </c>
      <c r="BZ76" s="136">
        <v>0</v>
      </c>
      <c r="CA76" s="136"/>
      <c r="CB76" s="144"/>
      <c r="CC76" s="144"/>
      <c r="CD76" s="136"/>
      <c r="CE76" s="136" t="s">
        <v>163</v>
      </c>
      <c r="CF76" s="136"/>
      <c r="CG76" s="136"/>
      <c r="CH76" s="374">
        <v>0</v>
      </c>
      <c r="CI76" s="136">
        <v>1</v>
      </c>
      <c r="CJ76" s="136"/>
      <c r="CK76" s="136" t="s">
        <v>500</v>
      </c>
    </row>
    <row r="77" spans="1:89" ht="24.95" hidden="1" customHeight="1">
      <c r="A77" s="136">
        <v>81</v>
      </c>
      <c r="B77" s="136" t="s">
        <v>1189</v>
      </c>
      <c r="C77" s="136" t="s">
        <v>1190</v>
      </c>
      <c r="D77" s="136" t="s">
        <v>1191</v>
      </c>
      <c r="E77" s="136" t="s">
        <v>1192</v>
      </c>
      <c r="F77" s="136" t="s">
        <v>25</v>
      </c>
      <c r="G77" s="136">
        <v>4</v>
      </c>
      <c r="H77" s="129" t="s">
        <v>60</v>
      </c>
      <c r="I77" s="129" t="s">
        <v>37</v>
      </c>
      <c r="J77" s="129" t="s">
        <v>1193</v>
      </c>
      <c r="K77" s="129" t="s">
        <v>1193</v>
      </c>
      <c r="L77" s="129" t="s">
        <v>46</v>
      </c>
      <c r="M77" s="129" t="s">
        <v>163</v>
      </c>
      <c r="N77" s="136">
        <v>1060654</v>
      </c>
      <c r="O77" s="236" t="s">
        <v>151</v>
      </c>
      <c r="P77" s="237" t="s">
        <v>151</v>
      </c>
      <c r="Q77" s="136" t="s">
        <v>151</v>
      </c>
      <c r="R77" s="136" t="s">
        <v>1194</v>
      </c>
      <c r="S77" s="145" t="s">
        <v>1195</v>
      </c>
      <c r="T77" s="345" t="s">
        <v>1196</v>
      </c>
      <c r="U77" s="139" t="s">
        <v>1197</v>
      </c>
      <c r="V77" s="139">
        <v>28080</v>
      </c>
      <c r="W77" s="147" t="s">
        <v>1198</v>
      </c>
      <c r="X77" s="147" t="s">
        <v>156</v>
      </c>
      <c r="Y77" s="147" t="s">
        <v>157</v>
      </c>
      <c r="Z77" s="147" t="s">
        <v>158</v>
      </c>
      <c r="AA77" s="136">
        <v>15.5</v>
      </c>
      <c r="AB77" s="139">
        <v>42886</v>
      </c>
      <c r="AC77" s="285">
        <v>41699</v>
      </c>
      <c r="AD77" s="139"/>
      <c r="AE77" s="28" t="s">
        <v>1199</v>
      </c>
      <c r="AF77" s="136"/>
      <c r="AG77" s="136"/>
      <c r="AH77" s="136">
        <f t="shared" si="16"/>
        <v>1</v>
      </c>
      <c r="AI77" s="147" t="s">
        <v>162</v>
      </c>
      <c r="AJ77" s="136"/>
      <c r="AK77" s="136"/>
      <c r="AL77" s="136" t="s">
        <v>150</v>
      </c>
      <c r="AM77" s="136"/>
      <c r="AN77" s="136"/>
      <c r="AO77" s="136" t="s">
        <v>182</v>
      </c>
      <c r="AP77" s="136" t="s">
        <v>182</v>
      </c>
      <c r="AQ77" s="136" t="s">
        <v>1200</v>
      </c>
      <c r="AR77" s="136" t="s">
        <v>150</v>
      </c>
      <c r="AS77" s="136"/>
      <c r="AT77" s="26" t="s">
        <v>580</v>
      </c>
      <c r="AU77" s="136" t="s">
        <v>1201</v>
      </c>
      <c r="AV77" s="139"/>
      <c r="AW77" s="141">
        <v>41700</v>
      </c>
      <c r="AX77" s="141">
        <v>41946</v>
      </c>
      <c r="AY77" s="141" t="s">
        <v>150</v>
      </c>
      <c r="AZ77" s="141">
        <v>42207</v>
      </c>
      <c r="BA77" s="141">
        <v>43503</v>
      </c>
      <c r="BB77" s="141"/>
      <c r="BC77" s="141"/>
      <c r="BD77" s="141"/>
      <c r="BE77" s="142" t="s">
        <v>1202</v>
      </c>
      <c r="BF77" s="141">
        <v>42585</v>
      </c>
      <c r="BG77" s="141" t="s">
        <v>150</v>
      </c>
      <c r="BH77" s="141">
        <v>42793</v>
      </c>
      <c r="BI77" s="141" t="s">
        <v>150</v>
      </c>
      <c r="BJ77" s="139"/>
      <c r="BK77" s="139"/>
      <c r="BL77" s="139"/>
      <c r="BM77" s="143">
        <v>44508</v>
      </c>
      <c r="BN77" s="136" t="s">
        <v>16</v>
      </c>
      <c r="BO77" s="235">
        <f t="shared" ref="BO77:BO81" si="20">DATEDIF(AW77,BM77, "M")+1</f>
        <v>93</v>
      </c>
      <c r="BP77" s="136">
        <f t="shared" si="17"/>
        <v>85</v>
      </c>
      <c r="BQ77" s="136"/>
      <c r="BR77" s="136">
        <v>1</v>
      </c>
      <c r="BS77" s="136">
        <v>15</v>
      </c>
      <c r="BT77" s="136">
        <v>6</v>
      </c>
      <c r="BU77" s="136">
        <v>1</v>
      </c>
      <c r="BV77" s="136">
        <v>1</v>
      </c>
      <c r="BW77" s="136">
        <v>0</v>
      </c>
      <c r="BX77" s="136">
        <v>0</v>
      </c>
      <c r="BY77" s="136" t="s">
        <v>163</v>
      </c>
      <c r="BZ77" s="136">
        <v>0</v>
      </c>
      <c r="CA77" s="136"/>
      <c r="CB77" s="144"/>
      <c r="CC77" s="144"/>
      <c r="CD77" s="136"/>
      <c r="CE77" s="136" t="s">
        <v>163</v>
      </c>
      <c r="CF77" s="136"/>
      <c r="CG77" s="136"/>
      <c r="CH77" s="374" t="s">
        <v>168</v>
      </c>
      <c r="CI77" s="136" t="s">
        <v>168</v>
      </c>
      <c r="CJ77" s="136"/>
      <c r="CK77" s="136" t="s">
        <v>538</v>
      </c>
    </row>
    <row r="78" spans="1:89" ht="24.95" hidden="1" customHeight="1">
      <c r="A78" s="136">
        <v>82</v>
      </c>
      <c r="B78" s="136" t="s">
        <v>1203</v>
      </c>
      <c r="C78" s="136" t="s">
        <v>1204</v>
      </c>
      <c r="D78" s="136" t="s">
        <v>1205</v>
      </c>
      <c r="E78" s="136" t="s">
        <v>1206</v>
      </c>
      <c r="F78" s="136" t="s">
        <v>25</v>
      </c>
      <c r="G78" s="136">
        <v>4</v>
      </c>
      <c r="H78" s="129" t="s">
        <v>52</v>
      </c>
      <c r="I78" s="129" t="s">
        <v>39</v>
      </c>
      <c r="J78" s="129" t="s">
        <v>1207</v>
      </c>
      <c r="K78" s="129" t="s">
        <v>1208</v>
      </c>
      <c r="L78" s="129" t="s">
        <v>44</v>
      </c>
      <c r="M78" s="129" t="s">
        <v>163</v>
      </c>
      <c r="N78" s="195" t="s">
        <v>1209</v>
      </c>
      <c r="O78" s="239" t="s">
        <v>151</v>
      </c>
      <c r="P78" s="25" t="s">
        <v>151</v>
      </c>
      <c r="Q78" s="136" t="s">
        <v>151</v>
      </c>
      <c r="R78" s="387" t="s">
        <v>1210</v>
      </c>
      <c r="S78" s="136" t="s">
        <v>1211</v>
      </c>
      <c r="T78" s="346" t="s">
        <v>1212</v>
      </c>
      <c r="U78" s="139" t="s">
        <v>1213</v>
      </c>
      <c r="V78" s="139">
        <v>29172</v>
      </c>
      <c r="W78" s="147" t="s">
        <v>1214</v>
      </c>
      <c r="X78" s="147" t="s">
        <v>179</v>
      </c>
      <c r="Y78" s="147" t="s">
        <v>163</v>
      </c>
      <c r="Z78" s="147" t="s">
        <v>158</v>
      </c>
      <c r="AA78" s="136">
        <v>10</v>
      </c>
      <c r="AB78" s="139">
        <v>41913</v>
      </c>
      <c r="AC78" s="285">
        <v>41699</v>
      </c>
      <c r="AD78" s="139"/>
      <c r="AE78" s="27" t="s">
        <v>1215</v>
      </c>
      <c r="AF78" s="146" t="s">
        <v>1216</v>
      </c>
      <c r="AG78" s="146"/>
      <c r="AH78" s="136">
        <f t="shared" si="16"/>
        <v>2</v>
      </c>
      <c r="AI78" s="147" t="s">
        <v>162</v>
      </c>
      <c r="AJ78" s="146"/>
      <c r="AK78" s="146"/>
      <c r="AL78" s="146" t="s">
        <v>150</v>
      </c>
      <c r="AM78" s="146"/>
      <c r="AN78" s="146"/>
      <c r="AO78" s="146" t="s">
        <v>164</v>
      </c>
      <c r="AP78" s="146" t="s">
        <v>181</v>
      </c>
      <c r="AQ78" s="146" t="s">
        <v>203</v>
      </c>
      <c r="AR78" s="146" t="s">
        <v>150</v>
      </c>
      <c r="AS78" s="146"/>
      <c r="AT78" s="411" t="s">
        <v>1217</v>
      </c>
      <c r="AU78" s="136" t="s">
        <v>1218</v>
      </c>
      <c r="AV78" s="139"/>
      <c r="AW78" s="141">
        <v>41701</v>
      </c>
      <c r="AX78" s="141">
        <v>41946</v>
      </c>
      <c r="AY78" s="141" t="s">
        <v>150</v>
      </c>
      <c r="AZ78" s="141"/>
      <c r="BA78" s="141"/>
      <c r="BB78" s="141"/>
      <c r="BC78" s="141"/>
      <c r="BD78" s="141"/>
      <c r="BE78" s="142" t="s">
        <v>1219</v>
      </c>
      <c r="BF78" s="141">
        <v>42585</v>
      </c>
      <c r="BG78" s="141" t="s">
        <v>150</v>
      </c>
      <c r="BH78" s="141">
        <v>42793</v>
      </c>
      <c r="BI78" s="141" t="s">
        <v>150</v>
      </c>
      <c r="BJ78" s="139"/>
      <c r="BK78" s="139"/>
      <c r="BL78" s="139"/>
      <c r="BM78" s="143">
        <v>43242</v>
      </c>
      <c r="BN78" s="136" t="s">
        <v>16</v>
      </c>
      <c r="BO78" s="235">
        <f t="shared" si="20"/>
        <v>51</v>
      </c>
      <c r="BP78" s="136">
        <f t="shared" si="17"/>
        <v>43</v>
      </c>
      <c r="BQ78" s="147" t="s">
        <v>1220</v>
      </c>
      <c r="BR78" s="136">
        <v>2</v>
      </c>
      <c r="BS78" s="136">
        <v>3</v>
      </c>
      <c r="BT78" s="136">
        <v>5</v>
      </c>
      <c r="BU78" s="136">
        <v>6</v>
      </c>
      <c r="BV78" s="136">
        <v>1</v>
      </c>
      <c r="BW78" s="136">
        <v>0</v>
      </c>
      <c r="BX78" s="136">
        <v>0</v>
      </c>
      <c r="BY78" s="136" t="s">
        <v>163</v>
      </c>
      <c r="BZ78" s="136">
        <v>0</v>
      </c>
      <c r="CA78" s="136"/>
      <c r="CB78" s="144"/>
      <c r="CC78" s="144"/>
      <c r="CD78" s="136"/>
      <c r="CE78" s="136" t="s">
        <v>163</v>
      </c>
      <c r="CF78" s="136"/>
      <c r="CG78" s="136"/>
      <c r="CH78" s="374">
        <v>2</v>
      </c>
      <c r="CI78" s="136">
        <v>3</v>
      </c>
      <c r="CJ78" s="136"/>
      <c r="CK78" s="136" t="s">
        <v>538</v>
      </c>
    </row>
    <row r="79" spans="1:89" ht="24.95" hidden="1" customHeight="1">
      <c r="A79" s="136">
        <v>83</v>
      </c>
      <c r="B79" s="136" t="s">
        <v>1221</v>
      </c>
      <c r="C79" s="136" t="s">
        <v>1222</v>
      </c>
      <c r="D79" s="136"/>
      <c r="E79" s="136" t="s">
        <v>1223</v>
      </c>
      <c r="F79" s="136" t="s">
        <v>24</v>
      </c>
      <c r="G79" s="136">
        <v>4</v>
      </c>
      <c r="H79" s="129" t="s">
        <v>60</v>
      </c>
      <c r="I79" s="129" t="s">
        <v>37</v>
      </c>
      <c r="J79" s="129" t="s">
        <v>602</v>
      </c>
      <c r="K79" s="129" t="s">
        <v>1224</v>
      </c>
      <c r="L79" s="129" t="s">
        <v>37</v>
      </c>
      <c r="M79" s="129" t="s">
        <v>150</v>
      </c>
      <c r="N79" s="195"/>
      <c r="O79" s="239" t="s">
        <v>151</v>
      </c>
      <c r="P79" s="25" t="s">
        <v>151</v>
      </c>
      <c r="Q79" s="136" t="s">
        <v>151</v>
      </c>
      <c r="R79" s="387" t="s">
        <v>1225</v>
      </c>
      <c r="S79" s="149" t="s">
        <v>1226</v>
      </c>
      <c r="T79" s="346" t="s">
        <v>1227</v>
      </c>
      <c r="U79" s="139" t="s">
        <v>1228</v>
      </c>
      <c r="V79" s="139">
        <v>27712</v>
      </c>
      <c r="W79" s="147" t="s">
        <v>1229</v>
      </c>
      <c r="X79" s="147" t="s">
        <v>179</v>
      </c>
      <c r="Y79" s="147" t="s">
        <v>163</v>
      </c>
      <c r="Z79" s="147" t="s">
        <v>158</v>
      </c>
      <c r="AA79" s="136">
        <v>9.5</v>
      </c>
      <c r="AB79" s="139">
        <v>41604</v>
      </c>
      <c r="AC79" s="285">
        <v>41699</v>
      </c>
      <c r="AD79" s="139"/>
      <c r="AE79" s="27" t="s">
        <v>1230</v>
      </c>
      <c r="AF79" s="146" t="s">
        <v>1231</v>
      </c>
      <c r="AG79" s="146"/>
      <c r="AH79" s="136">
        <f t="shared" si="16"/>
        <v>2</v>
      </c>
      <c r="AI79" s="27" t="s">
        <v>161</v>
      </c>
      <c r="AJ79" s="146"/>
      <c r="AK79" s="146"/>
      <c r="AL79" s="146" t="s">
        <v>150</v>
      </c>
      <c r="AM79" s="146"/>
      <c r="AN79" s="146"/>
      <c r="AO79" s="146" t="s">
        <v>164</v>
      </c>
      <c r="AP79" s="146" t="s">
        <v>1232</v>
      </c>
      <c r="AQ79" s="146" t="s">
        <v>777</v>
      </c>
      <c r="AR79" s="146" t="s">
        <v>150</v>
      </c>
      <c r="AS79" s="146"/>
      <c r="AT79" s="411" t="s">
        <v>552</v>
      </c>
      <c r="AU79" s="136" t="s">
        <v>1233</v>
      </c>
      <c r="AV79" s="139"/>
      <c r="AW79" s="141">
        <v>41702</v>
      </c>
      <c r="AX79" s="141">
        <v>41946</v>
      </c>
      <c r="AY79" s="141" t="s">
        <v>150</v>
      </c>
      <c r="AZ79" s="141"/>
      <c r="BA79" s="141"/>
      <c r="BB79" s="141"/>
      <c r="BC79" s="141"/>
      <c r="BD79" s="141"/>
      <c r="BE79" s="142" t="s">
        <v>1234</v>
      </c>
      <c r="BF79" s="141">
        <v>42585</v>
      </c>
      <c r="BG79" s="141" t="s">
        <v>150</v>
      </c>
      <c r="BH79" s="141">
        <v>43164</v>
      </c>
      <c r="BI79" s="141" t="s">
        <v>163</v>
      </c>
      <c r="BJ79" s="139">
        <v>43256</v>
      </c>
      <c r="BK79" s="139">
        <v>43378</v>
      </c>
      <c r="BL79" s="139">
        <v>43399</v>
      </c>
      <c r="BM79" s="143">
        <v>43399</v>
      </c>
      <c r="BN79" s="136" t="s">
        <v>16</v>
      </c>
      <c r="BO79" s="235">
        <f t="shared" si="20"/>
        <v>56</v>
      </c>
      <c r="BP79" s="136">
        <f t="shared" si="17"/>
        <v>48</v>
      </c>
      <c r="BQ79" s="147" t="s">
        <v>1234</v>
      </c>
      <c r="BR79" s="136">
        <v>0</v>
      </c>
      <c r="BS79" s="136">
        <v>6</v>
      </c>
      <c r="BT79" s="136">
        <v>19</v>
      </c>
      <c r="BU79" s="136">
        <v>3</v>
      </c>
      <c r="BV79" s="136">
        <v>0</v>
      </c>
      <c r="BW79" s="136">
        <v>0</v>
      </c>
      <c r="BX79" s="136">
        <v>0</v>
      </c>
      <c r="BY79" s="136" t="s">
        <v>163</v>
      </c>
      <c r="BZ79" s="136">
        <v>0</v>
      </c>
      <c r="CA79" s="136"/>
      <c r="CB79" s="144"/>
      <c r="CC79" s="144"/>
      <c r="CD79" s="136"/>
      <c r="CE79" s="136" t="s">
        <v>163</v>
      </c>
      <c r="CF79" s="136"/>
      <c r="CG79" s="136"/>
      <c r="CH79" s="25">
        <v>2</v>
      </c>
      <c r="CI79" s="136">
        <v>3</v>
      </c>
      <c r="CJ79" s="136"/>
      <c r="CK79" s="136" t="s">
        <v>809</v>
      </c>
    </row>
    <row r="80" spans="1:89" ht="24.95" hidden="1" customHeight="1">
      <c r="A80" s="136">
        <v>84</v>
      </c>
      <c r="B80" s="136" t="s">
        <v>1235</v>
      </c>
      <c r="C80" s="136" t="s">
        <v>1236</v>
      </c>
      <c r="D80" s="136" t="s">
        <v>1237</v>
      </c>
      <c r="E80" s="136" t="s">
        <v>1238</v>
      </c>
      <c r="F80" s="136" t="s">
        <v>25</v>
      </c>
      <c r="G80" s="136">
        <v>4</v>
      </c>
      <c r="H80" s="129" t="s">
        <v>59</v>
      </c>
      <c r="I80" s="129" t="s">
        <v>42</v>
      </c>
      <c r="J80" s="129" t="s">
        <v>1239</v>
      </c>
      <c r="K80" s="129" t="s">
        <v>1240</v>
      </c>
      <c r="L80" s="129" t="s">
        <v>46</v>
      </c>
      <c r="M80" s="129" t="s">
        <v>163</v>
      </c>
      <c r="N80" s="136">
        <v>1197596</v>
      </c>
      <c r="O80" s="236"/>
      <c r="P80" s="237" t="s">
        <v>151</v>
      </c>
      <c r="Q80" s="136" t="s">
        <v>151</v>
      </c>
      <c r="R80" s="136" t="s">
        <v>1241</v>
      </c>
      <c r="S80" s="145" t="s">
        <v>1242</v>
      </c>
      <c r="T80" s="346" t="s">
        <v>1243</v>
      </c>
      <c r="U80" s="139" t="s">
        <v>1244</v>
      </c>
      <c r="V80" s="139">
        <v>30809</v>
      </c>
      <c r="W80" s="147" t="s">
        <v>1245</v>
      </c>
      <c r="X80" s="147" t="s">
        <v>179</v>
      </c>
      <c r="Y80" s="147" t="s">
        <v>163</v>
      </c>
      <c r="Z80" s="147" t="s">
        <v>158</v>
      </c>
      <c r="AA80" s="136">
        <v>9.5</v>
      </c>
      <c r="AB80" s="139">
        <v>42036</v>
      </c>
      <c r="AC80" s="285">
        <v>41699</v>
      </c>
      <c r="AD80" s="139"/>
      <c r="AE80" s="28" t="s">
        <v>1246</v>
      </c>
      <c r="AF80" s="136" t="s">
        <v>1247</v>
      </c>
      <c r="AG80" s="136" t="s">
        <v>1248</v>
      </c>
      <c r="AH80" s="136">
        <f t="shared" si="16"/>
        <v>3</v>
      </c>
      <c r="AI80" s="147" t="s">
        <v>161</v>
      </c>
      <c r="AJ80" s="136"/>
      <c r="AK80" s="136"/>
      <c r="AL80" s="136" t="s">
        <v>150</v>
      </c>
      <c r="AM80" s="136"/>
      <c r="AN80" s="136"/>
      <c r="AO80" s="136" t="s">
        <v>182</v>
      </c>
      <c r="AP80" s="136" t="s">
        <v>1249</v>
      </c>
      <c r="AQ80" s="136" t="s">
        <v>593</v>
      </c>
      <c r="AR80" s="136" t="s">
        <v>150</v>
      </c>
      <c r="AS80" s="136"/>
      <c r="AT80" s="26" t="s">
        <v>1250</v>
      </c>
      <c r="AU80" s="136" t="s">
        <v>1251</v>
      </c>
      <c r="AV80" s="139"/>
      <c r="AW80" s="141">
        <v>41703</v>
      </c>
      <c r="AX80" s="141">
        <v>41946</v>
      </c>
      <c r="AY80" s="141" t="s">
        <v>150</v>
      </c>
      <c r="AZ80" s="141">
        <v>42205</v>
      </c>
      <c r="BA80" s="141">
        <v>42230</v>
      </c>
      <c r="BB80" s="141"/>
      <c r="BC80" s="141"/>
      <c r="BD80" s="141"/>
      <c r="BE80" s="142" t="s">
        <v>1252</v>
      </c>
      <c r="BF80" s="141">
        <v>42585</v>
      </c>
      <c r="BG80" s="141" t="s">
        <v>150</v>
      </c>
      <c r="BH80" s="141">
        <v>42793</v>
      </c>
      <c r="BI80" s="141" t="s">
        <v>150</v>
      </c>
      <c r="BJ80" s="139"/>
      <c r="BK80" s="139"/>
      <c r="BL80" s="139"/>
      <c r="BM80" s="143">
        <v>43830</v>
      </c>
      <c r="BN80" s="136" t="s">
        <v>16</v>
      </c>
      <c r="BO80" s="235">
        <f t="shared" si="20"/>
        <v>70</v>
      </c>
      <c r="BP80" s="136">
        <f t="shared" si="17"/>
        <v>62</v>
      </c>
      <c r="BQ80" s="136"/>
      <c r="BR80" s="136">
        <v>1</v>
      </c>
      <c r="BS80" s="136">
        <v>5</v>
      </c>
      <c r="BT80" s="136">
        <v>3</v>
      </c>
      <c r="BU80" s="136">
        <v>2</v>
      </c>
      <c r="BV80" s="136">
        <v>0</v>
      </c>
      <c r="BW80" s="136">
        <v>0</v>
      </c>
      <c r="BX80" s="136">
        <v>0</v>
      </c>
      <c r="BY80" s="136" t="s">
        <v>1140</v>
      </c>
      <c r="BZ80" s="136">
        <v>0</v>
      </c>
      <c r="CA80" s="136"/>
      <c r="CB80" s="144"/>
      <c r="CC80" s="144"/>
      <c r="CD80" s="136"/>
      <c r="CE80" s="136" t="s">
        <v>163</v>
      </c>
      <c r="CF80" s="136"/>
      <c r="CG80" s="136"/>
      <c r="CH80" s="374">
        <v>1</v>
      </c>
      <c r="CI80" s="136">
        <v>2</v>
      </c>
      <c r="CJ80" s="136"/>
      <c r="CK80" s="136" t="s">
        <v>809</v>
      </c>
    </row>
    <row r="81" spans="1:89" ht="24.95" hidden="1" customHeight="1">
      <c r="A81" s="136">
        <v>85</v>
      </c>
      <c r="B81" s="136" t="s">
        <v>1253</v>
      </c>
      <c r="C81" s="136" t="s">
        <v>1254</v>
      </c>
      <c r="D81" s="136" t="s">
        <v>906</v>
      </c>
      <c r="E81" s="136" t="s">
        <v>1255</v>
      </c>
      <c r="F81" s="136" t="s">
        <v>24</v>
      </c>
      <c r="G81" s="136">
        <v>4</v>
      </c>
      <c r="H81" s="129" t="s">
        <v>52</v>
      </c>
      <c r="I81" s="129" t="s">
        <v>39</v>
      </c>
      <c r="J81" s="129" t="s">
        <v>1256</v>
      </c>
      <c r="K81" s="129" t="s">
        <v>1256</v>
      </c>
      <c r="L81" s="129" t="s">
        <v>44</v>
      </c>
      <c r="M81" s="129" t="s">
        <v>163</v>
      </c>
      <c r="N81" s="195" t="s">
        <v>1257</v>
      </c>
      <c r="O81" s="239" t="s">
        <v>151</v>
      </c>
      <c r="P81" s="25" t="s">
        <v>151</v>
      </c>
      <c r="Q81" s="136" t="s">
        <v>151</v>
      </c>
      <c r="R81" s="387" t="s">
        <v>1258</v>
      </c>
      <c r="S81" s="387" t="s">
        <v>1259</v>
      </c>
      <c r="T81" s="345" t="s">
        <v>1260</v>
      </c>
      <c r="U81" s="139" t="s">
        <v>1261</v>
      </c>
      <c r="V81" s="139">
        <v>28497</v>
      </c>
      <c r="W81" s="147" t="s">
        <v>1262</v>
      </c>
      <c r="X81" s="147" t="s">
        <v>179</v>
      </c>
      <c r="Y81" s="147" t="s">
        <v>157</v>
      </c>
      <c r="Z81" s="147" t="s">
        <v>158</v>
      </c>
      <c r="AA81" s="136">
        <v>13</v>
      </c>
      <c r="AB81" s="139">
        <v>41642</v>
      </c>
      <c r="AC81" s="285">
        <v>41699</v>
      </c>
      <c r="AD81" s="139"/>
      <c r="AE81" s="27" t="s">
        <v>1263</v>
      </c>
      <c r="AF81" s="146" t="s">
        <v>1264</v>
      </c>
      <c r="AG81" s="146"/>
      <c r="AH81" s="136">
        <f t="shared" si="16"/>
        <v>2</v>
      </c>
      <c r="AI81" s="27" t="s">
        <v>162</v>
      </c>
      <c r="AJ81" s="146"/>
      <c r="AK81" s="146"/>
      <c r="AL81" s="146" t="s">
        <v>150</v>
      </c>
      <c r="AM81" s="146"/>
      <c r="AN81" s="146"/>
      <c r="AO81" s="146" t="s">
        <v>164</v>
      </c>
      <c r="AP81" s="146" t="s">
        <v>1265</v>
      </c>
      <c r="AQ81" s="146" t="s">
        <v>203</v>
      </c>
      <c r="AR81" s="146" t="s">
        <v>150</v>
      </c>
      <c r="AS81" s="146"/>
      <c r="AT81" s="411" t="s">
        <v>204</v>
      </c>
      <c r="AU81" s="136" t="s">
        <v>1266</v>
      </c>
      <c r="AV81" s="139"/>
      <c r="AW81" s="141">
        <v>41704</v>
      </c>
      <c r="AX81" s="141">
        <v>41946</v>
      </c>
      <c r="AY81" s="141" t="s">
        <v>150</v>
      </c>
      <c r="AZ81" s="141">
        <v>42125</v>
      </c>
      <c r="BA81" s="141">
        <v>42156</v>
      </c>
      <c r="BB81" s="141">
        <v>42217</v>
      </c>
      <c r="BC81" s="141"/>
      <c r="BD81" s="141"/>
      <c r="BE81" s="142" t="s">
        <v>1267</v>
      </c>
      <c r="BF81" s="141">
        <v>42585</v>
      </c>
      <c r="BG81" s="141" t="s">
        <v>150</v>
      </c>
      <c r="BH81" s="141">
        <v>42791</v>
      </c>
      <c r="BI81" s="141" t="s">
        <v>150</v>
      </c>
      <c r="BJ81" s="139">
        <v>43115</v>
      </c>
      <c r="BK81" s="139">
        <v>43349</v>
      </c>
      <c r="BL81" s="139">
        <v>43426</v>
      </c>
      <c r="BM81" s="143">
        <v>43434</v>
      </c>
      <c r="BN81" s="136" t="s">
        <v>16</v>
      </c>
      <c r="BO81" s="235">
        <f t="shared" si="20"/>
        <v>57</v>
      </c>
      <c r="BP81" s="136">
        <f t="shared" si="17"/>
        <v>49</v>
      </c>
      <c r="BQ81" s="147" t="s">
        <v>1268</v>
      </c>
      <c r="BR81" s="136">
        <v>1</v>
      </c>
      <c r="BS81" s="136">
        <v>4</v>
      </c>
      <c r="BT81" s="136">
        <v>3</v>
      </c>
      <c r="BU81" s="136">
        <v>2</v>
      </c>
      <c r="BV81" s="136">
        <v>0</v>
      </c>
      <c r="BW81" s="136">
        <v>0</v>
      </c>
      <c r="BX81" s="136">
        <v>0</v>
      </c>
      <c r="BY81" s="136" t="s">
        <v>163</v>
      </c>
      <c r="BZ81" s="136">
        <v>0</v>
      </c>
      <c r="CA81" s="136"/>
      <c r="CB81" s="144"/>
      <c r="CC81" s="144"/>
      <c r="CD81" s="136"/>
      <c r="CE81" s="136" t="s">
        <v>163</v>
      </c>
      <c r="CF81" s="136"/>
      <c r="CG81" s="136"/>
      <c r="CH81" s="374">
        <v>2</v>
      </c>
      <c r="CI81" s="136">
        <v>2</v>
      </c>
      <c r="CJ81" s="136"/>
      <c r="CK81" s="136" t="s">
        <v>809</v>
      </c>
    </row>
    <row r="82" spans="1:89" ht="24.95" hidden="1" customHeight="1">
      <c r="A82" s="136">
        <v>86</v>
      </c>
      <c r="B82" s="136" t="s">
        <v>1269</v>
      </c>
      <c r="C82" s="136" t="s">
        <v>1270</v>
      </c>
      <c r="D82" s="136" t="s">
        <v>754</v>
      </c>
      <c r="E82" s="136" t="s">
        <v>1271</v>
      </c>
      <c r="F82" s="136" t="s">
        <v>25</v>
      </c>
      <c r="G82" s="136">
        <v>4</v>
      </c>
      <c r="H82" s="129" t="s">
        <v>52</v>
      </c>
      <c r="I82" s="129" t="s">
        <v>39</v>
      </c>
      <c r="J82" s="129" t="s">
        <v>602</v>
      </c>
      <c r="K82" s="129" t="s">
        <v>1272</v>
      </c>
      <c r="L82" s="129" t="s">
        <v>46</v>
      </c>
      <c r="M82" s="129" t="s">
        <v>163</v>
      </c>
      <c r="N82" s="195">
        <v>1061559</v>
      </c>
      <c r="O82" s="239"/>
      <c r="P82" s="25" t="s">
        <v>151</v>
      </c>
      <c r="Q82" s="136"/>
      <c r="R82" s="136" t="s">
        <v>1273</v>
      </c>
      <c r="S82" s="136" t="s">
        <v>1274</v>
      </c>
      <c r="T82" s="345" t="s">
        <v>1275</v>
      </c>
      <c r="U82" s="139" t="s">
        <v>1276</v>
      </c>
      <c r="V82" s="139">
        <v>25297</v>
      </c>
      <c r="W82" s="147" t="s">
        <v>1277</v>
      </c>
      <c r="X82" s="147" t="s">
        <v>179</v>
      </c>
      <c r="Y82" s="147" t="s">
        <v>163</v>
      </c>
      <c r="Z82" s="147" t="s">
        <v>158</v>
      </c>
      <c r="AA82" s="136">
        <v>16</v>
      </c>
      <c r="AB82" s="139">
        <v>41693</v>
      </c>
      <c r="AC82" s="285">
        <v>41699</v>
      </c>
      <c r="AD82" s="139"/>
      <c r="AE82" s="136" t="s">
        <v>1278</v>
      </c>
      <c r="AF82" s="136"/>
      <c r="AG82" s="136"/>
      <c r="AH82" s="136">
        <f t="shared" si="16"/>
        <v>1</v>
      </c>
      <c r="AI82" s="147" t="s">
        <v>161</v>
      </c>
      <c r="AJ82" s="136"/>
      <c r="AK82" s="136"/>
      <c r="AL82" s="136" t="s">
        <v>163</v>
      </c>
      <c r="AM82" s="136"/>
      <c r="AN82" s="136"/>
      <c r="AO82" s="136" t="s">
        <v>164</v>
      </c>
      <c r="AP82" s="136" t="s">
        <v>181</v>
      </c>
      <c r="AQ82" s="136" t="s">
        <v>203</v>
      </c>
      <c r="AR82" s="136" t="s">
        <v>150</v>
      </c>
      <c r="AS82" s="136"/>
      <c r="AT82" s="26" t="s">
        <v>204</v>
      </c>
      <c r="AU82" s="136" t="s">
        <v>1279</v>
      </c>
      <c r="AV82" s="139"/>
      <c r="AW82" s="141">
        <v>41700</v>
      </c>
      <c r="AX82" s="141">
        <v>41946</v>
      </c>
      <c r="AY82" s="141" t="s">
        <v>150</v>
      </c>
      <c r="AZ82" s="141">
        <v>42555</v>
      </c>
      <c r="BA82" s="141">
        <v>42989</v>
      </c>
      <c r="BB82" s="141"/>
      <c r="BC82" s="141"/>
      <c r="BD82" s="141"/>
      <c r="BE82" s="142"/>
      <c r="BF82" s="141">
        <v>42585</v>
      </c>
      <c r="BG82" s="141" t="s">
        <v>150</v>
      </c>
      <c r="BH82" s="141">
        <v>42793</v>
      </c>
      <c r="BI82" s="141" t="s">
        <v>150</v>
      </c>
      <c r="BJ82" s="139"/>
      <c r="BK82" s="139"/>
      <c r="BL82" s="139"/>
      <c r="BM82" s="143"/>
      <c r="BN82" s="150" t="s">
        <v>17</v>
      </c>
      <c r="BO82" s="238"/>
      <c r="BP82" s="238"/>
      <c r="BQ82" s="147"/>
      <c r="BR82" s="136">
        <v>2</v>
      </c>
      <c r="BS82" s="136">
        <v>3</v>
      </c>
      <c r="BT82" s="136">
        <v>0</v>
      </c>
      <c r="BU82" s="136">
        <v>3</v>
      </c>
      <c r="BV82" s="136">
        <v>0</v>
      </c>
      <c r="BW82" s="136">
        <v>0</v>
      </c>
      <c r="BX82" s="136">
        <v>0</v>
      </c>
      <c r="BY82" s="136" t="s">
        <v>163</v>
      </c>
      <c r="BZ82" s="136">
        <v>0</v>
      </c>
      <c r="CA82" s="136"/>
      <c r="CB82" s="144"/>
      <c r="CC82" s="144"/>
      <c r="CD82" s="136"/>
      <c r="CE82" s="136" t="s">
        <v>163</v>
      </c>
      <c r="CF82" s="136"/>
      <c r="CG82" s="136"/>
      <c r="CH82" s="374" t="s">
        <v>168</v>
      </c>
      <c r="CI82" s="136" t="s">
        <v>168</v>
      </c>
      <c r="CJ82" s="136"/>
      <c r="CK82" s="136" t="s">
        <v>1280</v>
      </c>
    </row>
    <row r="83" spans="1:89" ht="24.95" hidden="1" customHeight="1">
      <c r="A83" s="136">
        <v>87</v>
      </c>
      <c r="B83" s="136" t="s">
        <v>1281</v>
      </c>
      <c r="C83" s="136" t="s">
        <v>1282</v>
      </c>
      <c r="D83" s="136" t="s">
        <v>1283</v>
      </c>
      <c r="E83" s="136" t="s">
        <v>1284</v>
      </c>
      <c r="F83" s="136" t="s">
        <v>25</v>
      </c>
      <c r="G83" s="136">
        <v>4</v>
      </c>
      <c r="H83" s="129" t="s">
        <v>55</v>
      </c>
      <c r="I83" s="129" t="s">
        <v>45</v>
      </c>
      <c r="J83" s="129" t="s">
        <v>602</v>
      </c>
      <c r="K83" s="129" t="s">
        <v>1285</v>
      </c>
      <c r="L83" s="129" t="s">
        <v>37</v>
      </c>
      <c r="M83" s="129" t="s">
        <v>163</v>
      </c>
      <c r="N83" s="195" t="s">
        <v>1286</v>
      </c>
      <c r="O83" s="136" t="s">
        <v>855</v>
      </c>
      <c r="P83" s="25" t="s">
        <v>1287</v>
      </c>
      <c r="Q83" s="25" t="s">
        <v>1287</v>
      </c>
      <c r="R83" s="145" t="s">
        <v>1288</v>
      </c>
      <c r="S83" s="136" t="s">
        <v>1289</v>
      </c>
      <c r="T83" s="346" t="s">
        <v>1290</v>
      </c>
      <c r="U83" s="139" t="s">
        <v>1291</v>
      </c>
      <c r="V83" s="139">
        <v>28294</v>
      </c>
      <c r="W83" s="147" t="s">
        <v>1292</v>
      </c>
      <c r="X83" s="147" t="s">
        <v>179</v>
      </c>
      <c r="Y83" s="147" t="s">
        <v>163</v>
      </c>
      <c r="Z83" s="147" t="s">
        <v>158</v>
      </c>
      <c r="AA83" s="136">
        <v>7.5</v>
      </c>
      <c r="AB83" s="139">
        <v>42353</v>
      </c>
      <c r="AC83" s="285">
        <v>41699</v>
      </c>
      <c r="AD83" s="139"/>
      <c r="AE83" s="28" t="s">
        <v>1293</v>
      </c>
      <c r="AF83" s="136"/>
      <c r="AG83" s="136"/>
      <c r="AH83" s="136">
        <f t="shared" si="16"/>
        <v>1</v>
      </c>
      <c r="AI83" s="147" t="s">
        <v>162</v>
      </c>
      <c r="AJ83" s="136"/>
      <c r="AK83" s="136"/>
      <c r="AL83" s="136" t="s">
        <v>150</v>
      </c>
      <c r="AM83" s="136"/>
      <c r="AN83" s="136"/>
      <c r="AO83" s="136" t="s">
        <v>164</v>
      </c>
      <c r="AP83" s="136" t="s">
        <v>203</v>
      </c>
      <c r="AQ83" s="136" t="s">
        <v>1294</v>
      </c>
      <c r="AR83" s="136" t="s">
        <v>150</v>
      </c>
      <c r="AS83" s="136"/>
      <c r="AT83" s="26" t="s">
        <v>1295</v>
      </c>
      <c r="AU83" s="136" t="s">
        <v>1296</v>
      </c>
      <c r="AV83" s="139"/>
      <c r="AW83" s="141">
        <v>41700</v>
      </c>
      <c r="AX83" s="141">
        <v>41946</v>
      </c>
      <c r="AY83" s="141" t="s">
        <v>150</v>
      </c>
      <c r="AZ83" s="141"/>
      <c r="BA83" s="141"/>
      <c r="BB83" s="141"/>
      <c r="BC83" s="141"/>
      <c r="BD83" s="141"/>
      <c r="BE83" s="142"/>
      <c r="BF83" s="141">
        <v>42585</v>
      </c>
      <c r="BG83" s="141" t="s">
        <v>150</v>
      </c>
      <c r="BH83" s="141">
        <v>42793</v>
      </c>
      <c r="BI83" s="141" t="s">
        <v>150</v>
      </c>
      <c r="BJ83" s="139"/>
      <c r="BK83" s="139">
        <v>44221</v>
      </c>
      <c r="BL83" s="139"/>
      <c r="BM83" s="143">
        <v>44333</v>
      </c>
      <c r="BN83" s="136" t="s">
        <v>16</v>
      </c>
      <c r="BO83" s="235">
        <f>DATEDIF(AW83,BM83, "M")+1</f>
        <v>87</v>
      </c>
      <c r="BP83" s="136">
        <f>DATEDIF(AX83,BM83, "M")+1</f>
        <v>79</v>
      </c>
      <c r="BQ83" s="147" t="s">
        <v>1297</v>
      </c>
      <c r="BR83" s="136">
        <v>0</v>
      </c>
      <c r="BS83" s="136">
        <v>4</v>
      </c>
      <c r="BT83" s="136">
        <v>0</v>
      </c>
      <c r="BU83" s="136">
        <v>0</v>
      </c>
      <c r="BV83" s="136">
        <v>1</v>
      </c>
      <c r="BW83" s="136">
        <v>0</v>
      </c>
      <c r="BX83" s="136">
        <v>0</v>
      </c>
      <c r="BY83" s="136" t="s">
        <v>163</v>
      </c>
      <c r="BZ83" s="136">
        <v>0</v>
      </c>
      <c r="CA83" s="136"/>
      <c r="CB83" s="144"/>
      <c r="CC83" s="144"/>
      <c r="CD83" s="136"/>
      <c r="CE83" s="136" t="s">
        <v>163</v>
      </c>
      <c r="CF83" s="136"/>
      <c r="CG83" s="136"/>
      <c r="CH83" s="374">
        <v>2</v>
      </c>
      <c r="CI83" s="136">
        <v>2</v>
      </c>
      <c r="CJ83" s="136"/>
      <c r="CK83" s="136" t="s">
        <v>1298</v>
      </c>
    </row>
    <row r="84" spans="1:89" ht="24.95" hidden="1" customHeight="1">
      <c r="A84" s="91">
        <v>88</v>
      </c>
      <c r="B84" s="91" t="s">
        <v>1299</v>
      </c>
      <c r="C84" s="91" t="s">
        <v>1300</v>
      </c>
      <c r="D84" s="91" t="s">
        <v>1301</v>
      </c>
      <c r="E84" s="91" t="s">
        <v>1302</v>
      </c>
      <c r="F84" s="91" t="s">
        <v>24</v>
      </c>
      <c r="G84" s="91">
        <v>4</v>
      </c>
      <c r="H84" s="91" t="s">
        <v>53</v>
      </c>
      <c r="I84" s="91" t="s">
        <v>47</v>
      </c>
      <c r="J84" s="91" t="s">
        <v>602</v>
      </c>
      <c r="K84" s="91" t="s">
        <v>1303</v>
      </c>
      <c r="L84" s="91" t="s">
        <v>47</v>
      </c>
      <c r="M84" s="91" t="s">
        <v>150</v>
      </c>
      <c r="N84" s="91" t="s">
        <v>1304</v>
      </c>
      <c r="O84" s="91" t="s">
        <v>168</v>
      </c>
      <c r="P84" s="91" t="s">
        <v>151</v>
      </c>
      <c r="Q84" s="91"/>
      <c r="R84" s="91" t="s">
        <v>1305</v>
      </c>
      <c r="S84" s="91" t="s">
        <v>1306</v>
      </c>
      <c r="T84" s="200" t="s">
        <v>1307</v>
      </c>
      <c r="U84" s="91" t="s">
        <v>1308</v>
      </c>
      <c r="V84" s="91">
        <v>30152</v>
      </c>
      <c r="W84" s="91" t="s">
        <v>1309</v>
      </c>
      <c r="X84" s="91" t="s">
        <v>156</v>
      </c>
      <c r="Y84" s="91" t="s">
        <v>157</v>
      </c>
      <c r="Z84" s="91" t="s">
        <v>158</v>
      </c>
      <c r="AA84" s="91">
        <v>25</v>
      </c>
      <c r="AB84" s="92">
        <v>41692</v>
      </c>
      <c r="AC84" s="281">
        <v>41699</v>
      </c>
      <c r="AD84" s="92">
        <v>43867</v>
      </c>
      <c r="AE84" s="91" t="s">
        <v>1310</v>
      </c>
      <c r="AF84" s="91"/>
      <c r="AG84" s="91"/>
      <c r="AH84" s="91">
        <f t="shared" si="16"/>
        <v>1</v>
      </c>
      <c r="AI84" s="91" t="s">
        <v>282</v>
      </c>
      <c r="AJ84" s="91"/>
      <c r="AK84" s="91"/>
      <c r="AL84" s="91" t="s">
        <v>150</v>
      </c>
      <c r="AM84" s="91"/>
      <c r="AN84" s="91"/>
      <c r="AO84" s="91" t="s">
        <v>164</v>
      </c>
      <c r="AP84" s="91" t="s">
        <v>203</v>
      </c>
      <c r="AQ84" s="91"/>
      <c r="AR84" s="91"/>
      <c r="AS84" s="91"/>
      <c r="AT84" s="10" t="s">
        <v>298</v>
      </c>
      <c r="AU84" s="91"/>
      <c r="AV84" s="91"/>
      <c r="AW84" s="93">
        <v>41700</v>
      </c>
      <c r="AX84" s="93">
        <v>41946</v>
      </c>
      <c r="AY84" s="91" t="s">
        <v>150</v>
      </c>
      <c r="AZ84" s="91"/>
      <c r="BA84" s="91"/>
      <c r="BB84" s="91"/>
      <c r="BC84" s="91"/>
      <c r="BD84" s="91"/>
      <c r="BE84" s="91"/>
      <c r="BF84" s="91">
        <v>42585</v>
      </c>
      <c r="BG84" s="91" t="s">
        <v>150</v>
      </c>
      <c r="BH84" s="91"/>
      <c r="BI84" s="91" t="s">
        <v>163</v>
      </c>
      <c r="BJ84" s="91"/>
      <c r="BK84" s="91"/>
      <c r="BL84" s="91"/>
      <c r="BM84" s="91"/>
      <c r="BN84" s="151" t="s">
        <v>18</v>
      </c>
      <c r="BO84" s="91" t="s">
        <v>18</v>
      </c>
      <c r="BP84" s="91"/>
      <c r="BQ84" s="91"/>
      <c r="BR84" s="91">
        <v>0</v>
      </c>
      <c r="BS84" s="91">
        <v>2</v>
      </c>
      <c r="BT84" s="91">
        <v>0</v>
      </c>
      <c r="BU84" s="91">
        <v>1</v>
      </c>
      <c r="BV84" s="91">
        <v>0</v>
      </c>
      <c r="BW84" s="91">
        <v>0</v>
      </c>
      <c r="BX84" s="91">
        <v>0</v>
      </c>
      <c r="BY84" s="91" t="s">
        <v>163</v>
      </c>
      <c r="BZ84" s="91">
        <v>0</v>
      </c>
      <c r="CA84" s="91"/>
      <c r="CB84" s="91"/>
      <c r="CC84" s="91"/>
      <c r="CD84" s="91"/>
      <c r="CE84" s="91" t="s">
        <v>163</v>
      </c>
      <c r="CF84" s="91"/>
      <c r="CG84" s="91"/>
      <c r="CH84" s="113" t="s">
        <v>168</v>
      </c>
      <c r="CI84" s="91" t="s">
        <v>168</v>
      </c>
      <c r="CJ84" s="91"/>
      <c r="CK84" s="91" t="s">
        <v>809</v>
      </c>
    </row>
    <row r="85" spans="1:89" ht="24.95" hidden="1" customHeight="1">
      <c r="A85" s="136">
        <v>89</v>
      </c>
      <c r="B85" s="136" t="s">
        <v>1311</v>
      </c>
      <c r="C85" s="136" t="s">
        <v>1312</v>
      </c>
      <c r="D85" s="136" t="s">
        <v>1313</v>
      </c>
      <c r="E85" s="136" t="s">
        <v>1314</v>
      </c>
      <c r="F85" s="136" t="s">
        <v>24</v>
      </c>
      <c r="G85" s="136">
        <v>4</v>
      </c>
      <c r="H85" s="129" t="s">
        <v>59</v>
      </c>
      <c r="I85" s="129" t="s">
        <v>43</v>
      </c>
      <c r="J85" s="129" t="s">
        <v>1315</v>
      </c>
      <c r="K85" s="129" t="s">
        <v>1316</v>
      </c>
      <c r="L85" s="129" t="s">
        <v>43</v>
      </c>
      <c r="M85" s="129" t="s">
        <v>150</v>
      </c>
      <c r="N85" s="195">
        <v>1034515</v>
      </c>
      <c r="O85" s="25" t="s">
        <v>151</v>
      </c>
      <c r="P85" s="25" t="s">
        <v>151</v>
      </c>
      <c r="Q85" s="136" t="s">
        <v>151</v>
      </c>
      <c r="R85" s="387" t="s">
        <v>1317</v>
      </c>
      <c r="S85" s="136" t="s">
        <v>1318</v>
      </c>
      <c r="T85" s="346" t="s">
        <v>1319</v>
      </c>
      <c r="U85" s="139" t="s">
        <v>1320</v>
      </c>
      <c r="V85" s="139">
        <v>29764</v>
      </c>
      <c r="W85" s="147" t="s">
        <v>1321</v>
      </c>
      <c r="X85" s="147" t="s">
        <v>179</v>
      </c>
      <c r="Y85" s="147" t="s">
        <v>163</v>
      </c>
      <c r="Z85" s="147" t="s">
        <v>158</v>
      </c>
      <c r="AA85" s="136">
        <v>28</v>
      </c>
      <c r="AB85" s="139">
        <v>41730</v>
      </c>
      <c r="AC85" s="285">
        <v>41699</v>
      </c>
      <c r="AD85" s="139"/>
      <c r="AE85" s="27" t="s">
        <v>1322</v>
      </c>
      <c r="AF85" s="146"/>
      <c r="AG85" s="146"/>
      <c r="AH85" s="136">
        <f t="shared" si="16"/>
        <v>1</v>
      </c>
      <c r="AI85" s="27" t="s">
        <v>161</v>
      </c>
      <c r="AJ85" s="146"/>
      <c r="AK85" s="146"/>
      <c r="AL85" s="146" t="s">
        <v>163</v>
      </c>
      <c r="AM85" s="146"/>
      <c r="AN85" s="146"/>
      <c r="AO85" s="146" t="s">
        <v>182</v>
      </c>
      <c r="AP85" s="146" t="s">
        <v>181</v>
      </c>
      <c r="AQ85" s="293" t="s">
        <v>217</v>
      </c>
      <c r="AR85" s="146" t="s">
        <v>150</v>
      </c>
      <c r="AS85" s="146"/>
      <c r="AT85" s="411" t="s">
        <v>537</v>
      </c>
      <c r="AU85" s="136" t="s">
        <v>1323</v>
      </c>
      <c r="AV85" s="139"/>
      <c r="AW85" s="141">
        <v>41700</v>
      </c>
      <c r="AX85" s="141">
        <v>41946</v>
      </c>
      <c r="AY85" s="141" t="s">
        <v>150</v>
      </c>
      <c r="AZ85" s="141"/>
      <c r="BA85" s="141"/>
      <c r="BB85" s="141"/>
      <c r="BC85" s="141"/>
      <c r="BD85" s="141"/>
      <c r="BE85" s="142"/>
      <c r="BF85" s="141">
        <v>42585</v>
      </c>
      <c r="BG85" s="141" t="s">
        <v>150</v>
      </c>
      <c r="BH85" s="141">
        <v>42793</v>
      </c>
      <c r="BI85" s="141" t="s">
        <v>150</v>
      </c>
      <c r="BJ85" s="139"/>
      <c r="BK85" s="139"/>
      <c r="BL85" s="139"/>
      <c r="BM85" s="143">
        <v>43201</v>
      </c>
      <c r="BN85" s="136" t="s">
        <v>16</v>
      </c>
      <c r="BO85" s="235">
        <f t="shared" ref="BO85:BO93" si="21">DATEDIF(AW85,BM85, "M")+1</f>
        <v>50</v>
      </c>
      <c r="BP85" s="136">
        <f t="shared" ref="BP85:BP99" si="22">DATEDIF(AX85,BM85, "M")+1</f>
        <v>42</v>
      </c>
      <c r="BQ85" s="147" t="s">
        <v>1324</v>
      </c>
      <c r="BR85" s="136">
        <v>0</v>
      </c>
      <c r="BS85" s="136">
        <v>0</v>
      </c>
      <c r="BT85" s="136">
        <v>6</v>
      </c>
      <c r="BU85" s="136">
        <v>1</v>
      </c>
      <c r="BV85" s="136">
        <v>0</v>
      </c>
      <c r="BW85" s="136">
        <v>0</v>
      </c>
      <c r="BX85" s="136">
        <v>0</v>
      </c>
      <c r="BY85" s="136" t="s">
        <v>163</v>
      </c>
      <c r="BZ85" s="136">
        <v>0</v>
      </c>
      <c r="CA85" s="136"/>
      <c r="CB85" s="144"/>
      <c r="CC85" s="144"/>
      <c r="CD85" s="136"/>
      <c r="CE85" s="136" t="s">
        <v>163</v>
      </c>
      <c r="CF85" s="136"/>
      <c r="CG85" s="136"/>
      <c r="CH85" s="374">
        <v>1</v>
      </c>
      <c r="CI85" s="136">
        <v>1</v>
      </c>
      <c r="CJ85" s="136"/>
      <c r="CK85" s="136" t="s">
        <v>809</v>
      </c>
    </row>
    <row r="86" spans="1:89" ht="24.95" hidden="1" customHeight="1">
      <c r="A86" s="136">
        <v>90</v>
      </c>
      <c r="B86" s="136" t="s">
        <v>1325</v>
      </c>
      <c r="C86" s="136" t="s">
        <v>1326</v>
      </c>
      <c r="D86" s="136" t="s">
        <v>1327</v>
      </c>
      <c r="E86" s="136" t="s">
        <v>1328</v>
      </c>
      <c r="F86" s="136" t="s">
        <v>24</v>
      </c>
      <c r="G86" s="136">
        <v>4</v>
      </c>
      <c r="H86" s="129" t="s">
        <v>52</v>
      </c>
      <c r="I86" s="129" t="s">
        <v>40</v>
      </c>
      <c r="J86" s="129" t="s">
        <v>602</v>
      </c>
      <c r="K86" s="129" t="s">
        <v>1329</v>
      </c>
      <c r="L86" s="129" t="s">
        <v>46</v>
      </c>
      <c r="M86" s="129" t="s">
        <v>163</v>
      </c>
      <c r="N86" s="195" t="s">
        <v>1330</v>
      </c>
      <c r="O86" s="239" t="s">
        <v>151</v>
      </c>
      <c r="P86" s="25" t="s">
        <v>151</v>
      </c>
      <c r="Q86" s="136" t="s">
        <v>151</v>
      </c>
      <c r="R86" s="136" t="s">
        <v>1331</v>
      </c>
      <c r="S86" s="306" t="s">
        <v>1332</v>
      </c>
      <c r="T86" s="345" t="s">
        <v>1333</v>
      </c>
      <c r="U86" s="139" t="s">
        <v>1334</v>
      </c>
      <c r="V86" s="139">
        <v>28270</v>
      </c>
      <c r="W86" s="147" t="s">
        <v>1335</v>
      </c>
      <c r="X86" s="147" t="s">
        <v>179</v>
      </c>
      <c r="Y86" s="147" t="s">
        <v>163</v>
      </c>
      <c r="Z86" s="147" t="s">
        <v>158</v>
      </c>
      <c r="AA86" s="136">
        <v>21</v>
      </c>
      <c r="AB86" s="139">
        <v>41756</v>
      </c>
      <c r="AC86" s="285">
        <v>41699</v>
      </c>
      <c r="AD86" s="139"/>
      <c r="AE86" s="27" t="s">
        <v>1336</v>
      </c>
      <c r="AF86" s="146" t="s">
        <v>1337</v>
      </c>
      <c r="AG86" s="146" t="s">
        <v>1338</v>
      </c>
      <c r="AH86" s="136">
        <f t="shared" si="16"/>
        <v>3</v>
      </c>
      <c r="AI86" s="27" t="s">
        <v>162</v>
      </c>
      <c r="AJ86" s="146"/>
      <c r="AK86" s="146"/>
      <c r="AL86" s="146" t="s">
        <v>150</v>
      </c>
      <c r="AM86" s="146"/>
      <c r="AN86" s="146"/>
      <c r="AO86" s="146" t="s">
        <v>182</v>
      </c>
      <c r="AP86" s="146" t="s">
        <v>1339</v>
      </c>
      <c r="AQ86" s="146" t="s">
        <v>1340</v>
      </c>
      <c r="AR86" s="146" t="s">
        <v>150</v>
      </c>
      <c r="AS86" s="146"/>
      <c r="AT86" s="411" t="s">
        <v>1341</v>
      </c>
      <c r="AU86" s="136" t="s">
        <v>1342</v>
      </c>
      <c r="AV86" s="139"/>
      <c r="AW86" s="141">
        <v>41700</v>
      </c>
      <c r="AX86" s="141">
        <v>41946</v>
      </c>
      <c r="AY86" s="141" t="s">
        <v>150</v>
      </c>
      <c r="AZ86" s="141">
        <v>42235</v>
      </c>
      <c r="BA86" s="141">
        <v>42195</v>
      </c>
      <c r="BB86" s="141"/>
      <c r="BC86" s="141"/>
      <c r="BD86" s="141"/>
      <c r="BE86" s="142" t="s">
        <v>1343</v>
      </c>
      <c r="BF86" s="141">
        <v>42585</v>
      </c>
      <c r="BG86" s="141" t="s">
        <v>150</v>
      </c>
      <c r="BH86" s="141">
        <v>42793</v>
      </c>
      <c r="BI86" s="141" t="s">
        <v>150</v>
      </c>
      <c r="BJ86" s="139"/>
      <c r="BK86" s="139"/>
      <c r="BL86" s="139"/>
      <c r="BM86" s="143">
        <v>43657</v>
      </c>
      <c r="BN86" s="136" t="s">
        <v>16</v>
      </c>
      <c r="BO86" s="235">
        <f t="shared" si="21"/>
        <v>65</v>
      </c>
      <c r="BP86" s="136">
        <f t="shared" si="22"/>
        <v>57</v>
      </c>
      <c r="BQ86" s="136"/>
      <c r="BR86" s="136">
        <v>2</v>
      </c>
      <c r="BS86" s="136">
        <v>17</v>
      </c>
      <c r="BT86" s="136">
        <v>6</v>
      </c>
      <c r="BU86" s="136">
        <v>3</v>
      </c>
      <c r="BV86" s="136">
        <v>1</v>
      </c>
      <c r="BW86" s="136">
        <v>0</v>
      </c>
      <c r="BX86" s="136">
        <v>0</v>
      </c>
      <c r="BY86" s="136" t="s">
        <v>163</v>
      </c>
      <c r="BZ86" s="136">
        <v>0</v>
      </c>
      <c r="CA86" s="136"/>
      <c r="CB86" s="144"/>
      <c r="CC86" s="144"/>
      <c r="CD86" s="136"/>
      <c r="CE86" s="136" t="s">
        <v>163</v>
      </c>
      <c r="CF86" s="136"/>
      <c r="CG86" s="136"/>
      <c r="CH86" s="374">
        <v>3</v>
      </c>
      <c r="CI86" s="136">
        <v>3</v>
      </c>
      <c r="CJ86" s="136"/>
      <c r="CK86" s="136" t="s">
        <v>809</v>
      </c>
    </row>
    <row r="87" spans="1:89" ht="24.95" hidden="1" customHeight="1">
      <c r="A87" s="136">
        <v>91</v>
      </c>
      <c r="B87" s="136" t="s">
        <v>1344</v>
      </c>
      <c r="C87" s="136" t="s">
        <v>1345</v>
      </c>
      <c r="D87" s="136" t="s">
        <v>1346</v>
      </c>
      <c r="E87" s="136" t="s">
        <v>438</v>
      </c>
      <c r="F87" s="136" t="s">
        <v>25</v>
      </c>
      <c r="G87" s="136">
        <v>4</v>
      </c>
      <c r="H87" s="129" t="s">
        <v>54</v>
      </c>
      <c r="I87" s="129" t="s">
        <v>41</v>
      </c>
      <c r="J87" s="129" t="s">
        <v>1347</v>
      </c>
      <c r="K87" s="129" t="s">
        <v>1348</v>
      </c>
      <c r="L87" s="129" t="s">
        <v>41</v>
      </c>
      <c r="M87" s="129" t="s">
        <v>150</v>
      </c>
      <c r="N87" s="195" t="s">
        <v>1349</v>
      </c>
      <c r="O87" s="239" t="s">
        <v>151</v>
      </c>
      <c r="P87" s="25" t="s">
        <v>151</v>
      </c>
      <c r="Q87" s="136" t="s">
        <v>151</v>
      </c>
      <c r="R87" s="136" t="s">
        <v>1350</v>
      </c>
      <c r="S87" s="145" t="s">
        <v>1351</v>
      </c>
      <c r="T87" s="346" t="s">
        <v>1352</v>
      </c>
      <c r="U87" s="139" t="s">
        <v>1353</v>
      </c>
      <c r="V87" s="139">
        <v>26239</v>
      </c>
      <c r="W87" s="147" t="s">
        <v>1354</v>
      </c>
      <c r="X87" s="147" t="s">
        <v>179</v>
      </c>
      <c r="Y87" s="147" t="s">
        <v>163</v>
      </c>
      <c r="Z87" s="147" t="s">
        <v>158</v>
      </c>
      <c r="AA87" s="136">
        <v>26</v>
      </c>
      <c r="AB87" s="139">
        <v>41156</v>
      </c>
      <c r="AC87" s="285">
        <v>41699</v>
      </c>
      <c r="AD87" s="139"/>
      <c r="AE87" s="27" t="s">
        <v>1355</v>
      </c>
      <c r="AF87" s="146"/>
      <c r="AG87" s="146"/>
      <c r="AH87" s="136">
        <f t="shared" si="16"/>
        <v>1</v>
      </c>
      <c r="AI87" s="27" t="s">
        <v>161</v>
      </c>
      <c r="AJ87" s="146"/>
      <c r="AK87" s="146"/>
      <c r="AL87" s="146" t="s">
        <v>150</v>
      </c>
      <c r="AM87" s="146"/>
      <c r="AN87" s="146"/>
      <c r="AO87" s="146" t="s">
        <v>164</v>
      </c>
      <c r="AP87" s="146" t="s">
        <v>1356</v>
      </c>
      <c r="AQ87" s="146"/>
      <c r="AR87" s="146"/>
      <c r="AS87" s="146"/>
      <c r="AT87" s="411" t="s">
        <v>285</v>
      </c>
      <c r="AU87" s="136" t="s">
        <v>1357</v>
      </c>
      <c r="AV87" s="139"/>
      <c r="AW87" s="141">
        <v>41700</v>
      </c>
      <c r="AX87" s="141">
        <v>41946</v>
      </c>
      <c r="AY87" s="141" t="s">
        <v>150</v>
      </c>
      <c r="AZ87" s="141"/>
      <c r="BA87" s="141"/>
      <c r="BB87" s="141"/>
      <c r="BC87" s="141"/>
      <c r="BD87" s="141"/>
      <c r="BE87" s="142"/>
      <c r="BF87" s="141">
        <v>42585</v>
      </c>
      <c r="BG87" s="141" t="s">
        <v>150</v>
      </c>
      <c r="BH87" s="141">
        <v>42793</v>
      </c>
      <c r="BI87" s="141" t="s">
        <v>150</v>
      </c>
      <c r="BJ87" s="139"/>
      <c r="BK87" s="139"/>
      <c r="BL87" s="139"/>
      <c r="BM87" s="143">
        <v>42460</v>
      </c>
      <c r="BN87" s="136" t="s">
        <v>16</v>
      </c>
      <c r="BO87" s="235">
        <f t="shared" si="21"/>
        <v>25</v>
      </c>
      <c r="BP87" s="136">
        <f t="shared" si="22"/>
        <v>17</v>
      </c>
      <c r="BQ87" s="136"/>
      <c r="BR87" s="136">
        <v>3</v>
      </c>
      <c r="BS87" s="136">
        <v>0</v>
      </c>
      <c r="BT87" s="136">
        <v>2</v>
      </c>
      <c r="BU87" s="136">
        <v>0</v>
      </c>
      <c r="BV87" s="136">
        <v>0</v>
      </c>
      <c r="BW87" s="136">
        <v>0</v>
      </c>
      <c r="BX87" s="136">
        <v>0</v>
      </c>
      <c r="BY87" s="136" t="s">
        <v>163</v>
      </c>
      <c r="BZ87" s="136">
        <v>0</v>
      </c>
      <c r="CA87" s="136"/>
      <c r="CB87" s="144"/>
      <c r="CC87" s="144"/>
      <c r="CD87" s="136"/>
      <c r="CE87" s="136" t="s">
        <v>163</v>
      </c>
      <c r="CF87" s="136"/>
      <c r="CG87" s="136"/>
      <c r="CH87" s="374">
        <v>1</v>
      </c>
      <c r="CI87" s="136">
        <v>1</v>
      </c>
      <c r="CJ87" s="136"/>
      <c r="CK87" s="136" t="s">
        <v>809</v>
      </c>
    </row>
    <row r="88" spans="1:89" ht="24.95" hidden="1" customHeight="1">
      <c r="A88" s="136">
        <v>92</v>
      </c>
      <c r="B88" s="136" t="s">
        <v>1358</v>
      </c>
      <c r="C88" s="136" t="s">
        <v>1359</v>
      </c>
      <c r="D88" s="136" t="s">
        <v>20</v>
      </c>
      <c r="E88" s="136" t="s">
        <v>1360</v>
      </c>
      <c r="F88" s="136" t="s">
        <v>24</v>
      </c>
      <c r="G88" s="136">
        <v>4</v>
      </c>
      <c r="H88" s="129" t="s">
        <v>58</v>
      </c>
      <c r="I88" s="129" t="s">
        <v>46</v>
      </c>
      <c r="J88" s="129" t="s">
        <v>1361</v>
      </c>
      <c r="K88" s="129" t="s">
        <v>1362</v>
      </c>
      <c r="L88" s="129" t="s">
        <v>46</v>
      </c>
      <c r="M88" s="129" t="s">
        <v>150</v>
      </c>
      <c r="N88" s="195" t="s">
        <v>1363</v>
      </c>
      <c r="O88" s="239" t="s">
        <v>151</v>
      </c>
      <c r="P88" s="25" t="s">
        <v>151</v>
      </c>
      <c r="Q88" s="136" t="s">
        <v>151</v>
      </c>
      <c r="R88" s="145" t="s">
        <v>1364</v>
      </c>
      <c r="S88" s="136" t="s">
        <v>1365</v>
      </c>
      <c r="T88" s="345" t="s">
        <v>1366</v>
      </c>
      <c r="U88" s="139" t="s">
        <v>1367</v>
      </c>
      <c r="V88" s="139">
        <v>28287</v>
      </c>
      <c r="W88" s="147" t="s">
        <v>1368</v>
      </c>
      <c r="X88" s="147" t="s">
        <v>179</v>
      </c>
      <c r="Y88" s="147" t="s">
        <v>163</v>
      </c>
      <c r="Z88" s="147" t="s">
        <v>158</v>
      </c>
      <c r="AA88" s="136">
        <v>20.5</v>
      </c>
      <c r="AB88" s="139">
        <v>41640</v>
      </c>
      <c r="AC88" s="285">
        <v>41699</v>
      </c>
      <c r="AD88" s="139"/>
      <c r="AE88" s="27" t="s">
        <v>1369</v>
      </c>
      <c r="AF88" s="146" t="s">
        <v>1370</v>
      </c>
      <c r="AG88" s="146"/>
      <c r="AH88" s="136">
        <f t="shared" si="16"/>
        <v>2</v>
      </c>
      <c r="AI88" s="27" t="s">
        <v>161</v>
      </c>
      <c r="AJ88" s="146"/>
      <c r="AK88" s="146"/>
      <c r="AL88" s="146" t="s">
        <v>150</v>
      </c>
      <c r="AM88" s="146"/>
      <c r="AN88" s="146"/>
      <c r="AO88" s="146" t="s">
        <v>164</v>
      </c>
      <c r="AP88" s="146" t="s">
        <v>370</v>
      </c>
      <c r="AQ88" s="146" t="s">
        <v>250</v>
      </c>
      <c r="AR88" s="146" t="s">
        <v>150</v>
      </c>
      <c r="AS88" s="146" t="s">
        <v>1371</v>
      </c>
      <c r="AT88" s="411" t="s">
        <v>372</v>
      </c>
      <c r="AU88" s="136" t="s">
        <v>1372</v>
      </c>
      <c r="AV88" s="139"/>
      <c r="AW88" s="141">
        <v>41700</v>
      </c>
      <c r="AX88" s="141">
        <v>41946</v>
      </c>
      <c r="AY88" s="141" t="s">
        <v>150</v>
      </c>
      <c r="AZ88" s="141"/>
      <c r="BA88" s="141"/>
      <c r="BB88" s="141"/>
      <c r="BC88" s="141"/>
      <c r="BD88" s="141"/>
      <c r="BE88" s="142" t="s">
        <v>1373</v>
      </c>
      <c r="BF88" s="141">
        <v>42585</v>
      </c>
      <c r="BG88" s="141" t="s">
        <v>150</v>
      </c>
      <c r="BH88" s="141">
        <v>43164</v>
      </c>
      <c r="BI88" s="141" t="s">
        <v>163</v>
      </c>
      <c r="BJ88" s="139"/>
      <c r="BK88" s="139"/>
      <c r="BL88" s="139"/>
      <c r="BM88" s="143">
        <v>43285</v>
      </c>
      <c r="BN88" s="136" t="s">
        <v>16</v>
      </c>
      <c r="BO88" s="235">
        <f t="shared" si="21"/>
        <v>53</v>
      </c>
      <c r="BP88" s="136">
        <f t="shared" si="22"/>
        <v>45</v>
      </c>
      <c r="BQ88" s="147" t="s">
        <v>1373</v>
      </c>
      <c r="BR88" s="136">
        <v>1</v>
      </c>
      <c r="BS88" s="136">
        <v>5</v>
      </c>
      <c r="BT88" s="136">
        <v>6</v>
      </c>
      <c r="BU88" s="136">
        <v>2</v>
      </c>
      <c r="BV88" s="136">
        <v>2</v>
      </c>
      <c r="BW88" s="136">
        <v>0</v>
      </c>
      <c r="BX88" s="136">
        <v>0</v>
      </c>
      <c r="BY88" s="136" t="s">
        <v>163</v>
      </c>
      <c r="BZ88" s="136">
        <v>0</v>
      </c>
      <c r="CA88" s="136"/>
      <c r="CB88" s="144"/>
      <c r="CC88" s="144"/>
      <c r="CD88" s="136"/>
      <c r="CE88" s="136" t="s">
        <v>163</v>
      </c>
      <c r="CF88" s="136"/>
      <c r="CG88" s="136"/>
      <c r="CH88" s="374">
        <v>1</v>
      </c>
      <c r="CI88" s="136">
        <v>2</v>
      </c>
      <c r="CJ88" s="136">
        <v>1</v>
      </c>
      <c r="CK88" s="136" t="s">
        <v>809</v>
      </c>
    </row>
    <row r="89" spans="1:89" ht="24.95" hidden="1" customHeight="1">
      <c r="A89" s="136">
        <v>93</v>
      </c>
      <c r="B89" s="136" t="s">
        <v>1374</v>
      </c>
      <c r="C89" s="136" t="s">
        <v>1375</v>
      </c>
      <c r="D89" s="136" t="s">
        <v>1376</v>
      </c>
      <c r="E89" s="136" t="s">
        <v>1377</v>
      </c>
      <c r="F89" s="136" t="s">
        <v>25</v>
      </c>
      <c r="G89" s="136">
        <v>4</v>
      </c>
      <c r="H89" s="129" t="s">
        <v>52</v>
      </c>
      <c r="I89" s="129" t="s">
        <v>44</v>
      </c>
      <c r="J89" s="129" t="s">
        <v>1378</v>
      </c>
      <c r="K89" s="129" t="s">
        <v>1379</v>
      </c>
      <c r="L89" s="129" t="s">
        <v>44</v>
      </c>
      <c r="M89" s="129" t="s">
        <v>150</v>
      </c>
      <c r="N89" s="136" t="s">
        <v>1380</v>
      </c>
      <c r="O89" s="236" t="s">
        <v>151</v>
      </c>
      <c r="P89" s="237" t="s">
        <v>151</v>
      </c>
      <c r="Q89" s="136" t="s">
        <v>151</v>
      </c>
      <c r="R89" s="136" t="s">
        <v>1381</v>
      </c>
      <c r="S89" s="145" t="s">
        <v>1382</v>
      </c>
      <c r="T89" s="346" t="s">
        <v>1383</v>
      </c>
      <c r="U89" s="139" t="s">
        <v>1384</v>
      </c>
      <c r="V89" s="139">
        <v>30065</v>
      </c>
      <c r="W89" s="147" t="s">
        <v>1385</v>
      </c>
      <c r="X89" s="147" t="s">
        <v>179</v>
      </c>
      <c r="Y89" s="147" t="s">
        <v>157</v>
      </c>
      <c r="Z89" s="147" t="s">
        <v>158</v>
      </c>
      <c r="AA89" s="136">
        <v>38</v>
      </c>
      <c r="AB89" s="139">
        <v>42065</v>
      </c>
      <c r="AC89" s="285">
        <v>41699</v>
      </c>
      <c r="AD89" s="139"/>
      <c r="AE89" s="28" t="s">
        <v>1386</v>
      </c>
      <c r="AF89" s="136"/>
      <c r="AG89" s="136"/>
      <c r="AH89" s="136">
        <f t="shared" si="16"/>
        <v>1</v>
      </c>
      <c r="AI89" s="27" t="s">
        <v>161</v>
      </c>
      <c r="AJ89" s="136"/>
      <c r="AK89" s="136"/>
      <c r="AL89" s="136" t="s">
        <v>150</v>
      </c>
      <c r="AM89" s="136"/>
      <c r="AN89" s="136"/>
      <c r="AO89" s="136" t="s">
        <v>164</v>
      </c>
      <c r="AP89" s="136" t="s">
        <v>1265</v>
      </c>
      <c r="AQ89" s="136" t="s">
        <v>203</v>
      </c>
      <c r="AR89" s="136" t="s">
        <v>150</v>
      </c>
      <c r="AS89" s="136"/>
      <c r="AT89" s="26" t="s">
        <v>420</v>
      </c>
      <c r="AU89" s="136" t="s">
        <v>1387</v>
      </c>
      <c r="AV89" s="139"/>
      <c r="AW89" s="141">
        <v>41700</v>
      </c>
      <c r="AX89" s="141">
        <v>41946</v>
      </c>
      <c r="AY89" s="141" t="s">
        <v>150</v>
      </c>
      <c r="AZ89" s="141">
        <v>42199</v>
      </c>
      <c r="BA89" s="141">
        <v>42137</v>
      </c>
      <c r="BB89" s="141"/>
      <c r="BC89" s="141"/>
      <c r="BD89" s="141"/>
      <c r="BE89" s="142"/>
      <c r="BF89" s="141">
        <v>42585</v>
      </c>
      <c r="BG89" s="141" t="s">
        <v>150</v>
      </c>
      <c r="BH89" s="141">
        <v>42793</v>
      </c>
      <c r="BI89" s="141" t="s">
        <v>150</v>
      </c>
      <c r="BJ89" s="139"/>
      <c r="BK89" s="139"/>
      <c r="BL89" s="139"/>
      <c r="BM89" s="143">
        <v>44827</v>
      </c>
      <c r="BN89" s="150" t="s">
        <v>16</v>
      </c>
      <c r="BO89" s="235">
        <f t="shared" si="21"/>
        <v>103</v>
      </c>
      <c r="BP89" s="136">
        <f t="shared" si="22"/>
        <v>95</v>
      </c>
      <c r="BQ89" s="136"/>
      <c r="BR89" s="136">
        <v>0</v>
      </c>
      <c r="BS89" s="136">
        <v>1</v>
      </c>
      <c r="BT89" s="136">
        <v>0</v>
      </c>
      <c r="BU89" s="136">
        <v>1</v>
      </c>
      <c r="BV89" s="136">
        <v>0</v>
      </c>
      <c r="BW89" s="136">
        <v>0</v>
      </c>
      <c r="BX89" s="136">
        <v>0</v>
      </c>
      <c r="BY89" s="136" t="s">
        <v>163</v>
      </c>
      <c r="BZ89" s="136">
        <v>0</v>
      </c>
      <c r="CA89" s="136"/>
      <c r="CB89" s="144"/>
      <c r="CC89" s="144"/>
      <c r="CD89" s="136"/>
      <c r="CE89" s="136" t="s">
        <v>163</v>
      </c>
      <c r="CF89" s="136"/>
      <c r="CG89" s="136"/>
      <c r="CH89" s="374">
        <v>2</v>
      </c>
      <c r="CI89" s="136">
        <v>3</v>
      </c>
      <c r="CJ89" s="136"/>
      <c r="CK89" s="136" t="s">
        <v>809</v>
      </c>
    </row>
    <row r="90" spans="1:89" ht="24.95" hidden="1" customHeight="1">
      <c r="A90" s="136">
        <v>94</v>
      </c>
      <c r="B90" s="136" t="s">
        <v>1388</v>
      </c>
      <c r="C90" s="136" t="s">
        <v>1389</v>
      </c>
      <c r="D90" s="136" t="s">
        <v>1390</v>
      </c>
      <c r="E90" s="136" t="s">
        <v>1391</v>
      </c>
      <c r="F90" s="136" t="s">
        <v>24</v>
      </c>
      <c r="G90" s="136">
        <v>4</v>
      </c>
      <c r="H90" s="129" t="s">
        <v>59</v>
      </c>
      <c r="I90" s="129" t="s">
        <v>43</v>
      </c>
      <c r="J90" s="129" t="s">
        <v>1392</v>
      </c>
      <c r="K90" s="129" t="s">
        <v>1392</v>
      </c>
      <c r="L90" s="129" t="s">
        <v>43</v>
      </c>
      <c r="M90" s="129" t="s">
        <v>150</v>
      </c>
      <c r="N90" s="195" t="s">
        <v>1393</v>
      </c>
      <c r="O90" s="239" t="s">
        <v>151</v>
      </c>
      <c r="P90" s="25" t="s">
        <v>151</v>
      </c>
      <c r="Q90" s="136" t="s">
        <v>151</v>
      </c>
      <c r="R90" s="136" t="s">
        <v>1394</v>
      </c>
      <c r="S90" s="136" t="s">
        <v>1395</v>
      </c>
      <c r="T90" s="345" t="s">
        <v>1396</v>
      </c>
      <c r="U90" s="139" t="s">
        <v>1397</v>
      </c>
      <c r="V90" s="139">
        <v>29335</v>
      </c>
      <c r="W90" s="147" t="s">
        <v>1398</v>
      </c>
      <c r="X90" s="147" t="s">
        <v>179</v>
      </c>
      <c r="Y90" s="147" t="s">
        <v>163</v>
      </c>
      <c r="Z90" s="147" t="s">
        <v>158</v>
      </c>
      <c r="AA90" s="136">
        <v>19.5</v>
      </c>
      <c r="AB90" s="139">
        <v>41746</v>
      </c>
      <c r="AC90" s="285">
        <v>41699</v>
      </c>
      <c r="AD90" s="139"/>
      <c r="AE90" s="27" t="s">
        <v>1399</v>
      </c>
      <c r="AF90" s="140" t="s">
        <v>1400</v>
      </c>
      <c r="AG90" s="140"/>
      <c r="AH90" s="136">
        <f t="shared" si="16"/>
        <v>2</v>
      </c>
      <c r="AI90" s="27" t="s">
        <v>161</v>
      </c>
      <c r="AJ90" s="140"/>
      <c r="AK90" s="140"/>
      <c r="AL90" s="140" t="s">
        <v>150</v>
      </c>
      <c r="AM90" s="140"/>
      <c r="AN90" s="140"/>
      <c r="AO90" s="140" t="s">
        <v>164</v>
      </c>
      <c r="AP90" s="140" t="s">
        <v>181</v>
      </c>
      <c r="AQ90" s="140" t="s">
        <v>203</v>
      </c>
      <c r="AR90" s="140" t="s">
        <v>150</v>
      </c>
      <c r="AS90" s="140"/>
      <c r="AT90" s="412" t="s">
        <v>537</v>
      </c>
      <c r="AU90" s="136" t="s">
        <v>1401</v>
      </c>
      <c r="AV90" s="139"/>
      <c r="AW90" s="141">
        <v>41700</v>
      </c>
      <c r="AX90" s="141">
        <v>41946</v>
      </c>
      <c r="AY90" s="141" t="s">
        <v>150</v>
      </c>
      <c r="AZ90" s="141">
        <v>41706</v>
      </c>
      <c r="BA90" s="141"/>
      <c r="BB90" s="141">
        <v>42080</v>
      </c>
      <c r="BC90" s="141"/>
      <c r="BD90" s="141"/>
      <c r="BE90" s="142" t="s">
        <v>1402</v>
      </c>
      <c r="BF90" s="141">
        <v>42585</v>
      </c>
      <c r="BG90" s="141" t="s">
        <v>150</v>
      </c>
      <c r="BH90" s="141">
        <v>42793</v>
      </c>
      <c r="BI90" s="141" t="s">
        <v>150</v>
      </c>
      <c r="BJ90" s="139">
        <v>43165</v>
      </c>
      <c r="BK90" s="139">
        <v>43376</v>
      </c>
      <c r="BL90" s="139">
        <v>43399</v>
      </c>
      <c r="BM90" s="143">
        <v>43417</v>
      </c>
      <c r="BN90" s="136" t="s">
        <v>16</v>
      </c>
      <c r="BO90" s="235">
        <f t="shared" si="21"/>
        <v>57</v>
      </c>
      <c r="BP90" s="136">
        <f t="shared" si="22"/>
        <v>49</v>
      </c>
      <c r="BQ90" s="147" t="s">
        <v>1402</v>
      </c>
      <c r="BR90" s="136">
        <v>0</v>
      </c>
      <c r="BS90" s="136">
        <v>0</v>
      </c>
      <c r="BT90" s="136">
        <v>3</v>
      </c>
      <c r="BU90" s="136">
        <v>2</v>
      </c>
      <c r="BV90" s="136">
        <v>0</v>
      </c>
      <c r="BW90" s="136">
        <v>0</v>
      </c>
      <c r="BX90" s="136">
        <v>0</v>
      </c>
      <c r="BY90" s="136" t="s">
        <v>163</v>
      </c>
      <c r="BZ90" s="136">
        <v>0</v>
      </c>
      <c r="CA90" s="136"/>
      <c r="CB90" s="144"/>
      <c r="CC90" s="144"/>
      <c r="CD90" s="136"/>
      <c r="CE90" s="136" t="s">
        <v>163</v>
      </c>
      <c r="CF90" s="136"/>
      <c r="CG90" s="136"/>
      <c r="CH90" s="374">
        <v>2</v>
      </c>
      <c r="CI90" s="136">
        <v>2</v>
      </c>
      <c r="CJ90" s="136"/>
      <c r="CK90" s="136" t="s">
        <v>538</v>
      </c>
    </row>
    <row r="91" spans="1:89" ht="24.95" hidden="1" customHeight="1">
      <c r="A91" s="136">
        <v>95</v>
      </c>
      <c r="B91" s="136" t="s">
        <v>1403</v>
      </c>
      <c r="C91" s="136" t="s">
        <v>424</v>
      </c>
      <c r="D91" s="136" t="s">
        <v>599</v>
      </c>
      <c r="E91" s="136" t="s">
        <v>1404</v>
      </c>
      <c r="F91" s="136" t="s">
        <v>24</v>
      </c>
      <c r="G91" s="136">
        <v>4</v>
      </c>
      <c r="H91" s="129" t="s">
        <v>54</v>
      </c>
      <c r="I91" s="129" t="s">
        <v>41</v>
      </c>
      <c r="J91" s="129" t="s">
        <v>1405</v>
      </c>
      <c r="K91" s="129" t="s">
        <v>1406</v>
      </c>
      <c r="L91" s="129" t="s">
        <v>41</v>
      </c>
      <c r="M91" s="129" t="s">
        <v>150</v>
      </c>
      <c r="N91" s="195"/>
      <c r="O91" s="239" t="s">
        <v>151</v>
      </c>
      <c r="P91" s="25" t="s">
        <v>151</v>
      </c>
      <c r="Q91" s="136" t="s">
        <v>151</v>
      </c>
      <c r="R91" s="387" t="s">
        <v>1407</v>
      </c>
      <c r="S91" s="136" t="s">
        <v>1408</v>
      </c>
      <c r="T91" s="345" t="s">
        <v>1409</v>
      </c>
      <c r="U91" s="139" t="s">
        <v>1410</v>
      </c>
      <c r="V91" s="139">
        <v>28031</v>
      </c>
      <c r="W91" s="147" t="s">
        <v>1411</v>
      </c>
      <c r="X91" s="147" t="s">
        <v>179</v>
      </c>
      <c r="Y91" s="147" t="s">
        <v>163</v>
      </c>
      <c r="Z91" s="147" t="s">
        <v>158</v>
      </c>
      <c r="AA91" s="136">
        <v>31.5</v>
      </c>
      <c r="AB91" s="139">
        <v>41866</v>
      </c>
      <c r="AC91" s="285">
        <v>41699</v>
      </c>
      <c r="AD91" s="139"/>
      <c r="AE91" s="27" t="s">
        <v>1412</v>
      </c>
      <c r="AF91" s="146"/>
      <c r="AG91" s="146"/>
      <c r="AH91" s="136">
        <f t="shared" si="16"/>
        <v>1</v>
      </c>
      <c r="AI91" s="27" t="s">
        <v>161</v>
      </c>
      <c r="AJ91" s="146"/>
      <c r="AK91" s="146"/>
      <c r="AL91" s="146" t="s">
        <v>150</v>
      </c>
      <c r="AM91" s="146"/>
      <c r="AN91" s="146"/>
      <c r="AO91" s="146" t="s">
        <v>164</v>
      </c>
      <c r="AP91" s="146" t="s">
        <v>445</v>
      </c>
      <c r="AQ91" s="146" t="s">
        <v>250</v>
      </c>
      <c r="AR91" s="146" t="s">
        <v>150</v>
      </c>
      <c r="AS91" s="146"/>
      <c r="AT91" s="411" t="s">
        <v>285</v>
      </c>
      <c r="AU91" s="136" t="s">
        <v>1413</v>
      </c>
      <c r="AV91" s="139"/>
      <c r="AW91" s="141">
        <v>41700</v>
      </c>
      <c r="AX91" s="141">
        <v>41946</v>
      </c>
      <c r="AY91" s="141" t="s">
        <v>150</v>
      </c>
      <c r="AZ91" s="141"/>
      <c r="BA91" s="141"/>
      <c r="BB91" s="141"/>
      <c r="BC91" s="141"/>
      <c r="BD91" s="141"/>
      <c r="BE91" s="142"/>
      <c r="BF91" s="141">
        <v>42951</v>
      </c>
      <c r="BG91" s="141" t="s">
        <v>163</v>
      </c>
      <c r="BH91" s="141">
        <v>43164</v>
      </c>
      <c r="BI91" s="141" t="s">
        <v>163</v>
      </c>
      <c r="BJ91" s="139"/>
      <c r="BK91" s="139"/>
      <c r="BL91" s="139"/>
      <c r="BM91" s="143">
        <v>43433</v>
      </c>
      <c r="BN91" s="136" t="s">
        <v>16</v>
      </c>
      <c r="BO91" s="235">
        <f t="shared" si="21"/>
        <v>57</v>
      </c>
      <c r="BP91" s="136">
        <f t="shared" si="22"/>
        <v>49</v>
      </c>
      <c r="BQ91" s="147" t="s">
        <v>1414</v>
      </c>
      <c r="BR91" s="136">
        <v>0</v>
      </c>
      <c r="BS91" s="136">
        <v>1</v>
      </c>
      <c r="BT91" s="136">
        <v>4</v>
      </c>
      <c r="BU91" s="136">
        <v>1</v>
      </c>
      <c r="BV91" s="136">
        <v>2</v>
      </c>
      <c r="BW91" s="136">
        <v>0</v>
      </c>
      <c r="BX91" s="136">
        <v>0</v>
      </c>
      <c r="BY91" s="136" t="s">
        <v>163</v>
      </c>
      <c r="BZ91" s="136">
        <v>0</v>
      </c>
      <c r="CA91" s="136"/>
      <c r="CB91" s="144"/>
      <c r="CC91" s="144"/>
      <c r="CD91" s="136"/>
      <c r="CE91" s="136" t="s">
        <v>163</v>
      </c>
      <c r="CF91" s="136"/>
      <c r="CG91" s="136"/>
      <c r="CH91" s="374">
        <v>2</v>
      </c>
      <c r="CI91" s="136">
        <v>3</v>
      </c>
      <c r="CJ91" s="136"/>
      <c r="CK91" s="136" t="s">
        <v>1280</v>
      </c>
    </row>
    <row r="92" spans="1:89" ht="24.95" hidden="1" customHeight="1">
      <c r="A92" s="136">
        <v>96</v>
      </c>
      <c r="B92" s="136" t="s">
        <v>1415</v>
      </c>
      <c r="C92" s="136" t="s">
        <v>1416</v>
      </c>
      <c r="D92" s="136" t="s">
        <v>992</v>
      </c>
      <c r="E92" s="136" t="s">
        <v>320</v>
      </c>
      <c r="F92" s="136" t="s">
        <v>24</v>
      </c>
      <c r="G92" s="136">
        <v>4</v>
      </c>
      <c r="H92" s="129" t="s">
        <v>54</v>
      </c>
      <c r="I92" s="129" t="s">
        <v>33</v>
      </c>
      <c r="J92" s="129" t="s">
        <v>602</v>
      </c>
      <c r="K92" s="129" t="s">
        <v>1417</v>
      </c>
      <c r="L92" s="129" t="s">
        <v>46</v>
      </c>
      <c r="M92" s="129" t="s">
        <v>150</v>
      </c>
      <c r="N92" s="136"/>
      <c r="O92" s="236" t="s">
        <v>151</v>
      </c>
      <c r="P92" s="236" t="s">
        <v>240</v>
      </c>
      <c r="Q92" s="136" t="s">
        <v>151</v>
      </c>
      <c r="R92" s="136" t="s">
        <v>1418</v>
      </c>
      <c r="S92" s="145" t="s">
        <v>1419</v>
      </c>
      <c r="T92" s="345" t="s">
        <v>1420</v>
      </c>
      <c r="U92" s="139" t="s">
        <v>1421</v>
      </c>
      <c r="V92" s="139">
        <v>28157</v>
      </c>
      <c r="W92" s="147" t="s">
        <v>1422</v>
      </c>
      <c r="X92" s="147" t="s">
        <v>179</v>
      </c>
      <c r="Y92" s="147" t="s">
        <v>163</v>
      </c>
      <c r="Z92" s="147" t="s">
        <v>158</v>
      </c>
      <c r="AA92" s="136">
        <v>17.5</v>
      </c>
      <c r="AB92" s="139">
        <v>41695</v>
      </c>
      <c r="AC92" s="285">
        <v>41699</v>
      </c>
      <c r="AD92" s="139"/>
      <c r="AE92" s="28" t="s">
        <v>1423</v>
      </c>
      <c r="AF92" s="136"/>
      <c r="AG92" s="136"/>
      <c r="AH92" s="136">
        <f t="shared" si="16"/>
        <v>1</v>
      </c>
      <c r="AI92" s="27" t="s">
        <v>282</v>
      </c>
      <c r="AJ92" s="136"/>
      <c r="AK92" s="136"/>
      <c r="AL92" s="136" t="s">
        <v>163</v>
      </c>
      <c r="AM92" s="136"/>
      <c r="AN92" s="136"/>
      <c r="AO92" s="136" t="s">
        <v>164</v>
      </c>
      <c r="AP92" s="136" t="s">
        <v>1424</v>
      </c>
      <c r="AQ92" s="136" t="s">
        <v>250</v>
      </c>
      <c r="AR92" s="136" t="s">
        <v>150</v>
      </c>
      <c r="AS92" s="136"/>
      <c r="AT92" s="26" t="s">
        <v>328</v>
      </c>
      <c r="AU92" s="136" t="s">
        <v>1425</v>
      </c>
      <c r="AV92" s="139"/>
      <c r="AW92" s="141">
        <v>41700</v>
      </c>
      <c r="AX92" s="141">
        <v>41946</v>
      </c>
      <c r="AY92" s="141" t="s">
        <v>150</v>
      </c>
      <c r="AZ92" s="141">
        <v>42580</v>
      </c>
      <c r="BA92" s="141">
        <v>42580</v>
      </c>
      <c r="BB92" s="141"/>
      <c r="BC92" s="141"/>
      <c r="BD92" s="141"/>
      <c r="BE92" s="142" t="s">
        <v>1426</v>
      </c>
      <c r="BF92" s="141">
        <v>42952</v>
      </c>
      <c r="BG92" s="141" t="s">
        <v>163</v>
      </c>
      <c r="BH92" s="141">
        <v>43164</v>
      </c>
      <c r="BI92" s="141" t="s">
        <v>163</v>
      </c>
      <c r="BJ92" s="139"/>
      <c r="BK92" s="139"/>
      <c r="BL92" s="139"/>
      <c r="BM92" s="143">
        <v>44137</v>
      </c>
      <c r="BN92" s="136" t="s">
        <v>16</v>
      </c>
      <c r="BO92" s="235">
        <f t="shared" si="21"/>
        <v>81</v>
      </c>
      <c r="BP92" s="136">
        <f t="shared" si="22"/>
        <v>72</v>
      </c>
      <c r="BQ92" s="136" t="s">
        <v>1427</v>
      </c>
      <c r="BR92" s="136">
        <v>5</v>
      </c>
      <c r="BS92" s="136">
        <v>17</v>
      </c>
      <c r="BT92" s="136">
        <v>16</v>
      </c>
      <c r="BU92" s="136">
        <v>0</v>
      </c>
      <c r="BV92" s="136">
        <v>2</v>
      </c>
      <c r="BW92" s="136">
        <v>0</v>
      </c>
      <c r="BX92" s="136">
        <v>0</v>
      </c>
      <c r="BY92" s="136" t="s">
        <v>163</v>
      </c>
      <c r="BZ92" s="136">
        <v>0</v>
      </c>
      <c r="CA92" s="136"/>
      <c r="CB92" s="144"/>
      <c r="CC92" s="144"/>
      <c r="CD92" s="136"/>
      <c r="CE92" s="136" t="s">
        <v>163</v>
      </c>
      <c r="CF92" s="136"/>
      <c r="CG92" s="136"/>
      <c r="CH92" s="374">
        <v>3</v>
      </c>
      <c r="CI92" s="136">
        <v>3</v>
      </c>
      <c r="CJ92" s="136"/>
      <c r="CK92" s="136" t="s">
        <v>1280</v>
      </c>
    </row>
    <row r="93" spans="1:89" ht="24.95" hidden="1" customHeight="1">
      <c r="A93" s="136">
        <v>97</v>
      </c>
      <c r="B93" s="136" t="s">
        <v>1428</v>
      </c>
      <c r="C93" s="136" t="s">
        <v>1429</v>
      </c>
      <c r="D93" s="136" t="s">
        <v>1430</v>
      </c>
      <c r="E93" s="136" t="s">
        <v>1431</v>
      </c>
      <c r="F93" s="136" t="s">
        <v>25</v>
      </c>
      <c r="G93" s="136">
        <v>4</v>
      </c>
      <c r="H93" s="129" t="s">
        <v>58</v>
      </c>
      <c r="I93" s="129" t="s">
        <v>46</v>
      </c>
      <c r="J93" s="129" t="s">
        <v>602</v>
      </c>
      <c r="K93" s="129" t="s">
        <v>1432</v>
      </c>
      <c r="L93" s="129" t="s">
        <v>46</v>
      </c>
      <c r="M93" s="129" t="s">
        <v>150</v>
      </c>
      <c r="N93" s="195"/>
      <c r="O93" s="239" t="s">
        <v>151</v>
      </c>
      <c r="P93" s="136" t="s">
        <v>151</v>
      </c>
      <c r="Q93" s="136" t="s">
        <v>151</v>
      </c>
      <c r="R93" s="136" t="s">
        <v>1433</v>
      </c>
      <c r="S93" s="136" t="s">
        <v>1434</v>
      </c>
      <c r="T93" s="345" t="s">
        <v>1435</v>
      </c>
      <c r="U93" s="139" t="s">
        <v>1436</v>
      </c>
      <c r="V93" s="139">
        <v>28587</v>
      </c>
      <c r="W93" s="147" t="s">
        <v>1437</v>
      </c>
      <c r="X93" s="147" t="s">
        <v>179</v>
      </c>
      <c r="Y93" s="147" t="s">
        <v>163</v>
      </c>
      <c r="Z93" s="147" t="s">
        <v>158</v>
      </c>
      <c r="AA93" s="136">
        <v>7</v>
      </c>
      <c r="AB93" s="139">
        <v>41867</v>
      </c>
      <c r="AC93" s="285">
        <v>41699</v>
      </c>
      <c r="AD93" s="139"/>
      <c r="AE93" s="27" t="s">
        <v>1438</v>
      </c>
      <c r="AF93" s="146"/>
      <c r="AG93" s="146"/>
      <c r="AH93" s="136">
        <f t="shared" si="16"/>
        <v>1</v>
      </c>
      <c r="AI93" s="27" t="s">
        <v>161</v>
      </c>
      <c r="AJ93" s="146"/>
      <c r="AK93" s="146"/>
      <c r="AL93" s="146" t="s">
        <v>150</v>
      </c>
      <c r="AM93" s="146"/>
      <c r="AN93" s="146"/>
      <c r="AO93" s="146" t="s">
        <v>164</v>
      </c>
      <c r="AP93" s="146" t="s">
        <v>203</v>
      </c>
      <c r="AQ93" s="136" t="s">
        <v>217</v>
      </c>
      <c r="AR93" s="146" t="s">
        <v>150</v>
      </c>
      <c r="AS93" s="146" t="s">
        <v>1439</v>
      </c>
      <c r="AT93" s="411" t="s">
        <v>372</v>
      </c>
      <c r="AU93" s="136" t="s">
        <v>1440</v>
      </c>
      <c r="AV93" s="139"/>
      <c r="AW93" s="141">
        <v>41700</v>
      </c>
      <c r="AX93" s="141">
        <v>41946</v>
      </c>
      <c r="AY93" s="141" t="s">
        <v>150</v>
      </c>
      <c r="AZ93" s="141"/>
      <c r="BA93" s="141"/>
      <c r="BB93" s="141"/>
      <c r="BC93" s="141"/>
      <c r="BD93" s="141"/>
      <c r="BE93" s="142"/>
      <c r="BF93" s="141">
        <v>42953</v>
      </c>
      <c r="BG93" s="141" t="s">
        <v>163</v>
      </c>
      <c r="BH93" s="141">
        <v>43164</v>
      </c>
      <c r="BI93" s="141" t="s">
        <v>163</v>
      </c>
      <c r="BJ93" s="139"/>
      <c r="BK93" s="139"/>
      <c r="BL93" s="139"/>
      <c r="BM93" s="143">
        <v>43658</v>
      </c>
      <c r="BN93" s="136" t="s">
        <v>16</v>
      </c>
      <c r="BO93" s="235">
        <f t="shared" si="21"/>
        <v>65</v>
      </c>
      <c r="BP93" s="136">
        <f t="shared" si="22"/>
        <v>57</v>
      </c>
      <c r="BQ93" s="136"/>
      <c r="BR93" s="136">
        <v>0</v>
      </c>
      <c r="BS93" s="136">
        <v>2</v>
      </c>
      <c r="BT93" s="136">
        <v>2</v>
      </c>
      <c r="BU93" s="136">
        <v>2</v>
      </c>
      <c r="BV93" s="136">
        <v>1</v>
      </c>
      <c r="BW93" s="136">
        <v>0</v>
      </c>
      <c r="BX93" s="136">
        <v>0</v>
      </c>
      <c r="BY93" s="136" t="s">
        <v>163</v>
      </c>
      <c r="BZ93" s="136">
        <v>365</v>
      </c>
      <c r="CA93" s="136"/>
      <c r="CB93" s="144"/>
      <c r="CC93" s="144"/>
      <c r="CD93" s="136"/>
      <c r="CE93" s="136" t="s">
        <v>150</v>
      </c>
      <c r="CF93" s="136"/>
      <c r="CG93" s="136"/>
      <c r="CH93" s="374">
        <v>1</v>
      </c>
      <c r="CI93" s="136">
        <v>1</v>
      </c>
      <c r="CJ93" s="136"/>
      <c r="CK93" s="136" t="s">
        <v>538</v>
      </c>
    </row>
    <row r="94" spans="1:89" ht="24.95" hidden="1" customHeight="1">
      <c r="A94" s="152">
        <v>98</v>
      </c>
      <c r="B94" s="152" t="s">
        <v>1441</v>
      </c>
      <c r="C94" s="152" t="s">
        <v>1442</v>
      </c>
      <c r="D94" s="152"/>
      <c r="E94" s="152" t="s">
        <v>1443</v>
      </c>
      <c r="F94" s="152" t="s">
        <v>24</v>
      </c>
      <c r="G94" s="152">
        <v>5</v>
      </c>
      <c r="H94" s="152" t="s">
        <v>56</v>
      </c>
      <c r="I94" s="152" t="s">
        <v>40</v>
      </c>
      <c r="J94" s="152" t="s">
        <v>602</v>
      </c>
      <c r="K94" s="152" t="s">
        <v>1444</v>
      </c>
      <c r="L94" s="152" t="s">
        <v>46</v>
      </c>
      <c r="M94" s="152" t="s">
        <v>163</v>
      </c>
      <c r="N94" s="240">
        <v>1513579</v>
      </c>
      <c r="O94" s="31" t="s">
        <v>151</v>
      </c>
      <c r="P94" s="32" t="s">
        <v>151</v>
      </c>
      <c r="Q94" s="152" t="s">
        <v>151</v>
      </c>
      <c r="R94" s="152" t="s">
        <v>1445</v>
      </c>
      <c r="S94" s="152" t="s">
        <v>1446</v>
      </c>
      <c r="T94" s="347" t="s">
        <v>1447</v>
      </c>
      <c r="U94" s="154" t="s">
        <v>1448</v>
      </c>
      <c r="V94" s="154">
        <v>27949</v>
      </c>
      <c r="W94" s="161" t="s">
        <v>1449</v>
      </c>
      <c r="X94" s="161" t="s">
        <v>179</v>
      </c>
      <c r="Y94" s="161" t="s">
        <v>163</v>
      </c>
      <c r="Z94" s="161" t="s">
        <v>158</v>
      </c>
      <c r="AA94" s="152">
        <v>5.5</v>
      </c>
      <c r="AB94" s="154">
        <v>42370</v>
      </c>
      <c r="AC94" s="286">
        <v>42064</v>
      </c>
      <c r="AD94" s="154"/>
      <c r="AE94" s="33" t="s">
        <v>1450</v>
      </c>
      <c r="AF94" s="33" t="s">
        <v>1451</v>
      </c>
      <c r="AG94" s="33" t="s">
        <v>1452</v>
      </c>
      <c r="AH94" s="152">
        <f t="shared" ref="AH94:AH125" si="23">COUNTA(AE94:AG94)</f>
        <v>3</v>
      </c>
      <c r="AI94" s="33" t="s">
        <v>161</v>
      </c>
      <c r="AJ94" s="33" t="s">
        <v>161</v>
      </c>
      <c r="AK94" s="33" t="s">
        <v>162</v>
      </c>
      <c r="AL94" s="33" t="s">
        <v>150</v>
      </c>
      <c r="AM94" s="33" t="s">
        <v>163</v>
      </c>
      <c r="AN94" s="33" t="s">
        <v>150</v>
      </c>
      <c r="AO94" s="33" t="s">
        <v>182</v>
      </c>
      <c r="AP94" s="33" t="s">
        <v>1453</v>
      </c>
      <c r="AQ94" s="33" t="s">
        <v>593</v>
      </c>
      <c r="AR94" s="33" t="s">
        <v>150</v>
      </c>
      <c r="AS94" s="33" t="s">
        <v>1454</v>
      </c>
      <c r="AT94" s="413" t="s">
        <v>1455</v>
      </c>
      <c r="AU94" s="33" t="s">
        <v>1456</v>
      </c>
      <c r="AV94" s="33" t="s">
        <v>163</v>
      </c>
      <c r="AW94" s="155">
        <v>42065</v>
      </c>
      <c r="AX94" s="155">
        <v>42310</v>
      </c>
      <c r="AY94" s="155" t="s">
        <v>150</v>
      </c>
      <c r="AZ94" s="155"/>
      <c r="BA94" s="155">
        <v>42492</v>
      </c>
      <c r="BB94" s="155"/>
      <c r="BC94" s="155"/>
      <c r="BD94" s="155"/>
      <c r="BE94" s="156" t="s">
        <v>1457</v>
      </c>
      <c r="BF94" s="155">
        <v>42947</v>
      </c>
      <c r="BG94" s="155" t="s">
        <v>150</v>
      </c>
      <c r="BH94" s="155">
        <v>43528</v>
      </c>
      <c r="BI94" s="155" t="s">
        <v>163</v>
      </c>
      <c r="BJ94" s="154"/>
      <c r="BK94" s="154"/>
      <c r="BL94" s="154"/>
      <c r="BM94" s="157">
        <v>43646</v>
      </c>
      <c r="BN94" s="152" t="s">
        <v>16</v>
      </c>
      <c r="BO94" s="241">
        <f>DATEDIF(AW94,BM94, "M")+1</f>
        <v>52</v>
      </c>
      <c r="BP94" s="152">
        <f t="shared" si="22"/>
        <v>44</v>
      </c>
      <c r="BQ94" s="152"/>
      <c r="BR94" s="152">
        <v>4</v>
      </c>
      <c r="BS94" s="152">
        <v>2</v>
      </c>
      <c r="BT94" s="152">
        <v>19</v>
      </c>
      <c r="BU94" s="152">
        <v>1</v>
      </c>
      <c r="BV94" s="152">
        <v>1</v>
      </c>
      <c r="BW94" s="152">
        <v>0</v>
      </c>
      <c r="BX94" s="152">
        <v>0</v>
      </c>
      <c r="BY94" s="152" t="s">
        <v>163</v>
      </c>
      <c r="BZ94" s="152">
        <v>0</v>
      </c>
      <c r="CA94" s="152"/>
      <c r="CB94" s="158"/>
      <c r="CC94" s="158"/>
      <c r="CD94" s="152"/>
      <c r="CE94" s="152" t="s">
        <v>163</v>
      </c>
      <c r="CF94" s="152"/>
      <c r="CG94" s="152"/>
      <c r="CH94" s="375">
        <v>3</v>
      </c>
      <c r="CI94" s="152">
        <v>3</v>
      </c>
      <c r="CJ94" s="152"/>
      <c r="CK94" s="152" t="s">
        <v>809</v>
      </c>
    </row>
    <row r="95" spans="1:89" ht="24.95" hidden="1" customHeight="1">
      <c r="A95" s="152">
        <v>99</v>
      </c>
      <c r="B95" s="152" t="s">
        <v>1458</v>
      </c>
      <c r="C95" s="152" t="s">
        <v>1459</v>
      </c>
      <c r="D95" s="152"/>
      <c r="E95" s="152" t="s">
        <v>1460</v>
      </c>
      <c r="F95" s="152" t="s">
        <v>24</v>
      </c>
      <c r="G95" s="152">
        <v>5</v>
      </c>
      <c r="H95" s="152" t="s">
        <v>55</v>
      </c>
      <c r="I95" s="152" t="s">
        <v>45</v>
      </c>
      <c r="J95" s="152" t="s">
        <v>1461</v>
      </c>
      <c r="K95" s="152" t="s">
        <v>1462</v>
      </c>
      <c r="L95" s="152" t="s">
        <v>39</v>
      </c>
      <c r="M95" s="152" t="s">
        <v>163</v>
      </c>
      <c r="N95" s="152" t="s">
        <v>1463</v>
      </c>
      <c r="O95" s="242" t="s">
        <v>151</v>
      </c>
      <c r="P95" s="243" t="s">
        <v>151</v>
      </c>
      <c r="Q95" s="152" t="s">
        <v>151</v>
      </c>
      <c r="R95" s="152" t="s">
        <v>1464</v>
      </c>
      <c r="S95" s="152" t="s">
        <v>1465</v>
      </c>
      <c r="T95" s="348" t="s">
        <v>1466</v>
      </c>
      <c r="U95" s="154" t="s">
        <v>1467</v>
      </c>
      <c r="V95" s="154">
        <v>29221</v>
      </c>
      <c r="W95" s="161" t="s">
        <v>1468</v>
      </c>
      <c r="X95" s="161" t="s">
        <v>179</v>
      </c>
      <c r="Y95" s="161" t="s">
        <v>163</v>
      </c>
      <c r="Z95" s="161" t="s">
        <v>158</v>
      </c>
      <c r="AA95" s="152">
        <v>39</v>
      </c>
      <c r="AB95" s="154">
        <v>42993</v>
      </c>
      <c r="AC95" s="286">
        <v>42064</v>
      </c>
      <c r="AD95" s="154"/>
      <c r="AE95" s="34" t="s">
        <v>1469</v>
      </c>
      <c r="AF95" s="34" t="s">
        <v>1470</v>
      </c>
      <c r="AG95" s="152"/>
      <c r="AH95" s="152">
        <f t="shared" si="23"/>
        <v>2</v>
      </c>
      <c r="AI95" s="161" t="s">
        <v>162</v>
      </c>
      <c r="AJ95" s="152" t="s">
        <v>162</v>
      </c>
      <c r="AK95" s="152"/>
      <c r="AL95" s="152" t="s">
        <v>150</v>
      </c>
      <c r="AM95" s="152" t="s">
        <v>163</v>
      </c>
      <c r="AN95" s="152"/>
      <c r="AO95" s="152" t="s">
        <v>164</v>
      </c>
      <c r="AP95" s="152" t="s">
        <v>181</v>
      </c>
      <c r="AQ95" s="152" t="s">
        <v>250</v>
      </c>
      <c r="AR95" s="152" t="s">
        <v>150</v>
      </c>
      <c r="AS95" s="33" t="s">
        <v>1471</v>
      </c>
      <c r="AT95" s="30" t="s">
        <v>219</v>
      </c>
      <c r="AU95" s="33" t="s">
        <v>1472</v>
      </c>
      <c r="AV95" s="33" t="s">
        <v>163</v>
      </c>
      <c r="AW95" s="155">
        <v>42065</v>
      </c>
      <c r="AX95" s="155">
        <v>42310</v>
      </c>
      <c r="AY95" s="155" t="s">
        <v>150</v>
      </c>
      <c r="AZ95" s="155">
        <v>42850</v>
      </c>
      <c r="BA95" s="155">
        <v>42863</v>
      </c>
      <c r="BB95" s="155"/>
      <c r="BC95" s="155"/>
      <c r="BD95" s="155"/>
      <c r="BE95" s="156" t="s">
        <v>1473</v>
      </c>
      <c r="BF95" s="155">
        <v>42947</v>
      </c>
      <c r="BG95" s="155" t="s">
        <v>150</v>
      </c>
      <c r="BH95" s="155">
        <v>43164</v>
      </c>
      <c r="BI95" s="155" t="s">
        <v>150</v>
      </c>
      <c r="BJ95" s="154"/>
      <c r="BK95" s="154"/>
      <c r="BL95" s="154"/>
      <c r="BM95" s="157">
        <v>43830</v>
      </c>
      <c r="BN95" s="152" t="s">
        <v>16</v>
      </c>
      <c r="BO95" s="241">
        <f t="shared" ref="BO95:BO99" si="24">DATEDIF(AW95,BM95, "M")+1</f>
        <v>58</v>
      </c>
      <c r="BP95" s="152">
        <f t="shared" si="22"/>
        <v>50</v>
      </c>
      <c r="BQ95" s="152"/>
      <c r="BR95" s="152">
        <v>0</v>
      </c>
      <c r="BS95" s="152">
        <v>1</v>
      </c>
      <c r="BT95" s="152">
        <v>2</v>
      </c>
      <c r="BU95" s="152">
        <v>2</v>
      </c>
      <c r="BV95" s="152">
        <v>0</v>
      </c>
      <c r="BW95" s="152">
        <v>0</v>
      </c>
      <c r="BX95" s="152">
        <v>0</v>
      </c>
      <c r="BY95" s="152" t="s">
        <v>163</v>
      </c>
      <c r="BZ95" s="152">
        <v>0</v>
      </c>
      <c r="CA95" s="152"/>
      <c r="CB95" s="158"/>
      <c r="CC95" s="158"/>
      <c r="CD95" s="152"/>
      <c r="CE95" s="152" t="s">
        <v>163</v>
      </c>
      <c r="CF95" s="152"/>
      <c r="CG95" s="152"/>
      <c r="CH95" s="375">
        <v>1</v>
      </c>
      <c r="CI95" s="152">
        <v>3</v>
      </c>
      <c r="CJ95" s="152"/>
      <c r="CK95" s="152" t="s">
        <v>809</v>
      </c>
    </row>
    <row r="96" spans="1:89" ht="24.95" hidden="1" customHeight="1">
      <c r="A96" s="152">
        <v>100</v>
      </c>
      <c r="B96" s="152" t="s">
        <v>1474</v>
      </c>
      <c r="C96" s="152" t="s">
        <v>347</v>
      </c>
      <c r="D96" s="152" t="s">
        <v>1475</v>
      </c>
      <c r="E96" s="152" t="s">
        <v>450</v>
      </c>
      <c r="F96" s="152" t="s">
        <v>25</v>
      </c>
      <c r="G96" s="152">
        <v>5</v>
      </c>
      <c r="H96" s="152" t="s">
        <v>54</v>
      </c>
      <c r="I96" s="152" t="s">
        <v>41</v>
      </c>
      <c r="J96" s="152" t="s">
        <v>1405</v>
      </c>
      <c r="K96" s="152" t="s">
        <v>1476</v>
      </c>
      <c r="L96" s="152" t="s">
        <v>41</v>
      </c>
      <c r="M96" s="152" t="s">
        <v>150</v>
      </c>
      <c r="N96" s="244" t="s">
        <v>1477</v>
      </c>
      <c r="O96" s="245" t="s">
        <v>151</v>
      </c>
      <c r="P96" s="246" t="s">
        <v>151</v>
      </c>
      <c r="Q96" s="152" t="s">
        <v>151</v>
      </c>
      <c r="R96" s="319" t="s">
        <v>1478</v>
      </c>
      <c r="S96" s="152" t="s">
        <v>1479</v>
      </c>
      <c r="T96" s="348" t="s">
        <v>1480</v>
      </c>
      <c r="U96" s="154" t="s">
        <v>1481</v>
      </c>
      <c r="V96" s="154">
        <v>29998</v>
      </c>
      <c r="W96" s="161" t="s">
        <v>1482</v>
      </c>
      <c r="X96" s="161" t="s">
        <v>156</v>
      </c>
      <c r="Y96" s="161" t="s">
        <v>157</v>
      </c>
      <c r="Z96" s="161" t="s">
        <v>158</v>
      </c>
      <c r="AA96" s="152">
        <v>22</v>
      </c>
      <c r="AB96" s="154">
        <v>41748</v>
      </c>
      <c r="AC96" s="286">
        <v>42064</v>
      </c>
      <c r="AD96" s="154"/>
      <c r="AE96" s="312" t="s">
        <v>1483</v>
      </c>
      <c r="AF96" s="33" t="s">
        <v>1484</v>
      </c>
      <c r="AG96" s="159"/>
      <c r="AH96" s="152">
        <f t="shared" si="23"/>
        <v>2</v>
      </c>
      <c r="AI96" s="33" t="s">
        <v>161</v>
      </c>
      <c r="AJ96" s="33" t="s">
        <v>161</v>
      </c>
      <c r="AK96" s="159"/>
      <c r="AL96" s="159" t="s">
        <v>163</v>
      </c>
      <c r="AM96" s="159" t="s">
        <v>150</v>
      </c>
      <c r="AN96" s="159"/>
      <c r="AO96" s="159" t="s">
        <v>164</v>
      </c>
      <c r="AP96" s="159" t="s">
        <v>445</v>
      </c>
      <c r="AQ96" s="159" t="s">
        <v>217</v>
      </c>
      <c r="AR96" s="159" t="s">
        <v>150</v>
      </c>
      <c r="AS96" s="159"/>
      <c r="AT96" s="414" t="s">
        <v>1485</v>
      </c>
      <c r="AU96" s="33" t="s">
        <v>1486</v>
      </c>
      <c r="AV96" s="33" t="s">
        <v>150</v>
      </c>
      <c r="AW96" s="155">
        <v>42065</v>
      </c>
      <c r="AX96" s="155">
        <v>42310</v>
      </c>
      <c r="AY96" s="155" t="s">
        <v>150</v>
      </c>
      <c r="AZ96" s="155"/>
      <c r="BA96" s="155"/>
      <c r="BB96" s="155"/>
      <c r="BC96" s="155"/>
      <c r="BD96" s="155"/>
      <c r="BE96" s="156"/>
      <c r="BF96" s="155">
        <v>42947</v>
      </c>
      <c r="BG96" s="155" t="s">
        <v>150</v>
      </c>
      <c r="BH96" s="155">
        <v>43164</v>
      </c>
      <c r="BI96" s="155" t="s">
        <v>150</v>
      </c>
      <c r="BJ96" s="154"/>
      <c r="BK96" s="154"/>
      <c r="BL96" s="154"/>
      <c r="BM96" s="157">
        <v>43250</v>
      </c>
      <c r="BN96" s="152" t="s">
        <v>16</v>
      </c>
      <c r="BO96" s="241">
        <f t="shared" si="24"/>
        <v>39</v>
      </c>
      <c r="BP96" s="152">
        <f t="shared" si="22"/>
        <v>31</v>
      </c>
      <c r="BQ96" s="152"/>
      <c r="BR96" s="152">
        <v>0</v>
      </c>
      <c r="BS96" s="152">
        <v>0</v>
      </c>
      <c r="BT96" s="152">
        <v>3</v>
      </c>
      <c r="BU96" s="152">
        <v>0</v>
      </c>
      <c r="BV96" s="152">
        <v>0</v>
      </c>
      <c r="BW96" s="152">
        <v>0</v>
      </c>
      <c r="BX96" s="152">
        <v>0</v>
      </c>
      <c r="BY96" s="152" t="s">
        <v>163</v>
      </c>
      <c r="BZ96" s="152">
        <v>0</v>
      </c>
      <c r="CA96" s="152"/>
      <c r="CB96" s="158"/>
      <c r="CC96" s="158"/>
      <c r="CD96" s="152"/>
      <c r="CE96" s="152" t="s">
        <v>163</v>
      </c>
      <c r="CF96" s="152"/>
      <c r="CG96" s="152"/>
      <c r="CH96" s="375">
        <v>3</v>
      </c>
      <c r="CI96" s="152">
        <v>3</v>
      </c>
      <c r="CJ96" s="152"/>
      <c r="CK96" s="152" t="s">
        <v>809</v>
      </c>
    </row>
    <row r="97" spans="1:89" ht="24.95" hidden="1" customHeight="1">
      <c r="A97" s="152">
        <v>101</v>
      </c>
      <c r="B97" s="152" t="s">
        <v>1487</v>
      </c>
      <c r="C97" s="152" t="s">
        <v>1488</v>
      </c>
      <c r="D97" s="152" t="s">
        <v>1489</v>
      </c>
      <c r="E97" s="152" t="s">
        <v>1490</v>
      </c>
      <c r="F97" s="152" t="s">
        <v>25</v>
      </c>
      <c r="G97" s="152">
        <v>5</v>
      </c>
      <c r="H97" s="152" t="s">
        <v>58</v>
      </c>
      <c r="I97" s="152" t="s">
        <v>46</v>
      </c>
      <c r="J97" s="152" t="s">
        <v>1491</v>
      </c>
      <c r="K97" s="152" t="s">
        <v>1491</v>
      </c>
      <c r="L97" s="152" t="s">
        <v>46</v>
      </c>
      <c r="M97" s="152" t="s">
        <v>150</v>
      </c>
      <c r="N97" s="152" t="s">
        <v>1492</v>
      </c>
      <c r="O97" s="242" t="s">
        <v>151</v>
      </c>
      <c r="P97" s="243" t="s">
        <v>151</v>
      </c>
      <c r="Q97" s="152"/>
      <c r="R97" s="160" t="s">
        <v>1493</v>
      </c>
      <c r="S97" s="152" t="s">
        <v>1494</v>
      </c>
      <c r="T97" s="347" t="s">
        <v>1495</v>
      </c>
      <c r="U97" s="154" t="s">
        <v>1496</v>
      </c>
      <c r="V97" s="154">
        <v>26236</v>
      </c>
      <c r="W97" s="161" t="s">
        <v>1497</v>
      </c>
      <c r="X97" s="161" t="s">
        <v>179</v>
      </c>
      <c r="Y97" s="161" t="s">
        <v>163</v>
      </c>
      <c r="Z97" s="161" t="s">
        <v>158</v>
      </c>
      <c r="AA97" s="152">
        <v>11.5</v>
      </c>
      <c r="AB97" s="154">
        <v>42430</v>
      </c>
      <c r="AC97" s="286">
        <v>42064</v>
      </c>
      <c r="AD97" s="154"/>
      <c r="AE97" s="34" t="s">
        <v>1498</v>
      </c>
      <c r="AF97" s="34" t="s">
        <v>1499</v>
      </c>
      <c r="AG97" s="33"/>
      <c r="AH97" s="152">
        <f t="shared" si="23"/>
        <v>2</v>
      </c>
      <c r="AI97" s="33" t="s">
        <v>161</v>
      </c>
      <c r="AJ97" s="33" t="s">
        <v>202</v>
      </c>
      <c r="AK97" s="33"/>
      <c r="AL97" s="33" t="s">
        <v>150</v>
      </c>
      <c r="AM97" s="33" t="s">
        <v>163</v>
      </c>
      <c r="AN97" s="33"/>
      <c r="AO97" s="33" t="s">
        <v>164</v>
      </c>
      <c r="AP97" s="33"/>
      <c r="AQ97" s="33" t="s">
        <v>203</v>
      </c>
      <c r="AR97" s="33"/>
      <c r="AS97" s="33"/>
      <c r="AT97" s="415" t="s">
        <v>372</v>
      </c>
      <c r="AU97" s="33" t="s">
        <v>1500</v>
      </c>
      <c r="AV97" s="33" t="s">
        <v>163</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44334</v>
      </c>
      <c r="BN97" s="152" t="s">
        <v>16</v>
      </c>
      <c r="BO97" s="241">
        <f t="shared" si="24"/>
        <v>75</v>
      </c>
      <c r="BP97" s="152">
        <f t="shared" si="22"/>
        <v>67</v>
      </c>
      <c r="BQ97" s="161" t="s">
        <v>1501</v>
      </c>
      <c r="BR97" s="152">
        <v>2</v>
      </c>
      <c r="BS97" s="152">
        <v>5</v>
      </c>
      <c r="BT97" s="152">
        <v>1</v>
      </c>
      <c r="BU97" s="152">
        <v>1</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hidden="1" customHeight="1">
      <c r="A98" s="152">
        <v>102</v>
      </c>
      <c r="B98" s="152" t="s">
        <v>1502</v>
      </c>
      <c r="C98" s="152" t="s">
        <v>438</v>
      </c>
      <c r="D98" s="152" t="s">
        <v>1503</v>
      </c>
      <c r="E98" s="152" t="s">
        <v>1504</v>
      </c>
      <c r="F98" s="152" t="s">
        <v>24</v>
      </c>
      <c r="G98" s="152">
        <v>5</v>
      </c>
      <c r="H98" s="152" t="s">
        <v>54</v>
      </c>
      <c r="I98" s="152" t="s">
        <v>33</v>
      </c>
      <c r="J98" s="152" t="s">
        <v>602</v>
      </c>
      <c r="K98" s="152" t="s">
        <v>1285</v>
      </c>
      <c r="L98" s="152" t="s">
        <v>46</v>
      </c>
      <c r="M98" s="152" t="s">
        <v>163</v>
      </c>
      <c r="N98" s="152">
        <v>951466</v>
      </c>
      <c r="O98" s="242" t="s">
        <v>151</v>
      </c>
      <c r="P98" s="243" t="s">
        <v>151</v>
      </c>
      <c r="Q98" s="152"/>
      <c r="R98" s="152" t="s">
        <v>1505</v>
      </c>
      <c r="S98" s="160" t="s">
        <v>1506</v>
      </c>
      <c r="T98" s="347" t="s">
        <v>1507</v>
      </c>
      <c r="U98" s="154" t="s">
        <v>789</v>
      </c>
      <c r="V98" s="154">
        <v>28992</v>
      </c>
      <c r="W98" s="161" t="s">
        <v>1508</v>
      </c>
      <c r="X98" s="161" t="s">
        <v>179</v>
      </c>
      <c r="Y98" s="161" t="s">
        <v>163</v>
      </c>
      <c r="Z98" s="161" t="s">
        <v>158</v>
      </c>
      <c r="AA98" s="152">
        <v>18</v>
      </c>
      <c r="AB98" s="154">
        <v>42555</v>
      </c>
      <c r="AC98" s="286">
        <v>42064</v>
      </c>
      <c r="AD98" s="154"/>
      <c r="AE98" s="34" t="s">
        <v>1509</v>
      </c>
      <c r="AF98" s="34" t="s">
        <v>1452</v>
      </c>
      <c r="AG98" s="33"/>
      <c r="AH98" s="152">
        <f t="shared" si="23"/>
        <v>2</v>
      </c>
      <c r="AI98" s="34" t="s">
        <v>161</v>
      </c>
      <c r="AJ98" s="34" t="s">
        <v>162</v>
      </c>
      <c r="AK98" s="33"/>
      <c r="AL98" s="33" t="s">
        <v>150</v>
      </c>
      <c r="AM98" s="33" t="s">
        <v>150</v>
      </c>
      <c r="AN98" s="33"/>
      <c r="AO98" s="33" t="s">
        <v>164</v>
      </c>
      <c r="AP98" s="33"/>
      <c r="AQ98" s="33"/>
      <c r="AR98" s="33"/>
      <c r="AS98" s="33"/>
      <c r="AT98" s="413" t="s">
        <v>328</v>
      </c>
      <c r="AU98" s="33" t="s">
        <v>1510</v>
      </c>
      <c r="AV98" s="33" t="s">
        <v>150</v>
      </c>
      <c r="AW98" s="155">
        <v>42065</v>
      </c>
      <c r="AX98" s="155">
        <v>42310</v>
      </c>
      <c r="AY98" s="155" t="s">
        <v>150</v>
      </c>
      <c r="AZ98" s="155">
        <v>42535</v>
      </c>
      <c r="BA98" s="155">
        <v>42620</v>
      </c>
      <c r="BB98" s="152"/>
      <c r="BC98" s="152"/>
      <c r="BD98" s="152"/>
      <c r="BE98" s="156" t="s">
        <v>1511</v>
      </c>
      <c r="BF98" s="155">
        <v>42947</v>
      </c>
      <c r="BG98" s="155" t="s">
        <v>150</v>
      </c>
      <c r="BH98" s="155">
        <v>43164</v>
      </c>
      <c r="BI98" s="155" t="s">
        <v>150</v>
      </c>
      <c r="BJ98" s="154"/>
      <c r="BK98" s="154"/>
      <c r="BL98" s="154"/>
      <c r="BM98" s="157">
        <v>44529</v>
      </c>
      <c r="BN98" s="152" t="s">
        <v>16</v>
      </c>
      <c r="BO98" s="241">
        <f t="shared" si="24"/>
        <v>81</v>
      </c>
      <c r="BP98" s="152">
        <f t="shared" si="22"/>
        <v>73</v>
      </c>
      <c r="BQ98" s="161" t="s">
        <v>1511</v>
      </c>
      <c r="BR98" s="152">
        <v>0</v>
      </c>
      <c r="BS98" s="152">
        <v>15</v>
      </c>
      <c r="BT98" s="152">
        <v>3</v>
      </c>
      <c r="BU98" s="152">
        <v>6</v>
      </c>
      <c r="BV98" s="152">
        <v>1</v>
      </c>
      <c r="BW98" s="152">
        <v>0</v>
      </c>
      <c r="BX98" s="152">
        <v>0</v>
      </c>
      <c r="BY98" s="152" t="s">
        <v>163</v>
      </c>
      <c r="BZ98" s="152">
        <v>0</v>
      </c>
      <c r="CA98" s="152"/>
      <c r="CB98" s="158"/>
      <c r="CC98" s="158"/>
      <c r="CD98" s="152"/>
      <c r="CE98" s="152" t="s">
        <v>150</v>
      </c>
      <c r="CF98" s="152"/>
      <c r="CG98" s="152"/>
      <c r="CH98" s="375">
        <v>2</v>
      </c>
      <c r="CI98" s="152" t="s">
        <v>168</v>
      </c>
      <c r="CJ98" s="152"/>
      <c r="CK98" s="152" t="s">
        <v>809</v>
      </c>
    </row>
    <row r="99" spans="1:89" ht="24.95" hidden="1" customHeight="1">
      <c r="A99" s="152">
        <v>103</v>
      </c>
      <c r="B99" s="152" t="s">
        <v>1512</v>
      </c>
      <c r="C99" s="152" t="s">
        <v>825</v>
      </c>
      <c r="D99" s="152" t="s">
        <v>1513</v>
      </c>
      <c r="E99" s="152" t="s">
        <v>1514</v>
      </c>
      <c r="F99" s="152" t="s">
        <v>24</v>
      </c>
      <c r="G99" s="152">
        <v>5</v>
      </c>
      <c r="H99" s="152" t="s">
        <v>59</v>
      </c>
      <c r="I99" s="152" t="s">
        <v>42</v>
      </c>
      <c r="J99" s="152" t="s">
        <v>1515</v>
      </c>
      <c r="K99" s="152" t="s">
        <v>1516</v>
      </c>
      <c r="L99" s="152" t="s">
        <v>46</v>
      </c>
      <c r="M99" s="152" t="s">
        <v>163</v>
      </c>
      <c r="N99" s="152">
        <v>1362999</v>
      </c>
      <c r="O99" s="242" t="s">
        <v>322</v>
      </c>
      <c r="P99" s="243" t="s">
        <v>240</v>
      </c>
      <c r="Q99" s="152" t="s">
        <v>151</v>
      </c>
      <c r="R99" s="319" t="s">
        <v>1517</v>
      </c>
      <c r="S99" s="152" t="s">
        <v>1518</v>
      </c>
      <c r="T99" s="347" t="s">
        <v>1519</v>
      </c>
      <c r="U99" s="154" t="s">
        <v>1520</v>
      </c>
      <c r="V99" s="154">
        <v>31406</v>
      </c>
      <c r="W99" s="161" t="s">
        <v>1521</v>
      </c>
      <c r="X99" s="161" t="s">
        <v>179</v>
      </c>
      <c r="Y99" s="161" t="s">
        <v>157</v>
      </c>
      <c r="Z99" s="161" t="s">
        <v>158</v>
      </c>
      <c r="AA99" s="152">
        <v>8.5</v>
      </c>
      <c r="AB99" s="154">
        <v>42231</v>
      </c>
      <c r="AC99" s="286">
        <v>42064</v>
      </c>
      <c r="AD99" s="154"/>
      <c r="AE99" s="152" t="s">
        <v>1522</v>
      </c>
      <c r="AF99" s="152"/>
      <c r="AG99" s="152"/>
      <c r="AH99" s="152">
        <f t="shared" si="23"/>
        <v>1</v>
      </c>
      <c r="AI99" s="161" t="s">
        <v>161</v>
      </c>
      <c r="AJ99" s="152"/>
      <c r="AK99" s="152"/>
      <c r="AL99" s="152" t="s">
        <v>150</v>
      </c>
      <c r="AM99" s="152"/>
      <c r="AN99" s="152"/>
      <c r="AO99" s="152" t="s">
        <v>182</v>
      </c>
      <c r="AP99" s="152" t="s">
        <v>1523</v>
      </c>
      <c r="AQ99" s="152" t="s">
        <v>1523</v>
      </c>
      <c r="AR99" s="152" t="s">
        <v>150</v>
      </c>
      <c r="AS99" s="152" t="s">
        <v>1524</v>
      </c>
      <c r="AT99" s="30" t="s">
        <v>1250</v>
      </c>
      <c r="AU99" s="33" t="s">
        <v>1525</v>
      </c>
      <c r="AV99" s="33"/>
      <c r="AW99" s="155">
        <v>42065</v>
      </c>
      <c r="AX99" s="155">
        <v>42310</v>
      </c>
      <c r="AY99" s="155" t="s">
        <v>150</v>
      </c>
      <c r="AZ99" s="152"/>
      <c r="BA99" s="152"/>
      <c r="BB99" s="152"/>
      <c r="BC99" s="152"/>
      <c r="BD99" s="152"/>
      <c r="BE99" s="156"/>
      <c r="BF99" s="155">
        <v>42947</v>
      </c>
      <c r="BG99" s="155" t="s">
        <v>150</v>
      </c>
      <c r="BH99" s="155">
        <v>43164</v>
      </c>
      <c r="BI99" s="155" t="s">
        <v>150</v>
      </c>
      <c r="BJ99" s="154"/>
      <c r="BK99" s="154"/>
      <c r="BL99" s="154"/>
      <c r="BM99" s="157">
        <v>43830</v>
      </c>
      <c r="BN99" s="152" t="s">
        <v>16</v>
      </c>
      <c r="BO99" s="241">
        <f t="shared" si="24"/>
        <v>58</v>
      </c>
      <c r="BP99" s="152">
        <f t="shared" si="22"/>
        <v>50</v>
      </c>
      <c r="BQ99" s="161" t="s">
        <v>1526</v>
      </c>
      <c r="BR99" s="152">
        <v>1</v>
      </c>
      <c r="BS99" s="152">
        <v>16</v>
      </c>
      <c r="BT99" s="152">
        <v>9</v>
      </c>
      <c r="BU99" s="152">
        <v>3</v>
      </c>
      <c r="BV99" s="152">
        <v>0</v>
      </c>
      <c r="BW99" s="152">
        <v>0</v>
      </c>
      <c r="BX99" s="152">
        <v>0</v>
      </c>
      <c r="BY99" s="152" t="s">
        <v>163</v>
      </c>
      <c r="BZ99" s="152">
        <v>0</v>
      </c>
      <c r="CA99" s="152"/>
      <c r="CB99" s="158"/>
      <c r="CC99" s="158"/>
      <c r="CD99" s="152"/>
      <c r="CE99" s="152" t="s">
        <v>163</v>
      </c>
      <c r="CF99" s="152"/>
      <c r="CG99" s="152"/>
      <c r="CH99" s="375">
        <v>0</v>
      </c>
      <c r="CI99" s="152">
        <v>1</v>
      </c>
      <c r="CJ99" s="152"/>
      <c r="CK99" s="152" t="s">
        <v>809</v>
      </c>
    </row>
    <row r="100" spans="1:89" ht="24.95" hidden="1" customHeight="1">
      <c r="A100" s="152">
        <v>104</v>
      </c>
      <c r="B100" s="152" t="s">
        <v>1527</v>
      </c>
      <c r="C100" s="152" t="s">
        <v>347</v>
      </c>
      <c r="D100" s="152" t="s">
        <v>1528</v>
      </c>
      <c r="E100" s="152" t="s">
        <v>1529</v>
      </c>
      <c r="F100" s="152" t="s">
        <v>25</v>
      </c>
      <c r="G100" s="152">
        <v>5</v>
      </c>
      <c r="H100" s="152" t="s">
        <v>52</v>
      </c>
      <c r="I100" s="152" t="s">
        <v>44</v>
      </c>
      <c r="J100" s="152" t="s">
        <v>1530</v>
      </c>
      <c r="K100" s="152" t="s">
        <v>1379</v>
      </c>
      <c r="L100" s="152" t="s">
        <v>44</v>
      </c>
      <c r="M100" s="152" t="s">
        <v>150</v>
      </c>
      <c r="N100" s="152" t="s">
        <v>1531</v>
      </c>
      <c r="O100" s="242"/>
      <c r="P100" s="243" t="s">
        <v>322</v>
      </c>
      <c r="Q100" s="152"/>
      <c r="R100" s="152" t="s">
        <v>1532</v>
      </c>
      <c r="S100" s="152" t="s">
        <v>1533</v>
      </c>
      <c r="T100" s="347" t="s">
        <v>1534</v>
      </c>
      <c r="U100" s="154" t="s">
        <v>1384</v>
      </c>
      <c r="V100" s="154">
        <v>29277</v>
      </c>
      <c r="W100" s="161" t="s">
        <v>1535</v>
      </c>
      <c r="X100" s="161" t="s">
        <v>179</v>
      </c>
      <c r="Y100" s="161" t="s">
        <v>157</v>
      </c>
      <c r="Z100" s="161" t="s">
        <v>158</v>
      </c>
      <c r="AA100" s="152">
        <v>28.5</v>
      </c>
      <c r="AB100" s="154">
        <v>42255</v>
      </c>
      <c r="AC100" s="286">
        <v>42064</v>
      </c>
      <c r="AD100" s="154"/>
      <c r="AE100" s="34" t="s">
        <v>1536</v>
      </c>
      <c r="AF100" s="314" t="s">
        <v>1537</v>
      </c>
      <c r="AG100" s="152"/>
      <c r="AH100" s="152">
        <f t="shared" si="23"/>
        <v>2</v>
      </c>
      <c r="AI100" s="161" t="s">
        <v>161</v>
      </c>
      <c r="AJ100" s="161" t="s">
        <v>161</v>
      </c>
      <c r="AK100" s="152"/>
      <c r="AL100" s="152" t="s">
        <v>150</v>
      </c>
      <c r="AM100" s="152" t="s">
        <v>163</v>
      </c>
      <c r="AN100" s="152"/>
      <c r="AO100" s="152" t="s">
        <v>164</v>
      </c>
      <c r="AP100" s="152" t="s">
        <v>203</v>
      </c>
      <c r="AQ100" s="152" t="s">
        <v>203</v>
      </c>
      <c r="AR100" s="152"/>
      <c r="AS100" s="152"/>
      <c r="AT100" s="30" t="s">
        <v>420</v>
      </c>
      <c r="AU100" s="33" t="s">
        <v>1538</v>
      </c>
      <c r="AV100" s="33" t="s">
        <v>163</v>
      </c>
      <c r="AW100" s="155">
        <v>42065</v>
      </c>
      <c r="AX100" s="155">
        <v>42310</v>
      </c>
      <c r="AY100" s="155" t="s">
        <v>150</v>
      </c>
      <c r="AZ100" s="155">
        <v>42248</v>
      </c>
      <c r="BA100" s="155">
        <v>43503</v>
      </c>
      <c r="BB100" s="155"/>
      <c r="BC100" s="155"/>
      <c r="BD100" s="155"/>
      <c r="BE100" s="156" t="s">
        <v>1539</v>
      </c>
      <c r="BF100" s="155">
        <v>42947</v>
      </c>
      <c r="BG100" s="155" t="s">
        <v>150</v>
      </c>
      <c r="BH100" s="155">
        <v>43164</v>
      </c>
      <c r="BI100" s="155" t="s">
        <v>150</v>
      </c>
      <c r="BJ100" s="154"/>
      <c r="BK100" s="154"/>
      <c r="BL100" s="154"/>
      <c r="BM100" s="157"/>
      <c r="BN100" s="162" t="s">
        <v>17</v>
      </c>
      <c r="BO100" s="241"/>
      <c r="BP100" s="241"/>
      <c r="BQ100" s="152"/>
      <c r="BR100" s="152">
        <v>0</v>
      </c>
      <c r="BS100" s="152">
        <v>0</v>
      </c>
      <c r="BT100" s="152">
        <v>0</v>
      </c>
      <c r="BU100" s="152">
        <v>0</v>
      </c>
      <c r="BV100" s="152">
        <v>0</v>
      </c>
      <c r="BW100" s="152">
        <v>0</v>
      </c>
      <c r="BX100" s="152">
        <v>0</v>
      </c>
      <c r="BY100" s="152" t="s">
        <v>163</v>
      </c>
      <c r="BZ100" s="152">
        <v>0</v>
      </c>
      <c r="CA100" s="152"/>
      <c r="CB100" s="158"/>
      <c r="CC100" s="158"/>
      <c r="CD100" s="152"/>
      <c r="CE100" s="152" t="s">
        <v>163</v>
      </c>
      <c r="CF100" s="152"/>
      <c r="CG100" s="152"/>
      <c r="CH100" s="375">
        <v>2</v>
      </c>
      <c r="CI100" s="152" t="s">
        <v>168</v>
      </c>
      <c r="CJ100" s="152"/>
      <c r="CK100" s="152" t="s">
        <v>1298</v>
      </c>
    </row>
    <row r="101" spans="1:89" ht="24.95" hidden="1" customHeight="1">
      <c r="A101" s="152">
        <v>105</v>
      </c>
      <c r="B101" s="152" t="s">
        <v>1540</v>
      </c>
      <c r="C101" s="152" t="s">
        <v>1541</v>
      </c>
      <c r="D101" s="152" t="s">
        <v>1542</v>
      </c>
      <c r="E101" s="152" t="s">
        <v>1543</v>
      </c>
      <c r="F101" s="152" t="s">
        <v>25</v>
      </c>
      <c r="G101" s="152">
        <v>5</v>
      </c>
      <c r="H101" s="152" t="s">
        <v>54</v>
      </c>
      <c r="I101" s="152" t="s">
        <v>33</v>
      </c>
      <c r="J101" s="152" t="s">
        <v>1544</v>
      </c>
      <c r="K101" s="152" t="s">
        <v>1545</v>
      </c>
      <c r="L101" s="152" t="s">
        <v>33</v>
      </c>
      <c r="M101" s="152" t="s">
        <v>150</v>
      </c>
      <c r="N101" s="152">
        <v>130949</v>
      </c>
      <c r="O101" s="242" t="s">
        <v>151</v>
      </c>
      <c r="P101" s="243" t="s">
        <v>151</v>
      </c>
      <c r="Q101" s="152" t="s">
        <v>240</v>
      </c>
      <c r="R101" s="152" t="s">
        <v>1546</v>
      </c>
      <c r="S101" s="152" t="s">
        <v>1547</v>
      </c>
      <c r="T101" s="348" t="s">
        <v>1548</v>
      </c>
      <c r="U101" s="154" t="s">
        <v>817</v>
      </c>
      <c r="V101" s="154">
        <v>27902</v>
      </c>
      <c r="W101" s="161" t="s">
        <v>1549</v>
      </c>
      <c r="X101" s="161" t="s">
        <v>179</v>
      </c>
      <c r="Y101" s="161" t="s">
        <v>163</v>
      </c>
      <c r="Z101" s="161" t="s">
        <v>158</v>
      </c>
      <c r="AA101" s="152">
        <v>18</v>
      </c>
      <c r="AB101" s="154">
        <v>41852</v>
      </c>
      <c r="AC101" s="286">
        <v>42064</v>
      </c>
      <c r="AD101" s="154"/>
      <c r="AE101" s="34" t="s">
        <v>1550</v>
      </c>
      <c r="AF101" s="152" t="s">
        <v>1551</v>
      </c>
      <c r="AG101" s="152"/>
      <c r="AH101" s="152">
        <f t="shared" si="23"/>
        <v>2</v>
      </c>
      <c r="AI101" s="161" t="s">
        <v>161</v>
      </c>
      <c r="AJ101" s="152"/>
      <c r="AK101" s="152"/>
      <c r="AL101" s="152" t="s">
        <v>150</v>
      </c>
      <c r="AM101" s="152"/>
      <c r="AN101" s="152"/>
      <c r="AO101" s="152" t="s">
        <v>164</v>
      </c>
      <c r="AP101" s="152"/>
      <c r="AQ101" s="152"/>
      <c r="AR101" s="152"/>
      <c r="AS101" s="152"/>
      <c r="AT101" s="30" t="s">
        <v>328</v>
      </c>
      <c r="AU101" s="33" t="s">
        <v>1552</v>
      </c>
      <c r="AV101" s="33"/>
      <c r="AW101" s="155">
        <v>42065</v>
      </c>
      <c r="AX101" s="155">
        <v>42310</v>
      </c>
      <c r="AY101" s="155" t="s">
        <v>150</v>
      </c>
      <c r="AZ101" s="155">
        <v>41730</v>
      </c>
      <c r="BA101" s="155">
        <v>42384</v>
      </c>
      <c r="BB101" s="155"/>
      <c r="BC101" s="155"/>
      <c r="BD101" s="155"/>
      <c r="BE101" s="156" t="s">
        <v>1553</v>
      </c>
      <c r="BF101" s="155">
        <v>42947</v>
      </c>
      <c r="BG101" s="155" t="s">
        <v>150</v>
      </c>
      <c r="BH101" s="155">
        <v>43164</v>
      </c>
      <c r="BI101" s="155" t="s">
        <v>150</v>
      </c>
      <c r="BJ101" s="154"/>
      <c r="BK101" s="154"/>
      <c r="BL101" s="154"/>
      <c r="BM101" s="157">
        <v>43832</v>
      </c>
      <c r="BN101" s="152" t="s">
        <v>16</v>
      </c>
      <c r="BO101" s="241">
        <f t="shared" ref="BO101:BO104" si="25">DATEDIF(AW101,BM101, "M")+1</f>
        <v>59</v>
      </c>
      <c r="BP101" s="152">
        <f t="shared" ref="BP101:BP104" si="26">DATEDIF(AX101,BM101, "M")+1</f>
        <v>51</v>
      </c>
      <c r="BQ101" s="152"/>
      <c r="BR101" s="152">
        <v>0</v>
      </c>
      <c r="BS101" s="152">
        <v>7</v>
      </c>
      <c r="BT101" s="152">
        <v>7</v>
      </c>
      <c r="BU101" s="152">
        <v>6</v>
      </c>
      <c r="BV101" s="152">
        <v>3</v>
      </c>
      <c r="BW101" s="152">
        <v>0</v>
      </c>
      <c r="BX101" s="152">
        <v>0</v>
      </c>
      <c r="BY101" s="152" t="s">
        <v>1554</v>
      </c>
      <c r="BZ101" s="152">
        <v>0</v>
      </c>
      <c r="CA101" s="152"/>
      <c r="CB101" s="158"/>
      <c r="CC101" s="158"/>
      <c r="CD101" s="152"/>
      <c r="CE101" s="152" t="s">
        <v>163</v>
      </c>
      <c r="CF101" s="152"/>
      <c r="CG101" s="152"/>
      <c r="CH101" s="375">
        <v>3</v>
      </c>
      <c r="CI101" s="152">
        <v>3</v>
      </c>
      <c r="CJ101" s="152"/>
      <c r="CK101" s="152" t="s">
        <v>1298</v>
      </c>
    </row>
    <row r="102" spans="1:89" ht="24.95" hidden="1" customHeight="1">
      <c r="A102" s="152">
        <v>106</v>
      </c>
      <c r="B102" s="152" t="s">
        <v>1555</v>
      </c>
      <c r="C102" s="152" t="s">
        <v>1556</v>
      </c>
      <c r="D102" s="152"/>
      <c r="E102" s="152" t="s">
        <v>1557</v>
      </c>
      <c r="F102" s="152" t="s">
        <v>24</v>
      </c>
      <c r="G102" s="152">
        <v>5</v>
      </c>
      <c r="H102" s="152" t="s">
        <v>53</v>
      </c>
      <c r="I102" s="152" t="s">
        <v>47</v>
      </c>
      <c r="J102" s="152" t="s">
        <v>1558</v>
      </c>
      <c r="K102" s="152" t="s">
        <v>1530</v>
      </c>
      <c r="L102" s="152" t="s">
        <v>47</v>
      </c>
      <c r="M102" s="152" t="s">
        <v>150</v>
      </c>
      <c r="N102" s="247" t="s">
        <v>1559</v>
      </c>
      <c r="O102" s="245" t="s">
        <v>151</v>
      </c>
      <c r="P102" s="35" t="s">
        <v>151</v>
      </c>
      <c r="Q102" s="152" t="s">
        <v>151</v>
      </c>
      <c r="R102" s="319" t="s">
        <v>1560</v>
      </c>
      <c r="S102" s="152" t="s">
        <v>1561</v>
      </c>
      <c r="T102" s="348" t="s">
        <v>1562</v>
      </c>
      <c r="U102" s="154" t="s">
        <v>1563</v>
      </c>
      <c r="V102" s="154">
        <v>29305</v>
      </c>
      <c r="W102" s="161" t="s">
        <v>1564</v>
      </c>
      <c r="X102" s="161" t="s">
        <v>179</v>
      </c>
      <c r="Y102" s="161" t="s">
        <v>157</v>
      </c>
      <c r="Z102" s="161" t="s">
        <v>158</v>
      </c>
      <c r="AA102" s="152">
        <v>28.5</v>
      </c>
      <c r="AB102" s="154">
        <v>42037</v>
      </c>
      <c r="AC102" s="286">
        <v>42064</v>
      </c>
      <c r="AD102" s="154"/>
      <c r="AE102" s="34" t="s">
        <v>1565</v>
      </c>
      <c r="AF102" s="34" t="s">
        <v>1566</v>
      </c>
      <c r="AG102" s="152"/>
      <c r="AH102" s="152">
        <f t="shared" si="23"/>
        <v>2</v>
      </c>
      <c r="AI102" s="161" t="s">
        <v>161</v>
      </c>
      <c r="AJ102" s="33" t="s">
        <v>202</v>
      </c>
      <c r="AK102" s="152"/>
      <c r="AL102" s="152" t="s">
        <v>150</v>
      </c>
      <c r="AM102" s="152" t="s">
        <v>163</v>
      </c>
      <c r="AN102" s="152"/>
      <c r="AO102" s="152" t="s">
        <v>164</v>
      </c>
      <c r="AP102" s="152" t="s">
        <v>165</v>
      </c>
      <c r="AQ102" s="294" t="s">
        <v>217</v>
      </c>
      <c r="AR102" s="152" t="s">
        <v>150</v>
      </c>
      <c r="AS102" s="152"/>
      <c r="AT102" s="30" t="s">
        <v>298</v>
      </c>
      <c r="AU102" s="33" t="s">
        <v>1567</v>
      </c>
      <c r="AV102" s="33" t="s">
        <v>163</v>
      </c>
      <c r="AW102" s="155">
        <v>42065</v>
      </c>
      <c r="AX102" s="155">
        <v>42310</v>
      </c>
      <c r="AY102" s="155" t="s">
        <v>150</v>
      </c>
      <c r="AZ102" s="155">
        <v>41974</v>
      </c>
      <c r="BA102" s="155"/>
      <c r="BB102" s="155">
        <v>42214</v>
      </c>
      <c r="BC102" s="155"/>
      <c r="BD102" s="155"/>
      <c r="BE102" s="156" t="s">
        <v>1568</v>
      </c>
      <c r="BF102" s="155">
        <v>42947</v>
      </c>
      <c r="BG102" s="155" t="s">
        <v>150</v>
      </c>
      <c r="BH102" s="155">
        <v>43164</v>
      </c>
      <c r="BI102" s="155" t="s">
        <v>150</v>
      </c>
      <c r="BJ102" s="154">
        <v>43119</v>
      </c>
      <c r="BK102" s="154">
        <v>43328</v>
      </c>
      <c r="BL102" s="154">
        <v>43424</v>
      </c>
      <c r="BM102" s="157">
        <v>43465</v>
      </c>
      <c r="BN102" s="152" t="s">
        <v>16</v>
      </c>
      <c r="BO102" s="241">
        <f t="shared" si="25"/>
        <v>46</v>
      </c>
      <c r="BP102" s="152">
        <f t="shared" si="26"/>
        <v>38</v>
      </c>
      <c r="BQ102" s="161" t="s">
        <v>1568</v>
      </c>
      <c r="BR102" s="152">
        <v>1</v>
      </c>
      <c r="BS102" s="152">
        <v>3</v>
      </c>
      <c r="BT102" s="152">
        <v>13</v>
      </c>
      <c r="BU102" s="152">
        <v>2</v>
      </c>
      <c r="BV102" s="152">
        <v>0</v>
      </c>
      <c r="BW102" s="152">
        <v>0</v>
      </c>
      <c r="BX102" s="152">
        <v>0</v>
      </c>
      <c r="BY102" s="152" t="s">
        <v>163</v>
      </c>
      <c r="BZ102" s="152">
        <v>0</v>
      </c>
      <c r="CA102" s="152"/>
      <c r="CB102" s="158"/>
      <c r="CC102" s="158"/>
      <c r="CD102" s="152"/>
      <c r="CE102" s="152" t="s">
        <v>163</v>
      </c>
      <c r="CF102" s="152"/>
      <c r="CG102" s="152"/>
      <c r="CH102" s="375">
        <v>1</v>
      </c>
      <c r="CI102" s="152">
        <v>3</v>
      </c>
      <c r="CJ102" s="152">
        <v>3</v>
      </c>
      <c r="CK102" s="152" t="s">
        <v>809</v>
      </c>
    </row>
    <row r="103" spans="1:89" ht="24.95" hidden="1" customHeight="1">
      <c r="A103" s="152">
        <v>107</v>
      </c>
      <c r="B103" s="152" t="s">
        <v>1569</v>
      </c>
      <c r="C103" s="152" t="s">
        <v>1570</v>
      </c>
      <c r="D103" s="152"/>
      <c r="E103" s="152" t="s">
        <v>1571</v>
      </c>
      <c r="F103" s="152" t="s">
        <v>24</v>
      </c>
      <c r="G103" s="152">
        <v>5</v>
      </c>
      <c r="H103" s="152" t="s">
        <v>60</v>
      </c>
      <c r="I103" s="152" t="s">
        <v>37</v>
      </c>
      <c r="J103" s="152" t="s">
        <v>362</v>
      </c>
      <c r="K103" s="152" t="s">
        <v>1572</v>
      </c>
      <c r="L103" s="152" t="s">
        <v>37</v>
      </c>
      <c r="M103" s="152" t="s">
        <v>150</v>
      </c>
      <c r="N103" s="244" t="s">
        <v>1573</v>
      </c>
      <c r="O103" s="245" t="s">
        <v>151</v>
      </c>
      <c r="P103" s="35" t="s">
        <v>151</v>
      </c>
      <c r="Q103" s="152" t="s">
        <v>151</v>
      </c>
      <c r="R103" s="319" t="s">
        <v>1574</v>
      </c>
      <c r="S103" s="319" t="s">
        <v>1575</v>
      </c>
      <c r="T103" s="348" t="s">
        <v>1576</v>
      </c>
      <c r="U103" s="154" t="s">
        <v>1577</v>
      </c>
      <c r="V103" s="154">
        <v>29718</v>
      </c>
      <c r="W103" s="161" t="s">
        <v>1578</v>
      </c>
      <c r="X103" s="161" t="s">
        <v>179</v>
      </c>
      <c r="Y103" s="161" t="s">
        <v>163</v>
      </c>
      <c r="Z103" s="161" t="s">
        <v>158</v>
      </c>
      <c r="AA103" s="152">
        <v>32.5</v>
      </c>
      <c r="AB103" s="154">
        <v>42125</v>
      </c>
      <c r="AC103" s="286">
        <v>42064</v>
      </c>
      <c r="AD103" s="154"/>
      <c r="AE103" s="34" t="s">
        <v>1579</v>
      </c>
      <c r="AF103" s="34" t="s">
        <v>550</v>
      </c>
      <c r="AG103" s="152"/>
      <c r="AH103" s="152">
        <f t="shared" si="23"/>
        <v>2</v>
      </c>
      <c r="AI103" s="161" t="s">
        <v>161</v>
      </c>
      <c r="AJ103" s="161" t="s">
        <v>161</v>
      </c>
      <c r="AK103" s="152"/>
      <c r="AL103" s="152" t="s">
        <v>150</v>
      </c>
      <c r="AM103" s="152" t="s">
        <v>163</v>
      </c>
      <c r="AN103" s="152"/>
      <c r="AO103" s="152" t="s">
        <v>164</v>
      </c>
      <c r="AP103" s="152" t="s">
        <v>181</v>
      </c>
      <c r="AQ103" s="152" t="s">
        <v>181</v>
      </c>
      <c r="AR103" s="152" t="s">
        <v>163</v>
      </c>
      <c r="AS103" s="152"/>
      <c r="AT103" s="30" t="s">
        <v>552</v>
      </c>
      <c r="AU103" s="33" t="s">
        <v>1580</v>
      </c>
      <c r="AV103" s="33" t="s">
        <v>163</v>
      </c>
      <c r="AW103" s="155">
        <v>42065</v>
      </c>
      <c r="AX103" s="155">
        <v>42310</v>
      </c>
      <c r="AY103" s="155" t="s">
        <v>150</v>
      </c>
      <c r="AZ103" s="155">
        <v>42494</v>
      </c>
      <c r="BA103" s="155">
        <v>42553</v>
      </c>
      <c r="BB103" s="155"/>
      <c r="BC103" s="155"/>
      <c r="BD103" s="155"/>
      <c r="BE103" s="156" t="s">
        <v>1581</v>
      </c>
      <c r="BF103" s="155">
        <v>42947</v>
      </c>
      <c r="BG103" s="155" t="s">
        <v>150</v>
      </c>
      <c r="BH103" s="155">
        <v>43164</v>
      </c>
      <c r="BI103" s="155" t="s">
        <v>150</v>
      </c>
      <c r="BJ103" s="154"/>
      <c r="BK103" s="154"/>
      <c r="BL103" s="154"/>
      <c r="BM103" s="157">
        <v>43677</v>
      </c>
      <c r="BN103" s="152" t="s">
        <v>16</v>
      </c>
      <c r="BO103" s="241">
        <f t="shared" si="25"/>
        <v>53</v>
      </c>
      <c r="BP103" s="152">
        <f t="shared" si="26"/>
        <v>45</v>
      </c>
      <c r="BQ103" s="152"/>
      <c r="BR103" s="152">
        <v>0</v>
      </c>
      <c r="BS103" s="152">
        <v>2</v>
      </c>
      <c r="BT103" s="152">
        <v>3</v>
      </c>
      <c r="BU103" s="152">
        <v>1</v>
      </c>
      <c r="BV103" s="152">
        <v>0</v>
      </c>
      <c r="BW103" s="152">
        <v>0</v>
      </c>
      <c r="BX103" s="152">
        <v>0</v>
      </c>
      <c r="BY103" s="152" t="s">
        <v>163</v>
      </c>
      <c r="BZ103" s="152">
        <v>0</v>
      </c>
      <c r="CA103" s="152"/>
      <c r="CB103" s="158"/>
      <c r="CC103" s="158"/>
      <c r="CD103" s="152"/>
      <c r="CE103" s="152" t="s">
        <v>163</v>
      </c>
      <c r="CF103" s="152"/>
      <c r="CG103" s="152"/>
      <c r="CH103" s="375">
        <v>1</v>
      </c>
      <c r="CI103" s="152">
        <v>3</v>
      </c>
      <c r="CJ103" s="152"/>
      <c r="CK103" s="152" t="s">
        <v>809</v>
      </c>
    </row>
    <row r="104" spans="1:89" ht="24.95" hidden="1" customHeight="1">
      <c r="A104" s="152">
        <v>108</v>
      </c>
      <c r="B104" s="152" t="s">
        <v>1582</v>
      </c>
      <c r="C104" s="152" t="s">
        <v>1583</v>
      </c>
      <c r="D104" s="152" t="s">
        <v>1584</v>
      </c>
      <c r="E104" s="152" t="s">
        <v>1584</v>
      </c>
      <c r="F104" s="152" t="s">
        <v>25</v>
      </c>
      <c r="G104" s="152">
        <v>5</v>
      </c>
      <c r="H104" s="152" t="s">
        <v>52</v>
      </c>
      <c r="I104" s="152" t="s">
        <v>39</v>
      </c>
      <c r="J104" s="152" t="s">
        <v>1585</v>
      </c>
      <c r="K104" s="152" t="s">
        <v>1585</v>
      </c>
      <c r="L104" s="152" t="s">
        <v>39</v>
      </c>
      <c r="M104" s="152" t="s">
        <v>150</v>
      </c>
      <c r="N104" s="152" t="s">
        <v>1586</v>
      </c>
      <c r="O104" s="242" t="s">
        <v>151</v>
      </c>
      <c r="P104" s="243" t="s">
        <v>151</v>
      </c>
      <c r="Q104" s="152" t="s">
        <v>151</v>
      </c>
      <c r="R104" s="152" t="s">
        <v>1587</v>
      </c>
      <c r="S104" s="152" t="s">
        <v>1588</v>
      </c>
      <c r="T104" s="347" t="s">
        <v>1589</v>
      </c>
      <c r="U104" s="154" t="s">
        <v>168</v>
      </c>
      <c r="V104" s="154">
        <v>28491</v>
      </c>
      <c r="W104" s="161" t="s">
        <v>1590</v>
      </c>
      <c r="X104" s="161" t="s">
        <v>179</v>
      </c>
      <c r="Y104" s="161" t="s">
        <v>163</v>
      </c>
      <c r="Z104" s="161" t="s">
        <v>158</v>
      </c>
      <c r="AA104" s="152">
        <v>8</v>
      </c>
      <c r="AB104" s="154">
        <v>42257</v>
      </c>
      <c r="AC104" s="286">
        <v>42064</v>
      </c>
      <c r="AD104" s="154"/>
      <c r="AE104" s="34" t="s">
        <v>1591</v>
      </c>
      <c r="AF104" s="152" t="s">
        <v>1592</v>
      </c>
      <c r="AG104" s="152" t="s">
        <v>1593</v>
      </c>
      <c r="AH104" s="152">
        <f t="shared" si="23"/>
        <v>3</v>
      </c>
      <c r="AI104" s="161" t="s">
        <v>161</v>
      </c>
      <c r="AJ104" s="152"/>
      <c r="AK104" s="152"/>
      <c r="AL104" s="152" t="s">
        <v>163</v>
      </c>
      <c r="AM104" s="152"/>
      <c r="AN104" s="152"/>
      <c r="AO104" s="152" t="s">
        <v>164</v>
      </c>
      <c r="AP104" s="152"/>
      <c r="AQ104" s="152" t="s">
        <v>203</v>
      </c>
      <c r="AR104" s="152"/>
      <c r="AS104" s="161" t="s">
        <v>1594</v>
      </c>
      <c r="AT104" s="30" t="s">
        <v>204</v>
      </c>
      <c r="AU104" s="152"/>
      <c r="AV104" s="152"/>
      <c r="AW104" s="155">
        <v>42065</v>
      </c>
      <c r="AX104" s="155">
        <v>42310</v>
      </c>
      <c r="AY104" s="155" t="s">
        <v>150</v>
      </c>
      <c r="AZ104" s="155">
        <v>44393</v>
      </c>
      <c r="BA104" s="155">
        <v>44393</v>
      </c>
      <c r="BB104" s="155"/>
      <c r="BC104" s="155"/>
      <c r="BD104" s="155"/>
      <c r="BE104" s="156"/>
      <c r="BF104" s="155">
        <v>42947</v>
      </c>
      <c r="BG104" s="155" t="s">
        <v>150</v>
      </c>
      <c r="BH104" s="155">
        <v>43164</v>
      </c>
      <c r="BI104" s="155" t="s">
        <v>150</v>
      </c>
      <c r="BJ104" s="154"/>
      <c r="BK104" s="154"/>
      <c r="BL104" s="154"/>
      <c r="BM104" s="157">
        <v>44155</v>
      </c>
      <c r="BN104" s="152" t="s">
        <v>16</v>
      </c>
      <c r="BO104" s="241">
        <f t="shared" si="25"/>
        <v>69</v>
      </c>
      <c r="BP104" s="152">
        <f t="shared" si="26"/>
        <v>61</v>
      </c>
      <c r="BQ104" s="161" t="s">
        <v>1595</v>
      </c>
      <c r="BR104" s="152"/>
      <c r="BS104" s="152">
        <v>2</v>
      </c>
      <c r="BT104" s="152">
        <v>0</v>
      </c>
      <c r="BU104" s="152">
        <v>2</v>
      </c>
      <c r="BV104" s="152">
        <v>0</v>
      </c>
      <c r="BW104" s="152">
        <v>0</v>
      </c>
      <c r="BX104" s="152">
        <v>0</v>
      </c>
      <c r="BY104" s="152" t="s">
        <v>1596</v>
      </c>
      <c r="BZ104" s="152">
        <v>0</v>
      </c>
      <c r="CA104" s="152"/>
      <c r="CB104" s="158">
        <v>43905</v>
      </c>
      <c r="CC104" s="158">
        <v>44049</v>
      </c>
      <c r="CD104" s="152">
        <v>5</v>
      </c>
      <c r="CE104" s="152" t="s">
        <v>163</v>
      </c>
      <c r="CF104" s="152"/>
      <c r="CG104" s="152"/>
      <c r="CH104" s="375">
        <v>4</v>
      </c>
      <c r="CI104" s="152">
        <v>4</v>
      </c>
      <c r="CJ104" s="152"/>
      <c r="CK104" s="152" t="s">
        <v>809</v>
      </c>
    </row>
    <row r="105" spans="1:89" ht="24.95" hidden="1" customHeight="1">
      <c r="A105" s="152">
        <v>109</v>
      </c>
      <c r="B105" s="152" t="s">
        <v>1597</v>
      </c>
      <c r="C105" s="152" t="s">
        <v>1598</v>
      </c>
      <c r="D105" s="152" t="s">
        <v>1599</v>
      </c>
      <c r="E105" s="152" t="s">
        <v>1600</v>
      </c>
      <c r="F105" s="152" t="s">
        <v>24</v>
      </c>
      <c r="G105" s="152">
        <v>5</v>
      </c>
      <c r="H105" s="152" t="s">
        <v>52</v>
      </c>
      <c r="I105" s="152" t="s">
        <v>39</v>
      </c>
      <c r="J105" s="152" t="s">
        <v>1601</v>
      </c>
      <c r="K105" s="152" t="s">
        <v>1602</v>
      </c>
      <c r="L105" s="152" t="s">
        <v>39</v>
      </c>
      <c r="M105" s="152" t="s">
        <v>150</v>
      </c>
      <c r="N105" s="152" t="s">
        <v>1603</v>
      </c>
      <c r="O105" s="242"/>
      <c r="P105" s="243" t="s">
        <v>151</v>
      </c>
      <c r="Q105" s="152"/>
      <c r="R105" s="152" t="s">
        <v>1604</v>
      </c>
      <c r="S105" s="152" t="s">
        <v>1605</v>
      </c>
      <c r="T105" s="348" t="s">
        <v>1606</v>
      </c>
      <c r="U105" s="154" t="s">
        <v>168</v>
      </c>
      <c r="V105" s="154">
        <v>30392</v>
      </c>
      <c r="W105" s="161" t="s">
        <v>1607</v>
      </c>
      <c r="X105" s="161" t="s">
        <v>179</v>
      </c>
      <c r="Y105" s="161" t="s">
        <v>163</v>
      </c>
      <c r="Z105" s="161" t="s">
        <v>158</v>
      </c>
      <c r="AA105" s="152">
        <v>16.5</v>
      </c>
      <c r="AB105" s="154">
        <v>41883</v>
      </c>
      <c r="AC105" s="286">
        <v>42064</v>
      </c>
      <c r="AD105" s="154"/>
      <c r="AE105" s="34" t="s">
        <v>1608</v>
      </c>
      <c r="AF105" s="152"/>
      <c r="AG105" s="152"/>
      <c r="AH105" s="152">
        <f t="shared" si="23"/>
        <v>1</v>
      </c>
      <c r="AI105" s="161" t="s">
        <v>161</v>
      </c>
      <c r="AJ105" s="152"/>
      <c r="AK105" s="152"/>
      <c r="AL105" s="152" t="s">
        <v>150</v>
      </c>
      <c r="AM105" s="152"/>
      <c r="AN105" s="152"/>
      <c r="AO105" s="152" t="s">
        <v>164</v>
      </c>
      <c r="AP105" s="152"/>
      <c r="AQ105" s="152" t="s">
        <v>203</v>
      </c>
      <c r="AR105" s="152"/>
      <c r="AS105" s="152"/>
      <c r="AT105" s="30" t="s">
        <v>204</v>
      </c>
      <c r="AU105" s="152"/>
      <c r="AV105" s="152"/>
      <c r="AW105" s="155">
        <v>42065</v>
      </c>
      <c r="AX105" s="155">
        <v>42310</v>
      </c>
      <c r="AY105" s="155" t="s">
        <v>150</v>
      </c>
      <c r="AZ105" s="155"/>
      <c r="BA105" s="155"/>
      <c r="BB105" s="155"/>
      <c r="BC105" s="155"/>
      <c r="BD105" s="155"/>
      <c r="BE105" s="156"/>
      <c r="BF105" s="155">
        <v>42947</v>
      </c>
      <c r="BG105" s="155" t="s">
        <v>150</v>
      </c>
      <c r="BH105" s="155">
        <v>43164</v>
      </c>
      <c r="BI105" s="155" t="s">
        <v>150</v>
      </c>
      <c r="BJ105" s="154"/>
      <c r="BK105" s="154"/>
      <c r="BL105" s="154"/>
      <c r="BM105" s="157"/>
      <c r="BN105" s="162" t="s">
        <v>17</v>
      </c>
      <c r="BO105" s="241"/>
      <c r="BP105" s="241"/>
      <c r="BQ105" s="152"/>
      <c r="BR105" s="152"/>
      <c r="BS105" s="152">
        <v>2</v>
      </c>
      <c r="BT105" s="152">
        <v>0</v>
      </c>
      <c r="BU105" s="152">
        <v>2</v>
      </c>
      <c r="BV105" s="152">
        <v>0</v>
      </c>
      <c r="BW105" s="152">
        <v>0</v>
      </c>
      <c r="BX105" s="152">
        <v>0</v>
      </c>
      <c r="BY105" s="152" t="s">
        <v>163</v>
      </c>
      <c r="BZ105" s="152">
        <v>0</v>
      </c>
      <c r="CA105" s="152"/>
      <c r="CB105" s="158"/>
      <c r="CC105" s="158"/>
      <c r="CD105" s="152"/>
      <c r="CE105" s="152" t="s">
        <v>150</v>
      </c>
      <c r="CF105" s="152"/>
      <c r="CG105" s="152"/>
      <c r="CH105" s="375" t="s">
        <v>168</v>
      </c>
      <c r="CI105" s="152" t="s">
        <v>168</v>
      </c>
      <c r="CJ105" s="152"/>
      <c r="CK105" s="152" t="s">
        <v>809</v>
      </c>
    </row>
    <row r="106" spans="1:89" ht="24.95" hidden="1" customHeight="1">
      <c r="A106" s="152">
        <v>110</v>
      </c>
      <c r="B106" s="152" t="s">
        <v>1609</v>
      </c>
      <c r="C106" s="152" t="s">
        <v>1610</v>
      </c>
      <c r="D106" s="152" t="s">
        <v>1611</v>
      </c>
      <c r="E106" s="152" t="s">
        <v>1612</v>
      </c>
      <c r="F106" s="152" t="s">
        <v>25</v>
      </c>
      <c r="G106" s="152">
        <v>5</v>
      </c>
      <c r="H106" s="152" t="s">
        <v>54</v>
      </c>
      <c r="I106" s="152" t="s">
        <v>33</v>
      </c>
      <c r="J106" s="152" t="s">
        <v>1613</v>
      </c>
      <c r="K106" s="152" t="s">
        <v>560</v>
      </c>
      <c r="L106" s="152" t="s">
        <v>33</v>
      </c>
      <c r="M106" s="152" t="s">
        <v>150</v>
      </c>
      <c r="N106" s="152">
        <v>148600</v>
      </c>
      <c r="O106" s="242" t="s">
        <v>151</v>
      </c>
      <c r="P106" s="243" t="s">
        <v>151</v>
      </c>
      <c r="Q106" s="152"/>
      <c r="R106" s="152" t="s">
        <v>1614</v>
      </c>
      <c r="S106" s="160" t="s">
        <v>1615</v>
      </c>
      <c r="T106" s="347" t="s">
        <v>1616</v>
      </c>
      <c r="U106" s="154" t="s">
        <v>1617</v>
      </c>
      <c r="V106" s="154">
        <v>26703</v>
      </c>
      <c r="W106" s="161" t="s">
        <v>1618</v>
      </c>
      <c r="X106" s="161" t="s">
        <v>179</v>
      </c>
      <c r="Y106" s="161" t="s">
        <v>163</v>
      </c>
      <c r="Z106" s="161" t="s">
        <v>158</v>
      </c>
      <c r="AA106" s="152">
        <v>14.5</v>
      </c>
      <c r="AB106" s="154">
        <v>41306</v>
      </c>
      <c r="AC106" s="286">
        <v>42064</v>
      </c>
      <c r="AD106" s="154"/>
      <c r="AE106" s="34" t="s">
        <v>1619</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328</v>
      </c>
      <c r="AU106" s="152" t="s">
        <v>1620</v>
      </c>
      <c r="AV106" s="152"/>
      <c r="AW106" s="155">
        <v>42065</v>
      </c>
      <c r="AX106" s="155">
        <v>42310</v>
      </c>
      <c r="AY106" s="155" t="s">
        <v>150</v>
      </c>
      <c r="AZ106" s="155">
        <v>43101</v>
      </c>
      <c r="BA106" s="155">
        <v>43127</v>
      </c>
      <c r="BB106" s="155"/>
      <c r="BC106" s="155"/>
      <c r="BD106" s="155"/>
      <c r="BE106" s="156" t="s">
        <v>1621</v>
      </c>
      <c r="BF106" s="155">
        <v>43675</v>
      </c>
      <c r="BG106" s="155" t="s">
        <v>163</v>
      </c>
      <c r="BH106" s="155">
        <v>43891</v>
      </c>
      <c r="BI106" s="155" t="s">
        <v>163</v>
      </c>
      <c r="BJ106" s="154"/>
      <c r="BK106" s="154">
        <v>44392</v>
      </c>
      <c r="BL106" s="154">
        <v>44411</v>
      </c>
      <c r="BM106" s="157">
        <v>44411</v>
      </c>
      <c r="BN106" s="152" t="s">
        <v>16</v>
      </c>
      <c r="BO106" s="152">
        <f t="shared" ref="BO106" si="27">DATEDIF(AW106,BM106, "M")+1</f>
        <v>78</v>
      </c>
      <c r="BP106" s="152">
        <f t="shared" ref="BP106:BP112" si="28">DATEDIF(AX106,BM106, "M")+1</f>
        <v>70</v>
      </c>
      <c r="BQ106" s="152"/>
      <c r="BR106" s="152">
        <v>5</v>
      </c>
      <c r="BS106" s="152">
        <v>10</v>
      </c>
      <c r="BT106" s="152">
        <v>4</v>
      </c>
      <c r="BU106" s="152">
        <v>1</v>
      </c>
      <c r="BV106" s="152">
        <v>3</v>
      </c>
      <c r="BW106" s="152">
        <v>1</v>
      </c>
      <c r="BX106" s="152">
        <v>0</v>
      </c>
      <c r="BY106" s="152" t="s">
        <v>163</v>
      </c>
      <c r="BZ106" s="152">
        <v>0</v>
      </c>
      <c r="CA106" s="152"/>
      <c r="CB106" s="158">
        <v>42795</v>
      </c>
      <c r="CC106" s="158">
        <v>43132</v>
      </c>
      <c r="CD106" s="152">
        <v>12</v>
      </c>
      <c r="CE106" s="152" t="s">
        <v>163</v>
      </c>
      <c r="CF106" s="152"/>
      <c r="CG106" s="152"/>
      <c r="CH106" s="375">
        <v>3</v>
      </c>
      <c r="CI106" s="152">
        <v>3</v>
      </c>
      <c r="CJ106" s="152"/>
      <c r="CK106" s="152" t="s">
        <v>809</v>
      </c>
    </row>
    <row r="107" spans="1:89" ht="24.95" hidden="1" customHeight="1">
      <c r="A107" s="152">
        <v>111</v>
      </c>
      <c r="B107" s="152" t="s">
        <v>1622</v>
      </c>
      <c r="C107" s="152" t="s">
        <v>1623</v>
      </c>
      <c r="D107" s="152" t="s">
        <v>1624</v>
      </c>
      <c r="E107" s="152" t="s">
        <v>1625</v>
      </c>
      <c r="F107" s="152" t="s">
        <v>25</v>
      </c>
      <c r="G107" s="152">
        <v>5</v>
      </c>
      <c r="H107" s="152" t="s">
        <v>60</v>
      </c>
      <c r="I107" s="152" t="s">
        <v>37</v>
      </c>
      <c r="J107" s="152" t="s">
        <v>602</v>
      </c>
      <c r="K107" s="152" t="s">
        <v>1626</v>
      </c>
      <c r="L107" s="152" t="s">
        <v>37</v>
      </c>
      <c r="M107" s="152" t="s">
        <v>150</v>
      </c>
      <c r="N107" s="152">
        <v>216023303</v>
      </c>
      <c r="O107" s="242" t="s">
        <v>151</v>
      </c>
      <c r="P107" s="243" t="s">
        <v>151</v>
      </c>
      <c r="Q107" s="152" t="s">
        <v>151</v>
      </c>
      <c r="R107" s="160" t="s">
        <v>1627</v>
      </c>
      <c r="S107" s="152" t="s">
        <v>1628</v>
      </c>
      <c r="T107" s="347" t="s">
        <v>1629</v>
      </c>
      <c r="U107" s="154" t="s">
        <v>789</v>
      </c>
      <c r="V107" s="154">
        <v>26169</v>
      </c>
      <c r="W107" s="161" t="s">
        <v>1630</v>
      </c>
      <c r="X107" s="161" t="s">
        <v>179</v>
      </c>
      <c r="Y107" s="161" t="s">
        <v>163</v>
      </c>
      <c r="Z107" s="161" t="s">
        <v>158</v>
      </c>
      <c r="AA107" s="152">
        <v>11</v>
      </c>
      <c r="AB107" s="154">
        <v>42765</v>
      </c>
      <c r="AC107" s="286">
        <v>42064</v>
      </c>
      <c r="AD107" s="154"/>
      <c r="AE107" s="34" t="s">
        <v>1631</v>
      </c>
      <c r="AF107" s="34" t="s">
        <v>1632</v>
      </c>
      <c r="AG107" s="152"/>
      <c r="AH107" s="152">
        <f t="shared" si="23"/>
        <v>2</v>
      </c>
      <c r="AI107" s="161" t="s">
        <v>161</v>
      </c>
      <c r="AJ107" s="161" t="s">
        <v>161</v>
      </c>
      <c r="AK107" s="152"/>
      <c r="AL107" s="152" t="s">
        <v>163</v>
      </c>
      <c r="AM107" s="152" t="s">
        <v>150</v>
      </c>
      <c r="AN107" s="152"/>
      <c r="AO107" s="152" t="s">
        <v>164</v>
      </c>
      <c r="AP107" s="152" t="s">
        <v>203</v>
      </c>
      <c r="AQ107" s="152" t="s">
        <v>203</v>
      </c>
      <c r="AR107" s="152" t="s">
        <v>163</v>
      </c>
      <c r="AS107" s="152"/>
      <c r="AT107" s="30" t="s">
        <v>580</v>
      </c>
      <c r="AU107" s="152" t="s">
        <v>1633</v>
      </c>
      <c r="AV107" s="152" t="s">
        <v>150</v>
      </c>
      <c r="AW107" s="155">
        <v>42065</v>
      </c>
      <c r="AX107" s="155">
        <v>42310</v>
      </c>
      <c r="AY107" s="155" t="s">
        <v>150</v>
      </c>
      <c r="AZ107" s="155"/>
      <c r="BA107" s="155"/>
      <c r="BB107" s="155"/>
      <c r="BC107" s="155"/>
      <c r="BD107" s="155"/>
      <c r="BE107" s="156"/>
      <c r="BF107" s="155">
        <v>42947</v>
      </c>
      <c r="BG107" s="155" t="s">
        <v>150</v>
      </c>
      <c r="BH107" s="155">
        <v>43164</v>
      </c>
      <c r="BI107" s="155" t="s">
        <v>150</v>
      </c>
      <c r="BJ107" s="154"/>
      <c r="BK107" s="154">
        <v>44253</v>
      </c>
      <c r="BL107" s="154"/>
      <c r="BM107" s="157">
        <v>44333</v>
      </c>
      <c r="BN107" s="152" t="s">
        <v>16</v>
      </c>
      <c r="BO107" s="241">
        <f t="shared" ref="BO107:BO114" si="29">DATEDIF(AW107,BM107, "M")+1</f>
        <v>75</v>
      </c>
      <c r="BP107" s="152">
        <f t="shared" si="28"/>
        <v>67</v>
      </c>
      <c r="BQ107" s="156" t="s">
        <v>1634</v>
      </c>
      <c r="BR107" s="152">
        <v>10</v>
      </c>
      <c r="BS107" s="152">
        <v>27</v>
      </c>
      <c r="BT107" s="152">
        <v>7</v>
      </c>
      <c r="BU107" s="152">
        <v>1</v>
      </c>
      <c r="BV107" s="152">
        <v>0</v>
      </c>
      <c r="BW107" s="152">
        <v>0</v>
      </c>
      <c r="BX107" s="152">
        <v>0</v>
      </c>
      <c r="BY107" s="152" t="s">
        <v>163</v>
      </c>
      <c r="BZ107" s="152">
        <v>0</v>
      </c>
      <c r="CA107" s="152"/>
      <c r="CB107" s="158"/>
      <c r="CC107" s="158"/>
      <c r="CD107" s="152"/>
      <c r="CE107" s="152" t="s">
        <v>163</v>
      </c>
      <c r="CF107" s="152"/>
      <c r="CG107" s="152"/>
      <c r="CH107" s="375">
        <v>4</v>
      </c>
      <c r="CI107" s="152">
        <v>4</v>
      </c>
      <c r="CJ107" s="152"/>
      <c r="CK107" s="152" t="s">
        <v>809</v>
      </c>
    </row>
    <row r="108" spans="1:89" ht="24.95" hidden="1" customHeight="1">
      <c r="A108" s="152">
        <v>112</v>
      </c>
      <c r="B108" s="152" t="s">
        <v>1635</v>
      </c>
      <c r="C108" s="152" t="s">
        <v>1636</v>
      </c>
      <c r="D108" s="152"/>
      <c r="E108" s="152" t="s">
        <v>1637</v>
      </c>
      <c r="F108" s="152" t="s">
        <v>25</v>
      </c>
      <c r="G108" s="152">
        <v>5</v>
      </c>
      <c r="H108" s="152" t="s">
        <v>52</v>
      </c>
      <c r="I108" s="152" t="s">
        <v>44</v>
      </c>
      <c r="J108" s="152" t="s">
        <v>602</v>
      </c>
      <c r="K108" s="152" t="s">
        <v>1638</v>
      </c>
      <c r="L108" s="152" t="s">
        <v>44</v>
      </c>
      <c r="M108" s="152" t="s">
        <v>150</v>
      </c>
      <c r="N108" s="152" t="s">
        <v>1639</v>
      </c>
      <c r="O108" s="242" t="s">
        <v>151</v>
      </c>
      <c r="P108" s="243" t="s">
        <v>151</v>
      </c>
      <c r="Q108" s="152" t="s">
        <v>151</v>
      </c>
      <c r="R108" s="152" t="s">
        <v>1640</v>
      </c>
      <c r="S108" s="152" t="s">
        <v>1641</v>
      </c>
      <c r="T108" s="347" t="s">
        <v>1642</v>
      </c>
      <c r="U108" s="154" t="s">
        <v>1643</v>
      </c>
      <c r="V108" s="154">
        <v>30728</v>
      </c>
      <c r="W108" s="161" t="s">
        <v>1644</v>
      </c>
      <c r="X108" s="161" t="s">
        <v>179</v>
      </c>
      <c r="Y108" s="161" t="s">
        <v>163</v>
      </c>
      <c r="Z108" s="161" t="s">
        <v>158</v>
      </c>
      <c r="AA108" s="152">
        <v>25.5</v>
      </c>
      <c r="AB108" s="154">
        <v>42290</v>
      </c>
      <c r="AC108" s="286">
        <v>42064</v>
      </c>
      <c r="AD108" s="154"/>
      <c r="AE108" s="34" t="s">
        <v>1645</v>
      </c>
      <c r="AF108" s="152"/>
      <c r="AG108" s="152"/>
      <c r="AH108" s="152">
        <f t="shared" si="23"/>
        <v>1</v>
      </c>
      <c r="AI108" s="161" t="s">
        <v>161</v>
      </c>
      <c r="AJ108" s="152"/>
      <c r="AK108" s="152"/>
      <c r="AL108" s="152" t="s">
        <v>150</v>
      </c>
      <c r="AM108" s="152"/>
      <c r="AN108" s="152"/>
      <c r="AO108" s="152" t="s">
        <v>202</v>
      </c>
      <c r="AP108" s="152" t="s">
        <v>1646</v>
      </c>
      <c r="AQ108" s="152" t="s">
        <v>1647</v>
      </c>
      <c r="AR108" s="152" t="s">
        <v>150</v>
      </c>
      <c r="AS108" s="152"/>
      <c r="AT108" s="30" t="s">
        <v>1648</v>
      </c>
      <c r="AU108" s="152" t="s">
        <v>1649</v>
      </c>
      <c r="AV108" s="152"/>
      <c r="AW108" s="155">
        <v>42065</v>
      </c>
      <c r="AX108" s="155">
        <v>42310</v>
      </c>
      <c r="AY108" s="155" t="s">
        <v>150</v>
      </c>
      <c r="AZ108" s="155">
        <v>42419</v>
      </c>
      <c r="BA108" s="155">
        <v>42748</v>
      </c>
      <c r="BB108" s="155"/>
      <c r="BC108" s="155"/>
      <c r="BD108" s="155"/>
      <c r="BE108" s="156" t="s">
        <v>1650</v>
      </c>
      <c r="BF108" s="155">
        <v>42947</v>
      </c>
      <c r="BG108" s="155" t="s">
        <v>150</v>
      </c>
      <c r="BH108" s="155">
        <v>43164</v>
      </c>
      <c r="BI108" s="155" t="s">
        <v>150</v>
      </c>
      <c r="BJ108" s="154"/>
      <c r="BK108" s="154"/>
      <c r="BL108" s="154"/>
      <c r="BM108" s="157">
        <v>44160</v>
      </c>
      <c r="BN108" s="152" t="s">
        <v>16</v>
      </c>
      <c r="BO108" s="241">
        <f t="shared" si="29"/>
        <v>69</v>
      </c>
      <c r="BP108" s="152">
        <f t="shared" si="28"/>
        <v>61</v>
      </c>
      <c r="BQ108" s="156" t="s">
        <v>1650</v>
      </c>
      <c r="BR108" s="152">
        <v>0</v>
      </c>
      <c r="BS108" s="152">
        <v>6</v>
      </c>
      <c r="BT108" s="152">
        <v>8</v>
      </c>
      <c r="BU108" s="152">
        <v>1</v>
      </c>
      <c r="BV108" s="152">
        <v>0</v>
      </c>
      <c r="BW108" s="152">
        <v>0</v>
      </c>
      <c r="BX108" s="152">
        <v>0</v>
      </c>
      <c r="BY108" s="152" t="s">
        <v>163</v>
      </c>
      <c r="BZ108" s="152">
        <v>0</v>
      </c>
      <c r="CA108" s="152"/>
      <c r="CB108" s="158"/>
      <c r="CC108" s="158"/>
      <c r="CD108" s="152"/>
      <c r="CE108" s="152" t="s">
        <v>163</v>
      </c>
      <c r="CF108" s="152"/>
      <c r="CG108" s="152"/>
      <c r="CH108" s="375">
        <v>0</v>
      </c>
      <c r="CI108" s="152">
        <v>0</v>
      </c>
      <c r="CJ108" s="152"/>
      <c r="CK108" s="152" t="s">
        <v>1651</v>
      </c>
    </row>
    <row r="109" spans="1:89" ht="24.95" hidden="1" customHeight="1">
      <c r="A109" s="152">
        <v>113</v>
      </c>
      <c r="B109" s="152" t="s">
        <v>1652</v>
      </c>
      <c r="C109" s="152" t="s">
        <v>1653</v>
      </c>
      <c r="D109" s="152"/>
      <c r="E109" s="152" t="s">
        <v>1654</v>
      </c>
      <c r="F109" s="152" t="s">
        <v>25</v>
      </c>
      <c r="G109" s="152">
        <v>5</v>
      </c>
      <c r="H109" s="152" t="s">
        <v>52</v>
      </c>
      <c r="I109" s="152" t="s">
        <v>39</v>
      </c>
      <c r="J109" s="152" t="s">
        <v>602</v>
      </c>
      <c r="K109" s="152" t="s">
        <v>922</v>
      </c>
      <c r="L109" s="152" t="s">
        <v>46</v>
      </c>
      <c r="M109" s="152" t="s">
        <v>163</v>
      </c>
      <c r="N109" s="152">
        <v>1317323</v>
      </c>
      <c r="O109" s="242" t="s">
        <v>151</v>
      </c>
      <c r="P109" s="243" t="s">
        <v>151</v>
      </c>
      <c r="Q109" s="152" t="s">
        <v>151</v>
      </c>
      <c r="R109" s="152" t="s">
        <v>1655</v>
      </c>
      <c r="S109" s="152" t="s">
        <v>1656</v>
      </c>
      <c r="T109" s="347" t="s">
        <v>1657</v>
      </c>
      <c r="U109" s="154" t="s">
        <v>1658</v>
      </c>
      <c r="V109" s="154">
        <v>29492</v>
      </c>
      <c r="W109" s="161" t="s">
        <v>1659</v>
      </c>
      <c r="X109" s="161" t="s">
        <v>1660</v>
      </c>
      <c r="Y109" s="161" t="s">
        <v>163</v>
      </c>
      <c r="Z109" s="161" t="s">
        <v>1661</v>
      </c>
      <c r="AA109" s="152">
        <v>25</v>
      </c>
      <c r="AB109" s="154">
        <v>42222</v>
      </c>
      <c r="AC109" s="286">
        <v>42064</v>
      </c>
      <c r="AD109" s="154"/>
      <c r="AE109" s="34" t="s">
        <v>1662</v>
      </c>
      <c r="AF109" s="34" t="s">
        <v>1663</v>
      </c>
      <c r="AG109" s="152"/>
      <c r="AH109" s="152">
        <f t="shared" si="23"/>
        <v>2</v>
      </c>
      <c r="AI109" s="161" t="s">
        <v>161</v>
      </c>
      <c r="AJ109" s="33" t="s">
        <v>162</v>
      </c>
      <c r="AK109" s="152"/>
      <c r="AL109" s="152" t="s">
        <v>150</v>
      </c>
      <c r="AM109" s="152" t="s">
        <v>163</v>
      </c>
      <c r="AN109" s="152"/>
      <c r="AO109" s="152" t="s">
        <v>164</v>
      </c>
      <c r="AP109" s="152"/>
      <c r="AQ109" s="152" t="s">
        <v>165</v>
      </c>
      <c r="AR109" s="152" t="s">
        <v>150</v>
      </c>
      <c r="AS109" s="152" t="s">
        <v>1664</v>
      </c>
      <c r="AT109" s="30" t="s">
        <v>1665</v>
      </c>
      <c r="AU109" s="152" t="s">
        <v>1666</v>
      </c>
      <c r="AV109" s="152" t="s">
        <v>163</v>
      </c>
      <c r="AW109" s="155">
        <v>42065</v>
      </c>
      <c r="AX109" s="155">
        <v>42310</v>
      </c>
      <c r="AY109" s="155" t="s">
        <v>150</v>
      </c>
      <c r="AZ109" s="155">
        <v>42412</v>
      </c>
      <c r="BA109" s="155">
        <v>42467</v>
      </c>
      <c r="BB109" s="155"/>
      <c r="BC109" s="155"/>
      <c r="BD109" s="155"/>
      <c r="BE109" s="156" t="s">
        <v>1667</v>
      </c>
      <c r="BF109" s="155">
        <v>42947</v>
      </c>
      <c r="BG109" s="155" t="s">
        <v>150</v>
      </c>
      <c r="BH109" s="155">
        <v>43164</v>
      </c>
      <c r="BI109" s="155" t="s">
        <v>150</v>
      </c>
      <c r="BJ109" s="154"/>
      <c r="BK109" s="154"/>
      <c r="BL109" s="154"/>
      <c r="BM109" s="157">
        <v>43769</v>
      </c>
      <c r="BN109" s="152" t="s">
        <v>16</v>
      </c>
      <c r="BO109" s="241">
        <f t="shared" si="29"/>
        <v>56</v>
      </c>
      <c r="BP109" s="152">
        <f t="shared" si="28"/>
        <v>48</v>
      </c>
      <c r="BQ109" s="152"/>
      <c r="BR109" s="152">
        <v>3</v>
      </c>
      <c r="BS109" s="152">
        <v>8</v>
      </c>
      <c r="BT109" s="152">
        <v>4</v>
      </c>
      <c r="BU109" s="152">
        <v>2</v>
      </c>
      <c r="BV109" s="152">
        <v>0</v>
      </c>
      <c r="BW109" s="152">
        <v>0</v>
      </c>
      <c r="BX109" s="152">
        <v>0</v>
      </c>
      <c r="BY109" s="152" t="s">
        <v>163</v>
      </c>
      <c r="BZ109" s="152">
        <v>0</v>
      </c>
      <c r="CA109" s="152"/>
      <c r="CB109" s="158"/>
      <c r="CC109" s="158"/>
      <c r="CD109" s="152"/>
      <c r="CE109" s="152" t="s">
        <v>163</v>
      </c>
      <c r="CF109" s="152"/>
      <c r="CG109" s="152"/>
      <c r="CH109" s="375">
        <v>1</v>
      </c>
      <c r="CI109" s="152">
        <v>2</v>
      </c>
      <c r="CJ109" s="152"/>
      <c r="CK109" s="152" t="s">
        <v>809</v>
      </c>
    </row>
    <row r="110" spans="1:89" ht="24.95" hidden="1" customHeight="1">
      <c r="A110" s="152">
        <v>114</v>
      </c>
      <c r="B110" s="152" t="s">
        <v>1668</v>
      </c>
      <c r="C110" s="152" t="s">
        <v>1475</v>
      </c>
      <c r="D110" s="152" t="s">
        <v>1669</v>
      </c>
      <c r="E110" s="152" t="s">
        <v>1670</v>
      </c>
      <c r="F110" s="152" t="s">
        <v>25</v>
      </c>
      <c r="G110" s="152">
        <v>5</v>
      </c>
      <c r="H110" s="152" t="s">
        <v>54</v>
      </c>
      <c r="I110" s="152" t="s">
        <v>41</v>
      </c>
      <c r="J110" s="152" t="s">
        <v>1671</v>
      </c>
      <c r="K110" s="152" t="s">
        <v>1671</v>
      </c>
      <c r="L110" s="152" t="s">
        <v>41</v>
      </c>
      <c r="M110" s="152" t="s">
        <v>150</v>
      </c>
      <c r="N110" s="244" t="s">
        <v>1672</v>
      </c>
      <c r="O110" s="245" t="s">
        <v>151</v>
      </c>
      <c r="P110" s="248" t="s">
        <v>151</v>
      </c>
      <c r="Q110" s="152" t="s">
        <v>151</v>
      </c>
      <c r="R110" s="152" t="s">
        <v>1673</v>
      </c>
      <c r="S110" s="152" t="s">
        <v>1674</v>
      </c>
      <c r="T110" s="347" t="s">
        <v>1675</v>
      </c>
      <c r="U110" s="154" t="s">
        <v>1676</v>
      </c>
      <c r="V110" s="154">
        <v>29943</v>
      </c>
      <c r="W110" s="161" t="s">
        <v>1677</v>
      </c>
      <c r="X110" s="161" t="s">
        <v>1678</v>
      </c>
      <c r="Y110" s="161" t="s">
        <v>163</v>
      </c>
      <c r="Z110" s="161" t="s">
        <v>158</v>
      </c>
      <c r="AA110" s="152">
        <v>17</v>
      </c>
      <c r="AB110" s="154">
        <v>41744</v>
      </c>
      <c r="AC110" s="286">
        <v>42064</v>
      </c>
      <c r="AD110" s="154"/>
      <c r="AE110" s="33" t="s">
        <v>1483</v>
      </c>
      <c r="AF110" s="34"/>
      <c r="AG110" s="163"/>
      <c r="AH110" s="152">
        <f t="shared" si="23"/>
        <v>1</v>
      </c>
      <c r="AI110" s="161" t="s">
        <v>161</v>
      </c>
      <c r="AJ110" s="163"/>
      <c r="AK110" s="163"/>
      <c r="AL110" s="163" t="s">
        <v>150</v>
      </c>
      <c r="AM110" s="163"/>
      <c r="AN110" s="163"/>
      <c r="AO110" s="163" t="s">
        <v>164</v>
      </c>
      <c r="AP110" s="163" t="s">
        <v>181</v>
      </c>
      <c r="AQ110" s="163" t="s">
        <v>1424</v>
      </c>
      <c r="AR110" s="163" t="s">
        <v>150</v>
      </c>
      <c r="AS110" s="163"/>
      <c r="AT110" s="416" t="s">
        <v>285</v>
      </c>
      <c r="AU110" s="152" t="s">
        <v>1679</v>
      </c>
      <c r="AV110" s="33"/>
      <c r="AW110" s="155">
        <v>42065</v>
      </c>
      <c r="AX110" s="155">
        <v>42310</v>
      </c>
      <c r="AY110" s="155" t="s">
        <v>150</v>
      </c>
      <c r="AZ110" s="155">
        <v>44381</v>
      </c>
      <c r="BA110" s="155">
        <v>44381</v>
      </c>
      <c r="BB110" s="155"/>
      <c r="BC110" s="155"/>
      <c r="BD110" s="155"/>
      <c r="BE110" s="156"/>
      <c r="BF110" s="155">
        <v>42947</v>
      </c>
      <c r="BG110" s="155" t="s">
        <v>150</v>
      </c>
      <c r="BH110" s="155">
        <v>43528</v>
      </c>
      <c r="BI110" s="155" t="s">
        <v>163</v>
      </c>
      <c r="BJ110" s="154"/>
      <c r="BK110" s="154"/>
      <c r="BL110" s="154"/>
      <c r="BM110" s="157">
        <v>43327</v>
      </c>
      <c r="BN110" s="152" t="s">
        <v>16</v>
      </c>
      <c r="BO110" s="241">
        <f t="shared" si="29"/>
        <v>42</v>
      </c>
      <c r="BP110" s="152">
        <f t="shared" si="28"/>
        <v>34</v>
      </c>
      <c r="BQ110" s="152"/>
      <c r="BR110" s="152">
        <v>1</v>
      </c>
      <c r="BS110" s="152">
        <v>0</v>
      </c>
      <c r="BT110" s="152">
        <v>1</v>
      </c>
      <c r="BU110" s="152">
        <v>6</v>
      </c>
      <c r="BV110" s="152">
        <v>0</v>
      </c>
      <c r="BW110" s="152">
        <v>0</v>
      </c>
      <c r="BX110" s="152">
        <v>0</v>
      </c>
      <c r="BY110" s="152" t="s">
        <v>1680</v>
      </c>
      <c r="BZ110" s="152">
        <v>0</v>
      </c>
      <c r="CA110" s="152"/>
      <c r="CB110" s="158"/>
      <c r="CC110" s="158"/>
      <c r="CD110" s="152"/>
      <c r="CE110" s="152" t="s">
        <v>163</v>
      </c>
      <c r="CF110" s="152"/>
      <c r="CG110" s="152"/>
      <c r="CH110" s="375">
        <v>2</v>
      </c>
      <c r="CI110" s="152">
        <v>4</v>
      </c>
      <c r="CJ110" s="152"/>
      <c r="CK110" s="152" t="s">
        <v>809</v>
      </c>
    </row>
    <row r="111" spans="1:89" ht="24.95" hidden="1" customHeight="1">
      <c r="A111" s="152">
        <v>115</v>
      </c>
      <c r="B111" s="152" t="s">
        <v>1681</v>
      </c>
      <c r="C111" s="152" t="s">
        <v>1682</v>
      </c>
      <c r="D111" s="152"/>
      <c r="E111" s="152" t="s">
        <v>1683</v>
      </c>
      <c r="F111" s="152" t="s">
        <v>24</v>
      </c>
      <c r="G111" s="152">
        <v>5</v>
      </c>
      <c r="H111" s="152" t="s">
        <v>53</v>
      </c>
      <c r="I111" s="152" t="s">
        <v>47</v>
      </c>
      <c r="J111" s="152" t="s">
        <v>1684</v>
      </c>
      <c r="K111" s="152" t="s">
        <v>602</v>
      </c>
      <c r="L111" s="152" t="s">
        <v>47</v>
      </c>
      <c r="M111" s="152" t="s">
        <v>150</v>
      </c>
      <c r="N111" s="153" t="s">
        <v>1685</v>
      </c>
      <c r="O111" s="242" t="s">
        <v>151</v>
      </c>
      <c r="P111" s="243" t="s">
        <v>151</v>
      </c>
      <c r="Q111" s="152" t="s">
        <v>151</v>
      </c>
      <c r="R111" s="152" t="s">
        <v>1686</v>
      </c>
      <c r="S111" s="152" t="s">
        <v>1687</v>
      </c>
      <c r="T111" s="347" t="s">
        <v>1688</v>
      </c>
      <c r="U111" s="154" t="s">
        <v>1197</v>
      </c>
      <c r="V111" s="154">
        <v>27299</v>
      </c>
      <c r="W111" s="161" t="s">
        <v>1689</v>
      </c>
      <c r="X111" s="161" t="s">
        <v>179</v>
      </c>
      <c r="Y111" s="161" t="s">
        <v>163</v>
      </c>
      <c r="Z111" s="161" t="s">
        <v>158</v>
      </c>
      <c r="AA111" s="152">
        <v>20</v>
      </c>
      <c r="AB111" s="154">
        <v>42079</v>
      </c>
      <c r="AC111" s="286">
        <v>42064</v>
      </c>
      <c r="AD111" s="154"/>
      <c r="AE111" s="34" t="s">
        <v>1690</v>
      </c>
      <c r="AF111" s="34" t="s">
        <v>1691</v>
      </c>
      <c r="AG111" s="34" t="s">
        <v>1692</v>
      </c>
      <c r="AH111" s="152">
        <f t="shared" si="23"/>
        <v>3</v>
      </c>
      <c r="AI111" s="161" t="s">
        <v>161</v>
      </c>
      <c r="AJ111" s="152" t="s">
        <v>202</v>
      </c>
      <c r="AK111" s="152" t="s">
        <v>202</v>
      </c>
      <c r="AL111" s="152" t="s">
        <v>150</v>
      </c>
      <c r="AM111" s="152" t="s">
        <v>157</v>
      </c>
      <c r="AN111" s="152" t="s">
        <v>163</v>
      </c>
      <c r="AO111" s="152" t="s">
        <v>164</v>
      </c>
      <c r="AP111" s="152"/>
      <c r="AQ111" s="152"/>
      <c r="AR111" s="152"/>
      <c r="AS111" s="152"/>
      <c r="AT111" s="30" t="s">
        <v>298</v>
      </c>
      <c r="AU111" s="152" t="s">
        <v>1693</v>
      </c>
      <c r="AV111" s="33" t="s">
        <v>157</v>
      </c>
      <c r="AW111" s="155">
        <v>42065</v>
      </c>
      <c r="AX111" s="155">
        <v>42310</v>
      </c>
      <c r="AY111" s="155" t="s">
        <v>150</v>
      </c>
      <c r="AZ111" s="155"/>
      <c r="BA111" s="155"/>
      <c r="BB111" s="155"/>
      <c r="BC111" s="155"/>
      <c r="BD111" s="155"/>
      <c r="BE111" s="156"/>
      <c r="BF111" s="155">
        <v>42947</v>
      </c>
      <c r="BG111" s="155" t="s">
        <v>150</v>
      </c>
      <c r="BH111" s="155">
        <v>43164</v>
      </c>
      <c r="BI111" s="155" t="s">
        <v>150</v>
      </c>
      <c r="BJ111" s="154"/>
      <c r="BK111" s="154"/>
      <c r="BL111" s="154"/>
      <c r="BM111" s="157">
        <v>43909</v>
      </c>
      <c r="BN111" s="152" t="s">
        <v>16</v>
      </c>
      <c r="BO111" s="241">
        <f t="shared" si="29"/>
        <v>61</v>
      </c>
      <c r="BP111" s="152">
        <f t="shared" si="28"/>
        <v>53</v>
      </c>
      <c r="BQ111" s="152"/>
      <c r="BR111" s="152">
        <v>0</v>
      </c>
      <c r="BS111" s="152">
        <v>3</v>
      </c>
      <c r="BT111" s="152">
        <v>1</v>
      </c>
      <c r="BU111" s="152">
        <v>0</v>
      </c>
      <c r="BV111" s="152">
        <v>0</v>
      </c>
      <c r="BW111" s="152">
        <v>0</v>
      </c>
      <c r="BX111" s="152">
        <v>0</v>
      </c>
      <c r="BY111" s="152" t="s">
        <v>163</v>
      </c>
      <c r="BZ111" s="152">
        <v>0</v>
      </c>
      <c r="CA111" s="152"/>
      <c r="CB111" s="158"/>
      <c r="CC111" s="158"/>
      <c r="CD111" s="152"/>
      <c r="CE111" s="152" t="s">
        <v>163</v>
      </c>
      <c r="CF111" s="152"/>
      <c r="CG111" s="152"/>
      <c r="CH111" s="375">
        <v>2</v>
      </c>
      <c r="CI111" s="152">
        <v>2</v>
      </c>
      <c r="CJ111" s="152"/>
      <c r="CK111" s="152" t="s">
        <v>809</v>
      </c>
    </row>
    <row r="112" spans="1:89" ht="24.95" hidden="1" customHeight="1">
      <c r="A112" s="152">
        <v>116</v>
      </c>
      <c r="B112" s="152" t="s">
        <v>1694</v>
      </c>
      <c r="C112" s="152" t="s">
        <v>1695</v>
      </c>
      <c r="D112" s="152" t="s">
        <v>1696</v>
      </c>
      <c r="E112" s="152" t="s">
        <v>1697</v>
      </c>
      <c r="F112" s="152" t="s">
        <v>25</v>
      </c>
      <c r="G112" s="152">
        <v>5</v>
      </c>
      <c r="H112" s="152" t="s">
        <v>53</v>
      </c>
      <c r="I112" s="152" t="s">
        <v>47</v>
      </c>
      <c r="J112" s="152" t="s">
        <v>1698</v>
      </c>
      <c r="K112" s="152" t="s">
        <v>602</v>
      </c>
      <c r="L112" s="152" t="s">
        <v>47</v>
      </c>
      <c r="M112" s="152" t="s">
        <v>150</v>
      </c>
      <c r="N112" s="153" t="s">
        <v>1699</v>
      </c>
      <c r="O112" s="242" t="s">
        <v>151</v>
      </c>
      <c r="P112" s="243" t="s">
        <v>151</v>
      </c>
      <c r="Q112" s="152" t="s">
        <v>151</v>
      </c>
      <c r="R112" s="152" t="s">
        <v>1700</v>
      </c>
      <c r="S112" s="152" t="s">
        <v>1701</v>
      </c>
      <c r="T112" s="347" t="s">
        <v>1702</v>
      </c>
      <c r="U112" s="154" t="s">
        <v>1703</v>
      </c>
      <c r="V112" s="154">
        <v>25693</v>
      </c>
      <c r="W112" s="161" t="s">
        <v>1704</v>
      </c>
      <c r="X112" s="161" t="s">
        <v>179</v>
      </c>
      <c r="Y112" s="161" t="s">
        <v>163</v>
      </c>
      <c r="Z112" s="161" t="s">
        <v>158</v>
      </c>
      <c r="AA112" s="152">
        <v>30</v>
      </c>
      <c r="AB112" s="154">
        <v>42352</v>
      </c>
      <c r="AC112" s="286">
        <v>42064</v>
      </c>
      <c r="AD112" s="154"/>
      <c r="AE112" s="34" t="s">
        <v>1690</v>
      </c>
      <c r="AF112" s="34" t="s">
        <v>1705</v>
      </c>
      <c r="AG112" s="152"/>
      <c r="AH112" s="152">
        <f t="shared" si="23"/>
        <v>2</v>
      </c>
      <c r="AI112" s="161" t="s">
        <v>161</v>
      </c>
      <c r="AJ112" s="161" t="s">
        <v>161</v>
      </c>
      <c r="AK112" s="152"/>
      <c r="AL112" s="152" t="s">
        <v>150</v>
      </c>
      <c r="AM112" s="152" t="s">
        <v>163</v>
      </c>
      <c r="AN112" s="152"/>
      <c r="AO112" s="152" t="s">
        <v>164</v>
      </c>
      <c r="AP112" s="152" t="s">
        <v>203</v>
      </c>
      <c r="AQ112" s="152"/>
      <c r="AR112" s="152"/>
      <c r="AS112" s="152"/>
      <c r="AT112" s="30" t="s">
        <v>298</v>
      </c>
      <c r="AU112" s="152" t="s">
        <v>1706</v>
      </c>
      <c r="AV112" s="33" t="s">
        <v>163</v>
      </c>
      <c r="AW112" s="155">
        <v>42065</v>
      </c>
      <c r="AX112" s="155">
        <v>42310</v>
      </c>
      <c r="AY112" s="155" t="s">
        <v>150</v>
      </c>
      <c r="AZ112" s="155">
        <v>42166</v>
      </c>
      <c r="BA112" s="155">
        <v>42382</v>
      </c>
      <c r="BB112" s="155"/>
      <c r="BC112" s="155"/>
      <c r="BD112" s="155"/>
      <c r="BE112" s="156" t="s">
        <v>1707</v>
      </c>
      <c r="BF112" s="155">
        <v>42947</v>
      </c>
      <c r="BG112" s="155" t="s">
        <v>150</v>
      </c>
      <c r="BH112" s="155">
        <v>43164</v>
      </c>
      <c r="BI112" s="155" t="s">
        <v>150</v>
      </c>
      <c r="BJ112" s="154"/>
      <c r="BK112" s="154"/>
      <c r="BL112" s="154"/>
      <c r="BM112" s="157">
        <v>43799</v>
      </c>
      <c r="BN112" s="152" t="s">
        <v>16</v>
      </c>
      <c r="BO112" s="241">
        <f t="shared" si="29"/>
        <v>57</v>
      </c>
      <c r="BP112" s="152">
        <f t="shared" si="28"/>
        <v>49</v>
      </c>
      <c r="BQ112" s="152"/>
      <c r="BR112" s="152">
        <v>0</v>
      </c>
      <c r="BS112" s="152">
        <v>4</v>
      </c>
      <c r="BT112" s="152">
        <v>2</v>
      </c>
      <c r="BU112" s="152">
        <v>2</v>
      </c>
      <c r="BV112" s="152">
        <v>0</v>
      </c>
      <c r="BW112" s="152">
        <v>0</v>
      </c>
      <c r="BX112" s="152">
        <v>0</v>
      </c>
      <c r="BY112" s="152" t="s">
        <v>163</v>
      </c>
      <c r="BZ112" s="152">
        <v>0</v>
      </c>
      <c r="CA112" s="152"/>
      <c r="CB112" s="158"/>
      <c r="CC112" s="158"/>
      <c r="CD112" s="152"/>
      <c r="CE112" s="152" t="s">
        <v>163</v>
      </c>
      <c r="CF112" s="152"/>
      <c r="CG112" s="152"/>
      <c r="CH112" s="375" t="s">
        <v>168</v>
      </c>
      <c r="CI112" s="152" t="s">
        <v>168</v>
      </c>
      <c r="CJ112" s="152"/>
      <c r="CK112" s="152" t="s">
        <v>809</v>
      </c>
    </row>
    <row r="113" spans="1:102" s="114" customFormat="1" ht="24.95" hidden="1" customHeight="1">
      <c r="A113" s="91">
        <v>117</v>
      </c>
      <c r="B113" s="91" t="s">
        <v>1708</v>
      </c>
      <c r="C113" s="91" t="s">
        <v>1709</v>
      </c>
      <c r="D113" s="91" t="s">
        <v>1710</v>
      </c>
      <c r="E113" s="91" t="s">
        <v>1711</v>
      </c>
      <c r="F113" s="91" t="s">
        <v>25</v>
      </c>
      <c r="G113" s="91">
        <v>5</v>
      </c>
      <c r="H113" s="91" t="s">
        <v>58</v>
      </c>
      <c r="I113" s="91" t="s">
        <v>46</v>
      </c>
      <c r="J113" s="91" t="s">
        <v>1712</v>
      </c>
      <c r="K113" s="91" t="s">
        <v>868</v>
      </c>
      <c r="L113" s="91" t="s">
        <v>46</v>
      </c>
      <c r="M113" s="91" t="s">
        <v>150</v>
      </c>
      <c r="N113" s="91" t="s">
        <v>1713</v>
      </c>
      <c r="O113" s="249"/>
      <c r="P113" s="250" t="s">
        <v>151</v>
      </c>
      <c r="Q113" s="91"/>
      <c r="R113" s="91" t="s">
        <v>1714</v>
      </c>
      <c r="S113" s="91" t="s">
        <v>1715</v>
      </c>
      <c r="T113" s="200">
        <v>27761643215</v>
      </c>
      <c r="U113" s="92" t="s">
        <v>1716</v>
      </c>
      <c r="V113" s="92"/>
      <c r="W113" s="164" t="s">
        <v>1717</v>
      </c>
      <c r="X113" s="164" t="s">
        <v>156</v>
      </c>
      <c r="Y113" s="164" t="s">
        <v>163</v>
      </c>
      <c r="Z113" s="164" t="s">
        <v>158</v>
      </c>
      <c r="AA113" s="91">
        <v>18</v>
      </c>
      <c r="AB113" s="92">
        <v>42767</v>
      </c>
      <c r="AC113" s="281">
        <v>42064</v>
      </c>
      <c r="AD113" s="92">
        <v>45741</v>
      </c>
      <c r="AE113" s="50" t="s">
        <v>1718</v>
      </c>
      <c r="AF113" s="50" t="s">
        <v>1719</v>
      </c>
      <c r="AG113" s="91"/>
      <c r="AH113" s="91">
        <f t="shared" si="23"/>
        <v>2</v>
      </c>
      <c r="AI113" s="164" t="s">
        <v>161</v>
      </c>
      <c r="AJ113" s="164" t="s">
        <v>161</v>
      </c>
      <c r="AK113" s="91"/>
      <c r="AL113" s="91" t="s">
        <v>163</v>
      </c>
      <c r="AM113" s="91" t="s">
        <v>150</v>
      </c>
      <c r="AN113" s="91"/>
      <c r="AO113" s="91" t="s">
        <v>182</v>
      </c>
      <c r="AP113" s="91" t="s">
        <v>1720</v>
      </c>
      <c r="AQ113" s="91" t="s">
        <v>1720</v>
      </c>
      <c r="AR113" s="91"/>
      <c r="AS113" s="91"/>
      <c r="AT113" s="10" t="s">
        <v>1721</v>
      </c>
      <c r="AU113" s="91" t="s">
        <v>1722</v>
      </c>
      <c r="AV113" s="91" t="s">
        <v>150</v>
      </c>
      <c r="AW113" s="93">
        <v>42065</v>
      </c>
      <c r="AX113" s="93">
        <v>42310</v>
      </c>
      <c r="AY113" s="93" t="s">
        <v>150</v>
      </c>
      <c r="AZ113" s="93"/>
      <c r="BA113" s="93"/>
      <c r="BB113" s="93"/>
      <c r="BC113" s="93"/>
      <c r="BD113" s="93"/>
      <c r="BE113" s="94"/>
      <c r="BF113" s="93">
        <v>42947</v>
      </c>
      <c r="BG113" s="93" t="s">
        <v>150</v>
      </c>
      <c r="BH113" s="93">
        <v>43164</v>
      </c>
      <c r="BI113" s="93" t="s">
        <v>150</v>
      </c>
      <c r="BJ113" s="92"/>
      <c r="BK113" s="92"/>
      <c r="BL113" s="92"/>
      <c r="BM113" s="109"/>
      <c r="BN113" s="193" t="s">
        <v>18</v>
      </c>
      <c r="BO113" s="265"/>
      <c r="BP113" s="91"/>
      <c r="BQ113" s="91"/>
      <c r="BR113" s="91">
        <v>0</v>
      </c>
      <c r="BS113" s="91">
        <v>0</v>
      </c>
      <c r="BT113" s="91">
        <v>14</v>
      </c>
      <c r="BU113" s="91">
        <v>0</v>
      </c>
      <c r="BV113" s="91">
        <v>0</v>
      </c>
      <c r="BW113" s="91">
        <v>0</v>
      </c>
      <c r="BX113" s="91">
        <v>0</v>
      </c>
      <c r="BY113" s="91" t="s">
        <v>1723</v>
      </c>
      <c r="BZ113" s="91">
        <v>0</v>
      </c>
      <c r="CA113" s="91"/>
      <c r="CB113" s="95"/>
      <c r="CC113" s="95"/>
      <c r="CD113" s="91"/>
      <c r="CE113" s="91" t="s">
        <v>163</v>
      </c>
      <c r="CF113" s="91"/>
      <c r="CG113" s="91"/>
      <c r="CH113" s="113" t="s">
        <v>168</v>
      </c>
      <c r="CI113" s="91" t="s">
        <v>168</v>
      </c>
      <c r="CJ113" s="91"/>
      <c r="CK113" s="91" t="s">
        <v>809</v>
      </c>
      <c r="CS113" s="364"/>
      <c r="CT113" s="364"/>
      <c r="CU113" s="364"/>
      <c r="CW113" s="364"/>
      <c r="CX113" s="364"/>
    </row>
    <row r="114" spans="1:102" ht="24.95" hidden="1" customHeight="1">
      <c r="A114" s="152">
        <v>118</v>
      </c>
      <c r="B114" s="152" t="s">
        <v>1724</v>
      </c>
      <c r="C114" s="152" t="s">
        <v>1725</v>
      </c>
      <c r="D114" s="152" t="s">
        <v>1726</v>
      </c>
      <c r="E114" s="152" t="s">
        <v>1727</v>
      </c>
      <c r="F114" s="152" t="s">
        <v>24</v>
      </c>
      <c r="G114" s="152">
        <v>5</v>
      </c>
      <c r="H114" s="152" t="s">
        <v>54</v>
      </c>
      <c r="I114" s="152" t="s">
        <v>33</v>
      </c>
      <c r="J114" s="152" t="s">
        <v>1728</v>
      </c>
      <c r="K114" s="152" t="s">
        <v>1729</v>
      </c>
      <c r="L114" s="152" t="s">
        <v>33</v>
      </c>
      <c r="M114" s="152" t="s">
        <v>150</v>
      </c>
      <c r="N114" s="152">
        <v>12963</v>
      </c>
      <c r="O114" s="242"/>
      <c r="P114" s="243" t="s">
        <v>151</v>
      </c>
      <c r="Q114" s="152"/>
      <c r="R114" s="152" t="s">
        <v>1730</v>
      </c>
      <c r="S114" s="160" t="s">
        <v>1731</v>
      </c>
      <c r="T114" s="347" t="s">
        <v>1732</v>
      </c>
      <c r="U114" s="154" t="s">
        <v>1733</v>
      </c>
      <c r="V114" s="154">
        <v>29252</v>
      </c>
      <c r="W114" s="161" t="s">
        <v>1734</v>
      </c>
      <c r="X114" s="161" t="s">
        <v>156</v>
      </c>
      <c r="Y114" s="161" t="s">
        <v>157</v>
      </c>
      <c r="Z114" s="161" t="s">
        <v>158</v>
      </c>
      <c r="AA114" s="152">
        <v>13</v>
      </c>
      <c r="AB114" s="154">
        <v>41459</v>
      </c>
      <c r="AC114" s="286">
        <v>42064</v>
      </c>
      <c r="AD114" s="154"/>
      <c r="AE114" s="34" t="s">
        <v>1735</v>
      </c>
      <c r="AF114" s="152"/>
      <c r="AG114" s="152"/>
      <c r="AH114" s="152">
        <f t="shared" si="23"/>
        <v>1</v>
      </c>
      <c r="AI114" s="161" t="s">
        <v>161</v>
      </c>
      <c r="AJ114" s="152"/>
      <c r="AK114" s="152"/>
      <c r="AL114" s="152" t="s">
        <v>150</v>
      </c>
      <c r="AM114" s="152"/>
      <c r="AN114" s="152"/>
      <c r="AO114" s="152" t="s">
        <v>164</v>
      </c>
      <c r="AP114" s="152" t="s">
        <v>203</v>
      </c>
      <c r="AQ114" s="152" t="s">
        <v>203</v>
      </c>
      <c r="AR114" s="152"/>
      <c r="AS114" s="152"/>
      <c r="AT114" s="30" t="s">
        <v>328</v>
      </c>
      <c r="AU114" s="152" t="s">
        <v>1736</v>
      </c>
      <c r="AV114" s="152"/>
      <c r="AW114" s="155">
        <v>42065</v>
      </c>
      <c r="AX114" s="155">
        <v>42310</v>
      </c>
      <c r="AY114" s="155" t="s">
        <v>150</v>
      </c>
      <c r="AZ114" s="155">
        <v>42037</v>
      </c>
      <c r="BA114" s="155">
        <v>42471</v>
      </c>
      <c r="BB114" s="155"/>
      <c r="BC114" s="155"/>
      <c r="BD114" s="155"/>
      <c r="BE114" s="156" t="s">
        <v>1737</v>
      </c>
      <c r="BF114" s="155">
        <v>42947</v>
      </c>
      <c r="BG114" s="155" t="s">
        <v>150</v>
      </c>
      <c r="BH114" s="155">
        <v>43164</v>
      </c>
      <c r="BI114" s="155" t="s">
        <v>150</v>
      </c>
      <c r="BJ114" s="154"/>
      <c r="BK114" s="154"/>
      <c r="BL114" s="154"/>
      <c r="BM114" s="157">
        <v>44957</v>
      </c>
      <c r="BN114" s="152" t="s">
        <v>16</v>
      </c>
      <c r="BO114" s="241">
        <f t="shared" si="29"/>
        <v>95</v>
      </c>
      <c r="BP114" s="152">
        <f>DATEDIF(AX114,BM114, "M")+1</f>
        <v>87</v>
      </c>
      <c r="BQ114" s="241" t="s">
        <v>1738</v>
      </c>
      <c r="BR114" s="152">
        <v>0</v>
      </c>
      <c r="BS114" s="152">
        <v>25</v>
      </c>
      <c r="BT114" s="152">
        <v>0</v>
      </c>
      <c r="BU114" s="152">
        <v>3</v>
      </c>
      <c r="BV114" s="152">
        <v>1</v>
      </c>
      <c r="BW114" s="152">
        <v>1</v>
      </c>
      <c r="BX114" s="152">
        <v>1</v>
      </c>
      <c r="BY114" s="152" t="s">
        <v>163</v>
      </c>
      <c r="BZ114" s="152">
        <v>0</v>
      </c>
      <c r="CA114" s="152"/>
      <c r="CB114" s="158"/>
      <c r="CC114" s="158"/>
      <c r="CD114" s="152"/>
      <c r="CE114" s="152" t="s">
        <v>163</v>
      </c>
      <c r="CF114" s="152"/>
      <c r="CG114" s="152"/>
      <c r="CH114" s="375">
        <v>2</v>
      </c>
      <c r="CI114" s="152">
        <v>3</v>
      </c>
      <c r="CJ114" s="152"/>
      <c r="CK114" s="152" t="s">
        <v>809</v>
      </c>
    </row>
    <row r="115" spans="1:102" ht="24.95" hidden="1" customHeight="1">
      <c r="A115" s="91">
        <v>119</v>
      </c>
      <c r="B115" s="91" t="s">
        <v>1739</v>
      </c>
      <c r="C115" s="91" t="s">
        <v>1740</v>
      </c>
      <c r="D115" s="91" t="s">
        <v>1556</v>
      </c>
      <c r="E115" s="91" t="s">
        <v>1741</v>
      </c>
      <c r="F115" s="91" t="s">
        <v>24</v>
      </c>
      <c r="G115" s="91">
        <v>5</v>
      </c>
      <c r="H115" s="91" t="s">
        <v>60</v>
      </c>
      <c r="I115" s="91" t="s">
        <v>37</v>
      </c>
      <c r="J115" s="91" t="s">
        <v>1083</v>
      </c>
      <c r="K115" s="91" t="s">
        <v>1742</v>
      </c>
      <c r="L115" s="91" t="s">
        <v>37</v>
      </c>
      <c r="M115" s="91" t="s">
        <v>150</v>
      </c>
      <c r="N115" s="91"/>
      <c r="O115" s="249" t="s">
        <v>168</v>
      </c>
      <c r="P115" s="250" t="s">
        <v>168</v>
      </c>
      <c r="Q115" s="91"/>
      <c r="R115" s="91" t="s">
        <v>1743</v>
      </c>
      <c r="S115" s="91" t="s">
        <v>1744</v>
      </c>
      <c r="T115" s="341" t="s">
        <v>1745</v>
      </c>
      <c r="U115" s="92" t="s">
        <v>168</v>
      </c>
      <c r="V115" s="92"/>
      <c r="W115" s="164" t="s">
        <v>1746</v>
      </c>
      <c r="X115" s="164" t="s">
        <v>179</v>
      </c>
      <c r="Y115" s="164" t="s">
        <v>163</v>
      </c>
      <c r="Z115" s="164" t="s">
        <v>158</v>
      </c>
      <c r="AA115" s="91">
        <v>15</v>
      </c>
      <c r="AB115" s="92">
        <v>42064</v>
      </c>
      <c r="AC115" s="281">
        <v>42064</v>
      </c>
      <c r="AD115" s="92">
        <v>43930</v>
      </c>
      <c r="AE115" s="50" t="s">
        <v>1747</v>
      </c>
      <c r="AF115" s="50" t="s">
        <v>1748</v>
      </c>
      <c r="AG115" s="50" t="s">
        <v>1749</v>
      </c>
      <c r="AH115" s="91">
        <f t="shared" si="23"/>
        <v>3</v>
      </c>
      <c r="AI115" s="164" t="s">
        <v>161</v>
      </c>
      <c r="AJ115" s="164" t="s">
        <v>161</v>
      </c>
      <c r="AK115" s="164" t="s">
        <v>161</v>
      </c>
      <c r="AL115" s="164" t="s">
        <v>150</v>
      </c>
      <c r="AM115" s="164" t="s">
        <v>163</v>
      </c>
      <c r="AN115" s="164" t="s">
        <v>163</v>
      </c>
      <c r="AO115" s="164"/>
      <c r="AP115" s="164" t="s">
        <v>203</v>
      </c>
      <c r="AQ115" s="164" t="s">
        <v>203</v>
      </c>
      <c r="AR115" s="164"/>
      <c r="AS115" s="164"/>
      <c r="AT115" s="417" t="s">
        <v>580</v>
      </c>
      <c r="AU115" s="91"/>
      <c r="AV115" s="91" t="s">
        <v>163</v>
      </c>
      <c r="AW115" s="93">
        <v>42065</v>
      </c>
      <c r="AX115" s="93">
        <v>42310</v>
      </c>
      <c r="AY115" s="93" t="s">
        <v>150</v>
      </c>
      <c r="AZ115" s="93"/>
      <c r="BA115" s="93"/>
      <c r="BB115" s="93"/>
      <c r="BC115" s="93"/>
      <c r="BD115" s="93"/>
      <c r="BE115" s="94"/>
      <c r="BF115" s="93" t="s">
        <v>722</v>
      </c>
      <c r="BG115" s="93" t="s">
        <v>163</v>
      </c>
      <c r="BH115" s="93" t="s">
        <v>722</v>
      </c>
      <c r="BI115" s="93" t="s">
        <v>163</v>
      </c>
      <c r="BJ115" s="92"/>
      <c r="BK115" s="92"/>
      <c r="BL115" s="92"/>
      <c r="BM115" s="92"/>
      <c r="BN115" s="91" t="s">
        <v>18</v>
      </c>
      <c r="BO115" s="91" t="s">
        <v>18</v>
      </c>
      <c r="BP115" s="91"/>
      <c r="BQ115" s="91"/>
      <c r="BR115" s="91"/>
      <c r="BS115" s="91">
        <v>2</v>
      </c>
      <c r="BT115" s="91">
        <v>0</v>
      </c>
      <c r="BU115" s="91">
        <v>0</v>
      </c>
      <c r="BV115" s="91">
        <v>0</v>
      </c>
      <c r="BW115" s="91">
        <v>0</v>
      </c>
      <c r="BX115" s="91">
        <v>0</v>
      </c>
      <c r="BY115" s="91" t="s">
        <v>163</v>
      </c>
      <c r="BZ115" s="91">
        <v>0</v>
      </c>
      <c r="CA115" s="91"/>
      <c r="CB115" s="95"/>
      <c r="CC115" s="95"/>
      <c r="CD115" s="91"/>
      <c r="CE115" s="91" t="s">
        <v>163</v>
      </c>
      <c r="CF115" s="91"/>
      <c r="CG115" s="91"/>
      <c r="CH115" s="113" t="s">
        <v>168</v>
      </c>
      <c r="CI115" s="91" t="s">
        <v>168</v>
      </c>
      <c r="CJ115" s="91"/>
      <c r="CK115" s="91" t="s">
        <v>809</v>
      </c>
    </row>
    <row r="116" spans="1:102" ht="24.95" hidden="1" customHeight="1">
      <c r="A116" s="91">
        <v>120</v>
      </c>
      <c r="B116" s="91" t="s">
        <v>1750</v>
      </c>
      <c r="C116" s="91" t="s">
        <v>1751</v>
      </c>
      <c r="D116" s="91"/>
      <c r="E116" s="91" t="s">
        <v>1752</v>
      </c>
      <c r="F116" s="91" t="s">
        <v>24</v>
      </c>
      <c r="G116" s="91">
        <v>5</v>
      </c>
      <c r="H116" s="91" t="s">
        <v>53</v>
      </c>
      <c r="I116" s="91" t="s">
        <v>47</v>
      </c>
      <c r="J116" s="91"/>
      <c r="K116" s="91"/>
      <c r="L116" s="91" t="s">
        <v>47</v>
      </c>
      <c r="M116" s="91" t="s">
        <v>150</v>
      </c>
      <c r="N116" s="91" t="s">
        <v>168</v>
      </c>
      <c r="O116" s="91" t="s">
        <v>168</v>
      </c>
      <c r="P116" s="91" t="s">
        <v>168</v>
      </c>
      <c r="Q116" s="91" t="s">
        <v>168</v>
      </c>
      <c r="R116" s="91"/>
      <c r="S116" s="91"/>
      <c r="T116" s="341"/>
      <c r="U116" s="92"/>
      <c r="V116" s="92"/>
      <c r="W116" s="164"/>
      <c r="X116" s="164"/>
      <c r="Y116" s="164"/>
      <c r="Z116" s="164"/>
      <c r="AA116" s="91"/>
      <c r="AB116" s="92"/>
      <c r="AC116" s="281">
        <v>42064</v>
      </c>
      <c r="AD116" s="92">
        <v>43100</v>
      </c>
      <c r="AE116" s="92"/>
      <c r="AF116" s="92"/>
      <c r="AG116" s="92"/>
      <c r="AH116" s="91">
        <f t="shared" si="23"/>
        <v>0</v>
      </c>
      <c r="AI116" s="92"/>
      <c r="AJ116" s="92"/>
      <c r="AK116" s="92"/>
      <c r="AL116" s="92"/>
      <c r="AM116" s="92"/>
      <c r="AN116" s="92"/>
      <c r="AO116" s="92"/>
      <c r="AP116" s="92"/>
      <c r="AQ116" s="92"/>
      <c r="AR116" s="92"/>
      <c r="AS116" s="92"/>
      <c r="AT116" s="400" t="s">
        <v>193</v>
      </c>
      <c r="AU116" s="91"/>
      <c r="AV116" s="92">
        <v>42921</v>
      </c>
      <c r="AW116" s="93">
        <v>42065</v>
      </c>
      <c r="AX116" s="93"/>
      <c r="AY116" s="93"/>
      <c r="AZ116" s="93"/>
      <c r="BA116" s="93"/>
      <c r="BB116" s="93"/>
      <c r="BC116" s="93"/>
      <c r="BD116" s="93"/>
      <c r="BE116" s="94"/>
      <c r="BF116" s="93"/>
      <c r="BG116" s="93"/>
      <c r="BH116" s="93"/>
      <c r="BI116" s="93"/>
      <c r="BJ116" s="92"/>
      <c r="BK116" s="92"/>
      <c r="BL116" s="92"/>
      <c r="BM116" s="92"/>
      <c r="BN116" s="91" t="s">
        <v>18</v>
      </c>
      <c r="BO116" s="218" t="s">
        <v>18</v>
      </c>
      <c r="BP116" s="218"/>
      <c r="BQ116" s="91"/>
      <c r="BR116" s="91"/>
      <c r="BS116" s="91"/>
      <c r="BT116" s="91"/>
      <c r="BU116" s="91"/>
      <c r="BV116" s="91"/>
      <c r="BW116" s="91"/>
      <c r="BX116" s="91"/>
      <c r="BY116" s="91" t="s">
        <v>163</v>
      </c>
      <c r="BZ116" s="91"/>
      <c r="CA116" s="91"/>
      <c r="CB116" s="95"/>
      <c r="CC116" s="95"/>
      <c r="CD116" s="91"/>
      <c r="CE116" s="91"/>
      <c r="CF116" s="91"/>
      <c r="CG116" s="91"/>
      <c r="CH116" s="113"/>
      <c r="CI116" s="91"/>
      <c r="CJ116" s="91"/>
      <c r="CK116" s="91" t="s">
        <v>809</v>
      </c>
    </row>
    <row r="117" spans="1:102" ht="24.95" hidden="1" customHeight="1">
      <c r="A117" s="91">
        <v>121</v>
      </c>
      <c r="B117" s="91" t="s">
        <v>1753</v>
      </c>
      <c r="C117" s="91" t="s">
        <v>1754</v>
      </c>
      <c r="D117" s="91" t="s">
        <v>1755</v>
      </c>
      <c r="E117" s="91" t="s">
        <v>1756</v>
      </c>
      <c r="F117" s="91" t="s">
        <v>24</v>
      </c>
      <c r="G117" s="91">
        <v>5</v>
      </c>
      <c r="H117" s="91" t="s">
        <v>59</v>
      </c>
      <c r="I117" s="91" t="s">
        <v>43</v>
      </c>
      <c r="J117" s="91"/>
      <c r="K117" s="91"/>
      <c r="L117" s="91" t="s">
        <v>43</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43342</v>
      </c>
      <c r="AE117" s="92"/>
      <c r="AF117" s="92"/>
      <c r="AG117" s="92"/>
      <c r="AH117" s="91">
        <f t="shared" si="23"/>
        <v>0</v>
      </c>
      <c r="AI117" s="92"/>
      <c r="AJ117" s="92"/>
      <c r="AK117" s="92"/>
      <c r="AL117" s="92"/>
      <c r="AM117" s="92"/>
      <c r="AN117" s="92"/>
      <c r="AO117" s="92"/>
      <c r="AP117" s="92"/>
      <c r="AQ117" s="92"/>
      <c r="AR117" s="92"/>
      <c r="AS117" s="92"/>
      <c r="AT117" s="400" t="s">
        <v>193</v>
      </c>
      <c r="AU117" s="91"/>
      <c r="AV117" s="92"/>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hidden="1" customHeight="1">
      <c r="A118" s="91">
        <v>122</v>
      </c>
      <c r="B118" s="91" t="s">
        <v>1757</v>
      </c>
      <c r="C118" s="91" t="s">
        <v>1758</v>
      </c>
      <c r="D118" s="91" t="s">
        <v>1759</v>
      </c>
      <c r="E118" s="91" t="s">
        <v>1760</v>
      </c>
      <c r="F118" s="91" t="s">
        <v>25</v>
      </c>
      <c r="G118" s="91">
        <v>5</v>
      </c>
      <c r="H118" s="91" t="s">
        <v>52</v>
      </c>
      <c r="I118" s="91" t="s">
        <v>44</v>
      </c>
      <c r="J118" s="91"/>
      <c r="K118" s="91"/>
      <c r="L118" s="91" t="s">
        <v>44</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v>42921</v>
      </c>
      <c r="AW118" s="93">
        <v>42065</v>
      </c>
      <c r="AX118" s="93"/>
      <c r="AY118" s="93"/>
      <c r="AZ118" s="93"/>
      <c r="BA118" s="93"/>
      <c r="BB118" s="93"/>
      <c r="BC118" s="93"/>
      <c r="BD118" s="93"/>
      <c r="BE118" s="94"/>
      <c r="BF118" s="93"/>
      <c r="BG118" s="93"/>
      <c r="BH118" s="93"/>
      <c r="BI118" s="93"/>
      <c r="BJ118" s="92"/>
      <c r="BK118" s="92"/>
      <c r="BL118" s="92"/>
      <c r="BM118" s="92"/>
      <c r="BN118" s="115"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hidden="1" customHeight="1">
      <c r="A119" s="165">
        <v>123</v>
      </c>
      <c r="B119" s="165" t="s">
        <v>1761</v>
      </c>
      <c r="C119" s="165" t="s">
        <v>1762</v>
      </c>
      <c r="D119" s="165" t="s">
        <v>1763</v>
      </c>
      <c r="E119" s="165" t="s">
        <v>1764</v>
      </c>
      <c r="F119" s="165" t="s">
        <v>25</v>
      </c>
      <c r="G119" s="165">
        <v>6</v>
      </c>
      <c r="H119" s="165" t="s">
        <v>52</v>
      </c>
      <c r="I119" s="165" t="s">
        <v>40</v>
      </c>
      <c r="J119" s="165" t="s">
        <v>602</v>
      </c>
      <c r="K119" s="165" t="s">
        <v>1765</v>
      </c>
      <c r="L119" s="165" t="s">
        <v>46</v>
      </c>
      <c r="M119" s="165" t="s">
        <v>163</v>
      </c>
      <c r="N119" s="165">
        <v>1617548</v>
      </c>
      <c r="O119" s="251" t="s">
        <v>322</v>
      </c>
      <c r="P119" s="252" t="s">
        <v>322</v>
      </c>
      <c r="Q119" s="165" t="s">
        <v>322</v>
      </c>
      <c r="R119" s="165" t="s">
        <v>1766</v>
      </c>
      <c r="S119" s="165" t="s">
        <v>1767</v>
      </c>
      <c r="T119" s="349" t="s">
        <v>1768</v>
      </c>
      <c r="U119" s="166" t="s">
        <v>1769</v>
      </c>
      <c r="V119" s="166">
        <v>28260</v>
      </c>
      <c r="W119" s="172" t="s">
        <v>1770</v>
      </c>
      <c r="X119" s="172" t="s">
        <v>179</v>
      </c>
      <c r="Y119" s="172" t="s">
        <v>163</v>
      </c>
      <c r="Z119" s="172" t="s">
        <v>158</v>
      </c>
      <c r="AA119" s="165">
        <v>8</v>
      </c>
      <c r="AB119" s="166">
        <v>42816</v>
      </c>
      <c r="AC119" s="287">
        <v>42430</v>
      </c>
      <c r="AD119" s="166"/>
      <c r="AE119" s="165" t="s">
        <v>610</v>
      </c>
      <c r="AF119" s="165" t="s">
        <v>1771</v>
      </c>
      <c r="AG119" s="165"/>
      <c r="AH119" s="165">
        <f t="shared" si="23"/>
        <v>2</v>
      </c>
      <c r="AI119" s="172" t="s">
        <v>161</v>
      </c>
      <c r="AJ119" s="165" t="s">
        <v>162</v>
      </c>
      <c r="AK119" s="165"/>
      <c r="AL119" s="165" t="s">
        <v>150</v>
      </c>
      <c r="AM119" s="165" t="s">
        <v>150</v>
      </c>
      <c r="AN119" s="165"/>
      <c r="AO119" s="165" t="s">
        <v>182</v>
      </c>
      <c r="AP119" s="165" t="s">
        <v>1249</v>
      </c>
      <c r="AQ119" s="165" t="s">
        <v>1772</v>
      </c>
      <c r="AR119" s="165" t="s">
        <v>150</v>
      </c>
      <c r="AS119" s="165"/>
      <c r="AT119" s="36" t="s">
        <v>40</v>
      </c>
      <c r="AU119" s="165" t="s">
        <v>1773</v>
      </c>
      <c r="AV119" s="166"/>
      <c r="AW119" s="167">
        <v>42428</v>
      </c>
      <c r="AX119" s="167">
        <v>42681</v>
      </c>
      <c r="AY119" s="167" t="s">
        <v>150</v>
      </c>
      <c r="AZ119" s="167">
        <v>43005</v>
      </c>
      <c r="BA119" s="167">
        <v>43063</v>
      </c>
      <c r="BB119" s="167"/>
      <c r="BC119" s="167"/>
      <c r="BD119" s="167"/>
      <c r="BE119" s="168" t="s">
        <v>1770</v>
      </c>
      <c r="BF119" s="167">
        <v>43309</v>
      </c>
      <c r="BG119" s="167" t="s">
        <v>150</v>
      </c>
      <c r="BH119" s="167">
        <v>43528</v>
      </c>
      <c r="BI119" s="167" t="s">
        <v>150</v>
      </c>
      <c r="BJ119" s="166"/>
      <c r="BK119" s="166"/>
      <c r="BL119" s="166"/>
      <c r="BM119" s="169">
        <v>44461</v>
      </c>
      <c r="BN119" s="165" t="s">
        <v>16</v>
      </c>
      <c r="BO119" s="171">
        <f>DATEDIF(AW119,BM119, "M")+1</f>
        <v>67</v>
      </c>
      <c r="BP119" s="165">
        <f t="shared" ref="BP119:BP121" si="30">DATEDIF(AX119,BM119, "M")+1</f>
        <v>59</v>
      </c>
      <c r="BQ119" s="165" t="s">
        <v>1770</v>
      </c>
      <c r="BR119" s="165">
        <v>6</v>
      </c>
      <c r="BS119" s="165">
        <v>13</v>
      </c>
      <c r="BT119" s="165">
        <v>3</v>
      </c>
      <c r="BU119" s="165">
        <v>0</v>
      </c>
      <c r="BV119" s="165">
        <v>0</v>
      </c>
      <c r="BW119" s="165">
        <v>0</v>
      </c>
      <c r="BX119" s="165">
        <v>0</v>
      </c>
      <c r="BY119" s="165" t="s">
        <v>163</v>
      </c>
      <c r="BZ119" s="165">
        <v>0</v>
      </c>
      <c r="CA119" s="165"/>
      <c r="CB119" s="170"/>
      <c r="CC119" s="170"/>
      <c r="CD119" s="165"/>
      <c r="CE119" s="165" t="s">
        <v>163</v>
      </c>
      <c r="CF119" s="165"/>
      <c r="CG119" s="165"/>
      <c r="CH119" s="376">
        <v>0</v>
      </c>
      <c r="CI119" s="165">
        <v>0</v>
      </c>
      <c r="CJ119" s="165">
        <v>2</v>
      </c>
      <c r="CK119" s="165" t="s">
        <v>809</v>
      </c>
    </row>
    <row r="120" spans="1:102" ht="24.95" hidden="1" customHeight="1">
      <c r="A120" s="165">
        <v>124</v>
      </c>
      <c r="B120" s="165" t="s">
        <v>1774</v>
      </c>
      <c r="C120" s="165" t="s">
        <v>1775</v>
      </c>
      <c r="D120" s="165" t="s">
        <v>1776</v>
      </c>
      <c r="E120" s="165" t="s">
        <v>1777</v>
      </c>
      <c r="F120" s="165" t="s">
        <v>25</v>
      </c>
      <c r="G120" s="165">
        <v>6</v>
      </c>
      <c r="H120" s="165" t="s">
        <v>52</v>
      </c>
      <c r="I120" s="165" t="s">
        <v>44</v>
      </c>
      <c r="J120" s="165" t="s">
        <v>1778</v>
      </c>
      <c r="K120" s="165" t="s">
        <v>1779</v>
      </c>
      <c r="L120" s="165" t="s">
        <v>44</v>
      </c>
      <c r="M120" s="165" t="s">
        <v>150</v>
      </c>
      <c r="N120" s="165" t="s">
        <v>1780</v>
      </c>
      <c r="O120" s="251" t="s">
        <v>151</v>
      </c>
      <c r="P120" s="252" t="s">
        <v>151</v>
      </c>
      <c r="Q120" s="165" t="s">
        <v>151</v>
      </c>
      <c r="R120" s="165" t="s">
        <v>1781</v>
      </c>
      <c r="S120" s="165" t="s">
        <v>1782</v>
      </c>
      <c r="T120" s="349" t="s">
        <v>1783</v>
      </c>
      <c r="U120" s="166" t="s">
        <v>1784</v>
      </c>
      <c r="V120" s="166">
        <v>30764</v>
      </c>
      <c r="W120" s="172" t="s">
        <v>1785</v>
      </c>
      <c r="X120" s="172" t="s">
        <v>179</v>
      </c>
      <c r="Y120" s="172" t="s">
        <v>163</v>
      </c>
      <c r="Z120" s="172" t="s">
        <v>158</v>
      </c>
      <c r="AA120" s="165">
        <v>34.5</v>
      </c>
      <c r="AB120" s="166">
        <v>42704</v>
      </c>
      <c r="AC120" s="287">
        <v>42430</v>
      </c>
      <c r="AD120" s="166"/>
      <c r="AE120" s="253" t="s">
        <v>1786</v>
      </c>
      <c r="AF120" s="165" t="s">
        <v>1787</v>
      </c>
      <c r="AG120" s="165"/>
      <c r="AH120" s="165">
        <f t="shared" si="23"/>
        <v>2</v>
      </c>
      <c r="AI120" s="172" t="s">
        <v>161</v>
      </c>
      <c r="AJ120" s="165"/>
      <c r="AK120" s="165"/>
      <c r="AL120" s="165" t="s">
        <v>150</v>
      </c>
      <c r="AM120" s="165"/>
      <c r="AN120" s="165"/>
      <c r="AO120" s="165" t="s">
        <v>164</v>
      </c>
      <c r="AP120" s="165" t="s">
        <v>1167</v>
      </c>
      <c r="AQ120" s="165" t="s">
        <v>1167</v>
      </c>
      <c r="AR120" s="165"/>
      <c r="AS120" s="165"/>
      <c r="AT120" s="36" t="s">
        <v>420</v>
      </c>
      <c r="AU120" s="165" t="s">
        <v>1788</v>
      </c>
      <c r="AV120" s="166"/>
      <c r="AW120" s="167">
        <v>42428</v>
      </c>
      <c r="AX120" s="167">
        <v>42681</v>
      </c>
      <c r="AY120" s="167" t="s">
        <v>150</v>
      </c>
      <c r="AZ120" s="167"/>
      <c r="BA120" s="167"/>
      <c r="BB120" s="167"/>
      <c r="BC120" s="167"/>
      <c r="BD120" s="167"/>
      <c r="BE120" s="168" t="s">
        <v>1789</v>
      </c>
      <c r="BF120" s="167">
        <v>43309</v>
      </c>
      <c r="BG120" s="167" t="s">
        <v>150</v>
      </c>
      <c r="BH120" s="167">
        <v>43528</v>
      </c>
      <c r="BI120" s="167" t="s">
        <v>150</v>
      </c>
      <c r="BJ120" s="166"/>
      <c r="BK120" s="166"/>
      <c r="BL120" s="166"/>
      <c r="BM120" s="169">
        <v>44069</v>
      </c>
      <c r="BN120" s="165" t="s">
        <v>16</v>
      </c>
      <c r="BO120" s="171">
        <f>DATEDIF(AW120,BM120, "M")+1</f>
        <v>54</v>
      </c>
      <c r="BP120" s="165">
        <f t="shared" si="30"/>
        <v>46</v>
      </c>
      <c r="BQ120" s="172" t="s">
        <v>1790</v>
      </c>
      <c r="BR120" s="165">
        <v>0</v>
      </c>
      <c r="BS120" s="165">
        <v>1</v>
      </c>
      <c r="BT120" s="165">
        <v>1</v>
      </c>
      <c r="BU120" s="165">
        <v>0</v>
      </c>
      <c r="BV120" s="165">
        <v>0</v>
      </c>
      <c r="BW120" s="165">
        <v>0</v>
      </c>
      <c r="BX120" s="165">
        <v>0</v>
      </c>
      <c r="BY120" s="165" t="s">
        <v>163</v>
      </c>
      <c r="BZ120" s="165">
        <v>0</v>
      </c>
      <c r="CA120" s="165"/>
      <c r="CB120" s="170">
        <v>43941</v>
      </c>
      <c r="CC120" s="170">
        <v>43993</v>
      </c>
      <c r="CD120" s="165">
        <v>2</v>
      </c>
      <c r="CE120" s="165" t="s">
        <v>163</v>
      </c>
      <c r="CF120" s="165"/>
      <c r="CG120" s="165"/>
      <c r="CH120" s="376">
        <v>1</v>
      </c>
      <c r="CI120" s="165">
        <v>1</v>
      </c>
      <c r="CJ120" s="165"/>
      <c r="CK120" s="165" t="s">
        <v>809</v>
      </c>
    </row>
    <row r="121" spans="1:102" ht="24.95" hidden="1" customHeight="1">
      <c r="A121" s="165">
        <v>125</v>
      </c>
      <c r="B121" s="165" t="s">
        <v>1791</v>
      </c>
      <c r="C121" s="165" t="s">
        <v>1792</v>
      </c>
      <c r="D121" s="165" t="s">
        <v>1793</v>
      </c>
      <c r="E121" s="165" t="s">
        <v>1794</v>
      </c>
      <c r="F121" s="165" t="s">
        <v>25</v>
      </c>
      <c r="G121" s="165">
        <v>6</v>
      </c>
      <c r="H121" s="165" t="s">
        <v>53</v>
      </c>
      <c r="I121" s="165" t="s">
        <v>47</v>
      </c>
      <c r="J121" s="165" t="s">
        <v>1405</v>
      </c>
      <c r="K121" s="165" t="s">
        <v>1795</v>
      </c>
      <c r="L121" s="165" t="s">
        <v>47</v>
      </c>
      <c r="M121" s="165" t="s">
        <v>150</v>
      </c>
      <c r="N121" s="173" t="s">
        <v>1796</v>
      </c>
      <c r="O121" s="251" t="s">
        <v>151</v>
      </c>
      <c r="P121" s="252" t="s">
        <v>151</v>
      </c>
      <c r="Q121" s="165"/>
      <c r="R121" s="165" t="s">
        <v>1797</v>
      </c>
      <c r="S121" s="165" t="s">
        <v>1798</v>
      </c>
      <c r="T121" s="350" t="s">
        <v>1799</v>
      </c>
      <c r="U121" s="166" t="s">
        <v>912</v>
      </c>
      <c r="V121" s="166">
        <v>30609</v>
      </c>
      <c r="W121" s="172" t="s">
        <v>1800</v>
      </c>
      <c r="X121" s="172" t="s">
        <v>156</v>
      </c>
      <c r="Y121" s="172" t="s">
        <v>163</v>
      </c>
      <c r="Z121" s="172" t="s">
        <v>158</v>
      </c>
      <c r="AA121" s="165">
        <v>24</v>
      </c>
      <c r="AB121" s="166">
        <v>42826</v>
      </c>
      <c r="AC121" s="287">
        <v>42430</v>
      </c>
      <c r="AD121" s="166"/>
      <c r="AE121" s="253" t="s">
        <v>1801</v>
      </c>
      <c r="AF121" s="253" t="s">
        <v>1802</v>
      </c>
      <c r="AG121" s="165"/>
      <c r="AH121" s="165">
        <f t="shared" si="23"/>
        <v>2</v>
      </c>
      <c r="AI121" s="172" t="s">
        <v>282</v>
      </c>
      <c r="AJ121" s="172" t="s">
        <v>161</v>
      </c>
      <c r="AK121" s="165"/>
      <c r="AL121" s="165" t="s">
        <v>163</v>
      </c>
      <c r="AM121" s="165" t="s">
        <v>150</v>
      </c>
      <c r="AN121" s="165"/>
      <c r="AO121" s="165" t="s">
        <v>164</v>
      </c>
      <c r="AP121" s="165" t="s">
        <v>203</v>
      </c>
      <c r="AQ121" s="165" t="s">
        <v>203</v>
      </c>
      <c r="AR121" s="165"/>
      <c r="AS121" s="165"/>
      <c r="AT121" s="36" t="s">
        <v>1803</v>
      </c>
      <c r="AU121" s="165" t="s">
        <v>1804</v>
      </c>
      <c r="AV121" s="166"/>
      <c r="AW121" s="167">
        <v>42428</v>
      </c>
      <c r="AX121" s="167">
        <v>42681</v>
      </c>
      <c r="AY121" s="167" t="s">
        <v>150</v>
      </c>
      <c r="AZ121" s="167">
        <v>42978</v>
      </c>
      <c r="BA121" s="167">
        <v>42997</v>
      </c>
      <c r="BB121" s="167">
        <v>43012</v>
      </c>
      <c r="BC121" s="167"/>
      <c r="BD121" s="167"/>
      <c r="BE121" s="168" t="s">
        <v>1805</v>
      </c>
      <c r="BF121" s="167">
        <v>43309</v>
      </c>
      <c r="BG121" s="167" t="s">
        <v>150</v>
      </c>
      <c r="BH121" s="167">
        <v>43528</v>
      </c>
      <c r="BI121" s="167" t="s">
        <v>150</v>
      </c>
      <c r="BJ121" s="166">
        <v>44463</v>
      </c>
      <c r="BK121" s="166"/>
      <c r="BL121" s="166"/>
      <c r="BM121" s="169">
        <v>45898</v>
      </c>
      <c r="BN121" s="165" t="s">
        <v>16</v>
      </c>
      <c r="BO121" s="171">
        <f>DATEDIF(AW121,BM121, "M")+1</f>
        <v>115</v>
      </c>
      <c r="BP121" s="165">
        <f t="shared" si="30"/>
        <v>106</v>
      </c>
      <c r="BQ121" s="165"/>
      <c r="BR121" s="165"/>
      <c r="BS121" s="165">
        <v>2</v>
      </c>
      <c r="BT121" s="165">
        <v>0</v>
      </c>
      <c r="BU121" s="165">
        <v>1</v>
      </c>
      <c r="BV121" s="165">
        <v>0</v>
      </c>
      <c r="BW121" s="165">
        <v>0</v>
      </c>
      <c r="BX121" s="165">
        <v>0</v>
      </c>
      <c r="BY121" s="165" t="s">
        <v>163</v>
      </c>
      <c r="BZ121" s="165">
        <v>0</v>
      </c>
      <c r="CA121" s="165"/>
      <c r="CB121" s="170"/>
      <c r="CC121" s="170"/>
      <c r="CD121" s="165"/>
      <c r="CE121" s="165" t="s">
        <v>163</v>
      </c>
      <c r="CF121" s="165"/>
      <c r="CG121" s="165"/>
      <c r="CH121" s="376"/>
      <c r="CI121" s="165"/>
      <c r="CJ121" s="165"/>
      <c r="CK121" s="165" t="s">
        <v>1806</v>
      </c>
    </row>
    <row r="122" spans="1:102" ht="24.95" hidden="1" customHeight="1">
      <c r="A122" s="165">
        <v>126</v>
      </c>
      <c r="B122" s="165" t="s">
        <v>1807</v>
      </c>
      <c r="C122" s="165" t="s">
        <v>1808</v>
      </c>
      <c r="D122" s="165" t="s">
        <v>1809</v>
      </c>
      <c r="E122" s="165" t="s">
        <v>1810</v>
      </c>
      <c r="F122" s="165" t="s">
        <v>25</v>
      </c>
      <c r="G122" s="165">
        <v>6</v>
      </c>
      <c r="H122" s="165" t="s">
        <v>54</v>
      </c>
      <c r="I122" s="165" t="s">
        <v>46</v>
      </c>
      <c r="J122" s="165" t="s">
        <v>363</v>
      </c>
      <c r="K122" s="165" t="s">
        <v>1811</v>
      </c>
      <c r="L122" s="165" t="s">
        <v>46</v>
      </c>
      <c r="M122" s="165" t="s">
        <v>150</v>
      </c>
      <c r="N122" s="165">
        <v>6815541</v>
      </c>
      <c r="O122" s="251" t="s">
        <v>322</v>
      </c>
      <c r="P122" s="252" t="s">
        <v>322</v>
      </c>
      <c r="Q122" s="165" t="s">
        <v>1812</v>
      </c>
      <c r="R122" s="165" t="s">
        <v>1813</v>
      </c>
      <c r="S122" s="175" t="s">
        <v>1814</v>
      </c>
      <c r="T122" s="350" t="s">
        <v>1815</v>
      </c>
      <c r="U122" s="166" t="s">
        <v>1816</v>
      </c>
      <c r="V122" s="166">
        <v>32614</v>
      </c>
      <c r="W122" s="172" t="s">
        <v>1817</v>
      </c>
      <c r="X122" s="172" t="s">
        <v>179</v>
      </c>
      <c r="Y122" s="172" t="s">
        <v>163</v>
      </c>
      <c r="Z122" s="172" t="s">
        <v>158</v>
      </c>
      <c r="AA122" s="165">
        <v>5.5</v>
      </c>
      <c r="AB122" s="166">
        <v>42464</v>
      </c>
      <c r="AC122" s="287">
        <v>42430</v>
      </c>
      <c r="AD122" s="166"/>
      <c r="AE122" s="253" t="s">
        <v>1818</v>
      </c>
      <c r="AF122" s="165"/>
      <c r="AG122" s="165"/>
      <c r="AH122" s="165">
        <f t="shared" si="23"/>
        <v>1</v>
      </c>
      <c r="AI122" s="37" t="s">
        <v>161</v>
      </c>
      <c r="AJ122" s="165"/>
      <c r="AK122" s="165"/>
      <c r="AL122" s="165" t="s">
        <v>163</v>
      </c>
      <c r="AM122" s="165"/>
      <c r="AN122" s="165"/>
      <c r="AO122" s="165" t="s">
        <v>182</v>
      </c>
      <c r="AP122" s="165" t="s">
        <v>1819</v>
      </c>
      <c r="AQ122" s="165" t="s">
        <v>1819</v>
      </c>
      <c r="AR122" s="165" t="s">
        <v>163</v>
      </c>
      <c r="AS122" s="165"/>
      <c r="AT122" s="36" t="s">
        <v>1820</v>
      </c>
      <c r="AU122" s="165" t="s">
        <v>1821</v>
      </c>
      <c r="AV122" s="166"/>
      <c r="AW122" s="167">
        <v>42428</v>
      </c>
      <c r="AX122" s="167">
        <v>42681</v>
      </c>
      <c r="AY122" s="167" t="s">
        <v>150</v>
      </c>
      <c r="AZ122" s="167">
        <v>42753</v>
      </c>
      <c r="BA122" s="167">
        <v>43242</v>
      </c>
      <c r="BB122" s="165"/>
      <c r="BC122" s="165"/>
      <c r="BD122" s="165"/>
      <c r="BE122" s="168" t="s">
        <v>1822</v>
      </c>
      <c r="BF122" s="167">
        <v>43309</v>
      </c>
      <c r="BG122" s="167" t="s">
        <v>150</v>
      </c>
      <c r="BH122" s="167">
        <v>43528</v>
      </c>
      <c r="BI122" s="167" t="s">
        <v>150</v>
      </c>
      <c r="BJ122" s="166"/>
      <c r="BK122" s="166"/>
      <c r="BL122" s="166"/>
      <c r="BM122" s="169">
        <v>43768</v>
      </c>
      <c r="BN122" s="165" t="s">
        <v>16</v>
      </c>
      <c r="BO122" s="171">
        <f>DATEDIF(AW122,BM122, "M")+1</f>
        <v>45</v>
      </c>
      <c r="BP122" s="165">
        <f>DATEDIF(AX122,BM122, "M")+1</f>
        <v>36</v>
      </c>
      <c r="BQ122" s="165"/>
      <c r="BR122" s="165">
        <v>2</v>
      </c>
      <c r="BS122" s="165">
        <v>14</v>
      </c>
      <c r="BT122" s="165">
        <v>7</v>
      </c>
      <c r="BU122" s="165">
        <v>2</v>
      </c>
      <c r="BV122" s="165">
        <v>3</v>
      </c>
      <c r="BW122" s="165">
        <v>0</v>
      </c>
      <c r="BX122" s="165">
        <v>0</v>
      </c>
      <c r="BY122" s="165" t="s">
        <v>163</v>
      </c>
      <c r="BZ122" s="165">
        <v>0</v>
      </c>
      <c r="CA122" s="165"/>
      <c r="CB122" s="170">
        <v>44896</v>
      </c>
      <c r="CC122" s="170">
        <v>44985</v>
      </c>
      <c r="CD122" s="165">
        <v>3</v>
      </c>
      <c r="CE122" s="165" t="s">
        <v>163</v>
      </c>
      <c r="CF122" s="165"/>
      <c r="CG122" s="165"/>
      <c r="CH122" s="376">
        <v>0</v>
      </c>
      <c r="CI122" s="165">
        <v>0</v>
      </c>
      <c r="CJ122" s="165">
        <v>3</v>
      </c>
      <c r="CK122" s="165" t="s">
        <v>809</v>
      </c>
    </row>
    <row r="123" spans="1:102" ht="24.95" hidden="1" customHeight="1">
      <c r="A123" s="165">
        <v>127</v>
      </c>
      <c r="B123" s="165" t="s">
        <v>1823</v>
      </c>
      <c r="C123" s="165" t="s">
        <v>1824</v>
      </c>
      <c r="D123" s="165"/>
      <c r="E123" s="165" t="s">
        <v>1825</v>
      </c>
      <c r="F123" s="165" t="s">
        <v>24</v>
      </c>
      <c r="G123" s="165">
        <v>6</v>
      </c>
      <c r="H123" s="165" t="s">
        <v>55</v>
      </c>
      <c r="I123" s="165" t="s">
        <v>45</v>
      </c>
      <c r="J123" s="165" t="s">
        <v>602</v>
      </c>
      <c r="K123" s="165" t="s">
        <v>290</v>
      </c>
      <c r="L123" s="165" t="s">
        <v>46</v>
      </c>
      <c r="M123" s="165" t="s">
        <v>150</v>
      </c>
      <c r="N123" s="165">
        <v>1584607</v>
      </c>
      <c r="O123" s="251" t="s">
        <v>151</v>
      </c>
      <c r="P123" s="252" t="s">
        <v>151</v>
      </c>
      <c r="Q123" s="165"/>
      <c r="R123" s="165" t="s">
        <v>1826</v>
      </c>
      <c r="S123" s="165" t="s">
        <v>1827</v>
      </c>
      <c r="T123" s="350" t="s">
        <v>1828</v>
      </c>
      <c r="U123" s="166" t="s">
        <v>817</v>
      </c>
      <c r="V123" s="166">
        <v>28875</v>
      </c>
      <c r="W123" s="172" t="s">
        <v>1829</v>
      </c>
      <c r="X123" s="172" t="s">
        <v>179</v>
      </c>
      <c r="Y123" s="172" t="s">
        <v>163</v>
      </c>
      <c r="Z123" s="172" t="s">
        <v>158</v>
      </c>
      <c r="AA123" s="165">
        <v>31.5</v>
      </c>
      <c r="AB123" s="166">
        <v>42810</v>
      </c>
      <c r="AC123" s="287">
        <v>42430</v>
      </c>
      <c r="AD123" s="166"/>
      <c r="AE123" s="253" t="s">
        <v>1830</v>
      </c>
      <c r="AF123" s="253" t="s">
        <v>1831</v>
      </c>
      <c r="AG123" s="165"/>
      <c r="AH123" s="165">
        <f t="shared" si="23"/>
        <v>2</v>
      </c>
      <c r="AI123" s="37" t="s">
        <v>282</v>
      </c>
      <c r="AJ123" s="165" t="s">
        <v>161</v>
      </c>
      <c r="AK123" s="165"/>
      <c r="AL123" s="165" t="s">
        <v>163</v>
      </c>
      <c r="AM123" s="165" t="s">
        <v>163</v>
      </c>
      <c r="AN123" s="165"/>
      <c r="AO123" s="165" t="s">
        <v>164</v>
      </c>
      <c r="AP123" s="172" t="s">
        <v>181</v>
      </c>
      <c r="AQ123" s="172" t="s">
        <v>203</v>
      </c>
      <c r="AR123" s="172" t="s">
        <v>163</v>
      </c>
      <c r="AS123" s="172"/>
      <c r="AT123" s="36" t="s">
        <v>219</v>
      </c>
      <c r="AU123" s="165" t="s">
        <v>1832</v>
      </c>
      <c r="AV123" s="166"/>
      <c r="AW123" s="167">
        <v>42428</v>
      </c>
      <c r="AX123" s="167">
        <v>42681</v>
      </c>
      <c r="AY123" s="167" t="s">
        <v>150</v>
      </c>
      <c r="AZ123" s="167">
        <v>43433</v>
      </c>
      <c r="BA123" s="167">
        <v>43437</v>
      </c>
      <c r="BB123" s="165"/>
      <c r="BC123" s="165"/>
      <c r="BD123" s="165"/>
      <c r="BE123" s="168" t="s">
        <v>1833</v>
      </c>
      <c r="BF123" s="315">
        <v>44937</v>
      </c>
      <c r="BG123" s="315" t="s">
        <v>163</v>
      </c>
      <c r="BH123" s="315">
        <v>44431</v>
      </c>
      <c r="BI123" s="313" t="s">
        <v>163</v>
      </c>
      <c r="BJ123" s="166"/>
      <c r="BK123" s="166"/>
      <c r="BL123" s="166"/>
      <c r="BM123" s="169">
        <v>45591</v>
      </c>
      <c r="BN123" s="165" t="s">
        <v>16</v>
      </c>
      <c r="BO123" s="171">
        <f>DATEDIF(AW123,BM123, "M")+1</f>
        <v>104</v>
      </c>
      <c r="BP123" s="165">
        <f>DATEDIF(AX123,BM123, "M")+1</f>
        <v>96</v>
      </c>
      <c r="BQ123" s="172" t="s">
        <v>1829</v>
      </c>
      <c r="BR123" s="165">
        <v>1</v>
      </c>
      <c r="BS123" s="165">
        <v>1</v>
      </c>
      <c r="BT123" s="165">
        <v>0</v>
      </c>
      <c r="BU123" s="165">
        <v>0</v>
      </c>
      <c r="BV123" s="165">
        <v>0</v>
      </c>
      <c r="BW123" s="165">
        <v>0</v>
      </c>
      <c r="BX123" s="165">
        <v>0</v>
      </c>
      <c r="BY123" s="165" t="s">
        <v>163</v>
      </c>
      <c r="BZ123" s="165">
        <v>0</v>
      </c>
      <c r="CA123" s="165"/>
      <c r="CB123" s="170"/>
      <c r="CC123" s="170"/>
      <c r="CD123" s="165"/>
      <c r="CE123" s="165" t="s">
        <v>163</v>
      </c>
      <c r="CF123" s="165"/>
      <c r="CG123" s="165"/>
      <c r="CH123" s="376">
        <v>2</v>
      </c>
      <c r="CI123" s="165">
        <v>4</v>
      </c>
      <c r="CJ123" s="165"/>
      <c r="CK123" s="165" t="s">
        <v>1806</v>
      </c>
    </row>
    <row r="124" spans="1:102" ht="24.95" hidden="1" customHeight="1">
      <c r="A124" s="165">
        <v>128</v>
      </c>
      <c r="B124" s="165" t="s">
        <v>1834</v>
      </c>
      <c r="C124" s="165" t="s">
        <v>1835</v>
      </c>
      <c r="D124" s="165"/>
      <c r="E124" s="165" t="s">
        <v>1836</v>
      </c>
      <c r="F124" s="165" t="s">
        <v>24</v>
      </c>
      <c r="G124" s="165">
        <v>6</v>
      </c>
      <c r="H124" s="165" t="s">
        <v>54</v>
      </c>
      <c r="I124" s="165" t="s">
        <v>33</v>
      </c>
      <c r="J124" s="165" t="s">
        <v>1055</v>
      </c>
      <c r="K124" s="165" t="s">
        <v>560</v>
      </c>
      <c r="L124" s="165" t="s">
        <v>33</v>
      </c>
      <c r="M124" s="165" t="s">
        <v>150</v>
      </c>
      <c r="N124" s="165">
        <v>98769</v>
      </c>
      <c r="O124" s="251" t="s">
        <v>151</v>
      </c>
      <c r="P124" s="252" t="s">
        <v>151</v>
      </c>
      <c r="Q124" s="165" t="s">
        <v>151</v>
      </c>
      <c r="R124" s="165" t="s">
        <v>1837</v>
      </c>
      <c r="S124" s="165" t="s">
        <v>1838</v>
      </c>
      <c r="T124" s="349" t="s">
        <v>1839</v>
      </c>
      <c r="U124" s="166" t="s">
        <v>1840</v>
      </c>
      <c r="V124" s="166">
        <v>29721</v>
      </c>
      <c r="W124" s="172" t="s">
        <v>1841</v>
      </c>
      <c r="X124" s="172" t="s">
        <v>179</v>
      </c>
      <c r="Y124" s="172" t="s">
        <v>163</v>
      </c>
      <c r="Z124" s="172" t="s">
        <v>158</v>
      </c>
      <c r="AA124" s="165">
        <v>5.5</v>
      </c>
      <c r="AB124" s="166">
        <v>42590</v>
      </c>
      <c r="AC124" s="287">
        <v>42430</v>
      </c>
      <c r="AD124" s="166"/>
      <c r="AE124" s="253" t="s">
        <v>1842</v>
      </c>
      <c r="AF124" s="165"/>
      <c r="AG124" s="165"/>
      <c r="AH124" s="165">
        <f t="shared" si="23"/>
        <v>1</v>
      </c>
      <c r="AI124" s="172" t="s">
        <v>161</v>
      </c>
      <c r="AJ124" s="165"/>
      <c r="AK124" s="165"/>
      <c r="AL124" s="165" t="s">
        <v>150</v>
      </c>
      <c r="AM124" s="165"/>
      <c r="AN124" s="165"/>
      <c r="AO124" s="165" t="s">
        <v>164</v>
      </c>
      <c r="AP124" s="172" t="s">
        <v>1843</v>
      </c>
      <c r="AQ124" s="172" t="s">
        <v>250</v>
      </c>
      <c r="AR124" s="172" t="s">
        <v>150</v>
      </c>
      <c r="AS124" s="172"/>
      <c r="AT124" s="36" t="s">
        <v>328</v>
      </c>
      <c r="AU124" s="165" t="s">
        <v>1844</v>
      </c>
      <c r="AV124" s="166"/>
      <c r="AW124" s="167">
        <v>42428</v>
      </c>
      <c r="AX124" s="167">
        <v>42681</v>
      </c>
      <c r="AY124" s="167" t="s">
        <v>150</v>
      </c>
      <c r="AZ124" s="167">
        <v>42752</v>
      </c>
      <c r="BA124" s="167">
        <v>42752</v>
      </c>
      <c r="BB124" s="166">
        <v>43116</v>
      </c>
      <c r="BC124" s="166"/>
      <c r="BD124" s="166"/>
      <c r="BE124" s="168" t="s">
        <v>1845</v>
      </c>
      <c r="BF124" s="167">
        <v>43309</v>
      </c>
      <c r="BG124" s="167" t="s">
        <v>150</v>
      </c>
      <c r="BH124" s="167">
        <v>43528</v>
      </c>
      <c r="BI124" s="167" t="s">
        <v>150</v>
      </c>
      <c r="BJ124" s="166"/>
      <c r="BK124" s="166"/>
      <c r="BL124" s="166"/>
      <c r="BM124" s="169">
        <v>44276</v>
      </c>
      <c r="BN124" s="165" t="s">
        <v>16</v>
      </c>
      <c r="BO124" s="165">
        <f t="shared" ref="BO124" si="31">DATEDIF(AW124,BM124, "M")+1</f>
        <v>61</v>
      </c>
      <c r="BP124" s="165">
        <f t="shared" ref="BP124:BP128" si="32">DATEDIF(AX124,BM124, "M")+1</f>
        <v>53</v>
      </c>
      <c r="BQ124" s="165"/>
      <c r="BR124" s="165">
        <v>4</v>
      </c>
      <c r="BS124" s="165">
        <v>2</v>
      </c>
      <c r="BT124" s="165">
        <v>0</v>
      </c>
      <c r="BU124" s="165">
        <v>0</v>
      </c>
      <c r="BV124" s="165">
        <v>1</v>
      </c>
      <c r="BW124" s="165">
        <v>0</v>
      </c>
      <c r="BX124" s="165">
        <v>0</v>
      </c>
      <c r="BY124" s="165" t="s">
        <v>163</v>
      </c>
      <c r="BZ124" s="165">
        <v>0</v>
      </c>
      <c r="CA124" s="165"/>
      <c r="CB124" s="170">
        <v>43907</v>
      </c>
      <c r="CC124" s="170">
        <v>44242</v>
      </c>
      <c r="CD124" s="165">
        <v>11</v>
      </c>
      <c r="CE124" s="165" t="s">
        <v>163</v>
      </c>
      <c r="CF124" s="165"/>
      <c r="CG124" s="165"/>
      <c r="CH124" s="376">
        <v>2</v>
      </c>
      <c r="CI124" s="165">
        <v>2</v>
      </c>
      <c r="CJ124" s="165"/>
      <c r="CK124" s="165" t="s">
        <v>1846</v>
      </c>
    </row>
    <row r="125" spans="1:102" ht="24.95" hidden="1" customHeight="1">
      <c r="A125" s="165">
        <v>129</v>
      </c>
      <c r="B125" s="165" t="s">
        <v>1847</v>
      </c>
      <c r="C125" s="165" t="s">
        <v>1848</v>
      </c>
      <c r="D125" s="165" t="s">
        <v>1849</v>
      </c>
      <c r="E125" s="165" t="s">
        <v>1850</v>
      </c>
      <c r="F125" s="165" t="s">
        <v>25</v>
      </c>
      <c r="G125" s="165">
        <v>6</v>
      </c>
      <c r="H125" s="165" t="s">
        <v>58</v>
      </c>
      <c r="I125" s="165" t="s">
        <v>46</v>
      </c>
      <c r="J125" s="165" t="s">
        <v>1851</v>
      </c>
      <c r="K125" s="165" t="s">
        <v>1852</v>
      </c>
      <c r="L125" s="165" t="s">
        <v>46</v>
      </c>
      <c r="M125" s="165" t="s">
        <v>150</v>
      </c>
      <c r="N125" s="254" t="s">
        <v>1853</v>
      </c>
      <c r="O125" s="255"/>
      <c r="P125" s="256" t="s">
        <v>151</v>
      </c>
      <c r="Q125" s="165" t="s">
        <v>151</v>
      </c>
      <c r="R125" s="386" t="s">
        <v>1854</v>
      </c>
      <c r="S125" s="386" t="s">
        <v>1855</v>
      </c>
      <c r="T125" s="350" t="s">
        <v>1856</v>
      </c>
      <c r="U125" s="166" t="s">
        <v>1857</v>
      </c>
      <c r="V125" s="166">
        <v>29976</v>
      </c>
      <c r="W125" s="172" t="s">
        <v>1858</v>
      </c>
      <c r="X125" s="172" t="s">
        <v>179</v>
      </c>
      <c r="Y125" s="172" t="s">
        <v>163</v>
      </c>
      <c r="Z125" s="172" t="s">
        <v>158</v>
      </c>
      <c r="AA125" s="165">
        <v>13.5</v>
      </c>
      <c r="AB125" s="166">
        <v>42036</v>
      </c>
      <c r="AC125" s="287">
        <v>42430</v>
      </c>
      <c r="AD125" s="166"/>
      <c r="AE125" s="37" t="s">
        <v>1859</v>
      </c>
      <c r="AF125" s="257"/>
      <c r="AG125" s="257"/>
      <c r="AH125" s="165">
        <f t="shared" si="23"/>
        <v>1</v>
      </c>
      <c r="AI125" s="172" t="s">
        <v>161</v>
      </c>
      <c r="AJ125" s="257"/>
      <c r="AK125" s="257"/>
      <c r="AL125" s="257" t="s">
        <v>150</v>
      </c>
      <c r="AM125" s="257"/>
      <c r="AN125" s="257"/>
      <c r="AO125" s="255" t="s">
        <v>164</v>
      </c>
      <c r="AP125" s="258" t="s">
        <v>370</v>
      </c>
      <c r="AQ125" s="258" t="s">
        <v>343</v>
      </c>
      <c r="AR125" s="255" t="s">
        <v>150</v>
      </c>
      <c r="AS125" s="255"/>
      <c r="AT125" s="418" t="s">
        <v>372</v>
      </c>
      <c r="AU125" s="165" t="s">
        <v>1860</v>
      </c>
      <c r="AV125" s="166"/>
      <c r="AW125" s="167">
        <v>42428</v>
      </c>
      <c r="AX125" s="167">
        <v>42675</v>
      </c>
      <c r="AY125" s="167" t="s">
        <v>150</v>
      </c>
      <c r="AZ125" s="167">
        <v>42430</v>
      </c>
      <c r="BA125" s="167">
        <v>42430</v>
      </c>
      <c r="BB125" s="167">
        <v>42461</v>
      </c>
      <c r="BC125" s="167"/>
      <c r="BD125" s="167"/>
      <c r="BE125" s="168" t="s">
        <v>1861</v>
      </c>
      <c r="BF125" s="167">
        <v>43309</v>
      </c>
      <c r="BG125" s="167" t="s">
        <v>150</v>
      </c>
      <c r="BH125" s="167">
        <v>43528</v>
      </c>
      <c r="BI125" s="167" t="s">
        <v>150</v>
      </c>
      <c r="BJ125" s="166">
        <v>43313</v>
      </c>
      <c r="BK125" s="166">
        <v>43313</v>
      </c>
      <c r="BL125" s="166">
        <v>43393</v>
      </c>
      <c r="BM125" s="169">
        <v>43398</v>
      </c>
      <c r="BN125" s="165" t="s">
        <v>16</v>
      </c>
      <c r="BO125" s="165">
        <f>DATEDIF(AW125,BM125, "M")+1</f>
        <v>32</v>
      </c>
      <c r="BP125" s="165">
        <f t="shared" si="32"/>
        <v>24</v>
      </c>
      <c r="BQ125" s="172" t="s">
        <v>1862</v>
      </c>
      <c r="BR125" s="165">
        <v>1</v>
      </c>
      <c r="BS125" s="165">
        <v>8</v>
      </c>
      <c r="BT125" s="165">
        <v>20</v>
      </c>
      <c r="BU125" s="165">
        <v>7</v>
      </c>
      <c r="BV125" s="165">
        <v>1</v>
      </c>
      <c r="BW125" s="165">
        <v>0</v>
      </c>
      <c r="BX125" s="165">
        <v>0</v>
      </c>
      <c r="BY125" s="165" t="s">
        <v>163</v>
      </c>
      <c r="BZ125" s="165">
        <v>0</v>
      </c>
      <c r="CA125" s="165"/>
      <c r="CB125" s="170"/>
      <c r="CC125" s="170"/>
      <c r="CD125" s="165"/>
      <c r="CE125" s="165" t="s">
        <v>163</v>
      </c>
      <c r="CF125" s="165"/>
      <c r="CG125" s="165"/>
      <c r="CH125" s="376">
        <v>2</v>
      </c>
      <c r="CI125" s="165">
        <v>2</v>
      </c>
      <c r="CJ125" s="165"/>
      <c r="CK125" s="165" t="s">
        <v>1846</v>
      </c>
    </row>
    <row r="126" spans="1:102" ht="24.95" hidden="1" customHeight="1">
      <c r="A126" s="165">
        <v>130</v>
      </c>
      <c r="B126" s="165" t="s">
        <v>1863</v>
      </c>
      <c r="C126" s="165" t="s">
        <v>1864</v>
      </c>
      <c r="D126" s="165"/>
      <c r="E126" s="165" t="s">
        <v>1865</v>
      </c>
      <c r="F126" s="165" t="s">
        <v>24</v>
      </c>
      <c r="G126" s="165">
        <v>6</v>
      </c>
      <c r="H126" s="165" t="s">
        <v>60</v>
      </c>
      <c r="I126" s="165" t="s">
        <v>37</v>
      </c>
      <c r="J126" s="165" t="s">
        <v>1866</v>
      </c>
      <c r="K126" s="165" t="s">
        <v>1867</v>
      </c>
      <c r="L126" s="165" t="s">
        <v>37</v>
      </c>
      <c r="M126" s="165" t="s">
        <v>150</v>
      </c>
      <c r="N126" s="165" t="s">
        <v>1868</v>
      </c>
      <c r="O126" s="251" t="s">
        <v>151</v>
      </c>
      <c r="P126" s="252" t="s">
        <v>151</v>
      </c>
      <c r="Q126" s="165" t="s">
        <v>151</v>
      </c>
      <c r="R126" s="165" t="s">
        <v>1869</v>
      </c>
      <c r="S126" s="165" t="s">
        <v>1870</v>
      </c>
      <c r="T126" s="349" t="s">
        <v>1871</v>
      </c>
      <c r="U126" s="166" t="s">
        <v>1872</v>
      </c>
      <c r="V126" s="166">
        <v>30230</v>
      </c>
      <c r="W126" s="172" t="s">
        <v>1873</v>
      </c>
      <c r="X126" s="172" t="s">
        <v>179</v>
      </c>
      <c r="Y126" s="172" t="s">
        <v>157</v>
      </c>
      <c r="Z126" s="172" t="s">
        <v>158</v>
      </c>
      <c r="AA126" s="165">
        <v>17.5</v>
      </c>
      <c r="AB126" s="166">
        <v>42638</v>
      </c>
      <c r="AC126" s="287">
        <v>42430</v>
      </c>
      <c r="AD126" s="166"/>
      <c r="AE126" s="253" t="s">
        <v>1874</v>
      </c>
      <c r="AF126" s="253" t="s">
        <v>1875</v>
      </c>
      <c r="AG126" s="165" t="s">
        <v>1876</v>
      </c>
      <c r="AH126" s="165">
        <f t="shared" ref="AH126:AH157" si="33">COUNTA(AE126:AG126)</f>
        <v>3</v>
      </c>
      <c r="AI126" s="172" t="s">
        <v>161</v>
      </c>
      <c r="AJ126" s="172" t="s">
        <v>161</v>
      </c>
      <c r="AK126" s="165" t="s">
        <v>1877</v>
      </c>
      <c r="AL126" s="165" t="s">
        <v>150</v>
      </c>
      <c r="AM126" s="165" t="s">
        <v>163</v>
      </c>
      <c r="AN126" s="165" t="s">
        <v>163</v>
      </c>
      <c r="AO126" s="165" t="s">
        <v>164</v>
      </c>
      <c r="AP126" s="172" t="s">
        <v>579</v>
      </c>
      <c r="AQ126" s="165" t="s">
        <v>203</v>
      </c>
      <c r="AR126" s="165" t="s">
        <v>150</v>
      </c>
      <c r="AS126" s="258" t="s">
        <v>1878</v>
      </c>
      <c r="AT126" s="36" t="s">
        <v>580</v>
      </c>
      <c r="AU126" s="165" t="s">
        <v>1879</v>
      </c>
      <c r="AV126" s="166"/>
      <c r="AW126" s="167">
        <v>42428</v>
      </c>
      <c r="AX126" s="167">
        <v>42681</v>
      </c>
      <c r="AY126" s="167" t="s">
        <v>150</v>
      </c>
      <c r="AZ126" s="167">
        <v>42745</v>
      </c>
      <c r="BA126" s="167">
        <v>42858</v>
      </c>
      <c r="BB126" s="167"/>
      <c r="BC126" s="167"/>
      <c r="BD126" s="167"/>
      <c r="BE126" s="168" t="s">
        <v>1873</v>
      </c>
      <c r="BF126" s="167">
        <v>43309</v>
      </c>
      <c r="BG126" s="167" t="s">
        <v>150</v>
      </c>
      <c r="BH126" s="167">
        <v>43528</v>
      </c>
      <c r="BI126" s="167" t="s">
        <v>150</v>
      </c>
      <c r="BJ126" s="166"/>
      <c r="BK126" s="166">
        <v>44476</v>
      </c>
      <c r="BL126" s="166"/>
      <c r="BM126" s="169">
        <v>44607</v>
      </c>
      <c r="BN126" s="165" t="s">
        <v>16</v>
      </c>
      <c r="BO126" s="165">
        <f t="shared" ref="BO126" si="34">DATEDIF(AW126,BM126, "M")+1</f>
        <v>72</v>
      </c>
      <c r="BP126" s="165">
        <f t="shared" si="32"/>
        <v>64</v>
      </c>
      <c r="BQ126" s="165" t="s">
        <v>1880</v>
      </c>
      <c r="BR126" s="165">
        <v>4</v>
      </c>
      <c r="BS126" s="165">
        <v>20</v>
      </c>
      <c r="BT126" s="165">
        <v>5</v>
      </c>
      <c r="BU126" s="165">
        <v>3</v>
      </c>
      <c r="BV126" s="165">
        <v>2</v>
      </c>
      <c r="BW126" s="165">
        <v>0</v>
      </c>
      <c r="BX126" s="165">
        <v>0</v>
      </c>
      <c r="BY126" s="165" t="s">
        <v>163</v>
      </c>
      <c r="BZ126" s="165">
        <v>0</v>
      </c>
      <c r="CA126" s="165"/>
      <c r="CB126" s="170"/>
      <c r="CC126" s="170"/>
      <c r="CD126" s="165"/>
      <c r="CE126" s="165" t="s">
        <v>163</v>
      </c>
      <c r="CF126" s="165"/>
      <c r="CG126" s="165"/>
      <c r="CH126" s="376">
        <v>2</v>
      </c>
      <c r="CI126" s="165">
        <v>4</v>
      </c>
      <c r="CJ126" s="165"/>
      <c r="CK126" s="165" t="s">
        <v>1881</v>
      </c>
    </row>
    <row r="127" spans="1:102" ht="24.95" hidden="1" customHeight="1">
      <c r="A127" s="165">
        <v>131</v>
      </c>
      <c r="B127" s="165" t="s">
        <v>1882</v>
      </c>
      <c r="C127" s="165" t="s">
        <v>619</v>
      </c>
      <c r="D127" s="165" t="s">
        <v>1883</v>
      </c>
      <c r="E127" s="165" t="s">
        <v>1884</v>
      </c>
      <c r="F127" s="165" t="s">
        <v>24</v>
      </c>
      <c r="G127" s="165">
        <v>6</v>
      </c>
      <c r="H127" s="165" t="s">
        <v>54</v>
      </c>
      <c r="I127" s="165" t="s">
        <v>41</v>
      </c>
      <c r="J127" s="165" t="s">
        <v>1885</v>
      </c>
      <c r="K127" s="165" t="s">
        <v>1885</v>
      </c>
      <c r="L127" s="165" t="s">
        <v>41</v>
      </c>
      <c r="M127" s="165" t="s">
        <v>150</v>
      </c>
      <c r="N127" s="171" t="s">
        <v>1886</v>
      </c>
      <c r="O127" s="259" t="s">
        <v>151</v>
      </c>
      <c r="P127" s="260" t="s">
        <v>151</v>
      </c>
      <c r="Q127" s="165" t="s">
        <v>151</v>
      </c>
      <c r="R127" s="165" t="s">
        <v>1887</v>
      </c>
      <c r="S127" s="165" t="s">
        <v>1888</v>
      </c>
      <c r="T127" s="350" t="s">
        <v>1889</v>
      </c>
      <c r="U127" s="166" t="s">
        <v>1890</v>
      </c>
      <c r="V127" s="166">
        <v>28952</v>
      </c>
      <c r="W127" s="172" t="s">
        <v>1891</v>
      </c>
      <c r="X127" s="172" t="s">
        <v>179</v>
      </c>
      <c r="Y127" s="172" t="s">
        <v>163</v>
      </c>
      <c r="Z127" s="172" t="s">
        <v>158</v>
      </c>
      <c r="AA127" s="165">
        <v>24.5</v>
      </c>
      <c r="AB127" s="166">
        <v>42683</v>
      </c>
      <c r="AC127" s="287">
        <v>42430</v>
      </c>
      <c r="AD127" s="166"/>
      <c r="AE127" s="37" t="s">
        <v>1892</v>
      </c>
      <c r="AF127" s="257" t="s">
        <v>1893</v>
      </c>
      <c r="AG127" s="257"/>
      <c r="AH127" s="165">
        <f t="shared" si="33"/>
        <v>2</v>
      </c>
      <c r="AI127" s="172" t="s">
        <v>161</v>
      </c>
      <c r="AJ127" s="257"/>
      <c r="AK127" s="257"/>
      <c r="AL127" s="257" t="s">
        <v>150</v>
      </c>
      <c r="AM127" s="257"/>
      <c r="AN127" s="257"/>
      <c r="AO127" s="257" t="s">
        <v>164</v>
      </c>
      <c r="AP127" s="172" t="s">
        <v>181</v>
      </c>
      <c r="AQ127" s="261" t="s">
        <v>250</v>
      </c>
      <c r="AR127" s="261" t="s">
        <v>150</v>
      </c>
      <c r="AS127" s="261" t="s">
        <v>915</v>
      </c>
      <c r="AT127" s="419" t="s">
        <v>1894</v>
      </c>
      <c r="AU127" s="165" t="s">
        <v>1895</v>
      </c>
      <c r="AV127" s="166"/>
      <c r="AW127" s="167">
        <v>42428</v>
      </c>
      <c r="AX127" s="167">
        <v>42681</v>
      </c>
      <c r="AY127" s="167" t="s">
        <v>150</v>
      </c>
      <c r="AZ127" s="167">
        <v>43034</v>
      </c>
      <c r="BA127" s="167">
        <v>43046</v>
      </c>
      <c r="BB127" s="167"/>
      <c r="BC127" s="167"/>
      <c r="BD127" s="167"/>
      <c r="BE127" s="168" t="s">
        <v>1896</v>
      </c>
      <c r="BF127" s="167">
        <v>43309</v>
      </c>
      <c r="BG127" s="167" t="s">
        <v>150</v>
      </c>
      <c r="BH127" s="167">
        <v>43528</v>
      </c>
      <c r="BI127" s="167" t="s">
        <v>150</v>
      </c>
      <c r="BJ127" s="166"/>
      <c r="BK127" s="166"/>
      <c r="BL127" s="166"/>
      <c r="BM127" s="169">
        <v>43637</v>
      </c>
      <c r="BN127" s="165" t="s">
        <v>16</v>
      </c>
      <c r="BO127" s="165">
        <f>DATEDIF(AW127,BM127, "M")+1</f>
        <v>40</v>
      </c>
      <c r="BP127" s="165">
        <f t="shared" si="32"/>
        <v>32</v>
      </c>
      <c r="BQ127" s="165"/>
      <c r="BR127" s="165">
        <v>2</v>
      </c>
      <c r="BS127" s="165">
        <v>3</v>
      </c>
      <c r="BT127" s="165">
        <v>0</v>
      </c>
      <c r="BU127" s="165">
        <v>0</v>
      </c>
      <c r="BV127" s="165">
        <v>0</v>
      </c>
      <c r="BW127" s="165">
        <v>0</v>
      </c>
      <c r="BX127" s="165">
        <v>0</v>
      </c>
      <c r="BY127" s="165" t="s">
        <v>163</v>
      </c>
      <c r="BZ127" s="165">
        <v>0</v>
      </c>
      <c r="CA127" s="165"/>
      <c r="CB127" s="170"/>
      <c r="CC127" s="170"/>
      <c r="CD127" s="165"/>
      <c r="CE127" s="165" t="s">
        <v>163</v>
      </c>
      <c r="CF127" s="165"/>
      <c r="CG127" s="165"/>
      <c r="CH127" s="376">
        <v>1</v>
      </c>
      <c r="CI127" s="165">
        <v>2</v>
      </c>
      <c r="CJ127" s="165"/>
      <c r="CK127" s="165" t="s">
        <v>809</v>
      </c>
    </row>
    <row r="128" spans="1:102" ht="24.95" hidden="1" customHeight="1">
      <c r="A128" s="165">
        <v>132</v>
      </c>
      <c r="B128" s="165" t="s">
        <v>1897</v>
      </c>
      <c r="C128" s="165" t="s">
        <v>1898</v>
      </c>
      <c r="D128" s="165"/>
      <c r="E128" s="165" t="s">
        <v>1899</v>
      </c>
      <c r="F128" s="165" t="s">
        <v>24</v>
      </c>
      <c r="G128" s="165">
        <v>6</v>
      </c>
      <c r="H128" s="165" t="s">
        <v>53</v>
      </c>
      <c r="I128" s="165" t="s">
        <v>47</v>
      </c>
      <c r="J128" s="165" t="s">
        <v>1900</v>
      </c>
      <c r="K128" s="165" t="s">
        <v>1901</v>
      </c>
      <c r="L128" s="165" t="s">
        <v>46</v>
      </c>
      <c r="M128" s="165" t="s">
        <v>163</v>
      </c>
      <c r="N128" s="165">
        <v>1598631</v>
      </c>
      <c r="O128" s="251" t="s">
        <v>322</v>
      </c>
      <c r="P128" s="252" t="s">
        <v>151</v>
      </c>
      <c r="Q128" s="165"/>
      <c r="R128" s="165" t="s">
        <v>1902</v>
      </c>
      <c r="S128" s="165" t="s">
        <v>1903</v>
      </c>
      <c r="T128" s="350" t="s">
        <v>1904</v>
      </c>
      <c r="U128" s="166" t="s">
        <v>575</v>
      </c>
      <c r="V128" s="166">
        <v>32242</v>
      </c>
      <c r="W128" s="172" t="s">
        <v>1905</v>
      </c>
      <c r="X128" s="172" t="s">
        <v>805</v>
      </c>
      <c r="Y128" s="172" t="s">
        <v>157</v>
      </c>
      <c r="Z128" s="172" t="s">
        <v>158</v>
      </c>
      <c r="AA128" s="165">
        <v>25</v>
      </c>
      <c r="AB128" s="166">
        <v>42622</v>
      </c>
      <c r="AC128" s="287">
        <v>42430</v>
      </c>
      <c r="AD128" s="166"/>
      <c r="AE128" s="253" t="s">
        <v>1906</v>
      </c>
      <c r="AF128" s="37" t="s">
        <v>1907</v>
      </c>
      <c r="AG128" s="165"/>
      <c r="AH128" s="165">
        <f t="shared" si="33"/>
        <v>2</v>
      </c>
      <c r="AI128" s="37" t="s">
        <v>162</v>
      </c>
      <c r="AJ128" s="172" t="s">
        <v>161</v>
      </c>
      <c r="AK128" s="165"/>
      <c r="AL128" s="165" t="s">
        <v>150</v>
      </c>
      <c r="AM128" s="165" t="s">
        <v>150</v>
      </c>
      <c r="AN128" s="165"/>
      <c r="AO128" s="165" t="s">
        <v>182</v>
      </c>
      <c r="AP128" s="172" t="s">
        <v>1908</v>
      </c>
      <c r="AQ128" s="165" t="s">
        <v>593</v>
      </c>
      <c r="AR128" s="165"/>
      <c r="AS128" s="165"/>
      <c r="AT128" s="36" t="s">
        <v>298</v>
      </c>
      <c r="AU128" s="165" t="s">
        <v>1909</v>
      </c>
      <c r="AV128" s="166"/>
      <c r="AW128" s="167">
        <v>42428</v>
      </c>
      <c r="AX128" s="167">
        <v>42681</v>
      </c>
      <c r="AY128" s="167" t="s">
        <v>150</v>
      </c>
      <c r="AZ128" s="167">
        <v>43257</v>
      </c>
      <c r="BA128" s="167">
        <v>43326</v>
      </c>
      <c r="BB128" s="167">
        <v>42992</v>
      </c>
      <c r="BC128" s="167"/>
      <c r="BD128" s="167"/>
      <c r="BE128" s="168" t="s">
        <v>1910</v>
      </c>
      <c r="BF128" s="167">
        <v>43309</v>
      </c>
      <c r="BG128" s="167" t="s">
        <v>150</v>
      </c>
      <c r="BH128" s="167">
        <v>43528</v>
      </c>
      <c r="BI128" s="167" t="s">
        <v>150</v>
      </c>
      <c r="BJ128" s="166">
        <v>45502</v>
      </c>
      <c r="BK128" s="166"/>
      <c r="BL128" s="166"/>
      <c r="BM128" s="169">
        <v>45610</v>
      </c>
      <c r="BN128" s="174" t="s">
        <v>16</v>
      </c>
      <c r="BO128" s="165">
        <f>DATEDIF(AW128,BM128, "M")+1</f>
        <v>105</v>
      </c>
      <c r="BP128" s="165">
        <f t="shared" si="32"/>
        <v>97</v>
      </c>
      <c r="BQ128" s="165" t="s">
        <v>1911</v>
      </c>
      <c r="BR128" s="165">
        <v>0</v>
      </c>
      <c r="BS128" s="165">
        <v>2</v>
      </c>
      <c r="BT128" s="165">
        <v>0</v>
      </c>
      <c r="BU128" s="165">
        <v>0</v>
      </c>
      <c r="BV128" s="165">
        <v>0</v>
      </c>
      <c r="BW128" s="165">
        <v>0</v>
      </c>
      <c r="BX128" s="165">
        <v>0</v>
      </c>
      <c r="BY128" s="165" t="s">
        <v>163</v>
      </c>
      <c r="BZ128" s="165">
        <v>0</v>
      </c>
      <c r="CA128" s="165"/>
      <c r="CB128" s="170"/>
      <c r="CC128" s="170"/>
      <c r="CD128" s="165"/>
      <c r="CE128" s="165" t="s">
        <v>163</v>
      </c>
      <c r="CF128" s="165"/>
      <c r="CG128" s="165"/>
      <c r="CH128" s="376">
        <v>0</v>
      </c>
      <c r="CI128" s="165" t="s">
        <v>168</v>
      </c>
      <c r="CJ128" s="165"/>
      <c r="CK128" s="165" t="s">
        <v>1806</v>
      </c>
    </row>
    <row r="129" spans="1:90" ht="24.95" hidden="1" customHeight="1">
      <c r="A129" s="165">
        <v>133</v>
      </c>
      <c r="B129" s="165" t="s">
        <v>1912</v>
      </c>
      <c r="C129" s="165" t="s">
        <v>1913</v>
      </c>
      <c r="D129" s="165" t="s">
        <v>1914</v>
      </c>
      <c r="E129" s="165" t="s">
        <v>1915</v>
      </c>
      <c r="F129" s="165" t="s">
        <v>25</v>
      </c>
      <c r="G129" s="165">
        <v>6</v>
      </c>
      <c r="H129" s="165" t="s">
        <v>60</v>
      </c>
      <c r="I129" s="165" t="s">
        <v>37</v>
      </c>
      <c r="J129" s="165" t="s">
        <v>1193</v>
      </c>
      <c r="K129" s="165" t="s">
        <v>1916</v>
      </c>
      <c r="L129" s="165" t="s">
        <v>37</v>
      </c>
      <c r="M129" s="165" t="s">
        <v>150</v>
      </c>
      <c r="N129" s="165" t="s">
        <v>1917</v>
      </c>
      <c r="O129" s="251" t="s">
        <v>151</v>
      </c>
      <c r="P129" s="252" t="s">
        <v>151</v>
      </c>
      <c r="Q129" s="165" t="s">
        <v>151</v>
      </c>
      <c r="R129" s="165" t="s">
        <v>1918</v>
      </c>
      <c r="S129" s="165" t="s">
        <v>1919</v>
      </c>
      <c r="T129" s="349" t="s">
        <v>1920</v>
      </c>
      <c r="U129" s="166" t="s">
        <v>1921</v>
      </c>
      <c r="V129" s="166">
        <v>26039</v>
      </c>
      <c r="W129" s="172" t="s">
        <v>1922</v>
      </c>
      <c r="X129" s="172" t="s">
        <v>179</v>
      </c>
      <c r="Y129" s="172" t="s">
        <v>163</v>
      </c>
      <c r="Z129" s="172" t="s">
        <v>158</v>
      </c>
      <c r="AA129" s="165">
        <v>8</v>
      </c>
      <c r="AB129" s="166">
        <v>42464</v>
      </c>
      <c r="AC129" s="287">
        <v>42430</v>
      </c>
      <c r="AD129" s="166"/>
      <c r="AE129" s="253" t="s">
        <v>1923</v>
      </c>
      <c r="AF129" s="37" t="s">
        <v>1924</v>
      </c>
      <c r="AG129" s="165"/>
      <c r="AH129" s="165">
        <f t="shared" si="33"/>
        <v>2</v>
      </c>
      <c r="AI129" s="172" t="s">
        <v>161</v>
      </c>
      <c r="AJ129" s="172" t="s">
        <v>161</v>
      </c>
      <c r="AK129" s="165"/>
      <c r="AL129" s="165" t="s">
        <v>163</v>
      </c>
      <c r="AM129" s="165" t="s">
        <v>150</v>
      </c>
      <c r="AN129" s="165"/>
      <c r="AO129" s="165" t="s">
        <v>164</v>
      </c>
      <c r="AP129" s="172" t="s">
        <v>203</v>
      </c>
      <c r="AQ129" s="38" t="s">
        <v>250</v>
      </c>
      <c r="AR129" s="165" t="s">
        <v>150</v>
      </c>
      <c r="AS129" s="165"/>
      <c r="AT129" s="36" t="s">
        <v>580</v>
      </c>
      <c r="AU129" s="165" t="s">
        <v>1925</v>
      </c>
      <c r="AV129" s="166"/>
      <c r="AW129" s="167">
        <v>42428</v>
      </c>
      <c r="AX129" s="167">
        <v>42681</v>
      </c>
      <c r="AY129" s="167" t="s">
        <v>150</v>
      </c>
      <c r="AZ129" s="167">
        <v>42564</v>
      </c>
      <c r="BA129" s="167">
        <v>42718</v>
      </c>
      <c r="BB129" s="165"/>
      <c r="BC129" s="165"/>
      <c r="BD129" s="165"/>
      <c r="BE129" s="168" t="s">
        <v>1926</v>
      </c>
      <c r="BF129" s="167">
        <v>43309</v>
      </c>
      <c r="BG129" s="167" t="s">
        <v>150</v>
      </c>
      <c r="BH129" s="167">
        <v>43528</v>
      </c>
      <c r="BI129" s="167" t="s">
        <v>150</v>
      </c>
      <c r="BJ129" s="166"/>
      <c r="BK129" s="166">
        <v>44511</v>
      </c>
      <c r="BL129" s="166"/>
      <c r="BM129" s="169">
        <v>44607</v>
      </c>
      <c r="BN129" s="165" t="s">
        <v>16</v>
      </c>
      <c r="BO129" s="165">
        <f t="shared" ref="BO129" si="35">DATEDIF(AW129,BM129, "M")+1</f>
        <v>72</v>
      </c>
      <c r="BP129" s="165">
        <f t="shared" ref="BP129:BP142" si="36">DATEDIF(AX129,BM129, "M")+1</f>
        <v>64</v>
      </c>
      <c r="BQ129" s="172" t="s">
        <v>1927</v>
      </c>
      <c r="BR129" s="165">
        <v>5</v>
      </c>
      <c r="BS129" s="165">
        <v>15</v>
      </c>
      <c r="BT129" s="165">
        <v>3</v>
      </c>
      <c r="BU129" s="165">
        <v>1</v>
      </c>
      <c r="BV129" s="165">
        <v>1</v>
      </c>
      <c r="BW129" s="165">
        <v>0</v>
      </c>
      <c r="BX129" s="165">
        <v>0</v>
      </c>
      <c r="BY129" s="165" t="s">
        <v>163</v>
      </c>
      <c r="BZ129" s="165">
        <v>0</v>
      </c>
      <c r="CA129" s="165"/>
      <c r="CB129" s="170"/>
      <c r="CC129" s="170"/>
      <c r="CD129" s="165"/>
      <c r="CE129" s="165" t="s">
        <v>163</v>
      </c>
      <c r="CF129" s="165"/>
      <c r="CG129" s="165"/>
      <c r="CH129" s="376">
        <v>4</v>
      </c>
      <c r="CI129" s="165">
        <v>4</v>
      </c>
      <c r="CJ129" s="165"/>
      <c r="CK129" s="165" t="s">
        <v>1806</v>
      </c>
    </row>
    <row r="130" spans="1:90" ht="24.95" hidden="1" customHeight="1">
      <c r="A130" s="165">
        <v>134</v>
      </c>
      <c r="B130" s="165" t="s">
        <v>1928</v>
      </c>
      <c r="C130" s="165" t="s">
        <v>1929</v>
      </c>
      <c r="D130" s="165" t="s">
        <v>1930</v>
      </c>
      <c r="E130" s="165" t="s">
        <v>1931</v>
      </c>
      <c r="F130" s="165" t="s">
        <v>24</v>
      </c>
      <c r="G130" s="165">
        <v>6</v>
      </c>
      <c r="H130" s="165" t="s">
        <v>54</v>
      </c>
      <c r="I130" s="165" t="s">
        <v>33</v>
      </c>
      <c r="J130" s="165" t="s">
        <v>936</v>
      </c>
      <c r="K130" s="165" t="s">
        <v>936</v>
      </c>
      <c r="L130" s="165" t="s">
        <v>33</v>
      </c>
      <c r="M130" s="165" t="s">
        <v>150</v>
      </c>
      <c r="N130" s="165">
        <v>121147</v>
      </c>
      <c r="O130" s="251" t="s">
        <v>322</v>
      </c>
      <c r="P130" s="252" t="s">
        <v>240</v>
      </c>
      <c r="Q130" s="165" t="s">
        <v>151</v>
      </c>
      <c r="R130" s="386" t="s">
        <v>1932</v>
      </c>
      <c r="S130" s="165" t="s">
        <v>1933</v>
      </c>
      <c r="T130" s="350" t="s">
        <v>1934</v>
      </c>
      <c r="U130" s="166" t="s">
        <v>1935</v>
      </c>
      <c r="V130" s="166">
        <v>30695</v>
      </c>
      <c r="W130" s="172" t="s">
        <v>1936</v>
      </c>
      <c r="X130" s="172" t="s">
        <v>179</v>
      </c>
      <c r="Y130" s="172" t="s">
        <v>163</v>
      </c>
      <c r="Z130" s="172" t="s">
        <v>158</v>
      </c>
      <c r="AA130" s="165">
        <v>17.5</v>
      </c>
      <c r="AB130" s="166">
        <v>41358</v>
      </c>
      <c r="AC130" s="287">
        <v>42430</v>
      </c>
      <c r="AD130" s="166"/>
      <c r="AE130" s="253" t="s">
        <v>1937</v>
      </c>
      <c r="AF130" s="165"/>
      <c r="AG130" s="165"/>
      <c r="AH130" s="165">
        <f t="shared" si="33"/>
        <v>1</v>
      </c>
      <c r="AI130" s="172" t="s">
        <v>161</v>
      </c>
      <c r="AJ130" s="172"/>
      <c r="AK130" s="165"/>
      <c r="AL130" s="165" t="s">
        <v>150</v>
      </c>
      <c r="AM130" s="165"/>
      <c r="AN130" s="165"/>
      <c r="AO130" s="165" t="s">
        <v>164</v>
      </c>
      <c r="AP130" s="172" t="s">
        <v>1938</v>
      </c>
      <c r="AQ130" s="165" t="s">
        <v>1939</v>
      </c>
      <c r="AR130" s="165" t="s">
        <v>150</v>
      </c>
      <c r="AS130" s="165"/>
      <c r="AT130" s="36" t="s">
        <v>328</v>
      </c>
      <c r="AU130" s="165" t="s">
        <v>1940</v>
      </c>
      <c r="AV130" s="166"/>
      <c r="AW130" s="167">
        <v>42428</v>
      </c>
      <c r="AX130" s="167">
        <v>42681</v>
      </c>
      <c r="AY130" s="167" t="s">
        <v>150</v>
      </c>
      <c r="AZ130" s="167">
        <v>42420</v>
      </c>
      <c r="BA130" s="167">
        <v>42500</v>
      </c>
      <c r="BB130" s="167">
        <v>42921</v>
      </c>
      <c r="BC130" s="167"/>
      <c r="BD130" s="167"/>
      <c r="BE130" s="168" t="s">
        <v>1941</v>
      </c>
      <c r="BF130" s="167">
        <v>43309</v>
      </c>
      <c r="BG130" s="167" t="s">
        <v>150</v>
      </c>
      <c r="BH130" s="167">
        <v>43528</v>
      </c>
      <c r="BI130" s="167" t="s">
        <v>150</v>
      </c>
      <c r="BJ130" s="166"/>
      <c r="BK130" s="166"/>
      <c r="BL130" s="166"/>
      <c r="BM130" s="169">
        <v>43585</v>
      </c>
      <c r="BN130" s="165" t="s">
        <v>16</v>
      </c>
      <c r="BO130" s="171">
        <f t="shared" ref="BO130:BO140" si="37">DATEDIF(AW130,BM130, "M")+1</f>
        <v>39</v>
      </c>
      <c r="BP130" s="165">
        <f t="shared" si="36"/>
        <v>30</v>
      </c>
      <c r="BQ130" s="165"/>
      <c r="BR130" s="165">
        <v>1</v>
      </c>
      <c r="BS130" s="165">
        <v>3</v>
      </c>
      <c r="BT130" s="165">
        <v>14</v>
      </c>
      <c r="BU130" s="165">
        <v>1</v>
      </c>
      <c r="BV130" s="165">
        <v>0</v>
      </c>
      <c r="BW130" s="165">
        <v>0</v>
      </c>
      <c r="BX130" s="165">
        <v>0</v>
      </c>
      <c r="BY130" s="165" t="s">
        <v>163</v>
      </c>
      <c r="BZ130" s="165">
        <v>0</v>
      </c>
      <c r="CA130" s="165"/>
      <c r="CB130" s="170"/>
      <c r="CC130" s="170"/>
      <c r="CD130" s="165"/>
      <c r="CE130" s="165" t="s">
        <v>163</v>
      </c>
      <c r="CF130" s="165"/>
      <c r="CG130" s="165"/>
      <c r="CH130" s="376">
        <v>0</v>
      </c>
      <c r="CI130" s="165">
        <v>0</v>
      </c>
      <c r="CJ130" s="165"/>
      <c r="CK130" s="165" t="s">
        <v>809</v>
      </c>
    </row>
    <row r="131" spans="1:90" ht="24.95" hidden="1" customHeight="1">
      <c r="A131" s="165">
        <v>135</v>
      </c>
      <c r="B131" s="165" t="s">
        <v>1942</v>
      </c>
      <c r="C131" s="165" t="s">
        <v>270</v>
      </c>
      <c r="D131" s="165" t="s">
        <v>1943</v>
      </c>
      <c r="E131" s="165" t="s">
        <v>1944</v>
      </c>
      <c r="F131" s="165" t="s">
        <v>24</v>
      </c>
      <c r="G131" s="165">
        <v>6</v>
      </c>
      <c r="H131" s="165" t="s">
        <v>54</v>
      </c>
      <c r="I131" s="165" t="s">
        <v>41</v>
      </c>
      <c r="J131" s="165" t="s">
        <v>1945</v>
      </c>
      <c r="K131" s="165" t="s">
        <v>1945</v>
      </c>
      <c r="L131" s="165" t="s">
        <v>41</v>
      </c>
      <c r="M131" s="165" t="s">
        <v>150</v>
      </c>
      <c r="N131" s="171" t="s">
        <v>1946</v>
      </c>
      <c r="O131" s="259" t="s">
        <v>151</v>
      </c>
      <c r="P131" s="260" t="s">
        <v>151</v>
      </c>
      <c r="Q131" s="165" t="s">
        <v>151</v>
      </c>
      <c r="R131" s="165" t="s">
        <v>1947</v>
      </c>
      <c r="S131" s="175" t="s">
        <v>1948</v>
      </c>
      <c r="T131" s="350" t="s">
        <v>1949</v>
      </c>
      <c r="U131" s="166" t="s">
        <v>1950</v>
      </c>
      <c r="V131" s="166">
        <v>29489</v>
      </c>
      <c r="W131" s="172" t="s">
        <v>1951</v>
      </c>
      <c r="X131" s="172" t="s">
        <v>179</v>
      </c>
      <c r="Y131" s="172" t="s">
        <v>163</v>
      </c>
      <c r="Z131" s="172" t="s">
        <v>158</v>
      </c>
      <c r="AA131" s="165">
        <v>22</v>
      </c>
      <c r="AB131" s="166">
        <v>42724</v>
      </c>
      <c r="AC131" s="287">
        <v>42430</v>
      </c>
      <c r="AD131" s="166"/>
      <c r="AE131" s="37" t="s">
        <v>1952</v>
      </c>
      <c r="AF131" s="165"/>
      <c r="AG131" s="165"/>
      <c r="AH131" s="165">
        <f t="shared" si="33"/>
        <v>1</v>
      </c>
      <c r="AI131" s="172" t="s">
        <v>161</v>
      </c>
      <c r="AJ131" s="172"/>
      <c r="AK131" s="165"/>
      <c r="AL131" s="165" t="s">
        <v>150</v>
      </c>
      <c r="AM131" s="165"/>
      <c r="AN131" s="165"/>
      <c r="AO131" s="171" t="s">
        <v>164</v>
      </c>
      <c r="AP131" s="262" t="s">
        <v>181</v>
      </c>
      <c r="AQ131" s="172" t="s">
        <v>1953</v>
      </c>
      <c r="AR131" s="171" t="s">
        <v>150</v>
      </c>
      <c r="AS131" s="171"/>
      <c r="AT131" s="419" t="s">
        <v>285</v>
      </c>
      <c r="AU131" s="165" t="s">
        <v>1954</v>
      </c>
      <c r="AV131" s="166"/>
      <c r="AW131" s="167">
        <v>42428</v>
      </c>
      <c r="AX131" s="167">
        <v>42681</v>
      </c>
      <c r="AY131" s="167" t="s">
        <v>150</v>
      </c>
      <c r="AZ131" s="167">
        <v>43202</v>
      </c>
      <c r="BA131" s="167">
        <v>43046</v>
      </c>
      <c r="BB131" s="167"/>
      <c r="BC131" s="167"/>
      <c r="BD131" s="167"/>
      <c r="BE131" s="168" t="s">
        <v>1955</v>
      </c>
      <c r="BF131" s="167">
        <v>43309</v>
      </c>
      <c r="BG131" s="167" t="s">
        <v>150</v>
      </c>
      <c r="BH131" s="167">
        <v>43528</v>
      </c>
      <c r="BI131" s="167" t="s">
        <v>150</v>
      </c>
      <c r="BJ131" s="166"/>
      <c r="BK131" s="166"/>
      <c r="BL131" s="166"/>
      <c r="BM131" s="169">
        <v>43678</v>
      </c>
      <c r="BN131" s="165" t="s">
        <v>16</v>
      </c>
      <c r="BO131" s="171">
        <f t="shared" si="37"/>
        <v>42</v>
      </c>
      <c r="BP131" s="165">
        <f t="shared" si="36"/>
        <v>33</v>
      </c>
      <c r="BQ131" s="165"/>
      <c r="BR131" s="165">
        <v>0</v>
      </c>
      <c r="BS131" s="165">
        <v>0</v>
      </c>
      <c r="BT131" s="165">
        <v>0</v>
      </c>
      <c r="BU131" s="165">
        <v>0</v>
      </c>
      <c r="BV131" s="165">
        <v>0</v>
      </c>
      <c r="BW131" s="165">
        <v>0</v>
      </c>
      <c r="BX131" s="165">
        <v>0</v>
      </c>
      <c r="BY131" s="165" t="s">
        <v>163</v>
      </c>
      <c r="BZ131" s="165">
        <v>0</v>
      </c>
      <c r="CA131" s="165"/>
      <c r="CB131" s="170"/>
      <c r="CC131" s="170"/>
      <c r="CD131" s="165"/>
      <c r="CE131" s="165" t="s">
        <v>163</v>
      </c>
      <c r="CF131" s="165"/>
      <c r="CG131" s="165"/>
      <c r="CH131" s="376">
        <v>2</v>
      </c>
      <c r="CI131" s="165">
        <v>2</v>
      </c>
      <c r="CJ131" s="165"/>
      <c r="CK131" s="165" t="s">
        <v>1806</v>
      </c>
    </row>
    <row r="132" spans="1:90" ht="24.95" hidden="1" customHeight="1">
      <c r="A132" s="165">
        <v>136</v>
      </c>
      <c r="B132" s="165" t="s">
        <v>1956</v>
      </c>
      <c r="C132" s="165" t="s">
        <v>1957</v>
      </c>
      <c r="D132" s="165" t="s">
        <v>1327</v>
      </c>
      <c r="E132" s="165" t="s">
        <v>1958</v>
      </c>
      <c r="F132" s="165" t="s">
        <v>24</v>
      </c>
      <c r="G132" s="165">
        <v>6</v>
      </c>
      <c r="H132" s="165" t="s">
        <v>53</v>
      </c>
      <c r="I132" s="165" t="s">
        <v>47</v>
      </c>
      <c r="J132" s="165" t="s">
        <v>1959</v>
      </c>
      <c r="K132" s="165" t="s">
        <v>1728</v>
      </c>
      <c r="L132" s="165" t="s">
        <v>47</v>
      </c>
      <c r="M132" s="165" t="s">
        <v>150</v>
      </c>
      <c r="N132" s="165" t="s">
        <v>1960</v>
      </c>
      <c r="O132" s="251" t="s">
        <v>151</v>
      </c>
      <c r="P132" s="252" t="s">
        <v>151</v>
      </c>
      <c r="Q132" s="165" t="s">
        <v>151</v>
      </c>
      <c r="R132" s="165" t="s">
        <v>1961</v>
      </c>
      <c r="S132" s="165" t="s">
        <v>1962</v>
      </c>
      <c r="T132" s="349" t="s">
        <v>1963</v>
      </c>
      <c r="U132" s="166" t="s">
        <v>1964</v>
      </c>
      <c r="V132" s="166">
        <v>28999</v>
      </c>
      <c r="W132" s="172" t="s">
        <v>1965</v>
      </c>
      <c r="X132" s="172" t="s">
        <v>179</v>
      </c>
      <c r="Y132" s="172" t="s">
        <v>163</v>
      </c>
      <c r="Z132" s="172" t="s">
        <v>158</v>
      </c>
      <c r="AA132" s="165">
        <v>7.5</v>
      </c>
      <c r="AB132" s="166">
        <v>41828</v>
      </c>
      <c r="AC132" s="287">
        <v>42430</v>
      </c>
      <c r="AD132" s="166"/>
      <c r="AE132" s="253" t="s">
        <v>1966</v>
      </c>
      <c r="AF132" s="253" t="s">
        <v>1967</v>
      </c>
      <c r="AG132" s="165" t="s">
        <v>1968</v>
      </c>
      <c r="AH132" s="165">
        <f t="shared" si="33"/>
        <v>3</v>
      </c>
      <c r="AI132" s="172" t="s">
        <v>161</v>
      </c>
      <c r="AJ132" s="172" t="s">
        <v>161</v>
      </c>
      <c r="AK132" s="172" t="s">
        <v>161</v>
      </c>
      <c r="AL132" s="172" t="s">
        <v>150</v>
      </c>
      <c r="AM132" s="172" t="s">
        <v>163</v>
      </c>
      <c r="AN132" s="172" t="s">
        <v>163</v>
      </c>
      <c r="AO132" s="172" t="s">
        <v>164</v>
      </c>
      <c r="AP132" s="172" t="s">
        <v>250</v>
      </c>
      <c r="AQ132" s="172" t="s">
        <v>250</v>
      </c>
      <c r="AR132" s="172" t="s">
        <v>150</v>
      </c>
      <c r="AS132" s="172"/>
      <c r="AT132" s="36" t="s">
        <v>298</v>
      </c>
      <c r="AU132" s="165" t="s">
        <v>1969</v>
      </c>
      <c r="AV132" s="166"/>
      <c r="AW132" s="167">
        <v>42428</v>
      </c>
      <c r="AX132" s="167">
        <v>42681</v>
      </c>
      <c r="AY132" s="167" t="s">
        <v>150</v>
      </c>
      <c r="AZ132" s="167">
        <v>42720</v>
      </c>
      <c r="BA132" s="167">
        <v>43048</v>
      </c>
      <c r="BB132" s="167"/>
      <c r="BC132" s="167"/>
      <c r="BD132" s="167"/>
      <c r="BE132" s="168" t="s">
        <v>1965</v>
      </c>
      <c r="BF132" s="167">
        <v>43309</v>
      </c>
      <c r="BG132" s="167" t="s">
        <v>150</v>
      </c>
      <c r="BH132" s="167">
        <v>43528</v>
      </c>
      <c r="BI132" s="167" t="s">
        <v>150</v>
      </c>
      <c r="BJ132" s="166"/>
      <c r="BK132" s="166">
        <v>43934</v>
      </c>
      <c r="BL132" s="166">
        <v>43948</v>
      </c>
      <c r="BM132" s="169">
        <v>43948</v>
      </c>
      <c r="BN132" s="165" t="s">
        <v>16</v>
      </c>
      <c r="BO132" s="171">
        <f t="shared" si="37"/>
        <v>50</v>
      </c>
      <c r="BP132" s="165">
        <f t="shared" si="36"/>
        <v>42</v>
      </c>
      <c r="BQ132" s="165"/>
      <c r="BR132" s="165">
        <v>3</v>
      </c>
      <c r="BS132" s="165">
        <v>2</v>
      </c>
      <c r="BT132" s="165">
        <v>2</v>
      </c>
      <c r="BU132" s="165">
        <v>1</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1806</v>
      </c>
    </row>
    <row r="133" spans="1:90" ht="24.95" hidden="1" customHeight="1">
      <c r="A133" s="165">
        <v>137</v>
      </c>
      <c r="B133" s="165" t="s">
        <v>1970</v>
      </c>
      <c r="C133" s="165" t="s">
        <v>1971</v>
      </c>
      <c r="D133" s="165"/>
      <c r="E133" s="165" t="s">
        <v>1972</v>
      </c>
      <c r="F133" s="165" t="s">
        <v>24</v>
      </c>
      <c r="G133" s="165">
        <v>6</v>
      </c>
      <c r="H133" s="165" t="s">
        <v>54</v>
      </c>
      <c r="I133" s="165" t="s">
        <v>33</v>
      </c>
      <c r="J133" s="165" t="s">
        <v>1728</v>
      </c>
      <c r="K133" s="165" t="s">
        <v>1729</v>
      </c>
      <c r="L133" s="165" t="s">
        <v>33</v>
      </c>
      <c r="M133" s="165" t="s">
        <v>150</v>
      </c>
      <c r="N133" s="165">
        <v>136414</v>
      </c>
      <c r="O133" s="251" t="s">
        <v>151</v>
      </c>
      <c r="P133" s="252" t="s">
        <v>151</v>
      </c>
      <c r="Q133" s="165" t="s">
        <v>151</v>
      </c>
      <c r="R133" s="165" t="s">
        <v>1973</v>
      </c>
      <c r="S133" s="165" t="s">
        <v>1974</v>
      </c>
      <c r="T133" s="349" t="s">
        <v>1975</v>
      </c>
      <c r="U133" s="166" t="s">
        <v>1733</v>
      </c>
      <c r="V133" s="166">
        <v>28027</v>
      </c>
      <c r="W133" s="172" t="s">
        <v>1976</v>
      </c>
      <c r="X133" s="172" t="s">
        <v>179</v>
      </c>
      <c r="Y133" s="172" t="s">
        <v>163</v>
      </c>
      <c r="Z133" s="172" t="s">
        <v>158</v>
      </c>
      <c r="AA133" s="165">
        <v>18.5</v>
      </c>
      <c r="AB133" s="166">
        <v>41403</v>
      </c>
      <c r="AC133" s="287">
        <v>42430</v>
      </c>
      <c r="AD133" s="166"/>
      <c r="AE133" s="253" t="s">
        <v>1977</v>
      </c>
      <c r="AF133" s="253" t="s">
        <v>1978</v>
      </c>
      <c r="AG133" s="165"/>
      <c r="AH133" s="165">
        <f t="shared" si="33"/>
        <v>2</v>
      </c>
      <c r="AI133" s="172" t="s">
        <v>161</v>
      </c>
      <c r="AJ133" s="172" t="s">
        <v>161</v>
      </c>
      <c r="AK133" s="165"/>
      <c r="AL133" s="165" t="s">
        <v>150</v>
      </c>
      <c r="AM133" s="165"/>
      <c r="AN133" s="165"/>
      <c r="AO133" s="165" t="s">
        <v>164</v>
      </c>
      <c r="AP133" s="172" t="s">
        <v>445</v>
      </c>
      <c r="AQ133" s="165" t="s">
        <v>1424</v>
      </c>
      <c r="AR133" s="165" t="s">
        <v>150</v>
      </c>
      <c r="AS133" s="165"/>
      <c r="AT133" s="36" t="s">
        <v>328</v>
      </c>
      <c r="AU133" s="165" t="s">
        <v>1979</v>
      </c>
      <c r="AV133" s="166"/>
      <c r="AW133" s="167">
        <v>42428</v>
      </c>
      <c r="AX133" s="167">
        <v>42681</v>
      </c>
      <c r="AY133" s="167" t="s">
        <v>150</v>
      </c>
      <c r="AZ133" s="167">
        <v>42857</v>
      </c>
      <c r="BA133" s="167">
        <v>43049</v>
      </c>
      <c r="BB133" s="167">
        <v>43046</v>
      </c>
      <c r="BC133" s="167"/>
      <c r="BD133" s="167"/>
      <c r="BE133" s="168" t="s">
        <v>1980</v>
      </c>
      <c r="BF133" s="167">
        <v>43309</v>
      </c>
      <c r="BG133" s="167" t="s">
        <v>150</v>
      </c>
      <c r="BH133" s="167">
        <v>43528</v>
      </c>
      <c r="BI133" s="167" t="s">
        <v>150</v>
      </c>
      <c r="BJ133" s="166"/>
      <c r="BK133" s="166">
        <v>44442</v>
      </c>
      <c r="BL133" s="166">
        <v>44453</v>
      </c>
      <c r="BM133" s="169">
        <v>44453</v>
      </c>
      <c r="BN133" s="165" t="s">
        <v>16</v>
      </c>
      <c r="BO133" s="171">
        <f t="shared" si="37"/>
        <v>67</v>
      </c>
      <c r="BP133" s="165">
        <f t="shared" si="36"/>
        <v>59</v>
      </c>
      <c r="BQ133" s="165"/>
      <c r="BR133" s="165">
        <v>2</v>
      </c>
      <c r="BS133" s="165">
        <v>4</v>
      </c>
      <c r="BT133" s="165">
        <v>0</v>
      </c>
      <c r="BU133" s="165">
        <v>1</v>
      </c>
      <c r="BV133" s="165">
        <v>1</v>
      </c>
      <c r="BW133" s="165">
        <v>0</v>
      </c>
      <c r="BX133" s="165">
        <v>0</v>
      </c>
      <c r="BY133" s="165" t="s">
        <v>163</v>
      </c>
      <c r="BZ133" s="165">
        <v>0</v>
      </c>
      <c r="CA133" s="165"/>
      <c r="CB133" s="170"/>
      <c r="CC133" s="170"/>
      <c r="CD133" s="165"/>
      <c r="CE133" s="165" t="s">
        <v>163</v>
      </c>
      <c r="CF133" s="165"/>
      <c r="CG133" s="165"/>
      <c r="CH133" s="376">
        <v>1</v>
      </c>
      <c r="CI133" s="165">
        <v>2</v>
      </c>
      <c r="CJ133" s="165"/>
      <c r="CK133" s="165" t="s">
        <v>1806</v>
      </c>
    </row>
    <row r="134" spans="1:90" s="53" customFormat="1" ht="24.95" hidden="1" customHeight="1">
      <c r="A134" s="165">
        <v>138</v>
      </c>
      <c r="B134" s="165" t="s">
        <v>1981</v>
      </c>
      <c r="C134" s="165" t="s">
        <v>1982</v>
      </c>
      <c r="D134" s="165" t="s">
        <v>1983</v>
      </c>
      <c r="E134" s="165" t="s">
        <v>1984</v>
      </c>
      <c r="F134" s="165" t="s">
        <v>25</v>
      </c>
      <c r="G134" s="165">
        <v>6</v>
      </c>
      <c r="H134" s="165" t="s">
        <v>54</v>
      </c>
      <c r="I134" s="165" t="s">
        <v>41</v>
      </c>
      <c r="J134" s="165" t="s">
        <v>602</v>
      </c>
      <c r="K134" s="165" t="s">
        <v>290</v>
      </c>
      <c r="L134" s="165" t="s">
        <v>41</v>
      </c>
      <c r="M134" s="165" t="s">
        <v>150</v>
      </c>
      <c r="N134" s="165" t="s">
        <v>1985</v>
      </c>
      <c r="O134" s="251" t="s">
        <v>151</v>
      </c>
      <c r="P134" s="252" t="s">
        <v>151</v>
      </c>
      <c r="Q134" s="165" t="s">
        <v>151</v>
      </c>
      <c r="R134" s="165" t="s">
        <v>1986</v>
      </c>
      <c r="S134" s="165" t="s">
        <v>1987</v>
      </c>
      <c r="T134" s="349" t="s">
        <v>1988</v>
      </c>
      <c r="U134" s="166" t="s">
        <v>789</v>
      </c>
      <c r="V134" s="166">
        <v>26659</v>
      </c>
      <c r="W134" s="172" t="s">
        <v>1989</v>
      </c>
      <c r="X134" s="172" t="s">
        <v>179</v>
      </c>
      <c r="Y134" s="172" t="s">
        <v>163</v>
      </c>
      <c r="Z134" s="172" t="s">
        <v>158</v>
      </c>
      <c r="AA134" s="165">
        <v>15.5</v>
      </c>
      <c r="AB134" s="166">
        <v>41862</v>
      </c>
      <c r="AC134" s="287">
        <v>42430</v>
      </c>
      <c r="AD134" s="166"/>
      <c r="AE134" s="253" t="s">
        <v>1990</v>
      </c>
      <c r="AF134" s="253" t="s">
        <v>1991</v>
      </c>
      <c r="AG134" s="165"/>
      <c r="AH134" s="165">
        <f t="shared" si="33"/>
        <v>2</v>
      </c>
      <c r="AI134" s="172" t="s">
        <v>161</v>
      </c>
      <c r="AJ134" s="172" t="s">
        <v>161</v>
      </c>
      <c r="AK134" s="165"/>
      <c r="AL134" s="165" t="s">
        <v>163</v>
      </c>
      <c r="AM134" s="165" t="s">
        <v>150</v>
      </c>
      <c r="AN134" s="165"/>
      <c r="AO134" s="165" t="s">
        <v>164</v>
      </c>
      <c r="AP134" s="172" t="s">
        <v>250</v>
      </c>
      <c r="AQ134" s="258" t="s">
        <v>313</v>
      </c>
      <c r="AR134" s="172" t="s">
        <v>150</v>
      </c>
      <c r="AS134" s="172"/>
      <c r="AT134" s="36" t="s">
        <v>285</v>
      </c>
      <c r="AU134" s="165" t="s">
        <v>1992</v>
      </c>
      <c r="AV134" s="166"/>
      <c r="AW134" s="167">
        <v>42428</v>
      </c>
      <c r="AX134" s="167">
        <v>42681</v>
      </c>
      <c r="AY134" s="167" t="s">
        <v>150</v>
      </c>
      <c r="AZ134" s="167">
        <v>43069</v>
      </c>
      <c r="BA134" s="167">
        <v>43130</v>
      </c>
      <c r="BB134" s="166">
        <v>43130</v>
      </c>
      <c r="BC134" s="166"/>
      <c r="BD134" s="166"/>
      <c r="BE134" s="168" t="s">
        <v>1993</v>
      </c>
      <c r="BF134" s="167">
        <v>43309</v>
      </c>
      <c r="BG134" s="167" t="s">
        <v>150</v>
      </c>
      <c r="BH134" s="167">
        <v>43528</v>
      </c>
      <c r="BI134" s="167" t="s">
        <v>150</v>
      </c>
      <c r="BJ134" s="166"/>
      <c r="BK134" s="166"/>
      <c r="BL134" s="166"/>
      <c r="BM134" s="169">
        <v>43813</v>
      </c>
      <c r="BN134" s="165" t="s">
        <v>16</v>
      </c>
      <c r="BO134" s="171">
        <f t="shared" si="37"/>
        <v>46</v>
      </c>
      <c r="BP134" s="165">
        <f t="shared" si="36"/>
        <v>38</v>
      </c>
      <c r="BQ134" s="165"/>
      <c r="BR134" s="165">
        <v>11</v>
      </c>
      <c r="BS134" s="165">
        <v>7</v>
      </c>
      <c r="BT134" s="165">
        <v>5</v>
      </c>
      <c r="BU134" s="165">
        <v>0</v>
      </c>
      <c r="BV134" s="165">
        <v>1</v>
      </c>
      <c r="BW134" s="165">
        <v>0</v>
      </c>
      <c r="BX134" s="165">
        <v>0</v>
      </c>
      <c r="BY134" s="165" t="s">
        <v>163</v>
      </c>
      <c r="BZ134" s="165">
        <v>0</v>
      </c>
      <c r="CA134" s="165"/>
      <c r="CB134" s="170"/>
      <c r="CC134" s="170"/>
      <c r="CD134" s="165"/>
      <c r="CE134" s="165" t="s">
        <v>163</v>
      </c>
      <c r="CF134" s="165"/>
      <c r="CG134" s="165"/>
      <c r="CH134" s="376">
        <v>3</v>
      </c>
      <c r="CI134" s="165">
        <v>3</v>
      </c>
      <c r="CJ134" s="165"/>
      <c r="CK134" s="165" t="s">
        <v>1806</v>
      </c>
      <c r="CL134"/>
    </row>
    <row r="135" spans="1:90" s="53" customFormat="1" ht="24.95" hidden="1" customHeight="1">
      <c r="A135" s="165">
        <v>139</v>
      </c>
      <c r="B135" s="165" t="s">
        <v>1994</v>
      </c>
      <c r="C135" s="165" t="s">
        <v>1995</v>
      </c>
      <c r="D135" s="165"/>
      <c r="E135" s="165" t="s">
        <v>1996</v>
      </c>
      <c r="F135" s="165" t="s">
        <v>25</v>
      </c>
      <c r="G135" s="165">
        <v>6</v>
      </c>
      <c r="H135" s="165" t="s">
        <v>55</v>
      </c>
      <c r="I135" s="165" t="s">
        <v>45</v>
      </c>
      <c r="J135" s="165" t="s">
        <v>1997</v>
      </c>
      <c r="K135" s="165" t="s">
        <v>1998</v>
      </c>
      <c r="L135" s="165" t="s">
        <v>46</v>
      </c>
      <c r="M135" s="165" t="s">
        <v>163</v>
      </c>
      <c r="N135" s="165">
        <v>1586122</v>
      </c>
      <c r="O135" s="251" t="s">
        <v>151</v>
      </c>
      <c r="P135" s="252" t="s">
        <v>151</v>
      </c>
      <c r="Q135" s="165" t="s">
        <v>151</v>
      </c>
      <c r="R135" s="165" t="s">
        <v>1999</v>
      </c>
      <c r="S135" s="165" t="s">
        <v>2000</v>
      </c>
      <c r="T135" s="349" t="s">
        <v>2001</v>
      </c>
      <c r="U135" s="166" t="s">
        <v>2002</v>
      </c>
      <c r="V135" s="166">
        <v>27124</v>
      </c>
      <c r="W135" s="172" t="s">
        <v>2003</v>
      </c>
      <c r="X135" s="172" t="s">
        <v>156</v>
      </c>
      <c r="Y135" s="172" t="s">
        <v>163</v>
      </c>
      <c r="Z135" s="172" t="s">
        <v>158</v>
      </c>
      <c r="AA135" s="165">
        <v>36</v>
      </c>
      <c r="AB135" s="166">
        <v>42782</v>
      </c>
      <c r="AC135" s="287">
        <v>42430</v>
      </c>
      <c r="AD135" s="166"/>
      <c r="AE135" s="253" t="s">
        <v>2004</v>
      </c>
      <c r="AF135" s="253" t="s">
        <v>2005</v>
      </c>
      <c r="AG135" s="165"/>
      <c r="AH135" s="165">
        <f t="shared" si="33"/>
        <v>2</v>
      </c>
      <c r="AI135" s="172" t="s">
        <v>282</v>
      </c>
      <c r="AJ135" s="172" t="s">
        <v>202</v>
      </c>
      <c r="AK135" s="165"/>
      <c r="AL135" s="165" t="s">
        <v>163</v>
      </c>
      <c r="AM135" s="165" t="s">
        <v>150</v>
      </c>
      <c r="AN135" s="165"/>
      <c r="AO135" s="165" t="s">
        <v>164</v>
      </c>
      <c r="AP135" s="172" t="s">
        <v>2006</v>
      </c>
      <c r="AQ135" s="165" t="s">
        <v>250</v>
      </c>
      <c r="AR135" s="165" t="s">
        <v>150</v>
      </c>
      <c r="AS135" s="165"/>
      <c r="AT135" s="36" t="s">
        <v>219</v>
      </c>
      <c r="AU135" s="165" t="s">
        <v>2007</v>
      </c>
      <c r="AV135" s="166"/>
      <c r="AW135" s="167">
        <v>42428</v>
      </c>
      <c r="AX135" s="167">
        <v>42681</v>
      </c>
      <c r="AY135" s="167" t="s">
        <v>150</v>
      </c>
      <c r="AZ135" s="167">
        <v>42993</v>
      </c>
      <c r="BA135" s="167">
        <v>43174</v>
      </c>
      <c r="BB135" s="167"/>
      <c r="BC135" s="167"/>
      <c r="BD135" s="167"/>
      <c r="BE135" s="168"/>
      <c r="BF135" s="167">
        <v>43675</v>
      </c>
      <c r="BG135" s="167" t="s">
        <v>163</v>
      </c>
      <c r="BH135" s="167">
        <v>43891</v>
      </c>
      <c r="BI135" s="167" t="s">
        <v>163</v>
      </c>
      <c r="BJ135" s="166"/>
      <c r="BK135" s="166"/>
      <c r="BL135" s="166"/>
      <c r="BM135" s="169">
        <v>44067</v>
      </c>
      <c r="BN135" s="165" t="s">
        <v>16</v>
      </c>
      <c r="BO135" s="171">
        <f t="shared" si="37"/>
        <v>54</v>
      </c>
      <c r="BP135" s="165">
        <f t="shared" si="36"/>
        <v>46</v>
      </c>
      <c r="BQ135" s="172" t="s">
        <v>2008</v>
      </c>
      <c r="BR135" s="165">
        <v>0</v>
      </c>
      <c r="BS135" s="165">
        <v>1</v>
      </c>
      <c r="BT135" s="165">
        <v>1</v>
      </c>
      <c r="BU135" s="165">
        <v>1</v>
      </c>
      <c r="BV135" s="165">
        <v>0</v>
      </c>
      <c r="BW135" s="165">
        <v>0</v>
      </c>
      <c r="BX135" s="165">
        <v>0</v>
      </c>
      <c r="BY135" s="165" t="s">
        <v>163</v>
      </c>
      <c r="BZ135" s="165">
        <v>0</v>
      </c>
      <c r="CA135" s="165"/>
      <c r="CB135" s="170"/>
      <c r="CC135" s="170"/>
      <c r="CD135" s="165"/>
      <c r="CE135" s="165" t="s">
        <v>163</v>
      </c>
      <c r="CF135" s="165"/>
      <c r="CG135" s="165"/>
      <c r="CH135" s="376">
        <v>2</v>
      </c>
      <c r="CI135" s="165">
        <v>2</v>
      </c>
      <c r="CJ135" s="165"/>
      <c r="CK135" s="165" t="s">
        <v>809</v>
      </c>
      <c r="CL135"/>
    </row>
    <row r="136" spans="1:90" s="53" customFormat="1" ht="24.95" hidden="1" customHeight="1">
      <c r="A136" s="165">
        <v>140</v>
      </c>
      <c r="B136" s="165" t="s">
        <v>2009</v>
      </c>
      <c r="C136" s="165" t="s">
        <v>629</v>
      </c>
      <c r="D136" s="165" t="s">
        <v>2010</v>
      </c>
      <c r="E136" s="165" t="s">
        <v>2011</v>
      </c>
      <c r="F136" s="165" t="s">
        <v>25</v>
      </c>
      <c r="G136" s="165">
        <v>6</v>
      </c>
      <c r="H136" s="165" t="s">
        <v>52</v>
      </c>
      <c r="I136" s="165" t="s">
        <v>44</v>
      </c>
      <c r="J136" s="165" t="s">
        <v>2012</v>
      </c>
      <c r="K136" s="165" t="s">
        <v>2013</v>
      </c>
      <c r="L136" s="165" t="s">
        <v>44</v>
      </c>
      <c r="M136" s="165" t="s">
        <v>150</v>
      </c>
      <c r="N136" s="165" t="s">
        <v>2014</v>
      </c>
      <c r="O136" s="251" t="s">
        <v>151</v>
      </c>
      <c r="P136" s="252" t="s">
        <v>151</v>
      </c>
      <c r="Q136" s="165" t="s">
        <v>151</v>
      </c>
      <c r="R136" s="165" t="s">
        <v>2015</v>
      </c>
      <c r="S136" s="165" t="s">
        <v>2016</v>
      </c>
      <c r="T136" s="349" t="s">
        <v>2017</v>
      </c>
      <c r="U136" s="166" t="s">
        <v>2018</v>
      </c>
      <c r="V136" s="166">
        <v>27626</v>
      </c>
      <c r="W136" s="172" t="s">
        <v>2019</v>
      </c>
      <c r="X136" s="172" t="s">
        <v>179</v>
      </c>
      <c r="Y136" s="172" t="s">
        <v>163</v>
      </c>
      <c r="Z136" s="172" t="s">
        <v>158</v>
      </c>
      <c r="AA136" s="165">
        <v>23.5</v>
      </c>
      <c r="AB136" s="166">
        <v>42272</v>
      </c>
      <c r="AC136" s="287">
        <v>42430</v>
      </c>
      <c r="AD136" s="166"/>
      <c r="AE136" s="253" t="s">
        <v>2020</v>
      </c>
      <c r="AF136" s="253" t="s">
        <v>2021</v>
      </c>
      <c r="AG136" s="165"/>
      <c r="AH136" s="165">
        <f t="shared" si="33"/>
        <v>2</v>
      </c>
      <c r="AI136" s="172" t="s">
        <v>161</v>
      </c>
      <c r="AJ136" s="172" t="s">
        <v>161</v>
      </c>
      <c r="AK136" s="165"/>
      <c r="AL136" s="165" t="s">
        <v>150</v>
      </c>
      <c r="AM136" s="165"/>
      <c r="AN136" s="165"/>
      <c r="AO136" s="165" t="s">
        <v>164</v>
      </c>
      <c r="AP136" s="172" t="s">
        <v>203</v>
      </c>
      <c r="AQ136" s="172" t="s">
        <v>250</v>
      </c>
      <c r="AR136" s="172" t="s">
        <v>150</v>
      </c>
      <c r="AS136" s="172"/>
      <c r="AT136" s="36" t="s">
        <v>420</v>
      </c>
      <c r="AU136" s="165" t="s">
        <v>2022</v>
      </c>
      <c r="AV136" s="166"/>
      <c r="AW136" s="167">
        <v>42428</v>
      </c>
      <c r="AX136" s="167">
        <v>42681</v>
      </c>
      <c r="AY136" s="167" t="s">
        <v>150</v>
      </c>
      <c r="AZ136" s="167">
        <v>42228</v>
      </c>
      <c r="BA136" s="167">
        <v>42249</v>
      </c>
      <c r="BB136" s="167"/>
      <c r="BC136" s="167"/>
      <c r="BD136" s="167"/>
      <c r="BE136" s="168" t="s">
        <v>2023</v>
      </c>
      <c r="BF136" s="167">
        <v>43309</v>
      </c>
      <c r="BG136" s="167" t="s">
        <v>150</v>
      </c>
      <c r="BH136" s="167">
        <v>43528</v>
      </c>
      <c r="BI136" s="167" t="s">
        <v>150</v>
      </c>
      <c r="BJ136" s="166"/>
      <c r="BK136" s="166"/>
      <c r="BL136" s="166"/>
      <c r="BM136" s="169">
        <v>43819</v>
      </c>
      <c r="BN136" s="165" t="s">
        <v>16</v>
      </c>
      <c r="BO136" s="171">
        <f t="shared" si="37"/>
        <v>46</v>
      </c>
      <c r="BP136" s="165">
        <f t="shared" si="36"/>
        <v>38</v>
      </c>
      <c r="BQ136" s="165"/>
      <c r="BR136" s="165">
        <v>11</v>
      </c>
      <c r="BS136" s="165">
        <v>3</v>
      </c>
      <c r="BT136" s="165">
        <v>5</v>
      </c>
      <c r="BU136" s="165">
        <v>2</v>
      </c>
      <c r="BV136" s="165">
        <v>0</v>
      </c>
      <c r="BW136" s="165">
        <v>0</v>
      </c>
      <c r="BX136" s="165">
        <v>0</v>
      </c>
      <c r="BY136" s="165" t="s">
        <v>163</v>
      </c>
      <c r="BZ136" s="165">
        <v>0</v>
      </c>
      <c r="CA136" s="165"/>
      <c r="CB136" s="170"/>
      <c r="CC136" s="170"/>
      <c r="CD136" s="165"/>
      <c r="CE136" s="165" t="s">
        <v>163</v>
      </c>
      <c r="CF136" s="165"/>
      <c r="CG136" s="165"/>
      <c r="CH136" s="376">
        <v>3</v>
      </c>
      <c r="CI136" s="165">
        <v>3</v>
      </c>
      <c r="CJ136" s="165"/>
      <c r="CK136" s="165" t="s">
        <v>809</v>
      </c>
      <c r="CL136"/>
    </row>
    <row r="137" spans="1:90" s="53" customFormat="1" ht="24.95" hidden="1" customHeight="1">
      <c r="A137" s="165">
        <v>141</v>
      </c>
      <c r="B137" s="165" t="s">
        <v>2024</v>
      </c>
      <c r="C137" s="165" t="s">
        <v>2025</v>
      </c>
      <c r="D137" s="165" t="s">
        <v>2026</v>
      </c>
      <c r="E137" s="165" t="s">
        <v>2027</v>
      </c>
      <c r="F137" s="165" t="s">
        <v>25</v>
      </c>
      <c r="G137" s="165">
        <v>6</v>
      </c>
      <c r="H137" s="165" t="s">
        <v>58</v>
      </c>
      <c r="I137" s="165" t="s">
        <v>46</v>
      </c>
      <c r="J137" s="165" t="s">
        <v>2028</v>
      </c>
      <c r="K137" s="165" t="s">
        <v>2029</v>
      </c>
      <c r="L137" s="165" t="s">
        <v>46</v>
      </c>
      <c r="M137" s="165" t="s">
        <v>150</v>
      </c>
      <c r="N137" s="165">
        <v>781183</v>
      </c>
      <c r="O137" s="251" t="s">
        <v>151</v>
      </c>
      <c r="P137" s="252" t="s">
        <v>151</v>
      </c>
      <c r="Q137" s="165" t="s">
        <v>151</v>
      </c>
      <c r="R137" s="165" t="s">
        <v>2030</v>
      </c>
      <c r="S137" s="165" t="s">
        <v>2031</v>
      </c>
      <c r="T137" s="350" t="s">
        <v>2032</v>
      </c>
      <c r="U137" s="166" t="s">
        <v>2033</v>
      </c>
      <c r="V137" s="166">
        <v>30471</v>
      </c>
      <c r="W137" s="172" t="s">
        <v>2034</v>
      </c>
      <c r="X137" s="172" t="s">
        <v>179</v>
      </c>
      <c r="Y137" s="172" t="s">
        <v>163</v>
      </c>
      <c r="Z137" s="172" t="s">
        <v>158</v>
      </c>
      <c r="AA137" s="165">
        <v>28</v>
      </c>
      <c r="AB137" s="166">
        <v>42036</v>
      </c>
      <c r="AC137" s="287">
        <v>42430</v>
      </c>
      <c r="AD137" s="166"/>
      <c r="AE137" s="253" t="s">
        <v>2035</v>
      </c>
      <c r="AF137" s="253" t="s">
        <v>2036</v>
      </c>
      <c r="AG137" s="165"/>
      <c r="AH137" s="165">
        <f t="shared" si="33"/>
        <v>2</v>
      </c>
      <c r="AI137" s="172" t="s">
        <v>282</v>
      </c>
      <c r="AJ137" s="165" t="s">
        <v>202</v>
      </c>
      <c r="AK137" s="165"/>
      <c r="AL137" s="165" t="s">
        <v>163</v>
      </c>
      <c r="AM137" s="165" t="s">
        <v>163</v>
      </c>
      <c r="AN137" s="165"/>
      <c r="AO137" s="165" t="s">
        <v>182</v>
      </c>
      <c r="AP137" s="172" t="s">
        <v>2037</v>
      </c>
      <c r="AQ137" s="38" t="s">
        <v>182</v>
      </c>
      <c r="AR137" s="165"/>
      <c r="AS137" s="165"/>
      <c r="AT137" s="36" t="s">
        <v>372</v>
      </c>
      <c r="AU137" s="165" t="s">
        <v>2038</v>
      </c>
      <c r="AV137" s="166"/>
      <c r="AW137" s="167">
        <v>42428</v>
      </c>
      <c r="AX137" s="167">
        <v>42681</v>
      </c>
      <c r="AY137" s="167" t="s">
        <v>150</v>
      </c>
      <c r="AZ137" s="167"/>
      <c r="BA137" s="167"/>
      <c r="BB137" s="167"/>
      <c r="BC137" s="167"/>
      <c r="BD137" s="167"/>
      <c r="BE137" s="168" t="s">
        <v>2039</v>
      </c>
      <c r="BF137" s="167">
        <v>43309</v>
      </c>
      <c r="BG137" s="167" t="s">
        <v>150</v>
      </c>
      <c r="BH137" s="167">
        <v>43528</v>
      </c>
      <c r="BI137" s="167" t="s">
        <v>150</v>
      </c>
      <c r="BJ137" s="166">
        <v>44680</v>
      </c>
      <c r="BK137" s="166"/>
      <c r="BL137" s="166"/>
      <c r="BM137" s="169">
        <v>44718</v>
      </c>
      <c r="BN137" s="174" t="s">
        <v>16</v>
      </c>
      <c r="BO137" s="171">
        <f t="shared" si="37"/>
        <v>76</v>
      </c>
      <c r="BP137" s="165">
        <f t="shared" si="36"/>
        <v>67</v>
      </c>
      <c r="BQ137" s="172" t="s">
        <v>2040</v>
      </c>
      <c r="BR137" s="165">
        <v>0</v>
      </c>
      <c r="BS137" s="165">
        <v>18</v>
      </c>
      <c r="BT137" s="165">
        <v>0</v>
      </c>
      <c r="BU137" s="165">
        <v>1</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hidden="1" customHeight="1">
      <c r="A138" s="165">
        <v>142</v>
      </c>
      <c r="B138" s="165" t="s">
        <v>2041</v>
      </c>
      <c r="C138" s="165" t="s">
        <v>2042</v>
      </c>
      <c r="D138" s="165" t="s">
        <v>2043</v>
      </c>
      <c r="E138" s="165" t="s">
        <v>2044</v>
      </c>
      <c r="F138" s="165" t="s">
        <v>25</v>
      </c>
      <c r="G138" s="165">
        <v>6</v>
      </c>
      <c r="H138" s="165" t="s">
        <v>54</v>
      </c>
      <c r="I138" s="165" t="s">
        <v>41</v>
      </c>
      <c r="J138" s="165" t="s">
        <v>1405</v>
      </c>
      <c r="K138" s="165" t="s">
        <v>1476</v>
      </c>
      <c r="L138" s="165" t="s">
        <v>41</v>
      </c>
      <c r="M138" s="165" t="s">
        <v>150</v>
      </c>
      <c r="N138" s="165" t="s">
        <v>2045</v>
      </c>
      <c r="O138" s="251" t="s">
        <v>151</v>
      </c>
      <c r="P138" s="252" t="s">
        <v>151</v>
      </c>
      <c r="Q138" s="165"/>
      <c r="R138" s="165" t="s">
        <v>2046</v>
      </c>
      <c r="S138" s="165" t="s">
        <v>2047</v>
      </c>
      <c r="T138" s="349" t="s">
        <v>2048</v>
      </c>
      <c r="U138" s="166" t="s">
        <v>2049</v>
      </c>
      <c r="V138" s="166">
        <v>29550</v>
      </c>
      <c r="W138" s="172" t="s">
        <v>2050</v>
      </c>
      <c r="X138" s="172" t="s">
        <v>179</v>
      </c>
      <c r="Y138" s="172" t="s">
        <v>163</v>
      </c>
      <c r="Z138" s="172" t="s">
        <v>158</v>
      </c>
      <c r="AA138" s="165">
        <v>19</v>
      </c>
      <c r="AB138" s="166">
        <v>41908</v>
      </c>
      <c r="AC138" s="287">
        <v>42430</v>
      </c>
      <c r="AD138" s="166"/>
      <c r="AE138" s="253" t="s">
        <v>2051</v>
      </c>
      <c r="AF138" s="310" t="s">
        <v>2052</v>
      </c>
      <c r="AG138" s="165"/>
      <c r="AH138" s="165">
        <f t="shared" si="33"/>
        <v>2</v>
      </c>
      <c r="AI138" s="37" t="s">
        <v>161</v>
      </c>
      <c r="AJ138" s="165"/>
      <c r="AK138" s="165"/>
      <c r="AL138" s="165" t="s">
        <v>150</v>
      </c>
      <c r="AM138" s="165"/>
      <c r="AN138" s="165"/>
      <c r="AO138" s="165" t="s">
        <v>164</v>
      </c>
      <c r="AP138" s="172" t="s">
        <v>203</v>
      </c>
      <c r="AQ138" s="172" t="s">
        <v>943</v>
      </c>
      <c r="AR138" s="165" t="s">
        <v>150</v>
      </c>
      <c r="AS138" s="165"/>
      <c r="AT138" s="36" t="s">
        <v>285</v>
      </c>
      <c r="AU138" s="165" t="s">
        <v>2053</v>
      </c>
      <c r="AV138" s="166"/>
      <c r="AW138" s="167">
        <v>42428</v>
      </c>
      <c r="AX138" s="167">
        <v>42681</v>
      </c>
      <c r="AY138" s="167" t="s">
        <v>150</v>
      </c>
      <c r="AZ138" s="167"/>
      <c r="BA138" s="167"/>
      <c r="BB138" s="167"/>
      <c r="BC138" s="167"/>
      <c r="BD138" s="167"/>
      <c r="BE138" s="168" t="s">
        <v>2054</v>
      </c>
      <c r="BF138" s="167">
        <v>43309</v>
      </c>
      <c r="BG138" s="167" t="s">
        <v>150</v>
      </c>
      <c r="BH138" s="167">
        <v>44410</v>
      </c>
      <c r="BI138" s="166" t="s">
        <v>163</v>
      </c>
      <c r="BJ138" s="166"/>
      <c r="BK138" s="166"/>
      <c r="BL138" s="166"/>
      <c r="BM138" s="169">
        <v>43281</v>
      </c>
      <c r="BN138" s="165" t="s">
        <v>16</v>
      </c>
      <c r="BO138" s="171">
        <f t="shared" si="37"/>
        <v>29</v>
      </c>
      <c r="BP138" s="165">
        <f t="shared" si="36"/>
        <v>20</v>
      </c>
      <c r="BQ138" s="165"/>
      <c r="BR138" s="165">
        <v>2</v>
      </c>
      <c r="BS138" s="165">
        <v>1</v>
      </c>
      <c r="BT138" s="165">
        <v>8</v>
      </c>
      <c r="BU138" s="165">
        <v>3</v>
      </c>
      <c r="BV138" s="165">
        <v>0</v>
      </c>
      <c r="BW138" s="165">
        <v>0</v>
      </c>
      <c r="BX138" s="165">
        <v>0</v>
      </c>
      <c r="BY138" s="165" t="s">
        <v>163</v>
      </c>
      <c r="BZ138" s="165">
        <v>0</v>
      </c>
      <c r="CA138" s="165"/>
      <c r="CB138" s="170"/>
      <c r="CC138" s="170"/>
      <c r="CD138" s="165"/>
      <c r="CE138" s="165" t="s">
        <v>163</v>
      </c>
      <c r="CF138" s="165"/>
      <c r="CG138" s="165"/>
      <c r="CH138" s="376">
        <v>1</v>
      </c>
      <c r="CI138" s="165">
        <v>1</v>
      </c>
      <c r="CJ138" s="165"/>
      <c r="CK138" s="165" t="s">
        <v>809</v>
      </c>
      <c r="CL138"/>
    </row>
    <row r="139" spans="1:90" s="53" customFormat="1" ht="24.95" hidden="1" customHeight="1">
      <c r="A139" s="165">
        <v>143</v>
      </c>
      <c r="B139" s="165" t="s">
        <v>2055</v>
      </c>
      <c r="C139" s="165" t="s">
        <v>2056</v>
      </c>
      <c r="D139" s="165" t="s">
        <v>2057</v>
      </c>
      <c r="E139" s="165" t="s">
        <v>2058</v>
      </c>
      <c r="F139" s="165" t="s">
        <v>25</v>
      </c>
      <c r="G139" s="165">
        <v>6</v>
      </c>
      <c r="H139" s="165" t="s">
        <v>52</v>
      </c>
      <c r="I139" s="165" t="s">
        <v>44</v>
      </c>
      <c r="J139" s="165" t="s">
        <v>2059</v>
      </c>
      <c r="K139" s="165" t="s">
        <v>2060</v>
      </c>
      <c r="L139" s="165" t="s">
        <v>44</v>
      </c>
      <c r="M139" s="165" t="s">
        <v>150</v>
      </c>
      <c r="N139" s="165" t="s">
        <v>2061</v>
      </c>
      <c r="O139" s="251" t="s">
        <v>151</v>
      </c>
      <c r="P139" s="252" t="s">
        <v>151</v>
      </c>
      <c r="Q139" s="165" t="s">
        <v>151</v>
      </c>
      <c r="R139" s="165" t="s">
        <v>2062</v>
      </c>
      <c r="S139" s="165" t="s">
        <v>2063</v>
      </c>
      <c r="T139" s="349" t="s">
        <v>2064</v>
      </c>
      <c r="U139" s="166" t="s">
        <v>2065</v>
      </c>
      <c r="V139" s="166">
        <v>29969</v>
      </c>
      <c r="W139" s="172" t="s">
        <v>2066</v>
      </c>
      <c r="X139" s="172" t="s">
        <v>2067</v>
      </c>
      <c r="Y139" s="172" t="s">
        <v>157</v>
      </c>
      <c r="Z139" s="172" t="s">
        <v>158</v>
      </c>
      <c r="AA139" s="165">
        <v>17.5</v>
      </c>
      <c r="AB139" s="166">
        <v>42649</v>
      </c>
      <c r="AC139" s="287">
        <v>42430</v>
      </c>
      <c r="AD139" s="166"/>
      <c r="AE139" s="253" t="s">
        <v>2068</v>
      </c>
      <c r="AF139" s="253" t="s">
        <v>2069</v>
      </c>
      <c r="AG139" s="165" t="s">
        <v>2070</v>
      </c>
      <c r="AH139" s="165">
        <f t="shared" si="33"/>
        <v>3</v>
      </c>
      <c r="AI139" s="37" t="s">
        <v>161</v>
      </c>
      <c r="AJ139" s="37" t="s">
        <v>161</v>
      </c>
      <c r="AK139" s="37" t="s">
        <v>161</v>
      </c>
      <c r="AL139" s="37" t="s">
        <v>150</v>
      </c>
      <c r="AM139" s="37" t="s">
        <v>163</v>
      </c>
      <c r="AN139" s="37" t="s">
        <v>163</v>
      </c>
      <c r="AO139" s="37" t="s">
        <v>164</v>
      </c>
      <c r="AP139" s="172" t="s">
        <v>203</v>
      </c>
      <c r="AQ139" s="172" t="s">
        <v>250</v>
      </c>
      <c r="AR139" s="172" t="s">
        <v>150</v>
      </c>
      <c r="AS139" s="172" t="s">
        <v>2071</v>
      </c>
      <c r="AT139" s="36" t="s">
        <v>420</v>
      </c>
      <c r="AU139" s="165" t="s">
        <v>2072</v>
      </c>
      <c r="AV139" s="166"/>
      <c r="AW139" s="167">
        <v>42428</v>
      </c>
      <c r="AX139" s="167">
        <v>42681</v>
      </c>
      <c r="AY139" s="167" t="s">
        <v>150</v>
      </c>
      <c r="AZ139" s="167">
        <v>42653</v>
      </c>
      <c r="BA139" s="167">
        <v>42548</v>
      </c>
      <c r="BB139" s="167"/>
      <c r="BC139" s="167"/>
      <c r="BD139" s="167"/>
      <c r="BE139" s="168" t="s">
        <v>2073</v>
      </c>
      <c r="BF139" s="167">
        <v>43309</v>
      </c>
      <c r="BG139" s="167" t="s">
        <v>150</v>
      </c>
      <c r="BH139" s="167">
        <v>43528</v>
      </c>
      <c r="BI139" s="167" t="s">
        <v>150</v>
      </c>
      <c r="BJ139" s="166"/>
      <c r="BK139" s="166"/>
      <c r="BL139" s="166"/>
      <c r="BM139" s="169">
        <v>43789</v>
      </c>
      <c r="BN139" s="165" t="s">
        <v>16</v>
      </c>
      <c r="BO139" s="171">
        <f t="shared" si="37"/>
        <v>45</v>
      </c>
      <c r="BP139" s="165">
        <f t="shared" si="36"/>
        <v>37</v>
      </c>
      <c r="BQ139" s="165"/>
      <c r="BR139" s="165">
        <v>2</v>
      </c>
      <c r="BS139" s="165">
        <v>2</v>
      </c>
      <c r="BT139" s="165">
        <v>2</v>
      </c>
      <c r="BU139" s="165">
        <v>4</v>
      </c>
      <c r="BV139" s="165">
        <v>0</v>
      </c>
      <c r="BW139" s="165">
        <v>0</v>
      </c>
      <c r="BX139" s="165">
        <v>0</v>
      </c>
      <c r="BY139" s="165" t="s">
        <v>2074</v>
      </c>
      <c r="BZ139" s="165">
        <v>0</v>
      </c>
      <c r="CA139" s="165"/>
      <c r="CB139" s="170"/>
      <c r="CC139" s="170"/>
      <c r="CD139" s="165"/>
      <c r="CE139" s="165" t="s">
        <v>163</v>
      </c>
      <c r="CF139" s="165"/>
      <c r="CG139" s="165"/>
      <c r="CH139" s="376">
        <v>2</v>
      </c>
      <c r="CI139" s="165">
        <v>2</v>
      </c>
      <c r="CJ139" s="165"/>
      <c r="CK139" s="165" t="s">
        <v>1298</v>
      </c>
      <c r="CL139"/>
    </row>
    <row r="140" spans="1:90" s="53" customFormat="1" ht="24.95" hidden="1" customHeight="1">
      <c r="A140" s="165">
        <v>144</v>
      </c>
      <c r="B140" s="165" t="s">
        <v>2075</v>
      </c>
      <c r="C140" s="165" t="s">
        <v>2076</v>
      </c>
      <c r="D140" s="165" t="s">
        <v>2077</v>
      </c>
      <c r="E140" s="165" t="s">
        <v>2078</v>
      </c>
      <c r="F140" s="165" t="s">
        <v>25</v>
      </c>
      <c r="G140" s="165">
        <v>6</v>
      </c>
      <c r="H140" s="165" t="s">
        <v>54</v>
      </c>
      <c r="I140" s="165" t="s">
        <v>33</v>
      </c>
      <c r="J140" s="165" t="s">
        <v>602</v>
      </c>
      <c r="K140" s="165"/>
      <c r="L140" s="165" t="s">
        <v>46</v>
      </c>
      <c r="M140" s="165" t="s">
        <v>163</v>
      </c>
      <c r="N140" s="165" t="s">
        <v>2079</v>
      </c>
      <c r="O140" s="251" t="s">
        <v>151</v>
      </c>
      <c r="P140" s="252" t="s">
        <v>151</v>
      </c>
      <c r="Q140" s="165"/>
      <c r="R140" s="165" t="s">
        <v>2080</v>
      </c>
      <c r="S140" s="175" t="s">
        <v>2081</v>
      </c>
      <c r="T140" s="350" t="s">
        <v>2082</v>
      </c>
      <c r="U140" s="166" t="s">
        <v>789</v>
      </c>
      <c r="V140" s="166">
        <v>26560</v>
      </c>
      <c r="W140" s="172" t="s">
        <v>2083</v>
      </c>
      <c r="X140" s="172" t="s">
        <v>179</v>
      </c>
      <c r="Y140" s="172" t="s">
        <v>163</v>
      </c>
      <c r="Z140" s="172" t="s">
        <v>158</v>
      </c>
      <c r="AA140" s="165">
        <v>4</v>
      </c>
      <c r="AB140" s="166">
        <v>42891</v>
      </c>
      <c r="AC140" s="287">
        <v>42430</v>
      </c>
      <c r="AD140" s="166"/>
      <c r="AE140" s="165" t="s">
        <v>2084</v>
      </c>
      <c r="AF140" s="165" t="s">
        <v>2085</v>
      </c>
      <c r="AG140" s="165"/>
      <c r="AH140" s="165">
        <f t="shared" si="33"/>
        <v>2</v>
      </c>
      <c r="AI140" s="165"/>
      <c r="AJ140" s="165"/>
      <c r="AK140" s="165"/>
      <c r="AL140" s="165"/>
      <c r="AM140" s="165"/>
      <c r="AN140" s="165"/>
      <c r="AO140" s="165" t="s">
        <v>164</v>
      </c>
      <c r="AP140" s="172" t="s">
        <v>1843</v>
      </c>
      <c r="AQ140" s="165" t="s">
        <v>203</v>
      </c>
      <c r="AR140" s="165" t="s">
        <v>150</v>
      </c>
      <c r="AS140" s="165"/>
      <c r="AT140" s="36" t="s">
        <v>328</v>
      </c>
      <c r="AU140" s="165" t="s">
        <v>2086</v>
      </c>
      <c r="AV140" s="166"/>
      <c r="AW140" s="167">
        <v>42428</v>
      </c>
      <c r="AX140" s="167">
        <v>42681</v>
      </c>
      <c r="AY140" s="167" t="s">
        <v>150</v>
      </c>
      <c r="AZ140" s="167">
        <v>43069</v>
      </c>
      <c r="BA140" s="167">
        <v>43138</v>
      </c>
      <c r="BB140" s="167"/>
      <c r="BC140" s="167"/>
      <c r="BD140" s="167"/>
      <c r="BE140" s="168"/>
      <c r="BF140" s="315">
        <v>43675</v>
      </c>
      <c r="BG140" s="315" t="s">
        <v>163</v>
      </c>
      <c r="BH140" s="315"/>
      <c r="BI140" s="315" t="s">
        <v>163</v>
      </c>
      <c r="BJ140" s="166"/>
      <c r="BK140" s="166"/>
      <c r="BL140" s="166"/>
      <c r="BM140" s="176">
        <v>45105</v>
      </c>
      <c r="BN140" s="174" t="s">
        <v>16</v>
      </c>
      <c r="BO140" s="171">
        <f t="shared" si="37"/>
        <v>89</v>
      </c>
      <c r="BP140" s="165">
        <f t="shared" si="36"/>
        <v>80</v>
      </c>
      <c r="BQ140" s="165"/>
      <c r="BR140" s="165">
        <v>3</v>
      </c>
      <c r="BS140" s="165">
        <v>9</v>
      </c>
      <c r="BT140" s="165">
        <v>0</v>
      </c>
      <c r="BU140" s="165">
        <v>2</v>
      </c>
      <c r="BV140" s="165">
        <v>0</v>
      </c>
      <c r="BW140" s="165">
        <v>0</v>
      </c>
      <c r="BX140" s="165">
        <v>0</v>
      </c>
      <c r="BY140" s="165" t="s">
        <v>163</v>
      </c>
      <c r="BZ140" s="165">
        <v>0</v>
      </c>
      <c r="CA140" s="165"/>
      <c r="CB140" s="170"/>
      <c r="CC140" s="170"/>
      <c r="CD140" s="165"/>
      <c r="CE140" s="165" t="s">
        <v>163</v>
      </c>
      <c r="CF140" s="165"/>
      <c r="CG140" s="165"/>
      <c r="CH140" s="376">
        <v>2</v>
      </c>
      <c r="CI140" s="165"/>
      <c r="CJ140" s="165"/>
      <c r="CK140" s="165" t="s">
        <v>809</v>
      </c>
      <c r="CL140"/>
    </row>
    <row r="141" spans="1:90" s="53" customFormat="1" ht="24.95" hidden="1" customHeight="1">
      <c r="A141" s="165">
        <v>145</v>
      </c>
      <c r="B141" s="165" t="s">
        <v>2087</v>
      </c>
      <c r="C141" s="165" t="s">
        <v>2088</v>
      </c>
      <c r="D141" s="165" t="s">
        <v>2089</v>
      </c>
      <c r="E141" s="165" t="s">
        <v>2090</v>
      </c>
      <c r="F141" s="165" t="s">
        <v>25</v>
      </c>
      <c r="G141" s="165">
        <v>6</v>
      </c>
      <c r="H141" s="165" t="s">
        <v>58</v>
      </c>
      <c r="I141" s="165" t="s">
        <v>46</v>
      </c>
      <c r="J141" s="165" t="s">
        <v>2091</v>
      </c>
      <c r="K141" s="165" t="s">
        <v>602</v>
      </c>
      <c r="L141" s="165" t="s">
        <v>46</v>
      </c>
      <c r="M141" s="165" t="s">
        <v>150</v>
      </c>
      <c r="N141" s="165" t="s">
        <v>2092</v>
      </c>
      <c r="O141" s="251" t="s">
        <v>151</v>
      </c>
      <c r="P141" s="252" t="s">
        <v>151</v>
      </c>
      <c r="Q141" s="165" t="s">
        <v>151</v>
      </c>
      <c r="R141" s="175" t="s">
        <v>2093</v>
      </c>
      <c r="S141" s="165" t="s">
        <v>2094</v>
      </c>
      <c r="T141" s="349" t="s">
        <v>2095</v>
      </c>
      <c r="U141" s="166" t="s">
        <v>2096</v>
      </c>
      <c r="V141" s="166">
        <v>26993</v>
      </c>
      <c r="W141" s="172" t="s">
        <v>2097</v>
      </c>
      <c r="X141" s="172" t="s">
        <v>179</v>
      </c>
      <c r="Y141" s="172" t="s">
        <v>163</v>
      </c>
      <c r="Z141" s="172" t="s">
        <v>158</v>
      </c>
      <c r="AA141" s="165">
        <v>12</v>
      </c>
      <c r="AB141" s="166">
        <v>42373</v>
      </c>
      <c r="AC141" s="287">
        <v>42430</v>
      </c>
      <c r="AD141" s="166"/>
      <c r="AE141" s="253" t="s">
        <v>1498</v>
      </c>
      <c r="AF141" s="253" t="s">
        <v>2098</v>
      </c>
      <c r="AG141" s="165"/>
      <c r="AH141" s="165">
        <f t="shared" si="33"/>
        <v>2</v>
      </c>
      <c r="AI141" s="37" t="s">
        <v>161</v>
      </c>
      <c r="AJ141" s="37" t="s">
        <v>161</v>
      </c>
      <c r="AK141" s="165"/>
      <c r="AL141" s="165" t="s">
        <v>150</v>
      </c>
      <c r="AM141" s="165" t="s">
        <v>150</v>
      </c>
      <c r="AN141" s="165"/>
      <c r="AO141" s="165" t="s">
        <v>164</v>
      </c>
      <c r="AP141" s="172" t="s">
        <v>2099</v>
      </c>
      <c r="AQ141" s="165" t="s">
        <v>250</v>
      </c>
      <c r="AR141" s="165"/>
      <c r="AS141" s="165"/>
      <c r="AT141" s="36" t="s">
        <v>372</v>
      </c>
      <c r="AU141" s="165" t="s">
        <v>2100</v>
      </c>
      <c r="AV141" s="166"/>
      <c r="AW141" s="167">
        <v>42428</v>
      </c>
      <c r="AX141" s="167">
        <v>42681</v>
      </c>
      <c r="AY141" s="167" t="s">
        <v>150</v>
      </c>
      <c r="AZ141" s="167">
        <v>42753</v>
      </c>
      <c r="BA141" s="167">
        <v>42762</v>
      </c>
      <c r="BB141" s="167"/>
      <c r="BC141" s="167"/>
      <c r="BD141" s="167"/>
      <c r="BE141" s="168" t="s">
        <v>2101</v>
      </c>
      <c r="BF141" s="167">
        <v>43309</v>
      </c>
      <c r="BG141" s="167" t="s">
        <v>150</v>
      </c>
      <c r="BH141" s="167">
        <v>43528</v>
      </c>
      <c r="BI141" s="167" t="s">
        <v>150</v>
      </c>
      <c r="BJ141" s="166"/>
      <c r="BK141" s="166"/>
      <c r="BL141" s="166"/>
      <c r="BM141" s="169">
        <v>44316</v>
      </c>
      <c r="BN141" s="165" t="s">
        <v>16</v>
      </c>
      <c r="BO141" s="171">
        <f>DATEDIF(AW141,BM141, "M")+1</f>
        <v>63</v>
      </c>
      <c r="BP141" s="165">
        <f t="shared" si="36"/>
        <v>54</v>
      </c>
      <c r="BQ141" s="172" t="s">
        <v>2102</v>
      </c>
      <c r="BR141" s="165">
        <v>2</v>
      </c>
      <c r="BS141" s="165">
        <v>6</v>
      </c>
      <c r="BT141" s="165">
        <v>1</v>
      </c>
      <c r="BU141" s="165">
        <v>3</v>
      </c>
      <c r="BV141" s="165">
        <v>1</v>
      </c>
      <c r="BW141" s="165">
        <v>0</v>
      </c>
      <c r="BX141" s="165">
        <v>0</v>
      </c>
      <c r="BY141" s="165" t="s">
        <v>163</v>
      </c>
      <c r="BZ141" s="165">
        <v>0</v>
      </c>
      <c r="CA141" s="165"/>
      <c r="CB141" s="170"/>
      <c r="CC141" s="170"/>
      <c r="CD141" s="165"/>
      <c r="CE141" s="165" t="s">
        <v>163</v>
      </c>
      <c r="CF141" s="165"/>
      <c r="CG141" s="165"/>
      <c r="CH141" s="376">
        <v>2</v>
      </c>
      <c r="CI141" s="165">
        <v>2</v>
      </c>
      <c r="CJ141" s="165"/>
      <c r="CK141" s="165" t="s">
        <v>809</v>
      </c>
      <c r="CL141"/>
    </row>
    <row r="142" spans="1:90" s="53" customFormat="1" ht="24.95" hidden="1" customHeight="1">
      <c r="A142" s="165">
        <v>146</v>
      </c>
      <c r="B142" s="165" t="s">
        <v>2103</v>
      </c>
      <c r="C142" s="165" t="s">
        <v>2104</v>
      </c>
      <c r="D142" s="165" t="s">
        <v>2105</v>
      </c>
      <c r="E142" s="165" t="s">
        <v>2106</v>
      </c>
      <c r="F142" s="165" t="s">
        <v>25</v>
      </c>
      <c r="G142" s="165">
        <v>6</v>
      </c>
      <c r="H142" s="165" t="s">
        <v>59</v>
      </c>
      <c r="I142" s="165" t="s">
        <v>42</v>
      </c>
      <c r="J142" s="165" t="s">
        <v>2107</v>
      </c>
      <c r="K142" s="165" t="s">
        <v>2108</v>
      </c>
      <c r="L142" s="165" t="s">
        <v>43</v>
      </c>
      <c r="M142" s="165" t="s">
        <v>163</v>
      </c>
      <c r="N142" s="165" t="s">
        <v>2109</v>
      </c>
      <c r="O142" s="251" t="s">
        <v>151</v>
      </c>
      <c r="P142" s="252" t="s">
        <v>151</v>
      </c>
      <c r="Q142" s="165"/>
      <c r="R142" s="165" t="s">
        <v>2110</v>
      </c>
      <c r="S142" s="165" t="s">
        <v>2111</v>
      </c>
      <c r="T142" s="350" t="s">
        <v>2112</v>
      </c>
      <c r="U142" s="166" t="s">
        <v>2113</v>
      </c>
      <c r="V142" s="166">
        <v>28749</v>
      </c>
      <c r="W142" s="172" t="s">
        <v>2114</v>
      </c>
      <c r="X142" s="172" t="s">
        <v>2067</v>
      </c>
      <c r="Y142" s="172" t="s">
        <v>157</v>
      </c>
      <c r="Z142" s="172" t="s">
        <v>158</v>
      </c>
      <c r="AA142" s="165">
        <v>36</v>
      </c>
      <c r="AB142" s="166">
        <v>42663</v>
      </c>
      <c r="AC142" s="287">
        <v>42430</v>
      </c>
      <c r="AD142" s="166"/>
      <c r="AE142" s="253" t="s">
        <v>2115</v>
      </c>
      <c r="AF142" s="165"/>
      <c r="AG142" s="165"/>
      <c r="AH142" s="165">
        <f t="shared" si="33"/>
        <v>1</v>
      </c>
      <c r="AI142" s="172" t="s">
        <v>162</v>
      </c>
      <c r="AJ142" s="165"/>
      <c r="AK142" s="165"/>
      <c r="AL142" s="165" t="s">
        <v>163</v>
      </c>
      <c r="AM142" s="165"/>
      <c r="AN142" s="165"/>
      <c r="AO142" s="165" t="s">
        <v>182</v>
      </c>
      <c r="AP142" s="172" t="s">
        <v>2116</v>
      </c>
      <c r="AQ142" s="165" t="s">
        <v>593</v>
      </c>
      <c r="AR142" s="165"/>
      <c r="AS142" s="165"/>
      <c r="AT142" s="36" t="s">
        <v>1250</v>
      </c>
      <c r="AU142" s="165" t="s">
        <v>2117</v>
      </c>
      <c r="AV142" s="166"/>
      <c r="AW142" s="167">
        <v>42428</v>
      </c>
      <c r="AX142" s="167">
        <v>42681</v>
      </c>
      <c r="AY142" s="167" t="s">
        <v>150</v>
      </c>
      <c r="AZ142" s="167">
        <v>42838</v>
      </c>
      <c r="BA142" s="167">
        <v>42936</v>
      </c>
      <c r="BB142" s="167"/>
      <c r="BC142" s="167"/>
      <c r="BD142" s="167"/>
      <c r="BE142" s="168" t="s">
        <v>2118</v>
      </c>
      <c r="BF142" s="167">
        <v>43309</v>
      </c>
      <c r="BG142" s="167" t="s">
        <v>150</v>
      </c>
      <c r="BH142" s="167">
        <v>43528</v>
      </c>
      <c r="BI142" s="167" t="s">
        <v>150</v>
      </c>
      <c r="BJ142" s="166"/>
      <c r="BK142" s="166"/>
      <c r="BL142" s="166"/>
      <c r="BM142" s="169">
        <v>45443</v>
      </c>
      <c r="BN142" s="177" t="s">
        <v>16</v>
      </c>
      <c r="BO142" s="171">
        <f>DATEDIF(AW142,BM142, "M")+1</f>
        <v>100</v>
      </c>
      <c r="BP142" s="165">
        <f t="shared" si="36"/>
        <v>91</v>
      </c>
      <c r="BQ142" s="165"/>
      <c r="BR142" s="165">
        <v>2</v>
      </c>
      <c r="BS142" s="165">
        <v>1</v>
      </c>
      <c r="BT142" s="165">
        <v>0</v>
      </c>
      <c r="BU142" s="165">
        <v>0</v>
      </c>
      <c r="BV142" s="165">
        <v>0</v>
      </c>
      <c r="BW142" s="165">
        <v>0</v>
      </c>
      <c r="BX142" s="165">
        <v>0</v>
      </c>
      <c r="BY142" s="165" t="s">
        <v>2074</v>
      </c>
      <c r="BZ142" s="165">
        <v>0</v>
      </c>
      <c r="CA142" s="165"/>
      <c r="CB142" s="170"/>
      <c r="CC142" s="170"/>
      <c r="CD142" s="165"/>
      <c r="CE142" s="165" t="s">
        <v>163</v>
      </c>
      <c r="CF142" s="165"/>
      <c r="CG142" s="165"/>
      <c r="CH142" s="376"/>
      <c r="CI142" s="165"/>
      <c r="CJ142" s="165"/>
      <c r="CK142" s="165" t="s">
        <v>1806</v>
      </c>
      <c r="CL142"/>
    </row>
    <row r="143" spans="1:90" ht="24.95" hidden="1" customHeight="1">
      <c r="A143" s="91">
        <v>147</v>
      </c>
      <c r="B143" s="91" t="s">
        <v>2119</v>
      </c>
      <c r="C143" s="91" t="s">
        <v>2120</v>
      </c>
      <c r="D143" s="91" t="s">
        <v>2121</v>
      </c>
      <c r="E143" s="91" t="s">
        <v>2122</v>
      </c>
      <c r="F143" s="91" t="s">
        <v>24</v>
      </c>
      <c r="G143" s="91">
        <v>6</v>
      </c>
      <c r="H143" s="91" t="s">
        <v>52</v>
      </c>
      <c r="I143" s="91" t="s">
        <v>39</v>
      </c>
      <c r="J143" s="91" t="s">
        <v>2123</v>
      </c>
      <c r="K143" s="91" t="s">
        <v>2124</v>
      </c>
      <c r="L143" s="91" t="s">
        <v>46</v>
      </c>
      <c r="M143" s="91" t="s">
        <v>163</v>
      </c>
      <c r="N143" s="91" t="s">
        <v>168</v>
      </c>
      <c r="O143" s="91" t="s">
        <v>168</v>
      </c>
      <c r="P143" s="91" t="s">
        <v>168</v>
      </c>
      <c r="Q143" s="91" t="s">
        <v>168</v>
      </c>
      <c r="R143" s="91" t="s">
        <v>2125</v>
      </c>
      <c r="S143" s="91" t="s">
        <v>2126</v>
      </c>
      <c r="T143" s="341" t="s">
        <v>2127</v>
      </c>
      <c r="U143" s="92"/>
      <c r="V143" s="92"/>
      <c r="W143" s="164"/>
      <c r="X143" s="164"/>
      <c r="Y143" s="164"/>
      <c r="Z143" s="164"/>
      <c r="AA143" s="91"/>
      <c r="AB143" s="92"/>
      <c r="AC143" s="281">
        <v>42795</v>
      </c>
      <c r="AD143" s="92">
        <v>43342</v>
      </c>
      <c r="AE143" s="92"/>
      <c r="AF143" s="92"/>
      <c r="AG143" s="92"/>
      <c r="AH143" s="91">
        <f t="shared" si="33"/>
        <v>0</v>
      </c>
      <c r="AI143" s="92"/>
      <c r="AJ143" s="92"/>
      <c r="AK143" s="92"/>
      <c r="AL143" s="92"/>
      <c r="AM143" s="92"/>
      <c r="AN143" s="92"/>
      <c r="AO143" s="92"/>
      <c r="AP143" s="92"/>
      <c r="AQ143" s="92"/>
      <c r="AR143" s="92"/>
      <c r="AS143" s="92"/>
      <c r="AT143" s="10" t="s">
        <v>204</v>
      </c>
      <c r="AU143" s="91"/>
      <c r="AV143" s="92"/>
      <c r="AW143" s="93">
        <v>42428</v>
      </c>
      <c r="AX143" s="93"/>
      <c r="AY143" s="93"/>
      <c r="AZ143" s="93"/>
      <c r="BA143" s="93"/>
      <c r="BB143" s="93"/>
      <c r="BC143" s="93"/>
      <c r="BD143" s="93"/>
      <c r="BE143" s="94"/>
      <c r="BF143" s="93"/>
      <c r="BG143" s="93"/>
      <c r="BH143" s="93"/>
      <c r="BI143" s="93"/>
      <c r="BJ143" s="92"/>
      <c r="BK143" s="92"/>
      <c r="BL143" s="92"/>
      <c r="BM143" s="92"/>
      <c r="BN143" s="91" t="s">
        <v>18</v>
      </c>
      <c r="BO143" s="218" t="s">
        <v>18</v>
      </c>
      <c r="BP143" s="218"/>
      <c r="BQ143" s="91"/>
      <c r="BR143" s="91"/>
      <c r="BS143" s="91"/>
      <c r="BT143" s="91"/>
      <c r="BU143" s="91"/>
      <c r="BV143" s="91"/>
      <c r="BW143" s="91"/>
      <c r="BX143" s="91"/>
      <c r="BY143" s="91" t="s">
        <v>163</v>
      </c>
      <c r="BZ143" s="91"/>
      <c r="CA143" s="91"/>
      <c r="CB143" s="95"/>
      <c r="CC143" s="95"/>
      <c r="CD143" s="91"/>
      <c r="CE143" s="91"/>
      <c r="CF143" s="91"/>
      <c r="CG143" s="91"/>
      <c r="CH143" s="113"/>
      <c r="CI143" s="91"/>
      <c r="CJ143" s="91"/>
      <c r="CK143" s="91" t="s">
        <v>1806</v>
      </c>
    </row>
    <row r="144" spans="1:90" s="53" customFormat="1" ht="24.95" hidden="1" customHeight="1">
      <c r="A144" s="178">
        <v>148</v>
      </c>
      <c r="B144" s="178" t="s">
        <v>2128</v>
      </c>
      <c r="C144" s="178" t="s">
        <v>2129</v>
      </c>
      <c r="D144" s="178" t="s">
        <v>2130</v>
      </c>
      <c r="E144" s="178" t="s">
        <v>2131</v>
      </c>
      <c r="F144" s="178" t="s">
        <v>25</v>
      </c>
      <c r="G144" s="178">
        <v>7</v>
      </c>
      <c r="H144" s="178" t="s">
        <v>58</v>
      </c>
      <c r="I144" s="178" t="s">
        <v>46</v>
      </c>
      <c r="J144" s="178" t="s">
        <v>2132</v>
      </c>
      <c r="K144" s="178" t="s">
        <v>1765</v>
      </c>
      <c r="L144" s="178" t="s">
        <v>46</v>
      </c>
      <c r="M144" s="178" t="s">
        <v>150</v>
      </c>
      <c r="N144" s="178">
        <v>530939</v>
      </c>
      <c r="O144" s="178" t="s">
        <v>322</v>
      </c>
      <c r="P144" s="178" t="s">
        <v>322</v>
      </c>
      <c r="Q144" s="178" t="s">
        <v>322</v>
      </c>
      <c r="R144" s="384" t="s">
        <v>2133</v>
      </c>
      <c r="S144" s="178" t="s">
        <v>2134</v>
      </c>
      <c r="T144" s="351" t="s">
        <v>2135</v>
      </c>
      <c r="U144" s="179" t="s">
        <v>2136</v>
      </c>
      <c r="V144" s="179">
        <v>27288</v>
      </c>
      <c r="W144" s="187" t="s">
        <v>2137</v>
      </c>
      <c r="X144" s="187" t="s">
        <v>179</v>
      </c>
      <c r="Y144" s="187" t="s">
        <v>163</v>
      </c>
      <c r="Z144" s="187"/>
      <c r="AA144" s="178">
        <v>3.5</v>
      </c>
      <c r="AB144" s="179">
        <v>42614</v>
      </c>
      <c r="AC144" s="288">
        <v>42795</v>
      </c>
      <c r="AD144" s="179"/>
      <c r="AE144" s="179" t="s">
        <v>2138</v>
      </c>
      <c r="AF144" s="179"/>
      <c r="AG144" s="179"/>
      <c r="AH144" s="178">
        <f t="shared" si="33"/>
        <v>1</v>
      </c>
      <c r="AI144" s="179" t="s">
        <v>161</v>
      </c>
      <c r="AJ144" s="179"/>
      <c r="AK144" s="179"/>
      <c r="AL144" s="179" t="s">
        <v>150</v>
      </c>
      <c r="AM144" s="179"/>
      <c r="AN144" s="179"/>
      <c r="AO144" s="179" t="s">
        <v>164</v>
      </c>
      <c r="AP144" s="178" t="s">
        <v>203</v>
      </c>
      <c r="AQ144" s="179" t="s">
        <v>203</v>
      </c>
      <c r="AR144" s="179" t="s">
        <v>150</v>
      </c>
      <c r="AS144" s="179" t="s">
        <v>2139</v>
      </c>
      <c r="AT144" s="420" t="s">
        <v>2140</v>
      </c>
      <c r="AU144" s="178" t="s">
        <v>2141</v>
      </c>
      <c r="AV144" s="179"/>
      <c r="AW144" s="180">
        <v>42793</v>
      </c>
      <c r="AX144" s="180">
        <v>43045</v>
      </c>
      <c r="AY144" s="180" t="s">
        <v>150</v>
      </c>
      <c r="AZ144" s="180"/>
      <c r="BA144" s="180"/>
      <c r="BB144" s="180">
        <v>42944</v>
      </c>
      <c r="BC144" s="180"/>
      <c r="BD144" s="180"/>
      <c r="BE144" s="181" t="s">
        <v>2142</v>
      </c>
      <c r="BF144" s="180">
        <v>43675</v>
      </c>
      <c r="BG144" s="180" t="s">
        <v>150</v>
      </c>
      <c r="BH144" s="180">
        <v>44410</v>
      </c>
      <c r="BI144" s="179" t="s">
        <v>163</v>
      </c>
      <c r="BJ144" s="179"/>
      <c r="BK144" s="179"/>
      <c r="BL144" s="179"/>
      <c r="BM144" s="182">
        <v>45852</v>
      </c>
      <c r="BN144" s="183" t="s">
        <v>16</v>
      </c>
      <c r="BO144" s="263">
        <f>DATEDIF(AW144,BM144, "M")+1</f>
        <v>101</v>
      </c>
      <c r="BP144" s="263">
        <f t="shared" ref="BP144:BP152" si="38">DATEDIF(AX144,BM144, "M")+1</f>
        <v>93</v>
      </c>
      <c r="BQ144" s="178" t="s">
        <v>2143</v>
      </c>
      <c r="BR144" s="178">
        <v>2</v>
      </c>
      <c r="BS144" s="178">
        <v>3</v>
      </c>
      <c r="BT144" s="178"/>
      <c r="BU144" s="178"/>
      <c r="BV144" s="178"/>
      <c r="BW144" s="178"/>
      <c r="BX144" s="178"/>
      <c r="BY144" s="178" t="s">
        <v>163</v>
      </c>
      <c r="BZ144" s="178" t="s">
        <v>163</v>
      </c>
      <c r="CA144" s="178"/>
      <c r="CB144" s="184"/>
      <c r="CC144" s="184"/>
      <c r="CD144" s="178"/>
      <c r="CE144" s="178" t="s">
        <v>163</v>
      </c>
      <c r="CF144" s="178"/>
      <c r="CG144" s="178"/>
      <c r="CH144" s="377">
        <v>1</v>
      </c>
      <c r="CI144" s="178"/>
      <c r="CJ144" s="178"/>
      <c r="CK144" s="178" t="s">
        <v>1806</v>
      </c>
      <c r="CL144"/>
    </row>
    <row r="145" spans="1:90" s="53" customFormat="1" ht="24.95" hidden="1" customHeight="1">
      <c r="A145" s="178">
        <v>149</v>
      </c>
      <c r="B145" s="178" t="s">
        <v>2144</v>
      </c>
      <c r="C145" s="178" t="s">
        <v>2145</v>
      </c>
      <c r="D145" s="178" t="s">
        <v>20</v>
      </c>
      <c r="E145" s="178" t="s">
        <v>2146</v>
      </c>
      <c r="F145" s="178" t="s">
        <v>24</v>
      </c>
      <c r="G145" s="178">
        <v>7</v>
      </c>
      <c r="H145" s="178" t="s">
        <v>60</v>
      </c>
      <c r="I145" s="178" t="s">
        <v>37</v>
      </c>
      <c r="J145" s="178" t="s">
        <v>936</v>
      </c>
      <c r="K145" s="178" t="s">
        <v>2147</v>
      </c>
      <c r="L145" s="178" t="s">
        <v>46</v>
      </c>
      <c r="M145" s="178" t="s">
        <v>163</v>
      </c>
      <c r="N145" s="178">
        <v>1834444</v>
      </c>
      <c r="O145" s="178" t="s">
        <v>322</v>
      </c>
      <c r="P145" s="178" t="s">
        <v>322</v>
      </c>
      <c r="Q145" s="178" t="s">
        <v>322</v>
      </c>
      <c r="R145" s="178" t="s">
        <v>2148</v>
      </c>
      <c r="S145" s="185" t="s">
        <v>2149</v>
      </c>
      <c r="T145" s="352" t="s">
        <v>2150</v>
      </c>
      <c r="U145" s="179" t="s">
        <v>2151</v>
      </c>
      <c r="V145" s="179">
        <v>28693</v>
      </c>
      <c r="W145" s="187" t="s">
        <v>2152</v>
      </c>
      <c r="X145" s="187" t="s">
        <v>179</v>
      </c>
      <c r="Y145" s="187" t="s">
        <v>163</v>
      </c>
      <c r="Z145" s="187"/>
      <c r="AA145" s="178"/>
      <c r="AB145" s="179">
        <v>42889</v>
      </c>
      <c r="AC145" s="288">
        <v>42795</v>
      </c>
      <c r="AD145" s="179"/>
      <c r="AE145" s="179" t="s">
        <v>2153</v>
      </c>
      <c r="AF145" s="179"/>
      <c r="AG145" s="179"/>
      <c r="AH145" s="178">
        <f t="shared" si="33"/>
        <v>1</v>
      </c>
      <c r="AI145" s="179" t="s">
        <v>162</v>
      </c>
      <c r="AJ145" s="179"/>
      <c r="AK145" s="179"/>
      <c r="AL145" s="179" t="s">
        <v>163</v>
      </c>
      <c r="AM145" s="179"/>
      <c r="AN145" s="179"/>
      <c r="AO145" s="179" t="s">
        <v>164</v>
      </c>
      <c r="AP145" s="178" t="s">
        <v>2154</v>
      </c>
      <c r="AQ145" s="179" t="s">
        <v>181</v>
      </c>
      <c r="AR145" s="179"/>
      <c r="AS145" s="179"/>
      <c r="AT145" s="420" t="s">
        <v>580</v>
      </c>
      <c r="AU145" s="185" t="s">
        <v>2155</v>
      </c>
      <c r="AV145" s="179"/>
      <c r="AW145" s="180">
        <v>42793</v>
      </c>
      <c r="AX145" s="180">
        <v>43045</v>
      </c>
      <c r="AY145" s="180" t="s">
        <v>150</v>
      </c>
      <c r="AZ145" s="180">
        <v>43224</v>
      </c>
      <c r="BA145" s="180">
        <v>43222</v>
      </c>
      <c r="BB145" s="180"/>
      <c r="BC145" s="180"/>
      <c r="BD145" s="180"/>
      <c r="BE145" s="181" t="s">
        <v>2156</v>
      </c>
      <c r="BF145" s="180">
        <v>43675</v>
      </c>
      <c r="BG145" s="180" t="s">
        <v>150</v>
      </c>
      <c r="BH145" s="180">
        <v>43891</v>
      </c>
      <c r="BI145" s="180" t="s">
        <v>150</v>
      </c>
      <c r="BJ145" s="179"/>
      <c r="BK145" s="179"/>
      <c r="BL145" s="179"/>
      <c r="BM145" s="182">
        <v>44337</v>
      </c>
      <c r="BN145" s="178" t="s">
        <v>16</v>
      </c>
      <c r="BO145" s="263">
        <f>DATEDIF(AW145,BM145, "M")+1</f>
        <v>51</v>
      </c>
      <c r="BP145" s="263">
        <f t="shared" si="38"/>
        <v>43</v>
      </c>
      <c r="BQ145" s="187" t="s">
        <v>2157</v>
      </c>
      <c r="BR145" s="178">
        <v>1</v>
      </c>
      <c r="BS145" s="178">
        <v>2</v>
      </c>
      <c r="BT145" s="178">
        <v>2</v>
      </c>
      <c r="BU145" s="178"/>
      <c r="BV145" s="178"/>
      <c r="BW145" s="178"/>
      <c r="BX145" s="178"/>
      <c r="BY145" s="178" t="s">
        <v>163</v>
      </c>
      <c r="BZ145" s="178" t="s">
        <v>150</v>
      </c>
      <c r="CA145" s="178" t="s">
        <v>2158</v>
      </c>
      <c r="CB145" s="184">
        <v>42830</v>
      </c>
      <c r="CC145" s="184">
        <v>43982</v>
      </c>
      <c r="CD145" s="178">
        <v>37</v>
      </c>
      <c r="CE145" s="178" t="s">
        <v>163</v>
      </c>
      <c r="CF145" s="178"/>
      <c r="CG145" s="178"/>
      <c r="CH145" s="377">
        <v>0</v>
      </c>
      <c r="CI145" s="178">
        <v>0</v>
      </c>
      <c r="CJ145" s="178"/>
      <c r="CK145" s="178" t="s">
        <v>1806</v>
      </c>
      <c r="CL145"/>
    </row>
    <row r="146" spans="1:90" s="53" customFormat="1" ht="24.95" hidden="1" customHeight="1">
      <c r="A146" s="178">
        <v>150</v>
      </c>
      <c r="B146" s="178" t="s">
        <v>2159</v>
      </c>
      <c r="C146" s="178" t="s">
        <v>2160</v>
      </c>
      <c r="D146" s="178" t="s">
        <v>2161</v>
      </c>
      <c r="E146" s="178" t="s">
        <v>2162</v>
      </c>
      <c r="F146" s="178" t="s">
        <v>25</v>
      </c>
      <c r="G146" s="178">
        <v>7</v>
      </c>
      <c r="H146" s="178" t="s">
        <v>54</v>
      </c>
      <c r="I146" s="178" t="s">
        <v>41</v>
      </c>
      <c r="J146" s="178" t="s">
        <v>1405</v>
      </c>
      <c r="K146" s="178" t="s">
        <v>2163</v>
      </c>
      <c r="L146" s="178" t="s">
        <v>41</v>
      </c>
      <c r="M146" s="178" t="s">
        <v>150</v>
      </c>
      <c r="N146" s="178" t="s">
        <v>2164</v>
      </c>
      <c r="O146" s="178" t="s">
        <v>151</v>
      </c>
      <c r="P146" s="178" t="s">
        <v>151</v>
      </c>
      <c r="Q146" s="178" t="s">
        <v>151</v>
      </c>
      <c r="R146" s="178" t="s">
        <v>2165</v>
      </c>
      <c r="S146" s="384" t="s">
        <v>2166</v>
      </c>
      <c r="T146" s="351" t="s">
        <v>2167</v>
      </c>
      <c r="U146" s="179" t="s">
        <v>2168</v>
      </c>
      <c r="V146" s="179">
        <v>26823</v>
      </c>
      <c r="W146" s="187" t="s">
        <v>2169</v>
      </c>
      <c r="X146" s="187" t="s">
        <v>179</v>
      </c>
      <c r="Y146" s="187" t="s">
        <v>163</v>
      </c>
      <c r="Z146" s="187"/>
      <c r="AA146" s="178"/>
      <c r="AB146" s="179">
        <v>42458</v>
      </c>
      <c r="AC146" s="288">
        <v>42795</v>
      </c>
      <c r="AD146" s="179"/>
      <c r="AE146" s="311" t="s">
        <v>2170</v>
      </c>
      <c r="AF146" s="179"/>
      <c r="AG146" s="179"/>
      <c r="AH146" s="178">
        <f t="shared" si="33"/>
        <v>1</v>
      </c>
      <c r="AI146" s="179" t="s">
        <v>161</v>
      </c>
      <c r="AJ146" s="179"/>
      <c r="AK146" s="179"/>
      <c r="AL146" s="179" t="s">
        <v>150</v>
      </c>
      <c r="AM146" s="179"/>
      <c r="AN146" s="179"/>
      <c r="AO146" s="179" t="s">
        <v>182</v>
      </c>
      <c r="AP146" s="178" t="s">
        <v>2171</v>
      </c>
      <c r="AQ146" s="179" t="s">
        <v>203</v>
      </c>
      <c r="AR146" s="179"/>
      <c r="AS146" s="179"/>
      <c r="AT146" s="420" t="s">
        <v>285</v>
      </c>
      <c r="AU146" s="178" t="s">
        <v>2172</v>
      </c>
      <c r="AV146" s="179"/>
      <c r="AW146" s="180">
        <v>42793</v>
      </c>
      <c r="AX146" s="180">
        <v>43045</v>
      </c>
      <c r="AY146" s="180" t="s">
        <v>150</v>
      </c>
      <c r="AZ146" s="180">
        <v>43348</v>
      </c>
      <c r="BA146" s="180">
        <v>43353</v>
      </c>
      <c r="BB146" s="180"/>
      <c r="BC146" s="180"/>
      <c r="BD146" s="180"/>
      <c r="BE146" s="181" t="s">
        <v>2173</v>
      </c>
      <c r="BF146" s="180">
        <v>43675</v>
      </c>
      <c r="BG146" s="180" t="s">
        <v>150</v>
      </c>
      <c r="BH146" s="180">
        <v>43891</v>
      </c>
      <c r="BI146" s="180" t="s">
        <v>150</v>
      </c>
      <c r="BJ146" s="179"/>
      <c r="BK146" s="179"/>
      <c r="BL146" s="179"/>
      <c r="BM146" s="188">
        <v>43813</v>
      </c>
      <c r="BN146" s="178" t="s">
        <v>16</v>
      </c>
      <c r="BO146" s="263">
        <f t="shared" ref="BO146:BO147" si="39">DATEDIF(AW146,BM146, "M")+1</f>
        <v>34</v>
      </c>
      <c r="BP146" s="263">
        <f t="shared" si="38"/>
        <v>26</v>
      </c>
      <c r="BQ146" s="178"/>
      <c r="BR146" s="178">
        <v>0</v>
      </c>
      <c r="BS146" s="178">
        <v>1</v>
      </c>
      <c r="BT146" s="178">
        <v>2</v>
      </c>
      <c r="BU146" s="178"/>
      <c r="BV146" s="178"/>
      <c r="BW146" s="178"/>
      <c r="BX146" s="178"/>
      <c r="BY146" s="178" t="s">
        <v>163</v>
      </c>
      <c r="BZ146" s="178" t="s">
        <v>163</v>
      </c>
      <c r="CA146" s="178"/>
      <c r="CB146" s="184"/>
      <c r="CC146" s="184"/>
      <c r="CD146" s="178"/>
      <c r="CE146" s="178" t="s">
        <v>163</v>
      </c>
      <c r="CF146" s="178"/>
      <c r="CG146" s="178"/>
      <c r="CH146" s="377">
        <v>3</v>
      </c>
      <c r="CI146" s="178">
        <v>3</v>
      </c>
      <c r="CJ146" s="178"/>
      <c r="CK146" s="178" t="s">
        <v>1806</v>
      </c>
      <c r="CL146"/>
    </row>
    <row r="147" spans="1:90" s="53" customFormat="1" ht="24.95" hidden="1" customHeight="1">
      <c r="A147" s="178">
        <v>151</v>
      </c>
      <c r="B147" s="178" t="s">
        <v>2174</v>
      </c>
      <c r="C147" s="178" t="s">
        <v>2175</v>
      </c>
      <c r="D147" s="178" t="s">
        <v>2176</v>
      </c>
      <c r="E147" s="178" t="s">
        <v>2177</v>
      </c>
      <c r="F147" s="178" t="s">
        <v>25</v>
      </c>
      <c r="G147" s="178">
        <v>7</v>
      </c>
      <c r="H147" s="178" t="s">
        <v>53</v>
      </c>
      <c r="I147" s="178" t="s">
        <v>47</v>
      </c>
      <c r="J147" s="178" t="s">
        <v>2178</v>
      </c>
      <c r="K147" s="178" t="s">
        <v>2124</v>
      </c>
      <c r="L147" s="178" t="s">
        <v>46</v>
      </c>
      <c r="M147" s="178" t="s">
        <v>163</v>
      </c>
      <c r="N147" s="178">
        <v>1487823</v>
      </c>
      <c r="O147" s="178" t="s">
        <v>151</v>
      </c>
      <c r="P147" s="178" t="s">
        <v>151</v>
      </c>
      <c r="Q147" s="178" t="s">
        <v>151</v>
      </c>
      <c r="R147" s="384" t="s">
        <v>2179</v>
      </c>
      <c r="S147" s="384" t="s">
        <v>2180</v>
      </c>
      <c r="T147" s="351" t="s">
        <v>2181</v>
      </c>
      <c r="U147" s="179" t="s">
        <v>2182</v>
      </c>
      <c r="V147" s="179">
        <v>30105</v>
      </c>
      <c r="W147" s="187" t="s">
        <v>2183</v>
      </c>
      <c r="X147" s="187" t="s">
        <v>179</v>
      </c>
      <c r="Y147" s="187" t="s">
        <v>163</v>
      </c>
      <c r="Z147" s="187"/>
      <c r="AA147" s="178">
        <v>18</v>
      </c>
      <c r="AB147" s="179">
        <v>42855</v>
      </c>
      <c r="AC147" s="288">
        <v>42795</v>
      </c>
      <c r="AD147" s="179"/>
      <c r="AE147" s="179" t="s">
        <v>2153</v>
      </c>
      <c r="AF147" s="313" t="s">
        <v>2184</v>
      </c>
      <c r="AG147" s="313" t="s">
        <v>2185</v>
      </c>
      <c r="AH147" s="178">
        <f t="shared" si="33"/>
        <v>3</v>
      </c>
      <c r="AI147" s="179" t="s">
        <v>162</v>
      </c>
      <c r="AJ147" s="179"/>
      <c r="AK147" s="179"/>
      <c r="AL147" s="179" t="s">
        <v>163</v>
      </c>
      <c r="AM147" s="179"/>
      <c r="AN147" s="179"/>
      <c r="AO147" s="179" t="s">
        <v>182</v>
      </c>
      <c r="AP147" s="178" t="s">
        <v>593</v>
      </c>
      <c r="AQ147" s="179" t="s">
        <v>2186</v>
      </c>
      <c r="AR147" s="179"/>
      <c r="AS147" s="179"/>
      <c r="AT147" s="420" t="s">
        <v>298</v>
      </c>
      <c r="AU147" s="178" t="s">
        <v>2187</v>
      </c>
      <c r="AV147" s="179"/>
      <c r="AW147" s="180">
        <v>42793</v>
      </c>
      <c r="AX147" s="180">
        <v>43045</v>
      </c>
      <c r="AY147" s="180" t="s">
        <v>150</v>
      </c>
      <c r="AZ147" s="180">
        <v>43235</v>
      </c>
      <c r="BA147" s="180">
        <v>43329</v>
      </c>
      <c r="BB147" s="180">
        <v>43329</v>
      </c>
      <c r="BC147" s="180"/>
      <c r="BD147" s="180"/>
      <c r="BE147" s="181" t="s">
        <v>2188</v>
      </c>
      <c r="BF147" s="180">
        <v>43675</v>
      </c>
      <c r="BG147" s="180" t="s">
        <v>150</v>
      </c>
      <c r="BH147" s="180">
        <v>43891</v>
      </c>
      <c r="BI147" s="180" t="s">
        <v>150</v>
      </c>
      <c r="BJ147" s="179"/>
      <c r="BK147" s="179"/>
      <c r="BL147" s="179"/>
      <c r="BM147" s="182">
        <v>44337</v>
      </c>
      <c r="BN147" s="178" t="s">
        <v>16</v>
      </c>
      <c r="BO147" s="263">
        <f t="shared" si="39"/>
        <v>51</v>
      </c>
      <c r="BP147" s="263">
        <f t="shared" si="38"/>
        <v>43</v>
      </c>
      <c r="BQ147" s="187" t="s">
        <v>2188</v>
      </c>
      <c r="BR147" s="178">
        <v>1</v>
      </c>
      <c r="BS147" s="178">
        <v>9</v>
      </c>
      <c r="BT147" s="178">
        <v>2</v>
      </c>
      <c r="BU147" s="178"/>
      <c r="BV147" s="178"/>
      <c r="BW147" s="178"/>
      <c r="BX147" s="178"/>
      <c r="BY147" s="178" t="s">
        <v>163</v>
      </c>
      <c r="BZ147" s="178" t="s">
        <v>150</v>
      </c>
      <c r="CA147" s="178" t="s">
        <v>2189</v>
      </c>
      <c r="CB147" s="184">
        <v>43647</v>
      </c>
      <c r="CC147" s="184">
        <v>44196</v>
      </c>
      <c r="CD147" s="178">
        <v>17</v>
      </c>
      <c r="CE147" s="178" t="s">
        <v>163</v>
      </c>
      <c r="CF147" s="178"/>
      <c r="CG147" s="178"/>
      <c r="CH147" s="377">
        <v>2</v>
      </c>
      <c r="CI147" s="178">
        <v>2</v>
      </c>
      <c r="CJ147" s="178"/>
      <c r="CK147" s="178" t="s">
        <v>1806</v>
      </c>
      <c r="CL147"/>
    </row>
    <row r="148" spans="1:90" s="53" customFormat="1" ht="24.95" hidden="1" customHeight="1">
      <c r="A148" s="178">
        <v>152</v>
      </c>
      <c r="B148" s="178" t="s">
        <v>2190</v>
      </c>
      <c r="C148" s="178" t="s">
        <v>1459</v>
      </c>
      <c r="D148" s="178"/>
      <c r="E148" s="178" t="s">
        <v>2191</v>
      </c>
      <c r="F148" s="178" t="s">
        <v>24</v>
      </c>
      <c r="G148" s="178">
        <v>7</v>
      </c>
      <c r="H148" s="178" t="s">
        <v>55</v>
      </c>
      <c r="I148" s="178" t="s">
        <v>45</v>
      </c>
      <c r="J148" s="178" t="s">
        <v>224</v>
      </c>
      <c r="K148" s="178" t="s">
        <v>2192</v>
      </c>
      <c r="L148" s="178" t="s">
        <v>37</v>
      </c>
      <c r="M148" s="178" t="s">
        <v>163</v>
      </c>
      <c r="N148" s="178"/>
      <c r="O148" s="178" t="s">
        <v>151</v>
      </c>
      <c r="P148" s="178" t="s">
        <v>151</v>
      </c>
      <c r="Q148" s="178"/>
      <c r="R148" s="384" t="s">
        <v>2193</v>
      </c>
      <c r="S148" s="384" t="s">
        <v>2194</v>
      </c>
      <c r="T148" s="352" t="s">
        <v>2195</v>
      </c>
      <c r="U148" s="189" t="s">
        <v>2196</v>
      </c>
      <c r="V148" s="179">
        <v>30296</v>
      </c>
      <c r="W148" s="187" t="s">
        <v>2197</v>
      </c>
      <c r="X148" s="187" t="s">
        <v>179</v>
      </c>
      <c r="Y148" s="187"/>
      <c r="Z148" s="187"/>
      <c r="AA148" s="178"/>
      <c r="AB148" s="179">
        <v>42916</v>
      </c>
      <c r="AC148" s="288">
        <v>42795</v>
      </c>
      <c r="AD148" s="179"/>
      <c r="AE148" s="179" t="s">
        <v>2198</v>
      </c>
      <c r="AF148" s="313" t="s">
        <v>2199</v>
      </c>
      <c r="AG148" s="313" t="s">
        <v>2200</v>
      </c>
      <c r="AH148" s="178">
        <f t="shared" si="33"/>
        <v>3</v>
      </c>
      <c r="AI148" s="179" t="s">
        <v>162</v>
      </c>
      <c r="AJ148" s="179"/>
      <c r="AK148" s="179"/>
      <c r="AL148" s="179" t="s">
        <v>150</v>
      </c>
      <c r="AM148" s="179"/>
      <c r="AN148" s="179"/>
      <c r="AO148" s="179" t="s">
        <v>164</v>
      </c>
      <c r="AP148" s="178" t="s">
        <v>181</v>
      </c>
      <c r="AQ148" s="179" t="s">
        <v>250</v>
      </c>
      <c r="AR148" s="179" t="s">
        <v>150</v>
      </c>
      <c r="AS148" s="179"/>
      <c r="AT148" s="420" t="s">
        <v>219</v>
      </c>
      <c r="AU148" s="178" t="s">
        <v>2201</v>
      </c>
      <c r="AV148" s="179"/>
      <c r="AW148" s="180">
        <v>42793</v>
      </c>
      <c r="AX148" s="180">
        <v>43045</v>
      </c>
      <c r="AY148" s="180" t="s">
        <v>150</v>
      </c>
      <c r="AZ148" s="180">
        <v>43290</v>
      </c>
      <c r="BA148" s="180">
        <v>43447</v>
      </c>
      <c r="BB148" s="180"/>
      <c r="BC148" s="180"/>
      <c r="BD148" s="180"/>
      <c r="BE148" s="181" t="s">
        <v>2202</v>
      </c>
      <c r="BF148" s="179">
        <v>44207</v>
      </c>
      <c r="BG148" s="179" t="s">
        <v>163</v>
      </c>
      <c r="BH148" s="179">
        <v>44410</v>
      </c>
      <c r="BI148" s="179" t="s">
        <v>163</v>
      </c>
      <c r="BJ148" s="179"/>
      <c r="BK148" s="179"/>
      <c r="BL148" s="179"/>
      <c r="BM148" s="182">
        <v>45273</v>
      </c>
      <c r="BN148" s="190" t="s">
        <v>16</v>
      </c>
      <c r="BO148" s="263"/>
      <c r="BP148" s="263">
        <f t="shared" si="38"/>
        <v>74</v>
      </c>
      <c r="BQ148" s="178"/>
      <c r="BR148" s="178"/>
      <c r="BS148" s="178"/>
      <c r="BT148" s="178"/>
      <c r="BU148" s="178"/>
      <c r="BV148" s="178"/>
      <c r="BW148" s="178"/>
      <c r="BX148" s="178"/>
      <c r="BY148" s="178" t="s">
        <v>163</v>
      </c>
      <c r="BZ148" s="178"/>
      <c r="CA148" s="178"/>
      <c r="CB148" s="184"/>
      <c r="CC148" s="184"/>
      <c r="CD148" s="178"/>
      <c r="CE148" s="178"/>
      <c r="CF148" s="178"/>
      <c r="CG148" s="178"/>
      <c r="CH148" s="377">
        <v>3</v>
      </c>
      <c r="CI148" s="178"/>
      <c r="CJ148" s="178"/>
      <c r="CK148" s="178" t="s">
        <v>2203</v>
      </c>
      <c r="CL148"/>
    </row>
    <row r="149" spans="1:90" s="53" customFormat="1" ht="24.95" hidden="1" customHeight="1">
      <c r="A149" s="178">
        <v>153</v>
      </c>
      <c r="B149" s="178" t="s">
        <v>2204</v>
      </c>
      <c r="C149" s="178" t="s">
        <v>2205</v>
      </c>
      <c r="D149" s="178" t="s">
        <v>2206</v>
      </c>
      <c r="E149" s="178" t="s">
        <v>2207</v>
      </c>
      <c r="F149" s="178" t="s">
        <v>25</v>
      </c>
      <c r="G149" s="178">
        <v>7</v>
      </c>
      <c r="H149" s="178" t="s">
        <v>52</v>
      </c>
      <c r="I149" s="178" t="s">
        <v>44</v>
      </c>
      <c r="J149" s="178" t="s">
        <v>2208</v>
      </c>
      <c r="K149" s="178" t="s">
        <v>2209</v>
      </c>
      <c r="L149" s="178" t="s">
        <v>44</v>
      </c>
      <c r="M149" s="178" t="s">
        <v>150</v>
      </c>
      <c r="N149" s="178">
        <v>10127492016</v>
      </c>
      <c r="O149" s="178" t="s">
        <v>151</v>
      </c>
      <c r="P149" s="178" t="s">
        <v>151</v>
      </c>
      <c r="Q149" s="178" t="s">
        <v>151</v>
      </c>
      <c r="R149" s="384" t="s">
        <v>2210</v>
      </c>
      <c r="S149" s="384" t="s">
        <v>2211</v>
      </c>
      <c r="T149" s="351" t="s">
        <v>2212</v>
      </c>
      <c r="U149" s="179" t="s">
        <v>2213</v>
      </c>
      <c r="V149" s="179">
        <v>26570</v>
      </c>
      <c r="W149" s="187" t="s">
        <v>2214</v>
      </c>
      <c r="X149" s="187" t="s">
        <v>179</v>
      </c>
      <c r="Y149" s="187" t="s">
        <v>163</v>
      </c>
      <c r="Z149" s="187"/>
      <c r="AA149" s="178">
        <v>21</v>
      </c>
      <c r="AB149" s="179">
        <v>42982</v>
      </c>
      <c r="AC149" s="288">
        <v>42795</v>
      </c>
      <c r="AD149" s="179"/>
      <c r="AE149" s="179" t="s">
        <v>2215</v>
      </c>
      <c r="AF149" s="179" t="s">
        <v>2216</v>
      </c>
      <c r="AG149" s="179" t="s">
        <v>2217</v>
      </c>
      <c r="AH149" s="178">
        <f t="shared" si="33"/>
        <v>3</v>
      </c>
      <c r="AI149" s="179" t="s">
        <v>161</v>
      </c>
      <c r="AJ149" s="179"/>
      <c r="AK149" s="179"/>
      <c r="AL149" s="179" t="s">
        <v>150</v>
      </c>
      <c r="AM149" s="179"/>
      <c r="AN149" s="179"/>
      <c r="AO149" s="179" t="s">
        <v>202</v>
      </c>
      <c r="AP149" s="178" t="s">
        <v>2218</v>
      </c>
      <c r="AQ149" s="179" t="s">
        <v>2219</v>
      </c>
      <c r="AR149" s="179"/>
      <c r="AS149" s="179"/>
      <c r="AT149" s="420" t="s">
        <v>420</v>
      </c>
      <c r="AU149" s="178" t="s">
        <v>2220</v>
      </c>
      <c r="AV149" s="179"/>
      <c r="AW149" s="180">
        <v>42793</v>
      </c>
      <c r="AX149" s="180">
        <v>43045</v>
      </c>
      <c r="AY149" s="180" t="s">
        <v>150</v>
      </c>
      <c r="AZ149" s="180">
        <v>43140</v>
      </c>
      <c r="BA149" s="180">
        <v>43251</v>
      </c>
      <c r="BB149" s="180"/>
      <c r="BC149" s="180"/>
      <c r="BD149" s="180"/>
      <c r="BE149" s="181" t="s">
        <v>2221</v>
      </c>
      <c r="BF149" s="180">
        <v>43675</v>
      </c>
      <c r="BG149" s="180" t="s">
        <v>150</v>
      </c>
      <c r="BH149" s="180">
        <v>43891</v>
      </c>
      <c r="BI149" s="180" t="s">
        <v>150</v>
      </c>
      <c r="BJ149" s="179">
        <v>44260</v>
      </c>
      <c r="BK149" s="179">
        <v>44468</v>
      </c>
      <c r="BL149" s="179"/>
      <c r="BM149" s="182">
        <v>44468</v>
      </c>
      <c r="BN149" s="178" t="s">
        <v>16</v>
      </c>
      <c r="BO149" s="263">
        <f>DATEDIF(AW149,BM149, "M")+1</f>
        <v>56</v>
      </c>
      <c r="BP149" s="263">
        <f t="shared" si="38"/>
        <v>47</v>
      </c>
      <c r="BQ149" s="178"/>
      <c r="BR149" s="178">
        <v>0</v>
      </c>
      <c r="BS149" s="178">
        <v>2</v>
      </c>
      <c r="BT149" s="178">
        <v>0</v>
      </c>
      <c r="BU149" s="178"/>
      <c r="BV149" s="178"/>
      <c r="BW149" s="178"/>
      <c r="BX149" s="178"/>
      <c r="BY149" s="178" t="s">
        <v>163</v>
      </c>
      <c r="BZ149" s="178" t="s">
        <v>163</v>
      </c>
      <c r="CA149" s="178"/>
      <c r="CB149" s="184"/>
      <c r="CC149" s="184"/>
      <c r="CD149" s="178"/>
      <c r="CE149" s="178" t="s">
        <v>163</v>
      </c>
      <c r="CF149" s="178"/>
      <c r="CG149" s="178"/>
      <c r="CH149" s="377">
        <v>5</v>
      </c>
      <c r="CI149" s="178">
        <v>5</v>
      </c>
      <c r="CJ149" s="178"/>
      <c r="CK149" s="178" t="s">
        <v>2203</v>
      </c>
      <c r="CL149"/>
    </row>
    <row r="150" spans="1:90" s="53" customFormat="1" ht="24.95" hidden="1" customHeight="1">
      <c r="A150" s="178">
        <v>154</v>
      </c>
      <c r="B150" s="178" t="s">
        <v>2222</v>
      </c>
      <c r="C150" s="178" t="s">
        <v>1835</v>
      </c>
      <c r="D150" s="178" t="s">
        <v>2223</v>
      </c>
      <c r="E150" s="178" t="s">
        <v>2224</v>
      </c>
      <c r="F150" s="178" t="s">
        <v>25</v>
      </c>
      <c r="G150" s="178">
        <v>7</v>
      </c>
      <c r="H150" s="178" t="s">
        <v>54</v>
      </c>
      <c r="I150" s="178" t="s">
        <v>33</v>
      </c>
      <c r="J150" s="178" t="s">
        <v>602</v>
      </c>
      <c r="K150" s="178" t="s">
        <v>2225</v>
      </c>
      <c r="L150" s="178" t="s">
        <v>33</v>
      </c>
      <c r="M150" s="178" t="s">
        <v>150</v>
      </c>
      <c r="N150" s="178">
        <v>1706</v>
      </c>
      <c r="O150" s="178" t="s">
        <v>151</v>
      </c>
      <c r="P150" s="178" t="s">
        <v>151</v>
      </c>
      <c r="Q150" s="178" t="s">
        <v>151</v>
      </c>
      <c r="R150" s="384" t="s">
        <v>2226</v>
      </c>
      <c r="S150" s="384" t="s">
        <v>2227</v>
      </c>
      <c r="T150" s="352" t="s">
        <v>2228</v>
      </c>
      <c r="U150" s="179"/>
      <c r="V150" s="179">
        <v>27928</v>
      </c>
      <c r="W150" s="187" t="s">
        <v>2229</v>
      </c>
      <c r="X150" s="187" t="s">
        <v>179</v>
      </c>
      <c r="Y150" s="187"/>
      <c r="Z150" s="187"/>
      <c r="AA150" s="178">
        <v>30.5</v>
      </c>
      <c r="AB150" s="179">
        <v>42999</v>
      </c>
      <c r="AC150" s="288">
        <v>42795</v>
      </c>
      <c r="AD150" s="179"/>
      <c r="AE150" s="179" t="s">
        <v>2230</v>
      </c>
      <c r="AF150" s="179" t="s">
        <v>2231</v>
      </c>
      <c r="AG150" s="179"/>
      <c r="AH150" s="178">
        <f t="shared" si="33"/>
        <v>2</v>
      </c>
      <c r="AI150" s="179" t="s">
        <v>161</v>
      </c>
      <c r="AJ150" s="179"/>
      <c r="AK150" s="179"/>
      <c r="AL150" s="179" t="s">
        <v>150</v>
      </c>
      <c r="AM150" s="179"/>
      <c r="AN150" s="179"/>
      <c r="AO150" s="179" t="s">
        <v>164</v>
      </c>
      <c r="AP150" s="178"/>
      <c r="AQ150" s="179" t="s">
        <v>250</v>
      </c>
      <c r="AR150" s="179" t="s">
        <v>150</v>
      </c>
      <c r="AS150" s="179"/>
      <c r="AT150" s="420" t="s">
        <v>328</v>
      </c>
      <c r="AU150" s="178" t="s">
        <v>2232</v>
      </c>
      <c r="AV150" s="179"/>
      <c r="AW150" s="180">
        <v>42793</v>
      </c>
      <c r="AX150" s="180">
        <v>43045</v>
      </c>
      <c r="AY150" s="180" t="s">
        <v>150</v>
      </c>
      <c r="AZ150" s="180"/>
      <c r="BA150" s="180"/>
      <c r="BB150" s="180"/>
      <c r="BC150" s="180"/>
      <c r="BD150" s="180"/>
      <c r="BE150" s="181" t="s">
        <v>2233</v>
      </c>
      <c r="BF150" s="180">
        <v>43675</v>
      </c>
      <c r="BG150" s="180" t="s">
        <v>150</v>
      </c>
      <c r="BH150" s="180">
        <v>43891</v>
      </c>
      <c r="BI150" s="180" t="s">
        <v>150</v>
      </c>
      <c r="BJ150" s="179"/>
      <c r="BK150" s="179">
        <v>44435</v>
      </c>
      <c r="BL150" s="179">
        <v>44452</v>
      </c>
      <c r="BM150" s="182">
        <v>44452</v>
      </c>
      <c r="BN150" s="178" t="s">
        <v>16</v>
      </c>
      <c r="BO150" s="178">
        <f t="shared" ref="BO150:BO151" si="40">DATEDIF(AW150,BM150, "M")+1</f>
        <v>55</v>
      </c>
      <c r="BP150" s="263">
        <f t="shared" si="38"/>
        <v>47</v>
      </c>
      <c r="BQ150" s="187" t="s">
        <v>2234</v>
      </c>
      <c r="BR150" s="178">
        <v>7</v>
      </c>
      <c r="BS150" s="178">
        <v>9</v>
      </c>
      <c r="BT150" s="178">
        <v>4</v>
      </c>
      <c r="BU150" s="178"/>
      <c r="BV150" s="178"/>
      <c r="BW150" s="178"/>
      <c r="BX150" s="178"/>
      <c r="BY150" s="178" t="s">
        <v>163</v>
      </c>
      <c r="BZ150" s="178"/>
      <c r="CA150" s="178"/>
      <c r="CB150" s="184">
        <v>44078</v>
      </c>
      <c r="CC150" s="184">
        <v>44256</v>
      </c>
      <c r="CD150" s="178">
        <v>6</v>
      </c>
      <c r="CE150" s="178"/>
      <c r="CF150" s="178"/>
      <c r="CG150" s="178"/>
      <c r="CH150" s="377">
        <v>4</v>
      </c>
      <c r="CI150" s="178">
        <v>4</v>
      </c>
      <c r="CJ150" s="178"/>
      <c r="CK150" s="178" t="s">
        <v>1806</v>
      </c>
      <c r="CL150"/>
    </row>
    <row r="151" spans="1:90" s="53" customFormat="1" ht="24.95" hidden="1" customHeight="1">
      <c r="A151" s="178">
        <v>155</v>
      </c>
      <c r="B151" s="178" t="s">
        <v>2235</v>
      </c>
      <c r="C151" s="178" t="s">
        <v>2236</v>
      </c>
      <c r="D151" s="178" t="s">
        <v>2237</v>
      </c>
      <c r="E151" s="178" t="s">
        <v>2238</v>
      </c>
      <c r="F151" s="178" t="s">
        <v>25</v>
      </c>
      <c r="G151" s="178">
        <v>7</v>
      </c>
      <c r="H151" s="178" t="s">
        <v>53</v>
      </c>
      <c r="I151" s="178" t="s">
        <v>47</v>
      </c>
      <c r="J151" s="178" t="s">
        <v>602</v>
      </c>
      <c r="K151" s="178" t="s">
        <v>602</v>
      </c>
      <c r="L151" s="178" t="s">
        <v>46</v>
      </c>
      <c r="M151" s="178" t="s">
        <v>163</v>
      </c>
      <c r="N151" s="178">
        <v>1746377</v>
      </c>
      <c r="O151" s="178" t="s">
        <v>151</v>
      </c>
      <c r="P151" s="178" t="s">
        <v>151</v>
      </c>
      <c r="Q151" s="178"/>
      <c r="R151" s="185" t="s">
        <v>2239</v>
      </c>
      <c r="S151" s="178" t="s">
        <v>2240</v>
      </c>
      <c r="T151" s="352" t="s">
        <v>2241</v>
      </c>
      <c r="U151" s="179" t="s">
        <v>817</v>
      </c>
      <c r="V151" s="179">
        <v>29816</v>
      </c>
      <c r="W151" s="187" t="s">
        <v>2242</v>
      </c>
      <c r="X151" s="187" t="s">
        <v>179</v>
      </c>
      <c r="Y151" s="187" t="s">
        <v>163</v>
      </c>
      <c r="Z151" s="187"/>
      <c r="AA151" s="178">
        <v>20</v>
      </c>
      <c r="AB151" s="179">
        <v>42978</v>
      </c>
      <c r="AC151" s="288">
        <v>42795</v>
      </c>
      <c r="AD151" s="179"/>
      <c r="AE151" s="178" t="s">
        <v>2243</v>
      </c>
      <c r="AF151" s="178" t="s">
        <v>2244</v>
      </c>
      <c r="AG151" s="179"/>
      <c r="AH151" s="178">
        <f t="shared" si="33"/>
        <v>2</v>
      </c>
      <c r="AI151" s="179" t="s">
        <v>161</v>
      </c>
      <c r="AJ151" s="179"/>
      <c r="AK151" s="179"/>
      <c r="AL151" s="179" t="s">
        <v>150</v>
      </c>
      <c r="AM151" s="179"/>
      <c r="AN151" s="179"/>
      <c r="AO151" s="179" t="s">
        <v>182</v>
      </c>
      <c r="AP151" s="178" t="s">
        <v>2245</v>
      </c>
      <c r="AQ151" s="179" t="s">
        <v>2246</v>
      </c>
      <c r="AR151" s="179"/>
      <c r="AS151" s="179"/>
      <c r="AT151" s="420" t="s">
        <v>298</v>
      </c>
      <c r="AU151" s="178" t="s">
        <v>2247</v>
      </c>
      <c r="AV151" s="179"/>
      <c r="AW151" s="180">
        <v>42793</v>
      </c>
      <c r="AX151" s="180">
        <v>43045</v>
      </c>
      <c r="AY151" s="180" t="s">
        <v>150</v>
      </c>
      <c r="AZ151" s="180">
        <v>43341</v>
      </c>
      <c r="BA151" s="180">
        <v>43410</v>
      </c>
      <c r="BB151" s="180"/>
      <c r="BC151" s="180"/>
      <c r="BD151" s="180"/>
      <c r="BE151" s="181" t="s">
        <v>2248</v>
      </c>
      <c r="BF151" s="180">
        <v>43675</v>
      </c>
      <c r="BG151" s="180" t="s">
        <v>150</v>
      </c>
      <c r="BH151" s="180">
        <v>43891</v>
      </c>
      <c r="BI151" s="180" t="s">
        <v>150</v>
      </c>
      <c r="BJ151" s="179"/>
      <c r="BK151" s="179"/>
      <c r="BL151" s="179"/>
      <c r="BM151" s="182">
        <v>45248</v>
      </c>
      <c r="BN151" s="190" t="s">
        <v>16</v>
      </c>
      <c r="BO151" s="178">
        <f t="shared" si="40"/>
        <v>81</v>
      </c>
      <c r="BP151" s="263">
        <f t="shared" si="38"/>
        <v>73</v>
      </c>
      <c r="BQ151" s="187" t="s">
        <v>2249</v>
      </c>
      <c r="BR151" s="178">
        <v>1</v>
      </c>
      <c r="BS151" s="178">
        <v>0</v>
      </c>
      <c r="BT151" s="178">
        <v>0</v>
      </c>
      <c r="BU151" s="178"/>
      <c r="BV151" s="178"/>
      <c r="BW151" s="178"/>
      <c r="BX151" s="178"/>
      <c r="BY151" s="178" t="s">
        <v>2250</v>
      </c>
      <c r="BZ151" s="178" t="s">
        <v>163</v>
      </c>
      <c r="CA151" s="178"/>
      <c r="CB151" s="184"/>
      <c r="CC151" s="184"/>
      <c r="CD151" s="178"/>
      <c r="CE151" s="178" t="s">
        <v>163</v>
      </c>
      <c r="CF151" s="178"/>
      <c r="CG151" s="178"/>
      <c r="CH151" s="377">
        <v>2</v>
      </c>
      <c r="CI151" s="178"/>
      <c r="CJ151" s="178"/>
      <c r="CK151" s="178" t="s">
        <v>809</v>
      </c>
      <c r="CL151"/>
    </row>
    <row r="152" spans="1:90" s="53" customFormat="1" ht="24.95" hidden="1" customHeight="1">
      <c r="A152" s="178">
        <v>156</v>
      </c>
      <c r="B152" s="178" t="s">
        <v>2251</v>
      </c>
      <c r="C152" s="178" t="s">
        <v>2252</v>
      </c>
      <c r="D152" s="178" t="s">
        <v>2253</v>
      </c>
      <c r="E152" s="178" t="s">
        <v>2254</v>
      </c>
      <c r="F152" s="178" t="s">
        <v>24</v>
      </c>
      <c r="G152" s="178">
        <v>7</v>
      </c>
      <c r="H152" s="178" t="s">
        <v>53</v>
      </c>
      <c r="I152" s="178" t="s">
        <v>47</v>
      </c>
      <c r="J152" s="178" t="s">
        <v>2255</v>
      </c>
      <c r="K152" s="178" t="s">
        <v>2256</v>
      </c>
      <c r="L152" s="178" t="s">
        <v>47</v>
      </c>
      <c r="M152" s="178" t="s">
        <v>150</v>
      </c>
      <c r="N152" s="186" t="s">
        <v>2257</v>
      </c>
      <c r="O152" s="178" t="s">
        <v>151</v>
      </c>
      <c r="P152" s="178" t="s">
        <v>151</v>
      </c>
      <c r="Q152" s="178" t="s">
        <v>151</v>
      </c>
      <c r="R152" s="178" t="s">
        <v>2258</v>
      </c>
      <c r="S152" s="384" t="s">
        <v>2259</v>
      </c>
      <c r="T152" s="352" t="s">
        <v>2260</v>
      </c>
      <c r="U152" s="179" t="s">
        <v>2261</v>
      </c>
      <c r="V152" s="179">
        <v>27916</v>
      </c>
      <c r="W152" s="187" t="s">
        <v>2262</v>
      </c>
      <c r="X152" s="187" t="s">
        <v>156</v>
      </c>
      <c r="Y152" s="187"/>
      <c r="Z152" s="187"/>
      <c r="AA152" s="178">
        <v>18.5</v>
      </c>
      <c r="AB152" s="179">
        <v>42704</v>
      </c>
      <c r="AC152" s="288">
        <v>42795</v>
      </c>
      <c r="AD152" s="179"/>
      <c r="AE152" s="179" t="s">
        <v>2263</v>
      </c>
      <c r="AF152" s="179" t="s">
        <v>2264</v>
      </c>
      <c r="AG152" s="179"/>
      <c r="AH152" s="178">
        <f t="shared" si="33"/>
        <v>2</v>
      </c>
      <c r="AI152" s="179" t="s">
        <v>161</v>
      </c>
      <c r="AJ152" s="179"/>
      <c r="AK152" s="179"/>
      <c r="AL152" s="179" t="s">
        <v>163</v>
      </c>
      <c r="AM152" s="179"/>
      <c r="AN152" s="179"/>
      <c r="AO152" s="179" t="s">
        <v>164</v>
      </c>
      <c r="AP152" s="178" t="s">
        <v>203</v>
      </c>
      <c r="AQ152" s="179" t="s">
        <v>217</v>
      </c>
      <c r="AR152" s="179" t="s">
        <v>150</v>
      </c>
      <c r="AS152" s="191" t="s">
        <v>2265</v>
      </c>
      <c r="AT152" s="420" t="s">
        <v>298</v>
      </c>
      <c r="AU152" s="178" t="s">
        <v>2266</v>
      </c>
      <c r="AV152" s="179"/>
      <c r="AW152" s="180">
        <v>42793</v>
      </c>
      <c r="AX152" s="180">
        <v>43045</v>
      </c>
      <c r="AY152" s="180" t="s">
        <v>150</v>
      </c>
      <c r="AZ152" s="180">
        <v>42892</v>
      </c>
      <c r="BA152" s="180">
        <v>42975</v>
      </c>
      <c r="BB152" s="180"/>
      <c r="BC152" s="180"/>
      <c r="BD152" s="180"/>
      <c r="BE152" s="181" t="s">
        <v>2267</v>
      </c>
      <c r="BF152" s="180">
        <v>43675</v>
      </c>
      <c r="BG152" s="180" t="s">
        <v>150</v>
      </c>
      <c r="BH152" s="180">
        <v>43891</v>
      </c>
      <c r="BI152" s="180" t="s">
        <v>150</v>
      </c>
      <c r="BJ152" s="179"/>
      <c r="BK152" s="179">
        <v>44147</v>
      </c>
      <c r="BL152" s="179"/>
      <c r="BM152" s="182">
        <v>44181</v>
      </c>
      <c r="BN152" s="178" t="s">
        <v>16</v>
      </c>
      <c r="BO152" s="178">
        <f>DATEDIF(AW152,BM152, "M")+1</f>
        <v>46</v>
      </c>
      <c r="BP152" s="263">
        <f t="shared" si="38"/>
        <v>38</v>
      </c>
      <c r="BQ152" s="187" t="s">
        <v>2268</v>
      </c>
      <c r="BR152" s="178">
        <v>2</v>
      </c>
      <c r="BS152" s="178">
        <v>8</v>
      </c>
      <c r="BT152" s="178">
        <v>2</v>
      </c>
      <c r="BU152" s="178"/>
      <c r="BV152" s="178"/>
      <c r="BW152" s="178"/>
      <c r="BX152" s="178"/>
      <c r="BY152" s="178" t="s">
        <v>163</v>
      </c>
      <c r="BZ152" s="178" t="s">
        <v>163</v>
      </c>
      <c r="CA152" s="178"/>
      <c r="CB152" s="184"/>
      <c r="CC152" s="184"/>
      <c r="CD152" s="178"/>
      <c r="CE152" s="178" t="s">
        <v>163</v>
      </c>
      <c r="CF152" s="178"/>
      <c r="CG152" s="178"/>
      <c r="CH152" s="377">
        <v>3</v>
      </c>
      <c r="CI152" s="178">
        <v>3</v>
      </c>
      <c r="CJ152" s="178"/>
      <c r="CK152" s="178" t="s">
        <v>1806</v>
      </c>
      <c r="CL152"/>
    </row>
    <row r="153" spans="1:90" s="53" customFormat="1" ht="24.95" hidden="1" customHeight="1">
      <c r="A153" s="91">
        <v>157</v>
      </c>
      <c r="B153" s="91" t="s">
        <v>2269</v>
      </c>
      <c r="C153" s="91" t="s">
        <v>2270</v>
      </c>
      <c r="D153" s="91" t="s">
        <v>2271</v>
      </c>
      <c r="E153" s="91" t="s">
        <v>2272</v>
      </c>
      <c r="F153" s="91" t="s">
        <v>25</v>
      </c>
      <c r="G153" s="91">
        <v>7</v>
      </c>
      <c r="H153" s="91" t="s">
        <v>52</v>
      </c>
      <c r="I153" s="91" t="s">
        <v>44</v>
      </c>
      <c r="J153" s="91" t="s">
        <v>2273</v>
      </c>
      <c r="K153" s="91" t="s">
        <v>2274</v>
      </c>
      <c r="L153" s="91" t="s">
        <v>44</v>
      </c>
      <c r="M153" s="91" t="s">
        <v>150</v>
      </c>
      <c r="N153" s="91"/>
      <c r="O153" s="91" t="s">
        <v>151</v>
      </c>
      <c r="P153" s="91" t="s">
        <v>151</v>
      </c>
      <c r="Q153" s="91"/>
      <c r="R153" s="91" t="s">
        <v>2275</v>
      </c>
      <c r="S153" s="91" t="s">
        <v>2276</v>
      </c>
      <c r="T153" s="341" t="s">
        <v>2277</v>
      </c>
      <c r="U153" s="92"/>
      <c r="V153" s="92">
        <v>29274</v>
      </c>
      <c r="W153" s="164" t="s">
        <v>2278</v>
      </c>
      <c r="X153" s="164"/>
      <c r="Y153" s="164"/>
      <c r="Z153" s="164"/>
      <c r="AA153" s="91">
        <v>22.5</v>
      </c>
      <c r="AB153" s="92">
        <v>42978</v>
      </c>
      <c r="AC153" s="281">
        <v>42795</v>
      </c>
      <c r="AD153" s="92">
        <v>44214</v>
      </c>
      <c r="AE153" s="92" t="s">
        <v>2279</v>
      </c>
      <c r="AF153" s="92"/>
      <c r="AG153" s="92"/>
      <c r="AH153" s="91">
        <f t="shared" si="33"/>
        <v>1</v>
      </c>
      <c r="AI153" s="92" t="s">
        <v>161</v>
      </c>
      <c r="AJ153" s="92"/>
      <c r="AK153" s="92"/>
      <c r="AL153" s="92" t="s">
        <v>150</v>
      </c>
      <c r="AM153" s="92"/>
      <c r="AN153" s="92"/>
      <c r="AO153" s="92" t="s">
        <v>164</v>
      </c>
      <c r="AP153" s="91"/>
      <c r="AQ153" s="92"/>
      <c r="AR153" s="92"/>
      <c r="AS153" s="92"/>
      <c r="AT153" s="400" t="s">
        <v>420</v>
      </c>
      <c r="AU153" s="91"/>
      <c r="AV153" s="92"/>
      <c r="AW153" s="93">
        <v>42793</v>
      </c>
      <c r="AX153" s="93">
        <v>43045</v>
      </c>
      <c r="AY153" s="93" t="s">
        <v>150</v>
      </c>
      <c r="AZ153" s="93">
        <v>42970</v>
      </c>
      <c r="BA153" s="93">
        <v>43026</v>
      </c>
      <c r="BB153" s="93">
        <v>43047</v>
      </c>
      <c r="BC153" s="93"/>
      <c r="BD153" s="93"/>
      <c r="BE153" s="94" t="s">
        <v>2280</v>
      </c>
      <c r="BF153" s="93" t="s">
        <v>722</v>
      </c>
      <c r="BG153" s="93" t="s">
        <v>163</v>
      </c>
      <c r="BH153" s="93" t="s">
        <v>722</v>
      </c>
      <c r="BI153" s="93" t="s">
        <v>163</v>
      </c>
      <c r="BJ153" s="92"/>
      <c r="BK153" s="92"/>
      <c r="BL153" s="92"/>
      <c r="BM153" s="192"/>
      <c r="BN153" s="193" t="s">
        <v>18</v>
      </c>
      <c r="BO153" s="265" t="s">
        <v>18</v>
      </c>
      <c r="BP153" s="265"/>
      <c r="BQ153" s="91"/>
      <c r="BR153" s="91"/>
      <c r="BS153" s="91"/>
      <c r="BT153" s="91"/>
      <c r="BU153" s="91"/>
      <c r="BV153" s="91"/>
      <c r="BW153" s="91"/>
      <c r="BX153" s="91"/>
      <c r="BY153" s="91" t="s">
        <v>163</v>
      </c>
      <c r="BZ153" s="91"/>
      <c r="CA153" s="91"/>
      <c r="CB153" s="95"/>
      <c r="CC153" s="95"/>
      <c r="CD153" s="91"/>
      <c r="CE153" s="91"/>
      <c r="CF153" s="91"/>
      <c r="CG153" s="91"/>
      <c r="CH153" s="113"/>
      <c r="CI153" s="91"/>
      <c r="CJ153" s="91"/>
      <c r="CK153" s="91" t="s">
        <v>1806</v>
      </c>
      <c r="CL153"/>
    </row>
    <row r="154" spans="1:90" s="53" customFormat="1" ht="24.95" hidden="1" customHeight="1">
      <c r="A154" s="178">
        <v>158</v>
      </c>
      <c r="B154" s="178" t="s">
        <v>2281</v>
      </c>
      <c r="C154" s="178" t="s">
        <v>2282</v>
      </c>
      <c r="D154" s="178" t="s">
        <v>2283</v>
      </c>
      <c r="E154" s="178" t="s">
        <v>2284</v>
      </c>
      <c r="F154" s="178" t="s">
        <v>25</v>
      </c>
      <c r="G154" s="178">
        <v>7</v>
      </c>
      <c r="H154" s="178" t="s">
        <v>52</v>
      </c>
      <c r="I154" s="178" t="s">
        <v>39</v>
      </c>
      <c r="J154" s="178" t="s">
        <v>2285</v>
      </c>
      <c r="K154" s="178" t="s">
        <v>2286</v>
      </c>
      <c r="L154" s="178" t="s">
        <v>39</v>
      </c>
      <c r="M154" s="178" t="s">
        <v>163</v>
      </c>
      <c r="N154" s="178" t="s">
        <v>2287</v>
      </c>
      <c r="O154" s="178" t="s">
        <v>322</v>
      </c>
      <c r="P154" s="178" t="s">
        <v>322</v>
      </c>
      <c r="Q154" s="178" t="s">
        <v>322</v>
      </c>
      <c r="R154" s="178" t="s">
        <v>2288</v>
      </c>
      <c r="S154" s="178" t="s">
        <v>2289</v>
      </c>
      <c r="T154" s="352" t="s">
        <v>2290</v>
      </c>
      <c r="U154" s="179" t="s">
        <v>2291</v>
      </c>
      <c r="V154" s="179">
        <v>29754</v>
      </c>
      <c r="W154" s="187" t="s">
        <v>2292</v>
      </c>
      <c r="X154" s="187" t="s">
        <v>179</v>
      </c>
      <c r="Y154" s="187" t="s">
        <v>163</v>
      </c>
      <c r="Z154" s="187"/>
      <c r="AA154" s="178"/>
      <c r="AB154" s="179">
        <v>42856</v>
      </c>
      <c r="AC154" s="288">
        <v>42795</v>
      </c>
      <c r="AD154" s="179"/>
      <c r="AE154" s="179" t="s">
        <v>2293</v>
      </c>
      <c r="AF154" s="313" t="s">
        <v>2294</v>
      </c>
      <c r="AG154" s="179"/>
      <c r="AH154" s="178">
        <f t="shared" si="33"/>
        <v>2</v>
      </c>
      <c r="AI154" s="179" t="s">
        <v>161</v>
      </c>
      <c r="AJ154" s="179"/>
      <c r="AK154" s="179"/>
      <c r="AL154" s="179" t="s">
        <v>163</v>
      </c>
      <c r="AM154" s="179"/>
      <c r="AN154" s="179"/>
      <c r="AO154" s="179" t="s">
        <v>164</v>
      </c>
      <c r="AP154" s="178" t="s">
        <v>1265</v>
      </c>
      <c r="AQ154" s="191" t="s">
        <v>203</v>
      </c>
      <c r="AR154" s="179" t="s">
        <v>150</v>
      </c>
      <c r="AS154" s="179"/>
      <c r="AT154" s="420" t="s">
        <v>204</v>
      </c>
      <c r="AU154" s="178" t="s">
        <v>2295</v>
      </c>
      <c r="AV154" s="179"/>
      <c r="AW154" s="180">
        <v>42793</v>
      </c>
      <c r="AX154" s="180">
        <v>43045</v>
      </c>
      <c r="AY154" s="180" t="s">
        <v>150</v>
      </c>
      <c r="AZ154" s="180"/>
      <c r="BA154" s="180"/>
      <c r="BB154" s="180"/>
      <c r="BC154" s="180"/>
      <c r="BD154" s="180"/>
      <c r="BE154" s="181" t="s">
        <v>2296</v>
      </c>
      <c r="BF154" s="180">
        <v>44207</v>
      </c>
      <c r="BG154" s="179" t="s">
        <v>163</v>
      </c>
      <c r="BH154" s="179">
        <v>44410</v>
      </c>
      <c r="BI154" s="179" t="s">
        <v>163</v>
      </c>
      <c r="BJ154" s="179"/>
      <c r="BK154" s="179"/>
      <c r="BL154" s="179"/>
      <c r="BM154" s="182">
        <v>44917</v>
      </c>
      <c r="BN154" s="183" t="s">
        <v>16</v>
      </c>
      <c r="BO154" s="178">
        <f t="shared" ref="BO154:BO156" si="41">DATEDIF(AW154,BM154, "M")+1</f>
        <v>70</v>
      </c>
      <c r="BP154" s="263">
        <f t="shared" ref="BP154:BP156" si="42">DATEDIF(AX154,BM154, "M")+1</f>
        <v>62</v>
      </c>
      <c r="BQ154" s="187" t="s">
        <v>2297</v>
      </c>
      <c r="BR154" s="178">
        <v>3</v>
      </c>
      <c r="BS154" s="178"/>
      <c r="BT154" s="178"/>
      <c r="BU154" s="178"/>
      <c r="BV154" s="178"/>
      <c r="BW154" s="178"/>
      <c r="BX154" s="178"/>
      <c r="BY154" s="178" t="s">
        <v>2298</v>
      </c>
      <c r="BZ154" s="178" t="s">
        <v>163</v>
      </c>
      <c r="CA154" s="178"/>
      <c r="CB154" s="184"/>
      <c r="CC154" s="184"/>
      <c r="CD154" s="178"/>
      <c r="CE154" s="178" t="s">
        <v>163</v>
      </c>
      <c r="CF154" s="178"/>
      <c r="CG154" s="178"/>
      <c r="CH154" s="377">
        <v>0</v>
      </c>
      <c r="CI154" s="178"/>
      <c r="CJ154" s="178"/>
      <c r="CK154" s="178" t="s">
        <v>2203</v>
      </c>
      <c r="CL154"/>
    </row>
    <row r="155" spans="1:90" s="53" customFormat="1" ht="24.95" hidden="1" customHeight="1">
      <c r="A155" s="178">
        <v>159</v>
      </c>
      <c r="B155" s="178" t="s">
        <v>2299</v>
      </c>
      <c r="C155" s="178" t="s">
        <v>2300</v>
      </c>
      <c r="D155" s="178" t="s">
        <v>2301</v>
      </c>
      <c r="E155" s="178" t="s">
        <v>2302</v>
      </c>
      <c r="F155" s="178" t="s">
        <v>25</v>
      </c>
      <c r="G155" s="178">
        <v>7</v>
      </c>
      <c r="H155" s="178" t="s">
        <v>54</v>
      </c>
      <c r="I155" s="178" t="s">
        <v>33</v>
      </c>
      <c r="J155" s="178" t="s">
        <v>2303</v>
      </c>
      <c r="K155" s="178" t="s">
        <v>2304</v>
      </c>
      <c r="L155" s="178" t="s">
        <v>33</v>
      </c>
      <c r="M155" s="178" t="s">
        <v>150</v>
      </c>
      <c r="N155" s="178"/>
      <c r="O155" s="178" t="s">
        <v>151</v>
      </c>
      <c r="P155" s="178" t="s">
        <v>151</v>
      </c>
      <c r="Q155" s="178" t="s">
        <v>151</v>
      </c>
      <c r="R155" s="178" t="s">
        <v>2305</v>
      </c>
      <c r="S155" s="178" t="s">
        <v>2306</v>
      </c>
      <c r="T155" s="352" t="s">
        <v>2307</v>
      </c>
      <c r="U155" s="179" t="s">
        <v>2308</v>
      </c>
      <c r="V155" s="179">
        <v>29035</v>
      </c>
      <c r="W155" s="187" t="s">
        <v>2309</v>
      </c>
      <c r="X155" s="187" t="s">
        <v>179</v>
      </c>
      <c r="Y155" s="187" t="s">
        <v>163</v>
      </c>
      <c r="Z155" s="187"/>
      <c r="AA155" s="178">
        <v>32.5</v>
      </c>
      <c r="AB155" s="179">
        <v>42828</v>
      </c>
      <c r="AC155" s="288">
        <v>42795</v>
      </c>
      <c r="AD155" s="179"/>
      <c r="AE155" s="179" t="s">
        <v>2310</v>
      </c>
      <c r="AF155" s="179"/>
      <c r="AG155" s="179"/>
      <c r="AH155" s="178">
        <f t="shared" si="33"/>
        <v>1</v>
      </c>
      <c r="AI155" s="179" t="s">
        <v>161</v>
      </c>
      <c r="AJ155" s="179"/>
      <c r="AK155" s="179"/>
      <c r="AL155" s="179" t="s">
        <v>150</v>
      </c>
      <c r="AM155" s="179"/>
      <c r="AN155" s="179"/>
      <c r="AO155" s="179" t="s">
        <v>164</v>
      </c>
      <c r="AP155" s="178" t="s">
        <v>2311</v>
      </c>
      <c r="AQ155" s="179" t="s">
        <v>943</v>
      </c>
      <c r="AR155" s="179" t="s">
        <v>150</v>
      </c>
      <c r="AS155" s="179"/>
      <c r="AT155" s="420" t="s">
        <v>328</v>
      </c>
      <c r="AU155" s="178" t="s">
        <v>2312</v>
      </c>
      <c r="AV155" s="179"/>
      <c r="AW155" s="180">
        <v>42793</v>
      </c>
      <c r="AX155" s="180">
        <v>43045</v>
      </c>
      <c r="AY155" s="180" t="s">
        <v>150</v>
      </c>
      <c r="AZ155" s="180"/>
      <c r="BA155" s="180">
        <v>43175</v>
      </c>
      <c r="BB155" s="180"/>
      <c r="BC155" s="180"/>
      <c r="BD155" s="180"/>
      <c r="BE155" s="181" t="s">
        <v>2313</v>
      </c>
      <c r="BF155" s="180">
        <v>43675</v>
      </c>
      <c r="BG155" s="180" t="s">
        <v>150</v>
      </c>
      <c r="BH155" s="180">
        <v>43891</v>
      </c>
      <c r="BI155" s="180" t="s">
        <v>150</v>
      </c>
      <c r="BJ155" s="179"/>
      <c r="BK155" s="179"/>
      <c r="BL155" s="179"/>
      <c r="BM155" s="182">
        <v>44460</v>
      </c>
      <c r="BN155" s="178" t="s">
        <v>16</v>
      </c>
      <c r="BO155" s="178">
        <f t="shared" si="41"/>
        <v>55</v>
      </c>
      <c r="BP155" s="263">
        <f t="shared" si="42"/>
        <v>47</v>
      </c>
      <c r="BQ155" s="178"/>
      <c r="BR155" s="178">
        <v>12</v>
      </c>
      <c r="BS155" s="178">
        <v>14</v>
      </c>
      <c r="BT155" s="178">
        <v>8</v>
      </c>
      <c r="BU155" s="178"/>
      <c r="BV155" s="178"/>
      <c r="BW155" s="178"/>
      <c r="BX155" s="178"/>
      <c r="BY155" s="178" t="s">
        <v>163</v>
      </c>
      <c r="BZ155" s="178" t="s">
        <v>163</v>
      </c>
      <c r="CA155" s="178"/>
      <c r="CB155" s="184">
        <v>44077</v>
      </c>
      <c r="CC155" s="184">
        <v>44287</v>
      </c>
      <c r="CD155" s="178">
        <v>7</v>
      </c>
      <c r="CE155" s="178" t="s">
        <v>163</v>
      </c>
      <c r="CF155" s="178"/>
      <c r="CG155" s="178"/>
      <c r="CH155" s="377">
        <v>4</v>
      </c>
      <c r="CI155" s="178">
        <v>4</v>
      </c>
      <c r="CJ155" s="178"/>
      <c r="CK155" s="178" t="s">
        <v>1806</v>
      </c>
      <c r="CL155"/>
    </row>
    <row r="156" spans="1:90" s="53" customFormat="1" ht="24.95" hidden="1" customHeight="1">
      <c r="A156" s="178">
        <v>160</v>
      </c>
      <c r="B156" s="178" t="s">
        <v>2314</v>
      </c>
      <c r="C156" s="178" t="s">
        <v>2315</v>
      </c>
      <c r="D156" s="178" t="s">
        <v>2316</v>
      </c>
      <c r="E156" s="178" t="s">
        <v>2317</v>
      </c>
      <c r="F156" s="178" t="s">
        <v>25</v>
      </c>
      <c r="G156" s="178">
        <v>7</v>
      </c>
      <c r="H156" s="178" t="s">
        <v>54</v>
      </c>
      <c r="I156" s="178" t="s">
        <v>41</v>
      </c>
      <c r="J156" s="178" t="s">
        <v>439</v>
      </c>
      <c r="K156" s="178" t="s">
        <v>439</v>
      </c>
      <c r="L156" s="178" t="s">
        <v>41</v>
      </c>
      <c r="M156" s="178" t="s">
        <v>150</v>
      </c>
      <c r="N156" s="178" t="s">
        <v>2318</v>
      </c>
      <c r="O156" s="178" t="s">
        <v>151</v>
      </c>
      <c r="P156" s="178" t="s">
        <v>151</v>
      </c>
      <c r="Q156" s="178" t="s">
        <v>151</v>
      </c>
      <c r="R156" s="178" t="s">
        <v>2319</v>
      </c>
      <c r="S156" s="178" t="s">
        <v>2320</v>
      </c>
      <c r="T156" s="352" t="s">
        <v>2321</v>
      </c>
      <c r="U156" s="179" t="s">
        <v>2322</v>
      </c>
      <c r="V156" s="179">
        <v>29757</v>
      </c>
      <c r="W156" s="187" t="s">
        <v>2323</v>
      </c>
      <c r="X156" s="187" t="s">
        <v>179</v>
      </c>
      <c r="Y156" s="187" t="s">
        <v>163</v>
      </c>
      <c r="Z156" s="187"/>
      <c r="AA156" s="178"/>
      <c r="AB156" s="179">
        <v>42683</v>
      </c>
      <c r="AC156" s="288">
        <v>42795</v>
      </c>
      <c r="AD156" s="179"/>
      <c r="AE156" s="179" t="s">
        <v>2324</v>
      </c>
      <c r="AF156" s="179" t="s">
        <v>2325</v>
      </c>
      <c r="AG156" s="179"/>
      <c r="AH156" s="178">
        <f t="shared" si="33"/>
        <v>2</v>
      </c>
      <c r="AI156" s="179" t="s">
        <v>161</v>
      </c>
      <c r="AJ156" s="179"/>
      <c r="AK156" s="179"/>
      <c r="AL156" s="179" t="s">
        <v>150</v>
      </c>
      <c r="AM156" s="179"/>
      <c r="AN156" s="179"/>
      <c r="AO156" s="179" t="s">
        <v>164</v>
      </c>
      <c r="AP156" s="178" t="s">
        <v>249</v>
      </c>
      <c r="AQ156" s="179" t="s">
        <v>250</v>
      </c>
      <c r="AR156" s="179" t="s">
        <v>150</v>
      </c>
      <c r="AS156" s="179"/>
      <c r="AT156" s="420" t="s">
        <v>285</v>
      </c>
      <c r="AU156" s="178" t="s">
        <v>2326</v>
      </c>
      <c r="AV156" s="179"/>
      <c r="AW156" s="180">
        <v>42793</v>
      </c>
      <c r="AX156" s="180">
        <v>43045</v>
      </c>
      <c r="AY156" s="180" t="s">
        <v>150</v>
      </c>
      <c r="AZ156" s="180">
        <v>43230</v>
      </c>
      <c r="BA156" s="180">
        <v>43234</v>
      </c>
      <c r="BB156" s="180"/>
      <c r="BC156" s="180"/>
      <c r="BD156" s="180"/>
      <c r="BE156" s="181" t="s">
        <v>2327</v>
      </c>
      <c r="BF156" s="180">
        <v>43675</v>
      </c>
      <c r="BG156" s="180" t="s">
        <v>150</v>
      </c>
      <c r="BH156" s="180">
        <v>43891</v>
      </c>
      <c r="BI156" s="180" t="s">
        <v>150</v>
      </c>
      <c r="BJ156" s="179"/>
      <c r="BK156" s="179"/>
      <c r="BL156" s="179"/>
      <c r="BM156" s="188">
        <v>43783</v>
      </c>
      <c r="BN156" s="178" t="s">
        <v>16</v>
      </c>
      <c r="BO156" s="178">
        <f t="shared" si="41"/>
        <v>33</v>
      </c>
      <c r="BP156" s="263">
        <f t="shared" si="42"/>
        <v>25</v>
      </c>
      <c r="BQ156" s="178"/>
      <c r="BR156" s="178">
        <v>0</v>
      </c>
      <c r="BS156" s="178">
        <v>0</v>
      </c>
      <c r="BT156" s="178">
        <v>2</v>
      </c>
      <c r="BU156" s="178"/>
      <c r="BV156" s="178"/>
      <c r="BW156" s="178"/>
      <c r="BX156" s="178"/>
      <c r="BY156" s="178" t="s">
        <v>2328</v>
      </c>
      <c r="BZ156" s="178" t="s">
        <v>163</v>
      </c>
      <c r="CA156" s="178"/>
      <c r="CB156" s="184"/>
      <c r="CC156" s="184"/>
      <c r="CD156" s="178"/>
      <c r="CE156" s="178" t="s">
        <v>163</v>
      </c>
      <c r="CF156" s="178"/>
      <c r="CG156" s="178"/>
      <c r="CH156" s="377">
        <v>2</v>
      </c>
      <c r="CI156" s="178">
        <v>2</v>
      </c>
      <c r="CJ156" s="178"/>
      <c r="CK156" s="178" t="s">
        <v>1806</v>
      </c>
      <c r="CL156"/>
    </row>
    <row r="157" spans="1:90" ht="24.95" hidden="1" customHeight="1">
      <c r="A157" s="91">
        <v>161</v>
      </c>
      <c r="B157" s="91" t="s">
        <v>2329</v>
      </c>
      <c r="C157" s="91" t="s">
        <v>2330</v>
      </c>
      <c r="D157" s="91" t="s">
        <v>2331</v>
      </c>
      <c r="E157" s="91" t="s">
        <v>2332</v>
      </c>
      <c r="F157" s="91" t="s">
        <v>24</v>
      </c>
      <c r="G157" s="91">
        <v>7</v>
      </c>
      <c r="H157" s="91" t="s">
        <v>52</v>
      </c>
      <c r="I157" s="91" t="s">
        <v>40</v>
      </c>
      <c r="J157" s="91" t="s">
        <v>2333</v>
      </c>
      <c r="K157" s="91" t="s">
        <v>2334</v>
      </c>
      <c r="L157" s="91" t="s">
        <v>46</v>
      </c>
      <c r="M157" s="91" t="s">
        <v>163</v>
      </c>
      <c r="N157" s="91"/>
      <c r="O157" s="91" t="s">
        <v>151</v>
      </c>
      <c r="P157" s="91" t="s">
        <v>151</v>
      </c>
      <c r="Q157" s="91"/>
      <c r="R157" s="194" t="s">
        <v>2335</v>
      </c>
      <c r="S157" s="194" t="s">
        <v>2336</v>
      </c>
      <c r="T157" s="341" t="s">
        <v>2337</v>
      </c>
      <c r="U157" s="92"/>
      <c r="V157" s="92">
        <v>29668</v>
      </c>
      <c r="W157" s="164" t="s">
        <v>2338</v>
      </c>
      <c r="X157" s="164"/>
      <c r="Y157" s="164"/>
      <c r="Z157" s="164"/>
      <c r="AA157" s="91"/>
      <c r="AB157" s="92">
        <v>42855</v>
      </c>
      <c r="AC157" s="281">
        <v>42795</v>
      </c>
      <c r="AD157" s="92">
        <v>43930</v>
      </c>
      <c r="AE157" s="92" t="s">
        <v>2339</v>
      </c>
      <c r="AF157" s="92" t="s">
        <v>2340</v>
      </c>
      <c r="AG157" s="92"/>
      <c r="AH157" s="91">
        <f t="shared" si="33"/>
        <v>2</v>
      </c>
      <c r="AI157" s="92" t="s">
        <v>162</v>
      </c>
      <c r="AJ157" s="92"/>
      <c r="AK157" s="92"/>
      <c r="AL157" s="92" t="s">
        <v>150</v>
      </c>
      <c r="AM157" s="92"/>
      <c r="AN157" s="92"/>
      <c r="AO157" s="92" t="s">
        <v>959</v>
      </c>
      <c r="AP157" s="91"/>
      <c r="AQ157" s="92"/>
      <c r="AR157" s="92"/>
      <c r="AS157" s="92"/>
      <c r="AT157" s="400" t="s">
        <v>193</v>
      </c>
      <c r="AU157" s="91" t="s">
        <v>2341</v>
      </c>
      <c r="AV157" s="92"/>
      <c r="AW157" s="93">
        <v>42793</v>
      </c>
      <c r="AX157" s="93">
        <v>43045</v>
      </c>
      <c r="AY157" s="93" t="s">
        <v>150</v>
      </c>
      <c r="AZ157" s="93"/>
      <c r="BA157" s="93"/>
      <c r="BB157" s="93"/>
      <c r="BC157" s="93"/>
      <c r="BD157" s="93"/>
      <c r="BE157" s="94"/>
      <c r="BF157" s="114" t="s">
        <v>722</v>
      </c>
      <c r="BG157" s="93" t="s">
        <v>163</v>
      </c>
      <c r="BH157" s="93" t="s">
        <v>722</v>
      </c>
      <c r="BI157" s="93" t="s">
        <v>163</v>
      </c>
      <c r="BJ157" s="92"/>
      <c r="BK157" s="92"/>
      <c r="BL157" s="92"/>
      <c r="BM157" s="95"/>
      <c r="BN157" s="193" t="s">
        <v>18</v>
      </c>
      <c r="BO157" s="218" t="s">
        <v>18</v>
      </c>
      <c r="BP157" s="218"/>
      <c r="BQ157" s="91"/>
      <c r="BR157" s="91"/>
      <c r="BS157" s="91"/>
      <c r="BT157" s="91"/>
      <c r="BU157" s="91"/>
      <c r="BV157" s="91"/>
      <c r="BW157" s="91"/>
      <c r="BX157" s="91"/>
      <c r="BY157" s="91" t="s">
        <v>163</v>
      </c>
      <c r="BZ157" s="91"/>
      <c r="CA157" s="91"/>
      <c r="CB157" s="95"/>
      <c r="CC157" s="95"/>
      <c r="CD157" s="91"/>
      <c r="CE157" s="91"/>
      <c r="CF157" s="91"/>
      <c r="CG157" s="91"/>
      <c r="CH157" s="113"/>
      <c r="CI157" s="91"/>
      <c r="CJ157" s="91"/>
      <c r="CK157" s="91" t="s">
        <v>809</v>
      </c>
    </row>
    <row r="158" spans="1:90" s="53" customFormat="1" ht="24.95" hidden="1" customHeight="1">
      <c r="A158" s="178">
        <v>162</v>
      </c>
      <c r="B158" s="178" t="s">
        <v>2342</v>
      </c>
      <c r="C158" s="178" t="s">
        <v>919</v>
      </c>
      <c r="D158" s="178" t="s">
        <v>2343</v>
      </c>
      <c r="E158" s="178" t="s">
        <v>2344</v>
      </c>
      <c r="F158" s="178" t="s">
        <v>25</v>
      </c>
      <c r="G158" s="178">
        <v>7</v>
      </c>
      <c r="H158" s="178" t="s">
        <v>58</v>
      </c>
      <c r="I158" s="178" t="s">
        <v>46</v>
      </c>
      <c r="J158" s="178" t="s">
        <v>922</v>
      </c>
      <c r="K158" s="178" t="s">
        <v>602</v>
      </c>
      <c r="L158" s="178" t="s">
        <v>46</v>
      </c>
      <c r="M158" s="178" t="s">
        <v>163</v>
      </c>
      <c r="N158" s="178">
        <v>1512734</v>
      </c>
      <c r="O158" s="178" t="s">
        <v>151</v>
      </c>
      <c r="P158" s="178" t="s">
        <v>151</v>
      </c>
      <c r="Q158" s="178"/>
      <c r="R158" s="178" t="s">
        <v>2345</v>
      </c>
      <c r="S158" s="178" t="s">
        <v>2346</v>
      </c>
      <c r="T158" s="352" t="s">
        <v>2347</v>
      </c>
      <c r="U158" s="179"/>
      <c r="V158" s="179">
        <v>28059</v>
      </c>
      <c r="W158" s="187" t="s">
        <v>2348</v>
      </c>
      <c r="X158" s="187" t="s">
        <v>179</v>
      </c>
      <c r="Y158" s="187"/>
      <c r="Z158" s="187"/>
      <c r="AA158" s="178">
        <v>5</v>
      </c>
      <c r="AB158" s="179">
        <v>42443</v>
      </c>
      <c r="AC158" s="288">
        <v>42795</v>
      </c>
      <c r="AD158" s="179"/>
      <c r="AE158" s="179" t="s">
        <v>2349</v>
      </c>
      <c r="AF158" s="179"/>
      <c r="AG158" s="179"/>
      <c r="AH158" s="178">
        <f t="shared" ref="AH158:AH189" si="43">COUNTA(AE158:AG158)</f>
        <v>1</v>
      </c>
      <c r="AI158" s="179" t="s">
        <v>161</v>
      </c>
      <c r="AJ158" s="179"/>
      <c r="AK158" s="179"/>
      <c r="AL158" s="179" t="s">
        <v>163</v>
      </c>
      <c r="AM158" s="179"/>
      <c r="AN158" s="179"/>
      <c r="AO158" s="179" t="s">
        <v>182</v>
      </c>
      <c r="AP158" s="178" t="s">
        <v>875</v>
      </c>
      <c r="AQ158" s="179" t="s">
        <v>2350</v>
      </c>
      <c r="AR158" s="179" t="s">
        <v>150</v>
      </c>
      <c r="AS158" s="179"/>
      <c r="AT158" s="420" t="s">
        <v>372</v>
      </c>
      <c r="AU158" s="178" t="s">
        <v>2351</v>
      </c>
      <c r="AV158" s="179"/>
      <c r="AW158" s="180">
        <v>42793</v>
      </c>
      <c r="AX158" s="180">
        <v>43045</v>
      </c>
      <c r="AY158" s="180" t="s">
        <v>150</v>
      </c>
      <c r="AZ158" s="180">
        <v>42599</v>
      </c>
      <c r="BA158" s="180">
        <v>43320</v>
      </c>
      <c r="BB158" s="180">
        <v>42916</v>
      </c>
      <c r="BC158" s="180"/>
      <c r="BD158" s="180"/>
      <c r="BE158" s="181" t="s">
        <v>2352</v>
      </c>
      <c r="BF158" s="180">
        <v>43675</v>
      </c>
      <c r="BG158" s="180" t="s">
        <v>150</v>
      </c>
      <c r="BH158" s="180">
        <v>44410</v>
      </c>
      <c r="BI158" s="179" t="s">
        <v>163</v>
      </c>
      <c r="BJ158" s="179"/>
      <c r="BK158" s="179"/>
      <c r="BL158" s="179"/>
      <c r="BM158" s="182">
        <v>44995</v>
      </c>
      <c r="BN158" s="178" t="s">
        <v>16</v>
      </c>
      <c r="BO158" s="179"/>
      <c r="BP158" s="178">
        <f t="shared" ref="BP158:BP161" si="44">DATEDIF(AX158,BM158, "M")+1</f>
        <v>65</v>
      </c>
      <c r="BQ158" s="187" t="s">
        <v>2352</v>
      </c>
      <c r="BR158" s="178">
        <v>10</v>
      </c>
      <c r="BS158" s="178">
        <v>8</v>
      </c>
      <c r="BT158" s="178">
        <v>0</v>
      </c>
      <c r="BU158" s="178"/>
      <c r="BV158" s="178"/>
      <c r="BW158" s="178"/>
      <c r="BX158" s="178"/>
      <c r="BY158" s="178" t="s">
        <v>2353</v>
      </c>
      <c r="BZ158" s="178"/>
      <c r="CA158" s="178"/>
      <c r="CB158" s="184"/>
      <c r="CC158" s="184"/>
      <c r="CD158" s="178"/>
      <c r="CE158" s="178"/>
      <c r="CF158" s="178"/>
      <c r="CG158" s="178"/>
      <c r="CH158" s="377">
        <v>3</v>
      </c>
      <c r="CI158" s="178"/>
      <c r="CJ158" s="178"/>
      <c r="CK158" s="178" t="s">
        <v>809</v>
      </c>
      <c r="CL158"/>
    </row>
    <row r="159" spans="1:90" s="53" customFormat="1" ht="24.95" hidden="1" customHeight="1">
      <c r="A159" s="178">
        <v>163</v>
      </c>
      <c r="B159" s="178" t="s">
        <v>2354</v>
      </c>
      <c r="C159" s="178" t="s">
        <v>2355</v>
      </c>
      <c r="D159" s="178" t="s">
        <v>2356</v>
      </c>
      <c r="E159" s="178" t="s">
        <v>1776</v>
      </c>
      <c r="F159" s="178" t="s">
        <v>25</v>
      </c>
      <c r="G159" s="178">
        <v>7</v>
      </c>
      <c r="H159" s="178" t="s">
        <v>52</v>
      </c>
      <c r="I159" s="178" t="s">
        <v>44</v>
      </c>
      <c r="J159" s="178" t="s">
        <v>2357</v>
      </c>
      <c r="K159" s="178" t="s">
        <v>2358</v>
      </c>
      <c r="L159" s="178" t="s">
        <v>46</v>
      </c>
      <c r="M159" s="178" t="s">
        <v>163</v>
      </c>
      <c r="N159" s="178">
        <v>2012904</v>
      </c>
      <c r="O159" s="178" t="s">
        <v>151</v>
      </c>
      <c r="P159" s="178" t="s">
        <v>151</v>
      </c>
      <c r="Q159" s="178"/>
      <c r="R159" s="178" t="s">
        <v>2359</v>
      </c>
      <c r="S159" s="178" t="s">
        <v>2360</v>
      </c>
      <c r="T159" s="351" t="s">
        <v>2361</v>
      </c>
      <c r="U159" s="179"/>
      <c r="V159" s="179">
        <v>29169</v>
      </c>
      <c r="W159" s="187" t="s">
        <v>2362</v>
      </c>
      <c r="X159" s="187" t="s">
        <v>2363</v>
      </c>
      <c r="Y159" s="187"/>
      <c r="Z159" s="187"/>
      <c r="AA159" s="178">
        <v>23</v>
      </c>
      <c r="AB159" s="179">
        <v>42916</v>
      </c>
      <c r="AC159" s="288">
        <v>42795</v>
      </c>
      <c r="AD159" s="179"/>
      <c r="AE159" s="179" t="s">
        <v>2364</v>
      </c>
      <c r="AF159" s="179"/>
      <c r="AG159" s="179"/>
      <c r="AH159" s="178">
        <f t="shared" si="43"/>
        <v>1</v>
      </c>
      <c r="AI159" s="179" t="s">
        <v>161</v>
      </c>
      <c r="AJ159" s="179"/>
      <c r="AK159" s="179"/>
      <c r="AL159" s="179" t="s">
        <v>150</v>
      </c>
      <c r="AM159" s="179"/>
      <c r="AN159" s="179"/>
      <c r="AO159" s="179" t="s">
        <v>182</v>
      </c>
      <c r="AP159" s="178" t="s">
        <v>1819</v>
      </c>
      <c r="AQ159" s="179" t="s">
        <v>203</v>
      </c>
      <c r="AR159" s="179" t="s">
        <v>150</v>
      </c>
      <c r="AS159" s="179"/>
      <c r="AT159" s="420" t="s">
        <v>420</v>
      </c>
      <c r="AU159" s="178" t="s">
        <v>1788</v>
      </c>
      <c r="AV159" s="179"/>
      <c r="AW159" s="180">
        <v>42793</v>
      </c>
      <c r="AX159" s="180">
        <v>43045</v>
      </c>
      <c r="AY159" s="180" t="s">
        <v>150</v>
      </c>
      <c r="AZ159" s="180">
        <v>43341</v>
      </c>
      <c r="BA159" s="180">
        <v>43579</v>
      </c>
      <c r="BB159" s="180"/>
      <c r="BC159" s="180"/>
      <c r="BD159" s="180"/>
      <c r="BE159" s="181" t="s">
        <v>2365</v>
      </c>
      <c r="BF159" s="180">
        <v>44207</v>
      </c>
      <c r="BG159" s="179" t="s">
        <v>163</v>
      </c>
      <c r="BH159" s="180">
        <v>44410</v>
      </c>
      <c r="BI159" s="179" t="s">
        <v>163</v>
      </c>
      <c r="BJ159" s="179"/>
      <c r="BK159" s="179"/>
      <c r="BL159" s="179"/>
      <c r="BM159" s="182">
        <v>45195</v>
      </c>
      <c r="BN159" s="183" t="s">
        <v>16</v>
      </c>
      <c r="BO159" s="178">
        <f t="shared" ref="BO159:BO161" si="45">DATEDIF(AW159,BM159, "M")+1</f>
        <v>79</v>
      </c>
      <c r="BP159" s="178">
        <f t="shared" si="44"/>
        <v>71</v>
      </c>
      <c r="BQ159" s="187" t="s">
        <v>2366</v>
      </c>
      <c r="BR159" s="178"/>
      <c r="BS159" s="178"/>
      <c r="BT159" s="178"/>
      <c r="BU159" s="178"/>
      <c r="BV159" s="178"/>
      <c r="BW159" s="178"/>
      <c r="BX159" s="178"/>
      <c r="BY159" s="178" t="s">
        <v>2298</v>
      </c>
      <c r="BZ159" s="178"/>
      <c r="CA159" s="178"/>
      <c r="CB159" s="184"/>
      <c r="CC159" s="184"/>
      <c r="CD159" s="178"/>
      <c r="CE159" s="178"/>
      <c r="CF159" s="178"/>
      <c r="CG159" s="178"/>
      <c r="CH159" s="377">
        <v>1</v>
      </c>
      <c r="CI159" s="178"/>
      <c r="CJ159" s="178"/>
      <c r="CK159" s="178" t="s">
        <v>1298</v>
      </c>
      <c r="CL159"/>
    </row>
    <row r="160" spans="1:90" s="53" customFormat="1" ht="24.95" hidden="1" customHeight="1">
      <c r="A160" s="178">
        <v>164</v>
      </c>
      <c r="B160" s="178" t="s">
        <v>2367</v>
      </c>
      <c r="C160" s="178" t="s">
        <v>2368</v>
      </c>
      <c r="D160" s="178" t="s">
        <v>557</v>
      </c>
      <c r="E160" s="178" t="s">
        <v>2369</v>
      </c>
      <c r="F160" s="178" t="s">
        <v>25</v>
      </c>
      <c r="G160" s="178">
        <v>7</v>
      </c>
      <c r="H160" s="178" t="s">
        <v>59</v>
      </c>
      <c r="I160" s="178" t="s">
        <v>42</v>
      </c>
      <c r="J160" s="178" t="s">
        <v>602</v>
      </c>
      <c r="K160" s="178" t="s">
        <v>602</v>
      </c>
      <c r="L160" s="178" t="s">
        <v>46</v>
      </c>
      <c r="M160" s="178" t="s">
        <v>163</v>
      </c>
      <c r="N160" s="178" t="s">
        <v>2370</v>
      </c>
      <c r="O160" s="178" t="s">
        <v>322</v>
      </c>
      <c r="P160" s="178" t="s">
        <v>322</v>
      </c>
      <c r="Q160" s="178" t="s">
        <v>322</v>
      </c>
      <c r="R160" s="178" t="s">
        <v>2371</v>
      </c>
      <c r="S160" s="384" t="s">
        <v>2372</v>
      </c>
      <c r="T160" s="352" t="s">
        <v>2373</v>
      </c>
      <c r="U160" s="179"/>
      <c r="V160" s="179">
        <v>29181</v>
      </c>
      <c r="W160" s="187" t="s">
        <v>2374</v>
      </c>
      <c r="X160" s="187" t="s">
        <v>156</v>
      </c>
      <c r="Y160" s="187"/>
      <c r="Z160" s="187"/>
      <c r="AA160" s="178"/>
      <c r="AB160" s="179">
        <v>42825</v>
      </c>
      <c r="AC160" s="288">
        <v>42795</v>
      </c>
      <c r="AD160" s="179"/>
      <c r="AE160" s="179" t="s">
        <v>2375</v>
      </c>
      <c r="AF160" s="179"/>
      <c r="AG160" s="179"/>
      <c r="AH160" s="178">
        <f t="shared" si="43"/>
        <v>1</v>
      </c>
      <c r="AI160" s="179" t="s">
        <v>162</v>
      </c>
      <c r="AJ160" s="179"/>
      <c r="AK160" s="179"/>
      <c r="AL160" s="179" t="s">
        <v>163</v>
      </c>
      <c r="AM160" s="179"/>
      <c r="AN160" s="179"/>
      <c r="AO160" s="179" t="s">
        <v>182</v>
      </c>
      <c r="AP160" s="178"/>
      <c r="AQ160" s="179" t="s">
        <v>2376</v>
      </c>
      <c r="AR160" s="179" t="s">
        <v>150</v>
      </c>
      <c r="AS160" s="179"/>
      <c r="AT160" s="420" t="s">
        <v>1250</v>
      </c>
      <c r="AU160" s="178" t="s">
        <v>2377</v>
      </c>
      <c r="AV160" s="179"/>
      <c r="AW160" s="180">
        <v>42793</v>
      </c>
      <c r="AX160" s="180">
        <v>43045</v>
      </c>
      <c r="AY160" s="180" t="s">
        <v>150</v>
      </c>
      <c r="AZ160" s="180">
        <v>43263</v>
      </c>
      <c r="BA160" s="180">
        <v>43280</v>
      </c>
      <c r="BB160" s="180"/>
      <c r="BC160" s="180"/>
      <c r="BD160" s="180"/>
      <c r="BE160" s="181" t="s">
        <v>2378</v>
      </c>
      <c r="BF160" s="180">
        <v>43675</v>
      </c>
      <c r="BG160" s="179" t="s">
        <v>150</v>
      </c>
      <c r="BH160" s="180">
        <v>43891</v>
      </c>
      <c r="BI160" s="179" t="s">
        <v>150</v>
      </c>
      <c r="BJ160" s="179">
        <v>44392</v>
      </c>
      <c r="BK160" s="179"/>
      <c r="BL160" s="179"/>
      <c r="BM160" s="182">
        <v>44469</v>
      </c>
      <c r="BN160" s="178" t="s">
        <v>16</v>
      </c>
      <c r="BO160" s="178">
        <f t="shared" si="45"/>
        <v>56</v>
      </c>
      <c r="BP160" s="178">
        <f t="shared" si="44"/>
        <v>47</v>
      </c>
      <c r="BQ160" s="181" t="s">
        <v>2378</v>
      </c>
      <c r="BR160" s="178">
        <v>1</v>
      </c>
      <c r="BS160" s="178">
        <v>23</v>
      </c>
      <c r="BT160" s="178">
        <v>8</v>
      </c>
      <c r="BU160" s="178"/>
      <c r="BV160" s="178"/>
      <c r="BW160" s="178"/>
      <c r="BX160" s="178"/>
      <c r="BY160" s="178" t="s">
        <v>163</v>
      </c>
      <c r="BZ160" s="178"/>
      <c r="CA160" s="178"/>
      <c r="CB160" s="184"/>
      <c r="CC160" s="184"/>
      <c r="CD160" s="178"/>
      <c r="CE160" s="178"/>
      <c r="CF160" s="178"/>
      <c r="CG160" s="178"/>
      <c r="CH160" s="377">
        <v>4</v>
      </c>
      <c r="CI160" s="178">
        <v>4</v>
      </c>
      <c r="CJ160" s="178"/>
      <c r="CK160" s="178" t="s">
        <v>809</v>
      </c>
      <c r="CL160"/>
    </row>
    <row r="161" spans="1:90" s="53" customFormat="1" ht="24.95" hidden="1" customHeight="1">
      <c r="A161" s="178">
        <v>165</v>
      </c>
      <c r="B161" s="178" t="s">
        <v>2379</v>
      </c>
      <c r="C161" s="178" t="s">
        <v>2380</v>
      </c>
      <c r="D161" s="178" t="s">
        <v>2381</v>
      </c>
      <c r="E161" s="178" t="s">
        <v>2382</v>
      </c>
      <c r="F161" s="178" t="s">
        <v>25</v>
      </c>
      <c r="G161" s="178">
        <v>7</v>
      </c>
      <c r="H161" s="178" t="s">
        <v>53</v>
      </c>
      <c r="I161" s="178" t="s">
        <v>47</v>
      </c>
      <c r="J161" s="178" t="s">
        <v>1099</v>
      </c>
      <c r="K161" s="178" t="s">
        <v>2383</v>
      </c>
      <c r="L161" s="178" t="s">
        <v>46</v>
      </c>
      <c r="M161" s="178" t="s">
        <v>163</v>
      </c>
      <c r="N161" s="178">
        <v>2083454</v>
      </c>
      <c r="O161" s="178" t="s">
        <v>151</v>
      </c>
      <c r="P161" s="178" t="s">
        <v>151</v>
      </c>
      <c r="Q161" s="178" t="s">
        <v>151</v>
      </c>
      <c r="R161" s="178" t="s">
        <v>2384</v>
      </c>
      <c r="S161" s="178" t="s">
        <v>2385</v>
      </c>
      <c r="T161" s="351" t="s">
        <v>2386</v>
      </c>
      <c r="U161" s="179" t="s">
        <v>2387</v>
      </c>
      <c r="V161" s="179">
        <v>27456</v>
      </c>
      <c r="W161" s="187" t="s">
        <v>2388</v>
      </c>
      <c r="X161" s="187" t="s">
        <v>2363</v>
      </c>
      <c r="Y161" s="187" t="s">
        <v>157</v>
      </c>
      <c r="Z161" s="187"/>
      <c r="AA161" s="178">
        <v>19.5</v>
      </c>
      <c r="AB161" s="179">
        <v>42816</v>
      </c>
      <c r="AC161" s="288">
        <v>42795</v>
      </c>
      <c r="AD161" s="179"/>
      <c r="AE161" s="179" t="s">
        <v>1690</v>
      </c>
      <c r="AF161" s="179" t="s">
        <v>2389</v>
      </c>
      <c r="AG161" s="179"/>
      <c r="AH161" s="178">
        <f t="shared" si="43"/>
        <v>2</v>
      </c>
      <c r="AI161" s="179" t="s">
        <v>162</v>
      </c>
      <c r="AJ161" s="179"/>
      <c r="AK161" s="179"/>
      <c r="AL161" s="179" t="s">
        <v>150</v>
      </c>
      <c r="AM161" s="179"/>
      <c r="AN161" s="179"/>
      <c r="AO161" s="179" t="s">
        <v>164</v>
      </c>
      <c r="AP161" s="178" t="s">
        <v>2390</v>
      </c>
      <c r="AQ161" s="179" t="s">
        <v>2391</v>
      </c>
      <c r="AR161" s="179" t="s">
        <v>150</v>
      </c>
      <c r="AS161" s="179" t="s">
        <v>2392</v>
      </c>
      <c r="AT161" s="420" t="s">
        <v>298</v>
      </c>
      <c r="AU161" s="178" t="s">
        <v>2393</v>
      </c>
      <c r="AV161" s="179"/>
      <c r="AW161" s="180">
        <v>42793</v>
      </c>
      <c r="AX161" s="180">
        <v>43045</v>
      </c>
      <c r="AY161" s="180" t="s">
        <v>150</v>
      </c>
      <c r="AZ161" s="180">
        <v>43593</v>
      </c>
      <c r="BA161" s="180">
        <v>43648</v>
      </c>
      <c r="BB161" s="180"/>
      <c r="BC161" s="180"/>
      <c r="BD161" s="180"/>
      <c r="BE161" s="181" t="s">
        <v>2394</v>
      </c>
      <c r="BF161" s="180">
        <v>44207</v>
      </c>
      <c r="BG161" s="179" t="s">
        <v>163</v>
      </c>
      <c r="BH161" s="180">
        <v>44410</v>
      </c>
      <c r="BI161" s="179" t="s">
        <v>163</v>
      </c>
      <c r="BJ161" s="179"/>
      <c r="BK161" s="179"/>
      <c r="BL161" s="179"/>
      <c r="BM161" s="182">
        <v>45595</v>
      </c>
      <c r="BN161" s="178" t="s">
        <v>16</v>
      </c>
      <c r="BO161" s="178">
        <f t="shared" si="45"/>
        <v>93</v>
      </c>
      <c r="BP161" s="178">
        <f t="shared" si="44"/>
        <v>84</v>
      </c>
      <c r="BQ161" s="181" t="s">
        <v>2395</v>
      </c>
      <c r="BR161" s="178">
        <v>0</v>
      </c>
      <c r="BS161" s="178">
        <v>13</v>
      </c>
      <c r="BT161" s="178">
        <v>0</v>
      </c>
      <c r="BU161" s="178"/>
      <c r="BV161" s="178"/>
      <c r="BW161" s="178"/>
      <c r="BX161" s="178"/>
      <c r="BY161" s="178" t="s">
        <v>163</v>
      </c>
      <c r="BZ161" s="178" t="s">
        <v>163</v>
      </c>
      <c r="CA161" s="178"/>
      <c r="CB161" s="184"/>
      <c r="CC161" s="184"/>
      <c r="CD161" s="178"/>
      <c r="CE161" s="178" t="s">
        <v>163</v>
      </c>
      <c r="CF161" s="178"/>
      <c r="CG161" s="178"/>
      <c r="CH161" s="377">
        <v>2</v>
      </c>
      <c r="CI161" s="178"/>
      <c r="CJ161" s="178"/>
      <c r="CK161" s="178" t="s">
        <v>809</v>
      </c>
      <c r="CL161"/>
    </row>
    <row r="162" spans="1:90" s="53" customFormat="1" ht="24.95" hidden="1" customHeight="1">
      <c r="A162" s="178">
        <v>166</v>
      </c>
      <c r="B162" s="178" t="s">
        <v>2396</v>
      </c>
      <c r="C162" s="178" t="s">
        <v>2397</v>
      </c>
      <c r="D162" s="178" t="s">
        <v>20</v>
      </c>
      <c r="E162" s="178" t="s">
        <v>2398</v>
      </c>
      <c r="F162" s="178" t="s">
        <v>25</v>
      </c>
      <c r="G162" s="178">
        <v>7</v>
      </c>
      <c r="H162" s="178" t="s">
        <v>55</v>
      </c>
      <c r="I162" s="178" t="s">
        <v>45</v>
      </c>
      <c r="J162" s="178" t="s">
        <v>1405</v>
      </c>
      <c r="K162" s="178" t="s">
        <v>1405</v>
      </c>
      <c r="L162" s="178" t="s">
        <v>46</v>
      </c>
      <c r="M162" s="178" t="s">
        <v>163</v>
      </c>
      <c r="N162" s="178">
        <v>1760159</v>
      </c>
      <c r="O162" s="178" t="s">
        <v>151</v>
      </c>
      <c r="P162" s="178" t="s">
        <v>151</v>
      </c>
      <c r="Q162" s="178" t="s">
        <v>151</v>
      </c>
      <c r="R162" s="178" t="s">
        <v>2399</v>
      </c>
      <c r="S162" s="178" t="s">
        <v>2400</v>
      </c>
      <c r="T162" s="352" t="s">
        <v>2401</v>
      </c>
      <c r="U162" s="179"/>
      <c r="V162" s="179">
        <v>29082</v>
      </c>
      <c r="W162" s="187" t="s">
        <v>2402</v>
      </c>
      <c r="X162" s="187" t="s">
        <v>156</v>
      </c>
      <c r="Y162" s="187"/>
      <c r="Z162" s="187"/>
      <c r="AA162" s="178">
        <v>15</v>
      </c>
      <c r="AB162" s="179">
        <v>42917</v>
      </c>
      <c r="AC162" s="288">
        <v>42795</v>
      </c>
      <c r="AD162" s="179"/>
      <c r="AE162" s="179" t="s">
        <v>2403</v>
      </c>
      <c r="AF162" s="179" t="s">
        <v>2404</v>
      </c>
      <c r="AG162" s="179"/>
      <c r="AH162" s="178">
        <f t="shared" si="43"/>
        <v>2</v>
      </c>
      <c r="AI162" s="179" t="s">
        <v>162</v>
      </c>
      <c r="AJ162" s="179"/>
      <c r="AK162" s="179"/>
      <c r="AL162" s="179" t="s">
        <v>150</v>
      </c>
      <c r="AM162" s="179"/>
      <c r="AN162" s="179"/>
      <c r="AO162" s="179" t="s">
        <v>164</v>
      </c>
      <c r="AP162" s="178"/>
      <c r="AQ162" s="179" t="s">
        <v>2405</v>
      </c>
      <c r="AR162" s="179" t="s">
        <v>150</v>
      </c>
      <c r="AS162" s="179"/>
      <c r="AT162" s="420" t="s">
        <v>2406</v>
      </c>
      <c r="AU162" s="178" t="s">
        <v>2407</v>
      </c>
      <c r="AV162" s="179"/>
      <c r="AW162" s="180">
        <v>42793</v>
      </c>
      <c r="AX162" s="180">
        <v>43045</v>
      </c>
      <c r="AY162" s="180" t="s">
        <v>150</v>
      </c>
      <c r="AZ162" s="180">
        <v>43146</v>
      </c>
      <c r="BA162" s="180">
        <v>43196</v>
      </c>
      <c r="BB162" s="180"/>
      <c r="BC162" s="180"/>
      <c r="BD162" s="180"/>
      <c r="BE162" s="181" t="s">
        <v>2408</v>
      </c>
      <c r="BF162" s="180">
        <v>43675</v>
      </c>
      <c r="BG162" s="180" t="s">
        <v>150</v>
      </c>
      <c r="BH162" s="180">
        <v>43891</v>
      </c>
      <c r="BI162" s="180" t="s">
        <v>150</v>
      </c>
      <c r="BJ162" s="179"/>
      <c r="BK162" s="179"/>
      <c r="BL162" s="179"/>
      <c r="BM162" s="182">
        <v>44344</v>
      </c>
      <c r="BN162" s="178" t="s">
        <v>16</v>
      </c>
      <c r="BO162" s="178">
        <f t="shared" ref="BO162" si="46">DATEDIF(AW162,BM162, "M")+1</f>
        <v>52</v>
      </c>
      <c r="BP162" s="178">
        <f t="shared" ref="BP162:BP169" si="47">DATEDIF(AX162,BM162, "M")+1</f>
        <v>43</v>
      </c>
      <c r="BQ162" s="178"/>
      <c r="BR162" s="178"/>
      <c r="BS162" s="178"/>
      <c r="BT162" s="178"/>
      <c r="BU162" s="178"/>
      <c r="BV162" s="178"/>
      <c r="BW162" s="178"/>
      <c r="BX162" s="178"/>
      <c r="BY162" s="178" t="s">
        <v>163</v>
      </c>
      <c r="BZ162" s="178"/>
      <c r="CA162" s="178"/>
      <c r="CB162" s="184">
        <v>43930</v>
      </c>
      <c r="CC162" s="184">
        <v>44035</v>
      </c>
      <c r="CD162" s="178">
        <v>4</v>
      </c>
      <c r="CE162" s="178"/>
      <c r="CF162" s="178"/>
      <c r="CG162" s="178"/>
      <c r="CH162" s="377">
        <v>3</v>
      </c>
      <c r="CI162" s="178">
        <v>3</v>
      </c>
      <c r="CJ162" s="178"/>
      <c r="CK162" s="178" t="s">
        <v>809</v>
      </c>
      <c r="CL162"/>
    </row>
    <row r="163" spans="1:90" s="53" customFormat="1" ht="24.95" hidden="1" customHeight="1">
      <c r="A163" s="178">
        <v>167</v>
      </c>
      <c r="B163" s="178" t="s">
        <v>2409</v>
      </c>
      <c r="C163" s="178" t="s">
        <v>2410</v>
      </c>
      <c r="D163" s="178" t="s">
        <v>2411</v>
      </c>
      <c r="E163" s="178" t="s">
        <v>2411</v>
      </c>
      <c r="F163" s="178" t="s">
        <v>25</v>
      </c>
      <c r="G163" s="178">
        <v>7</v>
      </c>
      <c r="H163" s="178" t="s">
        <v>55</v>
      </c>
      <c r="I163" s="178" t="s">
        <v>45</v>
      </c>
      <c r="J163" s="178" t="s">
        <v>602</v>
      </c>
      <c r="K163" s="178" t="s">
        <v>602</v>
      </c>
      <c r="L163" s="178" t="s">
        <v>46</v>
      </c>
      <c r="M163" s="178" t="s">
        <v>163</v>
      </c>
      <c r="N163" s="178">
        <v>1941393</v>
      </c>
      <c r="O163" s="178" t="s">
        <v>151</v>
      </c>
      <c r="P163" s="178" t="s">
        <v>151</v>
      </c>
      <c r="Q163" s="178" t="s">
        <v>151</v>
      </c>
      <c r="R163" s="178" t="s">
        <v>2412</v>
      </c>
      <c r="S163" s="178" t="s">
        <v>2413</v>
      </c>
      <c r="T163" s="352" t="s">
        <v>2414</v>
      </c>
      <c r="U163" s="179" t="s">
        <v>2415</v>
      </c>
      <c r="V163" s="179">
        <v>31760</v>
      </c>
      <c r="W163" s="187" t="s">
        <v>2416</v>
      </c>
      <c r="X163" s="187" t="s">
        <v>179</v>
      </c>
      <c r="Y163" s="187" t="s">
        <v>163</v>
      </c>
      <c r="Z163" s="187"/>
      <c r="AA163" s="178">
        <v>10.5</v>
      </c>
      <c r="AB163" s="179">
        <v>42826</v>
      </c>
      <c r="AC163" s="288">
        <v>42795</v>
      </c>
      <c r="AD163" s="179"/>
      <c r="AE163" s="179" t="s">
        <v>2417</v>
      </c>
      <c r="AF163" s="179"/>
      <c r="AG163" s="179"/>
      <c r="AH163" s="178">
        <f t="shared" si="43"/>
        <v>1</v>
      </c>
      <c r="AI163" s="179" t="s">
        <v>162</v>
      </c>
      <c r="AJ163" s="179"/>
      <c r="AK163" s="179"/>
      <c r="AL163" s="179" t="s">
        <v>163</v>
      </c>
      <c r="AM163" s="179"/>
      <c r="AN163" s="179"/>
      <c r="AO163" s="179" t="s">
        <v>164</v>
      </c>
      <c r="AP163" s="178" t="s">
        <v>181</v>
      </c>
      <c r="AQ163" s="179" t="s">
        <v>2418</v>
      </c>
      <c r="AR163" s="179" t="s">
        <v>150</v>
      </c>
      <c r="AS163" s="179" t="s">
        <v>2419</v>
      </c>
      <c r="AT163" s="420" t="s">
        <v>219</v>
      </c>
      <c r="AU163" s="178" t="s">
        <v>2420</v>
      </c>
      <c r="AV163" s="179"/>
      <c r="AW163" s="180">
        <v>42793</v>
      </c>
      <c r="AX163" s="180">
        <v>43045</v>
      </c>
      <c r="AY163" s="180" t="s">
        <v>150</v>
      </c>
      <c r="AZ163" s="180">
        <v>43322</v>
      </c>
      <c r="BA163" s="180">
        <v>43416</v>
      </c>
      <c r="BB163" s="180">
        <v>43445</v>
      </c>
      <c r="BC163" s="180"/>
      <c r="BD163" s="180"/>
      <c r="BE163" s="181" t="s">
        <v>2421</v>
      </c>
      <c r="BF163" s="180">
        <v>43675</v>
      </c>
      <c r="BG163" s="180" t="s">
        <v>150</v>
      </c>
      <c r="BH163" s="180">
        <v>43891</v>
      </c>
      <c r="BI163" s="180" t="s">
        <v>150</v>
      </c>
      <c r="BJ163" s="179"/>
      <c r="BK163" s="179"/>
      <c r="BL163" s="179"/>
      <c r="BM163" s="182">
        <v>44851</v>
      </c>
      <c r="BN163" s="190" t="s">
        <v>16</v>
      </c>
      <c r="BO163" s="178">
        <f t="shared" ref="BO163:BO165" si="48">DATEDIF(AW163,BM163, "M")+1</f>
        <v>68</v>
      </c>
      <c r="BP163" s="178">
        <f t="shared" si="47"/>
        <v>60</v>
      </c>
      <c r="BQ163" s="187" t="s">
        <v>2421</v>
      </c>
      <c r="BR163" s="178">
        <v>0</v>
      </c>
      <c r="BS163" s="178">
        <v>9</v>
      </c>
      <c r="BT163" s="178">
        <v>0</v>
      </c>
      <c r="BU163" s="178"/>
      <c r="BV163" s="178"/>
      <c r="BW163" s="178"/>
      <c r="BX163" s="178"/>
      <c r="BY163" s="178" t="s">
        <v>163</v>
      </c>
      <c r="BZ163" s="178" t="s">
        <v>150</v>
      </c>
      <c r="CA163" s="178" t="s">
        <v>2422</v>
      </c>
      <c r="CB163" s="184">
        <v>43160</v>
      </c>
      <c r="CC163" s="184">
        <v>44621</v>
      </c>
      <c r="CD163" s="178">
        <v>48</v>
      </c>
      <c r="CE163" s="178" t="s">
        <v>163</v>
      </c>
      <c r="CF163" s="178"/>
      <c r="CG163" s="178"/>
      <c r="CH163" s="377">
        <v>2</v>
      </c>
      <c r="CI163" s="178"/>
      <c r="CJ163" s="178"/>
      <c r="CK163" s="178" t="s">
        <v>809</v>
      </c>
      <c r="CL163"/>
    </row>
    <row r="164" spans="1:90" s="53" customFormat="1" ht="24.95" hidden="1" customHeight="1">
      <c r="A164" s="178">
        <v>168</v>
      </c>
      <c r="B164" s="178" t="s">
        <v>2423</v>
      </c>
      <c r="C164" s="178" t="s">
        <v>2424</v>
      </c>
      <c r="D164" s="178" t="s">
        <v>1726</v>
      </c>
      <c r="E164" s="178" t="s">
        <v>2425</v>
      </c>
      <c r="F164" s="178" t="s">
        <v>24</v>
      </c>
      <c r="G164" s="178">
        <v>7</v>
      </c>
      <c r="H164" s="178" t="s">
        <v>54</v>
      </c>
      <c r="I164" s="178" t="s">
        <v>41</v>
      </c>
      <c r="J164" s="178" t="s">
        <v>1885</v>
      </c>
      <c r="K164" s="178" t="s">
        <v>2426</v>
      </c>
      <c r="L164" s="178" t="s">
        <v>41</v>
      </c>
      <c r="M164" s="178" t="s">
        <v>150</v>
      </c>
      <c r="N164" s="178" t="s">
        <v>2427</v>
      </c>
      <c r="O164" s="178" t="s">
        <v>151</v>
      </c>
      <c r="P164" s="178" t="s">
        <v>151</v>
      </c>
      <c r="Q164" s="178" t="s">
        <v>151</v>
      </c>
      <c r="R164" s="178" t="s">
        <v>2428</v>
      </c>
      <c r="S164" s="178" t="s">
        <v>2429</v>
      </c>
      <c r="T164" s="352" t="s">
        <v>2430</v>
      </c>
      <c r="U164" s="179" t="s">
        <v>1885</v>
      </c>
      <c r="V164" s="179">
        <v>29059</v>
      </c>
      <c r="W164" s="187" t="s">
        <v>2431</v>
      </c>
      <c r="X164" s="187" t="s">
        <v>179</v>
      </c>
      <c r="Y164" s="187" t="s">
        <v>163</v>
      </c>
      <c r="Z164" s="187"/>
      <c r="AA164" s="178"/>
      <c r="AB164" s="179">
        <v>42683</v>
      </c>
      <c r="AC164" s="288">
        <v>42795</v>
      </c>
      <c r="AD164" s="179"/>
      <c r="AE164" s="179" t="s">
        <v>2432</v>
      </c>
      <c r="AF164" s="179"/>
      <c r="AG164" s="179"/>
      <c r="AH164" s="178">
        <f t="shared" si="43"/>
        <v>1</v>
      </c>
      <c r="AI164" s="179" t="s">
        <v>161</v>
      </c>
      <c r="AJ164" s="179"/>
      <c r="AK164" s="179"/>
      <c r="AL164" s="179" t="s">
        <v>150</v>
      </c>
      <c r="AM164" s="179"/>
      <c r="AN164" s="179"/>
      <c r="AO164" s="179" t="s">
        <v>164</v>
      </c>
      <c r="AP164" s="178"/>
      <c r="AQ164" s="179" t="s">
        <v>1424</v>
      </c>
      <c r="AR164" s="179"/>
      <c r="AS164" s="179"/>
      <c r="AT164" s="420" t="s">
        <v>285</v>
      </c>
      <c r="AU164" s="178" t="s">
        <v>2433</v>
      </c>
      <c r="AV164" s="179"/>
      <c r="AW164" s="180">
        <v>42793</v>
      </c>
      <c r="AX164" s="180">
        <v>43045</v>
      </c>
      <c r="AY164" s="180" t="s">
        <v>150</v>
      </c>
      <c r="AZ164" s="180">
        <v>42419</v>
      </c>
      <c r="BA164" s="180">
        <v>42419</v>
      </c>
      <c r="BB164" s="180"/>
      <c r="BC164" s="180"/>
      <c r="BD164" s="180"/>
      <c r="BE164" s="181" t="s">
        <v>2434</v>
      </c>
      <c r="BF164" s="180">
        <v>43675</v>
      </c>
      <c r="BG164" s="180" t="s">
        <v>150</v>
      </c>
      <c r="BH164" s="180">
        <v>43891</v>
      </c>
      <c r="BI164" s="180" t="s">
        <v>150</v>
      </c>
      <c r="BJ164" s="179"/>
      <c r="BK164" s="179"/>
      <c r="BL164" s="179"/>
      <c r="BM164" s="188">
        <v>43813</v>
      </c>
      <c r="BN164" s="178" t="s">
        <v>16</v>
      </c>
      <c r="BO164" s="178">
        <f t="shared" si="48"/>
        <v>34</v>
      </c>
      <c r="BP164" s="178">
        <f t="shared" si="47"/>
        <v>26</v>
      </c>
      <c r="BQ164" s="178"/>
      <c r="BR164" s="178">
        <v>0</v>
      </c>
      <c r="BS164" s="178">
        <v>0</v>
      </c>
      <c r="BT164" s="178">
        <v>3</v>
      </c>
      <c r="BU164" s="178"/>
      <c r="BV164" s="178"/>
      <c r="BW164" s="178"/>
      <c r="BX164" s="178"/>
      <c r="BY164" s="178" t="s">
        <v>163</v>
      </c>
      <c r="BZ164" s="178" t="s">
        <v>163</v>
      </c>
      <c r="CA164" s="178"/>
      <c r="CB164" s="184"/>
      <c r="CC164" s="184"/>
      <c r="CD164" s="178"/>
      <c r="CE164" s="178" t="s">
        <v>163</v>
      </c>
      <c r="CF164" s="178"/>
      <c r="CG164" s="178"/>
      <c r="CH164" s="377">
        <v>1</v>
      </c>
      <c r="CI164" s="178">
        <v>3</v>
      </c>
      <c r="CJ164" s="178"/>
      <c r="CK164" s="178" t="s">
        <v>809</v>
      </c>
      <c r="CL164"/>
    </row>
    <row r="165" spans="1:90" s="53" customFormat="1" ht="24.95" hidden="1" customHeight="1">
      <c r="A165" s="178">
        <v>169</v>
      </c>
      <c r="B165" s="178" t="s">
        <v>2435</v>
      </c>
      <c r="C165" s="178" t="s">
        <v>975</v>
      </c>
      <c r="D165" s="178" t="s">
        <v>2436</v>
      </c>
      <c r="E165" s="178" t="s">
        <v>2437</v>
      </c>
      <c r="F165" s="178" t="s">
        <v>25</v>
      </c>
      <c r="G165" s="178">
        <v>7</v>
      </c>
      <c r="H165" s="178" t="s">
        <v>54</v>
      </c>
      <c r="I165" s="178" t="s">
        <v>33</v>
      </c>
      <c r="J165" s="178" t="s">
        <v>2225</v>
      </c>
      <c r="K165" s="178" t="s">
        <v>1099</v>
      </c>
      <c r="L165" s="178" t="s">
        <v>33</v>
      </c>
      <c r="M165" s="178" t="s">
        <v>150</v>
      </c>
      <c r="N165" s="178" t="s">
        <v>2438</v>
      </c>
      <c r="O165" s="178" t="s">
        <v>151</v>
      </c>
      <c r="P165" s="178" t="s">
        <v>151</v>
      </c>
      <c r="Q165" s="178"/>
      <c r="R165" s="178" t="s">
        <v>2439</v>
      </c>
      <c r="S165" s="178" t="s">
        <v>2440</v>
      </c>
      <c r="T165" s="352" t="s">
        <v>2441</v>
      </c>
      <c r="U165" s="179"/>
      <c r="V165" s="179">
        <v>26417</v>
      </c>
      <c r="W165" s="187" t="s">
        <v>2442</v>
      </c>
      <c r="X165" s="187" t="s">
        <v>156</v>
      </c>
      <c r="Y165" s="187"/>
      <c r="Z165" s="187"/>
      <c r="AA165" s="178"/>
      <c r="AB165" s="179">
        <v>43038</v>
      </c>
      <c r="AC165" s="288">
        <v>42795</v>
      </c>
      <c r="AD165" s="179"/>
      <c r="AE165" s="179" t="s">
        <v>2443</v>
      </c>
      <c r="AF165" s="179"/>
      <c r="AG165" s="179"/>
      <c r="AH165" s="178">
        <f t="shared" si="43"/>
        <v>1</v>
      </c>
      <c r="AI165" s="179" t="s">
        <v>161</v>
      </c>
      <c r="AJ165" s="179"/>
      <c r="AK165" s="179"/>
      <c r="AL165" s="179" t="s">
        <v>163</v>
      </c>
      <c r="AM165" s="179"/>
      <c r="AN165" s="179"/>
      <c r="AO165" s="179" t="s">
        <v>164</v>
      </c>
      <c r="AP165" s="178"/>
      <c r="AQ165" s="179" t="s">
        <v>943</v>
      </c>
      <c r="AR165" s="179"/>
      <c r="AS165" s="179"/>
      <c r="AT165" s="420" t="s">
        <v>328</v>
      </c>
      <c r="AU165" s="178" t="s">
        <v>987</v>
      </c>
      <c r="AV165" s="179"/>
      <c r="AW165" s="180">
        <v>42793</v>
      </c>
      <c r="AX165" s="180">
        <v>43045</v>
      </c>
      <c r="AY165" s="180" t="s">
        <v>150</v>
      </c>
      <c r="AZ165" s="180">
        <v>43312</v>
      </c>
      <c r="BA165" s="180">
        <v>43332</v>
      </c>
      <c r="BB165" s="180"/>
      <c r="BC165" s="180"/>
      <c r="BD165" s="180"/>
      <c r="BE165" s="181" t="s">
        <v>2444</v>
      </c>
      <c r="BF165" s="180">
        <v>43675</v>
      </c>
      <c r="BG165" s="180" t="s">
        <v>150</v>
      </c>
      <c r="BH165" s="180">
        <v>43891</v>
      </c>
      <c r="BI165" s="180" t="s">
        <v>150</v>
      </c>
      <c r="BJ165" s="179"/>
      <c r="BK165" s="179"/>
      <c r="BL165" s="179"/>
      <c r="BM165" s="182">
        <v>44543</v>
      </c>
      <c r="BN165" s="178" t="s">
        <v>16</v>
      </c>
      <c r="BO165" s="178">
        <f t="shared" si="48"/>
        <v>58</v>
      </c>
      <c r="BP165" s="178">
        <f t="shared" si="47"/>
        <v>50</v>
      </c>
      <c r="BQ165" s="178"/>
      <c r="BR165" s="178">
        <v>17</v>
      </c>
      <c r="BS165" s="178">
        <v>2</v>
      </c>
      <c r="BT165" s="178">
        <v>0</v>
      </c>
      <c r="BU165" s="178"/>
      <c r="BV165" s="178"/>
      <c r="BW165" s="178"/>
      <c r="BX165" s="178"/>
      <c r="BY165" s="178" t="s">
        <v>163</v>
      </c>
      <c r="BZ165" s="178"/>
      <c r="CA165" s="178"/>
      <c r="CB165" s="184">
        <v>44075</v>
      </c>
      <c r="CC165" s="184">
        <v>44317</v>
      </c>
      <c r="CD165" s="178">
        <v>9</v>
      </c>
      <c r="CE165" s="178"/>
      <c r="CF165" s="178"/>
      <c r="CG165" s="178"/>
      <c r="CH165" s="377">
        <v>3</v>
      </c>
      <c r="CI165" s="178">
        <v>3</v>
      </c>
      <c r="CJ165" s="178"/>
      <c r="CK165" s="178" t="s">
        <v>809</v>
      </c>
      <c r="CL165"/>
    </row>
    <row r="166" spans="1:90" s="53" customFormat="1" ht="24.95" hidden="1" customHeight="1">
      <c r="A166" s="178">
        <v>170</v>
      </c>
      <c r="B166" s="178" t="s">
        <v>2445</v>
      </c>
      <c r="C166" s="178" t="s">
        <v>2446</v>
      </c>
      <c r="D166" s="178" t="s">
        <v>2447</v>
      </c>
      <c r="E166" s="178" t="s">
        <v>2448</v>
      </c>
      <c r="F166" s="178" t="s">
        <v>24</v>
      </c>
      <c r="G166" s="178">
        <v>7</v>
      </c>
      <c r="H166" s="178" t="s">
        <v>54</v>
      </c>
      <c r="I166" s="178" t="s">
        <v>41</v>
      </c>
      <c r="J166" s="178" t="s">
        <v>2449</v>
      </c>
      <c r="K166" s="178" t="s">
        <v>2450</v>
      </c>
      <c r="L166" s="178" t="s">
        <v>41</v>
      </c>
      <c r="M166" s="178" t="s">
        <v>150</v>
      </c>
      <c r="N166" s="178"/>
      <c r="O166" s="178" t="s">
        <v>151</v>
      </c>
      <c r="P166" s="178" t="s">
        <v>151</v>
      </c>
      <c r="Q166" s="178"/>
      <c r="R166" s="178" t="s">
        <v>2451</v>
      </c>
      <c r="S166" s="178" t="s">
        <v>2452</v>
      </c>
      <c r="T166" s="352" t="s">
        <v>2453</v>
      </c>
      <c r="U166" s="179"/>
      <c r="V166" s="179">
        <v>28387</v>
      </c>
      <c r="W166" s="187" t="s">
        <v>2454</v>
      </c>
      <c r="X166" s="187" t="s">
        <v>179</v>
      </c>
      <c r="Y166" s="187"/>
      <c r="Z166" s="187"/>
      <c r="AA166" s="178"/>
      <c r="AB166" s="179">
        <v>42837</v>
      </c>
      <c r="AC166" s="288">
        <v>42795</v>
      </c>
      <c r="AD166" s="179"/>
      <c r="AE166" s="179" t="s">
        <v>2455</v>
      </c>
      <c r="AF166" s="179"/>
      <c r="AG166" s="179"/>
      <c r="AH166" s="178">
        <f t="shared" si="43"/>
        <v>1</v>
      </c>
      <c r="AI166" s="179" t="s">
        <v>161</v>
      </c>
      <c r="AJ166" s="179"/>
      <c r="AK166" s="179"/>
      <c r="AL166" s="179" t="s">
        <v>150</v>
      </c>
      <c r="AM166" s="179"/>
      <c r="AN166" s="179"/>
      <c r="AO166" s="179" t="s">
        <v>182</v>
      </c>
      <c r="AP166" s="178"/>
      <c r="AQ166" s="179" t="s">
        <v>2186</v>
      </c>
      <c r="AR166" s="179"/>
      <c r="AS166" s="179"/>
      <c r="AT166" s="420" t="s">
        <v>285</v>
      </c>
      <c r="AU166" s="178" t="s">
        <v>2456</v>
      </c>
      <c r="AV166" s="179"/>
      <c r="AW166" s="180">
        <v>42793</v>
      </c>
      <c r="AX166" s="180">
        <v>43045</v>
      </c>
      <c r="AY166" s="180" t="s">
        <v>150</v>
      </c>
      <c r="AZ166" s="180">
        <v>43200</v>
      </c>
      <c r="BA166" s="180">
        <v>43451</v>
      </c>
      <c r="BB166" s="180"/>
      <c r="BC166" s="180"/>
      <c r="BD166" s="180"/>
      <c r="BE166" s="181" t="s">
        <v>2457</v>
      </c>
      <c r="BF166" s="180">
        <v>43675</v>
      </c>
      <c r="BG166" s="180" t="s">
        <v>150</v>
      </c>
      <c r="BH166" s="180">
        <v>43891</v>
      </c>
      <c r="BI166" s="180" t="s">
        <v>150</v>
      </c>
      <c r="BJ166" s="179"/>
      <c r="BK166" s="179">
        <v>44272</v>
      </c>
      <c r="BL166" s="179">
        <v>44403</v>
      </c>
      <c r="BM166" s="182">
        <v>44410</v>
      </c>
      <c r="BN166" s="178" t="s">
        <v>16</v>
      </c>
      <c r="BO166" s="263">
        <f t="shared" ref="BO166:BO169" si="49">DATEDIF(AW166,BM166, "M")+1</f>
        <v>54</v>
      </c>
      <c r="BP166" s="178">
        <f t="shared" si="47"/>
        <v>45</v>
      </c>
      <c r="BQ166" s="187" t="s">
        <v>2458</v>
      </c>
      <c r="BR166" s="178">
        <v>0</v>
      </c>
      <c r="BS166" s="178">
        <v>1</v>
      </c>
      <c r="BT166" s="178">
        <v>0</v>
      </c>
      <c r="BU166" s="178"/>
      <c r="BV166" s="178"/>
      <c r="BW166" s="178"/>
      <c r="BX166" s="178"/>
      <c r="BY166" s="178" t="s">
        <v>163</v>
      </c>
      <c r="BZ166" s="178"/>
      <c r="CA166" s="178"/>
      <c r="CB166" s="184"/>
      <c r="CC166" s="184"/>
      <c r="CD166" s="178"/>
      <c r="CE166" s="178"/>
      <c r="CF166" s="178"/>
      <c r="CG166" s="178"/>
      <c r="CH166" s="377"/>
      <c r="CI166" s="178"/>
      <c r="CJ166" s="178"/>
      <c r="CK166" s="178" t="s">
        <v>809</v>
      </c>
      <c r="CL166"/>
    </row>
    <row r="167" spans="1:90" s="53" customFormat="1" ht="24.95" hidden="1" customHeight="1">
      <c r="A167" s="178">
        <v>171</v>
      </c>
      <c r="B167" s="178" t="s">
        <v>2459</v>
      </c>
      <c r="C167" s="178" t="s">
        <v>2460</v>
      </c>
      <c r="D167" s="178" t="s">
        <v>2461</v>
      </c>
      <c r="E167" s="178" t="s">
        <v>2462</v>
      </c>
      <c r="F167" s="178" t="s">
        <v>25</v>
      </c>
      <c r="G167" s="178">
        <v>7</v>
      </c>
      <c r="H167" s="178" t="s">
        <v>54</v>
      </c>
      <c r="I167" s="178" t="s">
        <v>33</v>
      </c>
      <c r="J167" s="178" t="s">
        <v>2463</v>
      </c>
      <c r="K167" s="178" t="s">
        <v>2464</v>
      </c>
      <c r="L167" s="178" t="s">
        <v>33</v>
      </c>
      <c r="M167" s="178" t="s">
        <v>150</v>
      </c>
      <c r="N167" s="178">
        <v>155101</v>
      </c>
      <c r="O167" s="178" t="s">
        <v>151</v>
      </c>
      <c r="P167" s="178" t="s">
        <v>151</v>
      </c>
      <c r="Q167" s="178" t="s">
        <v>151</v>
      </c>
      <c r="R167" s="178" t="s">
        <v>2465</v>
      </c>
      <c r="S167" s="185" t="s">
        <v>2466</v>
      </c>
      <c r="T167" s="352" t="s">
        <v>2467</v>
      </c>
      <c r="U167" s="179"/>
      <c r="V167" s="179">
        <v>27214</v>
      </c>
      <c r="W167" s="187" t="s">
        <v>2468</v>
      </c>
      <c r="X167" s="187" t="s">
        <v>156</v>
      </c>
      <c r="Y167" s="187"/>
      <c r="Z167" s="187"/>
      <c r="AA167" s="178"/>
      <c r="AB167" s="179">
        <v>42307</v>
      </c>
      <c r="AC167" s="288">
        <v>42795</v>
      </c>
      <c r="AD167" s="179"/>
      <c r="AE167" s="179" t="s">
        <v>2469</v>
      </c>
      <c r="AF167" s="313" t="s">
        <v>2470</v>
      </c>
      <c r="AG167" s="179"/>
      <c r="AH167" s="178">
        <f t="shared" si="43"/>
        <v>2</v>
      </c>
      <c r="AI167" s="179" t="s">
        <v>161</v>
      </c>
      <c r="AJ167" s="179"/>
      <c r="AK167" s="179"/>
      <c r="AL167" s="179" t="s">
        <v>150</v>
      </c>
      <c r="AM167" s="179"/>
      <c r="AN167" s="179"/>
      <c r="AO167" s="179" t="s">
        <v>164</v>
      </c>
      <c r="AP167" s="178" t="s">
        <v>203</v>
      </c>
      <c r="AQ167" s="179" t="s">
        <v>943</v>
      </c>
      <c r="AR167" s="179"/>
      <c r="AS167" s="179"/>
      <c r="AT167" s="420" t="s">
        <v>328</v>
      </c>
      <c r="AU167" s="178" t="s">
        <v>2471</v>
      </c>
      <c r="AV167" s="179"/>
      <c r="AW167" s="180">
        <v>42793</v>
      </c>
      <c r="AX167" s="180">
        <v>43045</v>
      </c>
      <c r="AY167" s="180" t="s">
        <v>150</v>
      </c>
      <c r="AZ167" s="180">
        <v>43005</v>
      </c>
      <c r="BA167" s="180">
        <v>43119</v>
      </c>
      <c r="BB167" s="180"/>
      <c r="BC167" s="180"/>
      <c r="BD167" s="180"/>
      <c r="BE167" s="181" t="s">
        <v>2472</v>
      </c>
      <c r="BF167" s="180">
        <v>43675</v>
      </c>
      <c r="BG167" s="180" t="s">
        <v>150</v>
      </c>
      <c r="BH167" s="180">
        <v>43891</v>
      </c>
      <c r="BI167" s="180" t="s">
        <v>150</v>
      </c>
      <c r="BJ167" s="179"/>
      <c r="BK167" s="179"/>
      <c r="BL167" s="179"/>
      <c r="BM167" s="182">
        <v>44402</v>
      </c>
      <c r="BN167" s="178" t="s">
        <v>16</v>
      </c>
      <c r="BO167" s="263">
        <f t="shared" si="49"/>
        <v>53</v>
      </c>
      <c r="BP167" s="178">
        <f t="shared" si="47"/>
        <v>45</v>
      </c>
      <c r="BQ167" s="178"/>
      <c r="BR167" s="178">
        <v>14</v>
      </c>
      <c r="BS167" s="178">
        <v>13</v>
      </c>
      <c r="BT167" s="178">
        <v>5</v>
      </c>
      <c r="BU167" s="178"/>
      <c r="BV167" s="178"/>
      <c r="BW167" s="178"/>
      <c r="BX167" s="178"/>
      <c r="BY167" s="178" t="s">
        <v>163</v>
      </c>
      <c r="BZ167" s="178"/>
      <c r="CA167" s="178"/>
      <c r="CB167" s="184">
        <v>44077</v>
      </c>
      <c r="CC167" s="184">
        <v>44348</v>
      </c>
      <c r="CD167" s="178">
        <v>9</v>
      </c>
      <c r="CE167" s="178"/>
      <c r="CF167" s="178"/>
      <c r="CG167" s="178"/>
      <c r="CH167" s="377">
        <v>4</v>
      </c>
      <c r="CI167" s="178">
        <v>4</v>
      </c>
      <c r="CJ167" s="178"/>
      <c r="CK167" s="178" t="s">
        <v>809</v>
      </c>
      <c r="CL167"/>
    </row>
    <row r="168" spans="1:90" s="53" customFormat="1" ht="24.95" hidden="1" customHeight="1">
      <c r="A168" s="178">
        <v>172</v>
      </c>
      <c r="B168" s="178" t="s">
        <v>2473</v>
      </c>
      <c r="C168" s="178" t="s">
        <v>2474</v>
      </c>
      <c r="D168" s="178" t="s">
        <v>2475</v>
      </c>
      <c r="E168" s="178" t="s">
        <v>2476</v>
      </c>
      <c r="F168" s="178" t="s">
        <v>24</v>
      </c>
      <c r="G168" s="178">
        <v>7</v>
      </c>
      <c r="H168" s="178" t="s">
        <v>60</v>
      </c>
      <c r="I168" s="178" t="s">
        <v>37</v>
      </c>
      <c r="J168" s="178" t="s">
        <v>477</v>
      </c>
      <c r="K168" s="178" t="s">
        <v>922</v>
      </c>
      <c r="L168" s="178" t="s">
        <v>44</v>
      </c>
      <c r="M168" s="178" t="s">
        <v>163</v>
      </c>
      <c r="N168" s="178" t="s">
        <v>2477</v>
      </c>
      <c r="O168" s="178" t="s">
        <v>151</v>
      </c>
      <c r="P168" s="178" t="s">
        <v>151</v>
      </c>
      <c r="Q168" s="178" t="s">
        <v>151</v>
      </c>
      <c r="R168" s="178" t="s">
        <v>2478</v>
      </c>
      <c r="S168" s="178" t="s">
        <v>2479</v>
      </c>
      <c r="T168" s="351" t="s">
        <v>2480</v>
      </c>
      <c r="U168" s="179" t="s">
        <v>817</v>
      </c>
      <c r="V168" s="179">
        <v>29504</v>
      </c>
      <c r="W168" s="187" t="s">
        <v>2481</v>
      </c>
      <c r="X168" s="187" t="s">
        <v>2482</v>
      </c>
      <c r="Y168" s="187"/>
      <c r="Z168" s="187"/>
      <c r="AA168" s="178"/>
      <c r="AB168" s="179">
        <v>42887</v>
      </c>
      <c r="AC168" s="288">
        <v>42795</v>
      </c>
      <c r="AD168" s="179"/>
      <c r="AE168" s="179" t="s">
        <v>2483</v>
      </c>
      <c r="AF168" s="179"/>
      <c r="AG168" s="179"/>
      <c r="AH168" s="178">
        <f t="shared" si="43"/>
        <v>1</v>
      </c>
      <c r="AI168" s="179" t="s">
        <v>161</v>
      </c>
      <c r="AJ168" s="179"/>
      <c r="AK168" s="179"/>
      <c r="AL168" s="179" t="s">
        <v>150</v>
      </c>
      <c r="AM168" s="179"/>
      <c r="AN168" s="179"/>
      <c r="AO168" s="179" t="s">
        <v>164</v>
      </c>
      <c r="AP168" s="178" t="s">
        <v>181</v>
      </c>
      <c r="AQ168" s="179" t="s">
        <v>203</v>
      </c>
      <c r="AR168" s="179" t="s">
        <v>150</v>
      </c>
      <c r="AS168" s="179"/>
      <c r="AT168" s="420" t="s">
        <v>2484</v>
      </c>
      <c r="AU168" s="178" t="s">
        <v>2485</v>
      </c>
      <c r="AV168" s="179"/>
      <c r="AW168" s="180">
        <v>42793</v>
      </c>
      <c r="AX168" s="180">
        <v>43045</v>
      </c>
      <c r="AY168" s="180" t="s">
        <v>150</v>
      </c>
      <c r="AZ168" s="180"/>
      <c r="BA168" s="180">
        <v>43495</v>
      </c>
      <c r="BB168" s="180"/>
      <c r="BC168" s="180"/>
      <c r="BD168" s="180"/>
      <c r="BE168" s="180" t="s">
        <v>2486</v>
      </c>
      <c r="BF168" s="180">
        <v>43675</v>
      </c>
      <c r="BG168" s="180" t="s">
        <v>150</v>
      </c>
      <c r="BH168" s="180">
        <v>43891</v>
      </c>
      <c r="BI168" s="180" t="s">
        <v>150</v>
      </c>
      <c r="BJ168" s="179"/>
      <c r="BK168" s="179"/>
      <c r="BL168" s="179"/>
      <c r="BM168" s="182">
        <v>44901</v>
      </c>
      <c r="BN168" s="190" t="s">
        <v>16</v>
      </c>
      <c r="BO168" s="263">
        <f t="shared" si="49"/>
        <v>70</v>
      </c>
      <c r="BP168" s="178">
        <f t="shared" si="47"/>
        <v>62</v>
      </c>
      <c r="BQ168" s="181" t="s">
        <v>2487</v>
      </c>
      <c r="BR168" s="178">
        <v>5</v>
      </c>
      <c r="BS168" s="178">
        <v>5</v>
      </c>
      <c r="BT168" s="178"/>
      <c r="BU168" s="178"/>
      <c r="BV168" s="178"/>
      <c r="BW168" s="178"/>
      <c r="BX168" s="178"/>
      <c r="BY168" s="178" t="s">
        <v>163</v>
      </c>
      <c r="BZ168" s="178" t="s">
        <v>150</v>
      </c>
      <c r="CA168" s="178" t="s">
        <v>2488</v>
      </c>
      <c r="CB168" s="184">
        <v>43313</v>
      </c>
      <c r="CC168" s="184">
        <v>44044</v>
      </c>
      <c r="CD168" s="178">
        <v>24</v>
      </c>
      <c r="CE168" s="178" t="s">
        <v>163</v>
      </c>
      <c r="CF168" s="178"/>
      <c r="CG168" s="178"/>
      <c r="CH168" s="377">
        <v>1</v>
      </c>
      <c r="CI168" s="178">
        <v>2</v>
      </c>
      <c r="CJ168" s="178"/>
      <c r="CK168" s="178" t="s">
        <v>1298</v>
      </c>
      <c r="CL168"/>
    </row>
    <row r="169" spans="1:90" s="53" customFormat="1" ht="24.95" hidden="1" customHeight="1">
      <c r="A169" s="178">
        <v>173</v>
      </c>
      <c r="B169" s="178" t="s">
        <v>2489</v>
      </c>
      <c r="C169" s="178" t="s">
        <v>2490</v>
      </c>
      <c r="D169" s="178" t="s">
        <v>2491</v>
      </c>
      <c r="E169" s="178" t="s">
        <v>2492</v>
      </c>
      <c r="F169" s="178" t="s">
        <v>25</v>
      </c>
      <c r="G169" s="178">
        <v>7</v>
      </c>
      <c r="H169" s="178" t="s">
        <v>58</v>
      </c>
      <c r="I169" s="178" t="s">
        <v>46</v>
      </c>
      <c r="J169" s="178" t="s">
        <v>2493</v>
      </c>
      <c r="K169" s="178" t="s">
        <v>2493</v>
      </c>
      <c r="L169" s="178" t="s">
        <v>46</v>
      </c>
      <c r="M169" s="178" t="s">
        <v>150</v>
      </c>
      <c r="N169" s="178" t="s">
        <v>2494</v>
      </c>
      <c r="O169" s="178" t="s">
        <v>151</v>
      </c>
      <c r="P169" s="178" t="s">
        <v>151</v>
      </c>
      <c r="Q169" s="178" t="s">
        <v>151</v>
      </c>
      <c r="R169" s="178" t="s">
        <v>2495</v>
      </c>
      <c r="S169" s="178" t="s">
        <v>2496</v>
      </c>
      <c r="T169" s="351" t="s">
        <v>2497</v>
      </c>
      <c r="U169" s="179"/>
      <c r="V169" s="179">
        <v>27576</v>
      </c>
      <c r="W169" s="187" t="s">
        <v>2498</v>
      </c>
      <c r="X169" s="187" t="s">
        <v>179</v>
      </c>
      <c r="Y169" s="187"/>
      <c r="Z169" s="187"/>
      <c r="AA169" s="178"/>
      <c r="AB169" s="179">
        <v>42769</v>
      </c>
      <c r="AC169" s="288">
        <v>42795</v>
      </c>
      <c r="AD169" s="179"/>
      <c r="AE169" s="179" t="s">
        <v>2499</v>
      </c>
      <c r="AF169" s="313" t="s">
        <v>2500</v>
      </c>
      <c r="AG169" s="179" t="s">
        <v>2500</v>
      </c>
      <c r="AH169" s="178">
        <f t="shared" si="43"/>
        <v>3</v>
      </c>
      <c r="AI169" s="179" t="s">
        <v>161</v>
      </c>
      <c r="AJ169" s="179"/>
      <c r="AK169" s="179"/>
      <c r="AL169" s="179" t="s">
        <v>163</v>
      </c>
      <c r="AM169" s="179"/>
      <c r="AN169" s="179"/>
      <c r="AO169" s="179" t="s">
        <v>164</v>
      </c>
      <c r="AP169" s="178" t="s">
        <v>203</v>
      </c>
      <c r="AQ169" s="179" t="s">
        <v>217</v>
      </c>
      <c r="AR169" s="179" t="s">
        <v>150</v>
      </c>
      <c r="AS169" s="179"/>
      <c r="AT169" s="420" t="s">
        <v>372</v>
      </c>
      <c r="AU169" s="178" t="s">
        <v>2501</v>
      </c>
      <c r="AV169" s="179"/>
      <c r="AW169" s="180">
        <v>42793</v>
      </c>
      <c r="AX169" s="180">
        <v>43045</v>
      </c>
      <c r="AY169" s="180" t="s">
        <v>150</v>
      </c>
      <c r="AZ169" s="180">
        <v>43005</v>
      </c>
      <c r="BA169" s="180">
        <v>43080</v>
      </c>
      <c r="BB169" s="180">
        <v>43116</v>
      </c>
      <c r="BC169" s="180"/>
      <c r="BD169" s="180"/>
      <c r="BE169" s="181" t="s">
        <v>2502</v>
      </c>
      <c r="BF169" s="180">
        <v>43675</v>
      </c>
      <c r="BG169" s="180" t="s">
        <v>150</v>
      </c>
      <c r="BH169" s="180">
        <v>43891</v>
      </c>
      <c r="BI169" s="180" t="s">
        <v>150</v>
      </c>
      <c r="BJ169" s="179"/>
      <c r="BK169" s="179"/>
      <c r="BL169" s="179"/>
      <c r="BM169" s="182">
        <v>44509</v>
      </c>
      <c r="BN169" s="178" t="s">
        <v>16</v>
      </c>
      <c r="BO169" s="263">
        <f t="shared" si="49"/>
        <v>57</v>
      </c>
      <c r="BP169" s="178">
        <f t="shared" si="47"/>
        <v>49</v>
      </c>
      <c r="BQ169" s="187" t="s">
        <v>2503</v>
      </c>
      <c r="BR169" s="178">
        <v>0</v>
      </c>
      <c r="BS169" s="178">
        <v>7</v>
      </c>
      <c r="BT169" s="178">
        <v>3</v>
      </c>
      <c r="BU169" s="178"/>
      <c r="BV169" s="178"/>
      <c r="BW169" s="178"/>
      <c r="BX169" s="178"/>
      <c r="BY169" s="178" t="s">
        <v>163</v>
      </c>
      <c r="BZ169" s="178"/>
      <c r="CA169" s="178"/>
      <c r="CB169" s="184"/>
      <c r="CC169" s="184"/>
      <c r="CD169" s="178"/>
      <c r="CE169" s="178"/>
      <c r="CF169" s="178"/>
      <c r="CG169" s="178"/>
      <c r="CH169" s="377">
        <v>3</v>
      </c>
      <c r="CI169" s="178">
        <v>3</v>
      </c>
      <c r="CJ169" s="178"/>
      <c r="CK169" s="178" t="s">
        <v>809</v>
      </c>
      <c r="CL169"/>
    </row>
    <row r="170" spans="1:90" ht="24.95" hidden="1" customHeight="1">
      <c r="A170" s="91">
        <v>174</v>
      </c>
      <c r="B170" s="91" t="s">
        <v>2504</v>
      </c>
      <c r="C170" s="91" t="s">
        <v>2505</v>
      </c>
      <c r="D170" s="91"/>
      <c r="E170" s="91" t="s">
        <v>2506</v>
      </c>
      <c r="F170" s="91" t="s">
        <v>24</v>
      </c>
      <c r="G170" s="91">
        <v>7</v>
      </c>
      <c r="H170" s="91" t="s">
        <v>55</v>
      </c>
      <c r="I170" s="91" t="s">
        <v>45</v>
      </c>
      <c r="J170" s="91" t="s">
        <v>2507</v>
      </c>
      <c r="K170" s="91" t="s">
        <v>2508</v>
      </c>
      <c r="L170" s="91" t="s">
        <v>37</v>
      </c>
      <c r="M170" s="91" t="s">
        <v>163</v>
      </c>
      <c r="N170" s="91" t="s">
        <v>168</v>
      </c>
      <c r="O170" s="91" t="s">
        <v>168</v>
      </c>
      <c r="P170" s="91" t="s">
        <v>168</v>
      </c>
      <c r="Q170" s="91" t="s">
        <v>168</v>
      </c>
      <c r="R170" s="91" t="s">
        <v>2509</v>
      </c>
      <c r="S170" s="91" t="s">
        <v>2510</v>
      </c>
      <c r="T170" s="341" t="s">
        <v>2511</v>
      </c>
      <c r="U170" s="92"/>
      <c r="V170" s="92">
        <v>28615</v>
      </c>
      <c r="W170" s="164" t="s">
        <v>2512</v>
      </c>
      <c r="X170" s="164"/>
      <c r="Y170" s="164"/>
      <c r="Z170" s="164"/>
      <c r="AA170" s="91"/>
      <c r="AB170" s="92">
        <v>42845</v>
      </c>
      <c r="AC170" s="281">
        <v>42795</v>
      </c>
      <c r="AD170" s="92">
        <v>43100</v>
      </c>
      <c r="AE170" s="92"/>
      <c r="AF170" s="92"/>
      <c r="AG170" s="92"/>
      <c r="AH170" s="91">
        <f t="shared" si="43"/>
        <v>0</v>
      </c>
      <c r="AI170" s="92"/>
      <c r="AJ170" s="92"/>
      <c r="AK170" s="92"/>
      <c r="AL170" s="92"/>
      <c r="AM170" s="92"/>
      <c r="AN170" s="92"/>
      <c r="AO170" s="92"/>
      <c r="AP170" s="92"/>
      <c r="AQ170" s="92"/>
      <c r="AR170" s="92"/>
      <c r="AS170" s="92"/>
      <c r="AT170" s="400" t="s">
        <v>219</v>
      </c>
      <c r="AU170" s="91"/>
      <c r="AV170" s="92"/>
      <c r="AW170" s="93">
        <v>42793</v>
      </c>
      <c r="AX170" s="93">
        <v>43045</v>
      </c>
      <c r="AY170" s="93" t="s">
        <v>150</v>
      </c>
      <c r="AZ170" s="93"/>
      <c r="BA170" s="93"/>
      <c r="BB170" s="93"/>
      <c r="BC170" s="93"/>
      <c r="BD170" s="93"/>
      <c r="BE170" s="94"/>
      <c r="BF170" s="93"/>
      <c r="BG170" s="93"/>
      <c r="BH170" s="93"/>
      <c r="BI170" s="93"/>
      <c r="BJ170" s="92"/>
      <c r="BK170" s="92"/>
      <c r="BL170" s="92"/>
      <c r="BM170" s="95"/>
      <c r="BN170" s="193" t="s">
        <v>18</v>
      </c>
      <c r="BO170" s="218" t="s">
        <v>18</v>
      </c>
      <c r="BP170" s="218"/>
      <c r="BQ170" s="91"/>
      <c r="BR170" s="91"/>
      <c r="BS170" s="91"/>
      <c r="BT170" s="91"/>
      <c r="BU170" s="91"/>
      <c r="BV170" s="91"/>
      <c r="BW170" s="91"/>
      <c r="BX170" s="91"/>
      <c r="BY170" s="91" t="s">
        <v>163</v>
      </c>
      <c r="BZ170" s="91"/>
      <c r="CA170" s="91"/>
      <c r="CB170" s="95"/>
      <c r="CC170" s="95"/>
      <c r="CD170" s="91"/>
      <c r="CE170" s="91"/>
      <c r="CF170" s="91"/>
      <c r="CG170" s="91"/>
      <c r="CH170" s="113"/>
      <c r="CI170" s="91"/>
      <c r="CJ170" s="91"/>
      <c r="CK170" s="91" t="s">
        <v>1806</v>
      </c>
    </row>
    <row r="171" spans="1:90" s="53" customFormat="1" ht="24.95" hidden="1" customHeight="1">
      <c r="A171" s="136">
        <v>175</v>
      </c>
      <c r="B171" s="136" t="s">
        <v>2513</v>
      </c>
      <c r="C171" s="136" t="s">
        <v>2514</v>
      </c>
      <c r="D171" s="136"/>
      <c r="E171" s="136" t="s">
        <v>2515</v>
      </c>
      <c r="F171" s="136" t="s">
        <v>25</v>
      </c>
      <c r="G171" s="136">
        <v>8</v>
      </c>
      <c r="H171" s="136" t="s">
        <v>58</v>
      </c>
      <c r="I171" s="136" t="s">
        <v>46</v>
      </c>
      <c r="J171" s="136" t="s">
        <v>602</v>
      </c>
      <c r="K171" s="136" t="s">
        <v>2516</v>
      </c>
      <c r="L171" s="136" t="s">
        <v>46</v>
      </c>
      <c r="M171" s="136" t="s">
        <v>150</v>
      </c>
      <c r="N171" s="136"/>
      <c r="O171" s="136" t="s">
        <v>322</v>
      </c>
      <c r="P171" s="136" t="s">
        <v>322</v>
      </c>
      <c r="Q171" s="136"/>
      <c r="R171" s="387" t="s">
        <v>2517</v>
      </c>
      <c r="S171" s="145" t="s">
        <v>2518</v>
      </c>
      <c r="T171" s="345" t="s">
        <v>2519</v>
      </c>
      <c r="U171" s="139" t="s">
        <v>2520</v>
      </c>
      <c r="V171" s="139">
        <v>29485</v>
      </c>
      <c r="W171" s="147" t="s">
        <v>2521</v>
      </c>
      <c r="X171" s="147" t="s">
        <v>179</v>
      </c>
      <c r="Y171" s="147"/>
      <c r="Z171" s="147"/>
      <c r="AA171" s="136">
        <v>23</v>
      </c>
      <c r="AB171" s="139">
        <v>43467</v>
      </c>
      <c r="AC171" s="285">
        <v>43160</v>
      </c>
      <c r="AD171" s="139"/>
      <c r="AE171" s="139" t="s">
        <v>2522</v>
      </c>
      <c r="AF171" s="139" t="s">
        <v>2523</v>
      </c>
      <c r="AG171" s="139" t="s">
        <v>2524</v>
      </c>
      <c r="AH171" s="136">
        <f t="shared" si="43"/>
        <v>3</v>
      </c>
      <c r="AI171" s="139" t="s">
        <v>161</v>
      </c>
      <c r="AJ171" s="139" t="s">
        <v>161</v>
      </c>
      <c r="AK171" s="139"/>
      <c r="AL171" s="139" t="s">
        <v>150</v>
      </c>
      <c r="AM171" s="139" t="s">
        <v>163</v>
      </c>
      <c r="AN171" s="139" t="s">
        <v>163</v>
      </c>
      <c r="AO171" s="139" t="s">
        <v>202</v>
      </c>
      <c r="AP171" s="139" t="s">
        <v>2525</v>
      </c>
      <c r="AQ171" s="139" t="s">
        <v>2526</v>
      </c>
      <c r="AR171" s="139"/>
      <c r="AS171" s="139"/>
      <c r="AT171" s="421" t="s">
        <v>372</v>
      </c>
      <c r="AU171" s="136" t="s">
        <v>2527</v>
      </c>
      <c r="AV171" s="139"/>
      <c r="AW171" s="141">
        <v>43164</v>
      </c>
      <c r="AX171" s="141">
        <v>43409</v>
      </c>
      <c r="AY171" s="141" t="s">
        <v>150</v>
      </c>
      <c r="AZ171" s="141">
        <v>43799</v>
      </c>
      <c r="BA171" s="141">
        <v>43951</v>
      </c>
      <c r="BB171" s="141"/>
      <c r="BC171" s="141"/>
      <c r="BD171" s="141"/>
      <c r="BE171" s="142" t="s">
        <v>2528</v>
      </c>
      <c r="BF171" s="141">
        <v>44207</v>
      </c>
      <c r="BG171" s="141" t="s">
        <v>150</v>
      </c>
      <c r="BH171" s="141">
        <v>44410</v>
      </c>
      <c r="BI171" s="141" t="s">
        <v>150</v>
      </c>
      <c r="BJ171" s="139"/>
      <c r="BK171" s="139"/>
      <c r="BL171" s="139"/>
      <c r="BM171" s="143">
        <v>45776</v>
      </c>
      <c r="BN171" s="148" t="s">
        <v>16</v>
      </c>
      <c r="BO171" s="136">
        <f t="shared" ref="BO171:BO172" si="50">DATEDIF(AW171,BM171, "M")+1</f>
        <v>86</v>
      </c>
      <c r="BP171" s="136">
        <f>DATEDIF(AX171,BM171, "M")+1</f>
        <v>78</v>
      </c>
      <c r="BQ171" s="136" t="s">
        <v>2529</v>
      </c>
      <c r="BR171" s="136">
        <v>2</v>
      </c>
      <c r="BS171" s="136">
        <v>0</v>
      </c>
      <c r="BT171" s="136">
        <v>0</v>
      </c>
      <c r="BU171" s="136"/>
      <c r="BV171" s="136"/>
      <c r="BW171" s="136"/>
      <c r="BX171" s="136"/>
      <c r="BY171" s="136" t="s">
        <v>163</v>
      </c>
      <c r="BZ171" s="136"/>
      <c r="CA171" s="136"/>
      <c r="CB171" s="144"/>
      <c r="CC171" s="144"/>
      <c r="CD171" s="136"/>
      <c r="CE171" s="136"/>
      <c r="CF171" s="136"/>
      <c r="CG171" s="136"/>
      <c r="CH171" s="374">
        <v>2</v>
      </c>
      <c r="CI171" s="136"/>
      <c r="CJ171" s="136"/>
      <c r="CK171" s="136" t="s">
        <v>809</v>
      </c>
      <c r="CL171"/>
    </row>
    <row r="172" spans="1:90" s="53" customFormat="1" ht="24.95" hidden="1" customHeight="1">
      <c r="A172" s="136">
        <v>176</v>
      </c>
      <c r="B172" s="136" t="s">
        <v>2530</v>
      </c>
      <c r="C172" s="136" t="s">
        <v>2531</v>
      </c>
      <c r="D172" s="136" t="s">
        <v>641</v>
      </c>
      <c r="E172" s="136" t="s">
        <v>2532</v>
      </c>
      <c r="F172" s="136" t="s">
        <v>24</v>
      </c>
      <c r="G172" s="136">
        <v>8</v>
      </c>
      <c r="H172" s="136" t="s">
        <v>54</v>
      </c>
      <c r="I172" s="136" t="s">
        <v>41</v>
      </c>
      <c r="J172" s="136" t="s">
        <v>602</v>
      </c>
      <c r="K172" s="136" t="s">
        <v>290</v>
      </c>
      <c r="L172" s="136" t="s">
        <v>46</v>
      </c>
      <c r="M172" s="136" t="s">
        <v>163</v>
      </c>
      <c r="N172" s="136"/>
      <c r="O172" s="136"/>
      <c r="P172" s="136" t="s">
        <v>151</v>
      </c>
      <c r="Q172" s="136" t="s">
        <v>151</v>
      </c>
      <c r="R172" s="136" t="s">
        <v>2533</v>
      </c>
      <c r="S172" s="136" t="s">
        <v>2534</v>
      </c>
      <c r="T172" s="346" t="s">
        <v>2535</v>
      </c>
      <c r="U172" s="139"/>
      <c r="V172" s="139">
        <v>29215</v>
      </c>
      <c r="W172" s="147" t="s">
        <v>2536</v>
      </c>
      <c r="X172" s="147" t="s">
        <v>179</v>
      </c>
      <c r="Y172" s="147"/>
      <c r="Z172" s="147"/>
      <c r="AA172" s="136">
        <v>6</v>
      </c>
      <c r="AB172" s="139">
        <v>43318</v>
      </c>
      <c r="AC172" s="285">
        <v>43160</v>
      </c>
      <c r="AD172" s="139"/>
      <c r="AE172" s="139" t="s">
        <v>2537</v>
      </c>
      <c r="AF172" s="139"/>
      <c r="AG172" s="139"/>
      <c r="AH172" s="136">
        <f t="shared" si="43"/>
        <v>1</v>
      </c>
      <c r="AI172" s="139" t="s">
        <v>162</v>
      </c>
      <c r="AJ172" s="139"/>
      <c r="AK172" s="139"/>
      <c r="AL172" s="139" t="s">
        <v>150</v>
      </c>
      <c r="AM172" s="139"/>
      <c r="AN172" s="139"/>
      <c r="AO172" s="139" t="s">
        <v>164</v>
      </c>
      <c r="AP172" s="139"/>
      <c r="AQ172" s="139" t="s">
        <v>250</v>
      </c>
      <c r="AR172" s="139"/>
      <c r="AS172" s="139"/>
      <c r="AT172" s="421" t="s">
        <v>285</v>
      </c>
      <c r="AU172" s="136" t="s">
        <v>2538</v>
      </c>
      <c r="AV172" s="139"/>
      <c r="AW172" s="141">
        <v>43164</v>
      </c>
      <c r="AX172" s="141">
        <v>43409</v>
      </c>
      <c r="AY172" s="141" t="s">
        <v>150</v>
      </c>
      <c r="AZ172" s="141">
        <v>43720</v>
      </c>
      <c r="BA172" s="141">
        <v>43570</v>
      </c>
      <c r="BB172" s="141"/>
      <c r="BC172" s="141"/>
      <c r="BD172" s="141"/>
      <c r="BE172" s="142" t="s">
        <v>2539</v>
      </c>
      <c r="BF172" s="141">
        <v>44207</v>
      </c>
      <c r="BG172" s="141" t="s">
        <v>150</v>
      </c>
      <c r="BH172" s="141">
        <v>44410</v>
      </c>
      <c r="BI172" s="141" t="s">
        <v>150</v>
      </c>
      <c r="BJ172" s="139"/>
      <c r="BK172" s="139"/>
      <c r="BL172" s="139"/>
      <c r="BM172" s="143">
        <v>44692</v>
      </c>
      <c r="BN172" s="136" t="s">
        <v>16</v>
      </c>
      <c r="BO172" s="136">
        <f t="shared" si="50"/>
        <v>51</v>
      </c>
      <c r="BP172" s="136">
        <f>DATEDIF(AX172,BM172, "M")+1</f>
        <v>43</v>
      </c>
      <c r="BQ172" s="136"/>
      <c r="BR172" s="136">
        <v>9</v>
      </c>
      <c r="BS172" s="136">
        <v>7</v>
      </c>
      <c r="BT172" s="136">
        <v>2</v>
      </c>
      <c r="BU172" s="136"/>
      <c r="BV172" s="136"/>
      <c r="BW172" s="136"/>
      <c r="BX172" s="136"/>
      <c r="BY172" s="136" t="s">
        <v>163</v>
      </c>
      <c r="BZ172" s="136"/>
      <c r="CA172" s="136"/>
      <c r="CB172" s="144"/>
      <c r="CC172" s="144"/>
      <c r="CD172" s="136"/>
      <c r="CE172" s="136"/>
      <c r="CF172" s="136"/>
      <c r="CG172" s="136"/>
      <c r="CH172" s="374">
        <v>2</v>
      </c>
      <c r="CI172" s="136">
        <v>3</v>
      </c>
      <c r="CJ172" s="136"/>
      <c r="CK172" s="136" t="s">
        <v>1806</v>
      </c>
      <c r="CL172"/>
    </row>
    <row r="173" spans="1:90" s="53" customFormat="1" ht="24.95" hidden="1" customHeight="1">
      <c r="A173" s="136">
        <v>177</v>
      </c>
      <c r="B173" s="136" t="s">
        <v>2540</v>
      </c>
      <c r="C173" s="136" t="s">
        <v>2541</v>
      </c>
      <c r="D173" s="136"/>
      <c r="E173" s="136" t="s">
        <v>2542</v>
      </c>
      <c r="F173" s="136" t="s">
        <v>24</v>
      </c>
      <c r="G173" s="136">
        <v>8</v>
      </c>
      <c r="H173" s="136" t="s">
        <v>55</v>
      </c>
      <c r="I173" s="136" t="s">
        <v>45</v>
      </c>
      <c r="J173" s="136" t="s">
        <v>1127</v>
      </c>
      <c r="K173" s="136" t="s">
        <v>407</v>
      </c>
      <c r="L173" s="136" t="s">
        <v>45</v>
      </c>
      <c r="M173" s="136" t="s">
        <v>150</v>
      </c>
      <c r="N173" s="136"/>
      <c r="O173" s="136" t="s">
        <v>151</v>
      </c>
      <c r="P173" s="136" t="s">
        <v>151</v>
      </c>
      <c r="Q173" s="136"/>
      <c r="R173" s="136" t="s">
        <v>2543</v>
      </c>
      <c r="S173" s="136" t="s">
        <v>2544</v>
      </c>
      <c r="T173" s="345" t="s">
        <v>2545</v>
      </c>
      <c r="U173" s="139" t="s">
        <v>2546</v>
      </c>
      <c r="V173" s="139">
        <v>29288</v>
      </c>
      <c r="W173" s="147" t="s">
        <v>2547</v>
      </c>
      <c r="X173" s="147" t="s">
        <v>179</v>
      </c>
      <c r="Y173" s="147" t="s">
        <v>163</v>
      </c>
      <c r="Z173" s="147"/>
      <c r="AA173" s="136">
        <v>25</v>
      </c>
      <c r="AB173" s="139">
        <v>43160</v>
      </c>
      <c r="AC173" s="285">
        <v>43160</v>
      </c>
      <c r="AD173" s="139"/>
      <c r="AE173" s="139" t="s">
        <v>2548</v>
      </c>
      <c r="AF173" s="139"/>
      <c r="AG173" s="139"/>
      <c r="AH173" s="136">
        <f t="shared" si="43"/>
        <v>1</v>
      </c>
      <c r="AI173" s="139" t="s">
        <v>162</v>
      </c>
      <c r="AJ173" s="139"/>
      <c r="AK173" s="139"/>
      <c r="AL173" s="139" t="s">
        <v>163</v>
      </c>
      <c r="AM173" s="139"/>
      <c r="AN173" s="139"/>
      <c r="AO173" s="139" t="s">
        <v>164</v>
      </c>
      <c r="AP173" s="139" t="s">
        <v>2549</v>
      </c>
      <c r="AQ173" s="139" t="s">
        <v>181</v>
      </c>
      <c r="AR173" s="139" t="s">
        <v>163</v>
      </c>
      <c r="AS173" s="236" t="s">
        <v>2550</v>
      </c>
      <c r="AT173" s="421" t="s">
        <v>219</v>
      </c>
      <c r="AU173" s="136" t="s">
        <v>2551</v>
      </c>
      <c r="AV173" s="139"/>
      <c r="AW173" s="141">
        <v>43164</v>
      </c>
      <c r="AX173" s="141">
        <v>43409</v>
      </c>
      <c r="AY173" s="141" t="s">
        <v>150</v>
      </c>
      <c r="AZ173" s="141">
        <v>44082</v>
      </c>
      <c r="BA173" s="141">
        <v>44316</v>
      </c>
      <c r="BB173" s="141"/>
      <c r="BC173" s="141"/>
      <c r="BD173" s="141"/>
      <c r="BE173" s="142" t="s">
        <v>2552</v>
      </c>
      <c r="BF173" s="141">
        <v>44470</v>
      </c>
      <c r="BG173" s="141" t="s">
        <v>163</v>
      </c>
      <c r="BH173" s="141">
        <v>44732</v>
      </c>
      <c r="BI173" s="141" t="s">
        <v>163</v>
      </c>
      <c r="BJ173" s="139"/>
      <c r="BK173" s="139"/>
      <c r="BL173" s="139"/>
      <c r="BM173" s="143"/>
      <c r="BN173" s="129" t="s">
        <v>17</v>
      </c>
      <c r="BO173" s="139"/>
      <c r="BP173" s="136"/>
      <c r="BQ173" s="136"/>
      <c r="BR173" s="136"/>
      <c r="BS173" s="136"/>
      <c r="BT173" s="136"/>
      <c r="BU173" s="136"/>
      <c r="BV173" s="136"/>
      <c r="BW173" s="136"/>
      <c r="BX173" s="136"/>
      <c r="BY173" s="136" t="s">
        <v>163</v>
      </c>
      <c r="BZ173" s="136" t="s">
        <v>163</v>
      </c>
      <c r="CA173" s="136"/>
      <c r="CB173" s="144"/>
      <c r="CC173" s="144"/>
      <c r="CD173" s="136"/>
      <c r="CE173" s="136" t="s">
        <v>163</v>
      </c>
      <c r="CF173" s="136"/>
      <c r="CG173" s="136"/>
      <c r="CH173" s="374">
        <v>1</v>
      </c>
      <c r="CI173" s="136"/>
      <c r="CJ173" s="136"/>
      <c r="CK173" s="136" t="s">
        <v>809</v>
      </c>
      <c r="CL173"/>
    </row>
    <row r="174" spans="1:90" s="53" customFormat="1" ht="24.95" hidden="1" customHeight="1">
      <c r="A174" s="136">
        <v>178</v>
      </c>
      <c r="B174" s="136" t="s">
        <v>2553</v>
      </c>
      <c r="C174" s="136" t="s">
        <v>2554</v>
      </c>
      <c r="D174" s="136"/>
      <c r="E174" s="136" t="s">
        <v>2555</v>
      </c>
      <c r="F174" s="136" t="s">
        <v>25</v>
      </c>
      <c r="G174" s="136">
        <v>8</v>
      </c>
      <c r="H174" s="136" t="s">
        <v>55</v>
      </c>
      <c r="I174" s="136" t="s">
        <v>45</v>
      </c>
      <c r="J174" s="136" t="s">
        <v>2303</v>
      </c>
      <c r="K174" s="136" t="s">
        <v>2556</v>
      </c>
      <c r="L174" s="136" t="s">
        <v>46</v>
      </c>
      <c r="M174" s="136" t="s">
        <v>163</v>
      </c>
      <c r="N174" s="136"/>
      <c r="O174" s="136" t="s">
        <v>322</v>
      </c>
      <c r="P174" s="136" t="s">
        <v>151</v>
      </c>
      <c r="Q174" s="136"/>
      <c r="R174" s="136" t="s">
        <v>2557</v>
      </c>
      <c r="S174" s="136" t="s">
        <v>2558</v>
      </c>
      <c r="T174" s="345" t="s">
        <v>2559</v>
      </c>
      <c r="U174" s="139"/>
      <c r="V174" s="139">
        <v>30682</v>
      </c>
      <c r="W174" s="147" t="s">
        <v>2560</v>
      </c>
      <c r="X174" s="147" t="s">
        <v>156</v>
      </c>
      <c r="Y174" s="147"/>
      <c r="Z174" s="147"/>
      <c r="AA174" s="136">
        <v>23</v>
      </c>
      <c r="AB174" s="139">
        <v>43403</v>
      </c>
      <c r="AC174" s="285">
        <v>43160</v>
      </c>
      <c r="AD174" s="139"/>
      <c r="AE174" s="139" t="s">
        <v>2561</v>
      </c>
      <c r="AF174" s="139" t="s">
        <v>2562</v>
      </c>
      <c r="AG174" s="139"/>
      <c r="AH174" s="136">
        <f t="shared" si="43"/>
        <v>2</v>
      </c>
      <c r="AI174" s="139" t="s">
        <v>162</v>
      </c>
      <c r="AJ174" s="139"/>
      <c r="AK174" s="139"/>
      <c r="AL174" s="139" t="s">
        <v>150</v>
      </c>
      <c r="AM174" s="139"/>
      <c r="AN174" s="139"/>
      <c r="AO174" s="139" t="s">
        <v>164</v>
      </c>
      <c r="AP174" s="139" t="s">
        <v>2154</v>
      </c>
      <c r="AQ174" s="139" t="s">
        <v>217</v>
      </c>
      <c r="AR174" s="139" t="s">
        <v>150</v>
      </c>
      <c r="AS174" s="139"/>
      <c r="AT174" s="421" t="s">
        <v>219</v>
      </c>
      <c r="AU174" s="136" t="s">
        <v>2563</v>
      </c>
      <c r="AV174" s="139"/>
      <c r="AW174" s="141">
        <v>43164</v>
      </c>
      <c r="AX174" s="141">
        <v>43409</v>
      </c>
      <c r="AY174" s="141" t="s">
        <v>150</v>
      </c>
      <c r="AZ174" s="141">
        <v>43797</v>
      </c>
      <c r="BA174" s="141">
        <v>43895</v>
      </c>
      <c r="BB174" s="141"/>
      <c r="BC174" s="141"/>
      <c r="BD174" s="141"/>
      <c r="BE174" s="142" t="s">
        <v>2564</v>
      </c>
      <c r="BF174" s="141">
        <v>44470</v>
      </c>
      <c r="BG174" s="141" t="s">
        <v>163</v>
      </c>
      <c r="BH174" s="141">
        <v>44732</v>
      </c>
      <c r="BI174" s="141" t="s">
        <v>163</v>
      </c>
      <c r="BJ174" s="139"/>
      <c r="BK174" s="139"/>
      <c r="BL174" s="139"/>
      <c r="BM174" s="143">
        <v>45434</v>
      </c>
      <c r="BN174" s="148" t="s">
        <v>16</v>
      </c>
      <c r="BO174" s="136">
        <f>DATEDIF(AW174,BM174, "M")+1</f>
        <v>75</v>
      </c>
      <c r="BP174" s="136">
        <f t="shared" ref="BP174:BP175" si="51">DATEDIF(AX174,BM174, "M")+1</f>
        <v>67</v>
      </c>
      <c r="BQ174" s="147" t="s">
        <v>2565</v>
      </c>
      <c r="BR174" s="136">
        <v>1</v>
      </c>
      <c r="BS174" s="136">
        <v>2</v>
      </c>
      <c r="BT174" s="136">
        <v>0</v>
      </c>
      <c r="BU174" s="136"/>
      <c r="BV174" s="136"/>
      <c r="BW174" s="136"/>
      <c r="BX174" s="136"/>
      <c r="BY174" s="136" t="s">
        <v>163</v>
      </c>
      <c r="BZ174" s="136"/>
      <c r="CA174" s="136"/>
      <c r="CB174" s="144">
        <v>43952</v>
      </c>
      <c r="CC174" s="144">
        <v>44043</v>
      </c>
      <c r="CD174" s="136">
        <v>3</v>
      </c>
      <c r="CE174" s="136"/>
      <c r="CF174" s="136"/>
      <c r="CG174" s="136"/>
      <c r="CH174" s="374">
        <v>0</v>
      </c>
      <c r="CI174" s="136"/>
      <c r="CJ174" s="136"/>
      <c r="CK174" s="136" t="s">
        <v>809</v>
      </c>
      <c r="CL174"/>
    </row>
    <row r="175" spans="1:90" s="53" customFormat="1" ht="24.95" hidden="1" customHeight="1">
      <c r="A175" s="136">
        <v>179</v>
      </c>
      <c r="B175" s="136" t="s">
        <v>2566</v>
      </c>
      <c r="C175" s="136" t="s">
        <v>2567</v>
      </c>
      <c r="D175" s="136" t="s">
        <v>2568</v>
      </c>
      <c r="E175" s="136" t="s">
        <v>2569</v>
      </c>
      <c r="F175" s="136" t="s">
        <v>24</v>
      </c>
      <c r="G175" s="136">
        <v>8</v>
      </c>
      <c r="H175" s="136" t="s">
        <v>54</v>
      </c>
      <c r="I175" s="136" t="s">
        <v>41</v>
      </c>
      <c r="J175" s="136" t="s">
        <v>439</v>
      </c>
      <c r="K175" s="136" t="s">
        <v>439</v>
      </c>
      <c r="L175" s="136" t="s">
        <v>41</v>
      </c>
      <c r="M175" s="136" t="s">
        <v>150</v>
      </c>
      <c r="N175" s="136" t="s">
        <v>2570</v>
      </c>
      <c r="O175" s="136" t="s">
        <v>151</v>
      </c>
      <c r="P175" s="136" t="s">
        <v>151</v>
      </c>
      <c r="Q175" s="136" t="s">
        <v>151</v>
      </c>
      <c r="R175" s="136" t="s">
        <v>2571</v>
      </c>
      <c r="S175" s="136" t="s">
        <v>2572</v>
      </c>
      <c r="T175" s="345" t="s">
        <v>2573</v>
      </c>
      <c r="U175" s="139" t="s">
        <v>2574</v>
      </c>
      <c r="V175" s="139">
        <v>29237</v>
      </c>
      <c r="W175" s="147" t="s">
        <v>2575</v>
      </c>
      <c r="X175" s="147" t="s">
        <v>179</v>
      </c>
      <c r="Y175" s="147" t="s">
        <v>163</v>
      </c>
      <c r="Z175" s="147"/>
      <c r="AA175" s="136">
        <v>18</v>
      </c>
      <c r="AB175" s="139">
        <v>42870</v>
      </c>
      <c r="AC175" s="285">
        <v>43160</v>
      </c>
      <c r="AD175" s="139"/>
      <c r="AE175" s="139" t="s">
        <v>2576</v>
      </c>
      <c r="AF175" s="139" t="s">
        <v>2577</v>
      </c>
      <c r="AG175" s="139"/>
      <c r="AH175" s="136">
        <f t="shared" si="43"/>
        <v>2</v>
      </c>
      <c r="AI175" s="139" t="s">
        <v>161</v>
      </c>
      <c r="AJ175" s="139" t="s">
        <v>161</v>
      </c>
      <c r="AK175" s="139"/>
      <c r="AL175" s="139" t="s">
        <v>150</v>
      </c>
      <c r="AM175" s="139" t="s">
        <v>163</v>
      </c>
      <c r="AN175" s="139"/>
      <c r="AO175" s="139" t="s">
        <v>164</v>
      </c>
      <c r="AP175" s="139" t="s">
        <v>181</v>
      </c>
      <c r="AQ175" s="139" t="s">
        <v>250</v>
      </c>
      <c r="AR175" s="139" t="s">
        <v>150</v>
      </c>
      <c r="AS175" s="139"/>
      <c r="AT175" s="421" t="s">
        <v>285</v>
      </c>
      <c r="AU175" s="136" t="s">
        <v>2578</v>
      </c>
      <c r="AV175" s="139"/>
      <c r="AW175" s="141">
        <v>43164</v>
      </c>
      <c r="AX175" s="141">
        <v>43409</v>
      </c>
      <c r="AY175" s="141" t="s">
        <v>150</v>
      </c>
      <c r="AZ175" s="141">
        <v>43656</v>
      </c>
      <c r="BA175" s="141">
        <v>43675</v>
      </c>
      <c r="BB175" s="141"/>
      <c r="BC175" s="141"/>
      <c r="BD175" s="141"/>
      <c r="BE175" s="142" t="s">
        <v>2579</v>
      </c>
      <c r="BF175" s="141">
        <v>44207</v>
      </c>
      <c r="BG175" s="141" t="s">
        <v>150</v>
      </c>
      <c r="BH175" s="141">
        <v>44410</v>
      </c>
      <c r="BI175" s="141" t="s">
        <v>150</v>
      </c>
      <c r="BJ175" s="139"/>
      <c r="BK175" s="139">
        <v>44421</v>
      </c>
      <c r="BL175" s="139">
        <v>44461</v>
      </c>
      <c r="BM175" s="139">
        <v>44461</v>
      </c>
      <c r="BN175" s="136" t="s">
        <v>16</v>
      </c>
      <c r="BO175" s="136">
        <f>DATEDIF(AW175,BM175, "M")+1</f>
        <v>43</v>
      </c>
      <c r="BP175" s="136">
        <f t="shared" si="51"/>
        <v>35</v>
      </c>
      <c r="BQ175" s="136"/>
      <c r="BR175" s="136">
        <v>0</v>
      </c>
      <c r="BS175" s="136">
        <v>3</v>
      </c>
      <c r="BT175" s="136">
        <v>3</v>
      </c>
      <c r="BU175" s="136"/>
      <c r="BV175" s="136"/>
      <c r="BW175" s="136"/>
      <c r="BX175" s="136"/>
      <c r="BY175" s="136" t="s">
        <v>163</v>
      </c>
      <c r="BZ175" s="136" t="s">
        <v>163</v>
      </c>
      <c r="CA175" s="136"/>
      <c r="CB175" s="144"/>
      <c r="CC175" s="144"/>
      <c r="CD175" s="136"/>
      <c r="CE175" s="136" t="s">
        <v>150</v>
      </c>
      <c r="CF175" s="136">
        <v>43891</v>
      </c>
      <c r="CG175" s="136">
        <v>44012</v>
      </c>
      <c r="CH175" s="374">
        <v>2</v>
      </c>
      <c r="CI175" s="136">
        <v>3</v>
      </c>
      <c r="CJ175" s="136"/>
      <c r="CK175" s="136" t="s">
        <v>809</v>
      </c>
      <c r="CL175"/>
    </row>
    <row r="176" spans="1:90" ht="24.95" hidden="1" customHeight="1">
      <c r="A176" s="91">
        <v>180</v>
      </c>
      <c r="B176" s="91" t="s">
        <v>2580</v>
      </c>
      <c r="C176" s="91" t="s">
        <v>2581</v>
      </c>
      <c r="D176" s="91"/>
      <c r="E176" s="91" t="s">
        <v>2582</v>
      </c>
      <c r="F176" s="91" t="s">
        <v>25</v>
      </c>
      <c r="G176" s="91">
        <v>8</v>
      </c>
      <c r="H176" s="91" t="s">
        <v>60</v>
      </c>
      <c r="I176" s="91" t="s">
        <v>37</v>
      </c>
      <c r="J176" s="91" t="s">
        <v>602</v>
      </c>
      <c r="K176" s="91" t="s">
        <v>1224</v>
      </c>
      <c r="L176" s="91" t="s">
        <v>37</v>
      </c>
      <c r="M176" s="91" t="s">
        <v>150</v>
      </c>
      <c r="N176" s="91">
        <v>207019377</v>
      </c>
      <c r="O176" s="91"/>
      <c r="P176" s="91" t="s">
        <v>151</v>
      </c>
      <c r="Q176" s="91"/>
      <c r="R176" s="91" t="s">
        <v>2583</v>
      </c>
      <c r="S176" s="91" t="s">
        <v>2584</v>
      </c>
      <c r="T176" s="200" t="s">
        <v>2585</v>
      </c>
      <c r="U176" s="92"/>
      <c r="V176" s="92">
        <v>29599</v>
      </c>
      <c r="W176" s="164" t="s">
        <v>2586</v>
      </c>
      <c r="X176" s="164"/>
      <c r="Y176" s="164"/>
      <c r="Z176" s="164"/>
      <c r="AA176" s="91">
        <v>33</v>
      </c>
      <c r="AB176" s="92">
        <v>43045</v>
      </c>
      <c r="AC176" s="281">
        <v>43160</v>
      </c>
      <c r="AD176" s="92">
        <v>43867</v>
      </c>
      <c r="AE176" s="92"/>
      <c r="AF176" s="92"/>
      <c r="AG176" s="92"/>
      <c r="AH176" s="91">
        <f t="shared" si="43"/>
        <v>0</v>
      </c>
      <c r="AI176" s="92"/>
      <c r="AJ176" s="92"/>
      <c r="AK176" s="92"/>
      <c r="AL176" s="92"/>
      <c r="AM176" s="92"/>
      <c r="AN176" s="92"/>
      <c r="AO176" s="92" t="s">
        <v>182</v>
      </c>
      <c r="AP176" s="92"/>
      <c r="AQ176" s="92"/>
      <c r="AR176" s="92"/>
      <c r="AS176" s="92"/>
      <c r="AT176" s="400" t="s">
        <v>580</v>
      </c>
      <c r="AU176" s="91"/>
      <c r="AV176" s="92"/>
      <c r="AW176" s="93">
        <v>43164</v>
      </c>
      <c r="AX176" s="93"/>
      <c r="AY176" s="93" t="s">
        <v>163</v>
      </c>
      <c r="AZ176" s="93"/>
      <c r="BA176" s="93"/>
      <c r="BB176" s="93"/>
      <c r="BC176" s="93"/>
      <c r="BD176" s="93"/>
      <c r="BE176" s="94"/>
      <c r="BF176" s="93"/>
      <c r="BG176" s="93"/>
      <c r="BH176" s="93"/>
      <c r="BI176" s="93"/>
      <c r="BJ176" s="92"/>
      <c r="BK176" s="92"/>
      <c r="BL176" s="92"/>
      <c r="BM176" s="92"/>
      <c r="BN176" s="193" t="s">
        <v>18</v>
      </c>
      <c r="BO176" s="193" t="s">
        <v>18</v>
      </c>
      <c r="BP176" s="265"/>
      <c r="BQ176" s="91"/>
      <c r="BR176" s="91">
        <v>3</v>
      </c>
      <c r="BS176" s="91"/>
      <c r="BT176" s="91"/>
      <c r="BU176" s="91"/>
      <c r="BV176" s="91"/>
      <c r="BW176" s="91"/>
      <c r="BX176" s="91"/>
      <c r="BY176" s="91" t="s">
        <v>163</v>
      </c>
      <c r="BZ176" s="91"/>
      <c r="CA176" s="91"/>
      <c r="CB176" s="95"/>
      <c r="CC176" s="95"/>
      <c r="CD176" s="91"/>
      <c r="CE176" s="91"/>
      <c r="CF176" s="91"/>
      <c r="CG176" s="91"/>
      <c r="CH176" s="113">
        <v>2</v>
      </c>
      <c r="CI176" s="91"/>
      <c r="CJ176" s="91"/>
      <c r="CK176" s="91" t="s">
        <v>809</v>
      </c>
    </row>
    <row r="177" spans="1:90" s="53" customFormat="1" ht="24.95" hidden="1" customHeight="1">
      <c r="A177" s="136">
        <v>181</v>
      </c>
      <c r="B177" s="136" t="s">
        <v>2587</v>
      </c>
      <c r="C177" s="136" t="s">
        <v>2588</v>
      </c>
      <c r="D177" s="136" t="s">
        <v>2589</v>
      </c>
      <c r="E177" s="136" t="s">
        <v>2590</v>
      </c>
      <c r="F177" s="136" t="s">
        <v>24</v>
      </c>
      <c r="G177" s="136">
        <v>8</v>
      </c>
      <c r="H177" s="136" t="s">
        <v>52</v>
      </c>
      <c r="I177" s="136" t="s">
        <v>44</v>
      </c>
      <c r="J177" s="136" t="s">
        <v>1530</v>
      </c>
      <c r="K177" s="136"/>
      <c r="L177" s="136" t="s">
        <v>46</v>
      </c>
      <c r="M177" s="136" t="s">
        <v>163</v>
      </c>
      <c r="N177" s="136">
        <v>2160178</v>
      </c>
      <c r="O177" s="136" t="s">
        <v>151</v>
      </c>
      <c r="P177" s="136" t="s">
        <v>151</v>
      </c>
      <c r="Q177" s="136"/>
      <c r="R177" s="136" t="s">
        <v>2591</v>
      </c>
      <c r="S177" s="136" t="s">
        <v>2592</v>
      </c>
      <c r="T177" s="346" t="s">
        <v>2593</v>
      </c>
      <c r="U177" s="139" t="s">
        <v>2594</v>
      </c>
      <c r="V177" s="139">
        <v>30010</v>
      </c>
      <c r="W177" s="147" t="s">
        <v>2595</v>
      </c>
      <c r="X177" s="147" t="s">
        <v>2363</v>
      </c>
      <c r="Y177" s="147" t="s">
        <v>157</v>
      </c>
      <c r="Z177" s="147"/>
      <c r="AA177" s="136">
        <v>3</v>
      </c>
      <c r="AB177" s="139">
        <v>43373</v>
      </c>
      <c r="AC177" s="285">
        <v>43160</v>
      </c>
      <c r="AD177" s="139"/>
      <c r="AE177" s="139" t="s">
        <v>2596</v>
      </c>
      <c r="AF177" s="313" t="s">
        <v>2597</v>
      </c>
      <c r="AG177" s="139"/>
      <c r="AH177" s="136">
        <f t="shared" si="43"/>
        <v>2</v>
      </c>
      <c r="AI177" s="139" t="s">
        <v>162</v>
      </c>
      <c r="AJ177" s="139"/>
      <c r="AK177" s="139"/>
      <c r="AL177" s="139" t="s">
        <v>163</v>
      </c>
      <c r="AM177" s="139"/>
      <c r="AN177" s="139"/>
      <c r="AO177" s="139" t="s">
        <v>959</v>
      </c>
      <c r="AP177" s="139" t="s">
        <v>2598</v>
      </c>
      <c r="AQ177" s="139" t="s">
        <v>2598</v>
      </c>
      <c r="AR177" s="139"/>
      <c r="AS177" s="236" t="s">
        <v>2599</v>
      </c>
      <c r="AT177" s="421" t="s">
        <v>420</v>
      </c>
      <c r="AU177" s="136" t="s">
        <v>2600</v>
      </c>
      <c r="AV177" s="139"/>
      <c r="AW177" s="141">
        <v>43164</v>
      </c>
      <c r="AX177" s="141">
        <v>43409</v>
      </c>
      <c r="AY177" s="141" t="s">
        <v>150</v>
      </c>
      <c r="AZ177" s="141">
        <v>43797</v>
      </c>
      <c r="BA177" s="141">
        <v>43865</v>
      </c>
      <c r="BB177" s="141"/>
      <c r="BC177" s="141"/>
      <c r="BD177" s="141"/>
      <c r="BE177" s="142" t="s">
        <v>2601</v>
      </c>
      <c r="BF177" s="141">
        <v>44470</v>
      </c>
      <c r="BG177" s="141" t="s">
        <v>163</v>
      </c>
      <c r="BH177" s="141">
        <v>45110</v>
      </c>
      <c r="BI177" s="141" t="s">
        <v>163</v>
      </c>
      <c r="BJ177" s="139">
        <v>44949</v>
      </c>
      <c r="BK177" s="139"/>
      <c r="BL177" s="139"/>
      <c r="BM177" s="143">
        <v>45087</v>
      </c>
      <c r="BN177" s="148" t="s">
        <v>16</v>
      </c>
      <c r="BO177" s="136">
        <f>DATEDIF(AW177,BM177, "M")+1</f>
        <v>64</v>
      </c>
      <c r="BP177" s="136">
        <f t="shared" ref="BP177:BP179" si="52">DATEDIF(AX177,BM177, "M")+1</f>
        <v>56</v>
      </c>
      <c r="BQ177" s="147" t="s">
        <v>2602</v>
      </c>
      <c r="BR177" s="136">
        <v>1</v>
      </c>
      <c r="BS177" s="136">
        <v>2</v>
      </c>
      <c r="BT177" s="136">
        <v>0</v>
      </c>
      <c r="BU177" s="136"/>
      <c r="BV177" s="136"/>
      <c r="BW177" s="136"/>
      <c r="BX177" s="136"/>
      <c r="BY177" s="136" t="s">
        <v>163</v>
      </c>
      <c r="BZ177" s="136" t="s">
        <v>150</v>
      </c>
      <c r="CA177" s="136" t="s">
        <v>2603</v>
      </c>
      <c r="CB177" s="144">
        <v>43647</v>
      </c>
      <c r="CC177" s="144">
        <v>44012</v>
      </c>
      <c r="CD177" s="136">
        <v>11</v>
      </c>
      <c r="CE177" s="136" t="s">
        <v>163</v>
      </c>
      <c r="CF177" s="136"/>
      <c r="CG177" s="136"/>
      <c r="CH177" s="374">
        <v>2</v>
      </c>
      <c r="CI177" s="136"/>
      <c r="CJ177" s="136"/>
      <c r="CK177" s="136" t="s">
        <v>1806</v>
      </c>
      <c r="CL177"/>
    </row>
    <row r="178" spans="1:90" s="53" customFormat="1" ht="24.95" hidden="1" customHeight="1">
      <c r="A178" s="136">
        <v>182</v>
      </c>
      <c r="B178" s="136" t="s">
        <v>2604</v>
      </c>
      <c r="C178" s="136" t="s">
        <v>2605</v>
      </c>
      <c r="D178" s="136" t="s">
        <v>2606</v>
      </c>
      <c r="E178" s="136" t="s">
        <v>2607</v>
      </c>
      <c r="F178" s="136" t="s">
        <v>25</v>
      </c>
      <c r="G178" s="136">
        <v>8</v>
      </c>
      <c r="H178" s="136" t="s">
        <v>52</v>
      </c>
      <c r="I178" s="136" t="s">
        <v>44</v>
      </c>
      <c r="J178" s="136" t="s">
        <v>2608</v>
      </c>
      <c r="K178" s="136" t="s">
        <v>2609</v>
      </c>
      <c r="L178" s="136" t="s">
        <v>44</v>
      </c>
      <c r="M178" s="136" t="s">
        <v>150</v>
      </c>
      <c r="N178" s="136"/>
      <c r="O178" s="136" t="s">
        <v>322</v>
      </c>
      <c r="P178" s="136" t="s">
        <v>322</v>
      </c>
      <c r="Q178" s="136"/>
      <c r="R178" s="387" t="s">
        <v>2610</v>
      </c>
      <c r="S178" s="387" t="s">
        <v>2611</v>
      </c>
      <c r="T178" s="345" t="s">
        <v>2612</v>
      </c>
      <c r="U178" s="139" t="s">
        <v>2613</v>
      </c>
      <c r="V178" s="139">
        <v>31650</v>
      </c>
      <c r="W178" s="147" t="s">
        <v>2614</v>
      </c>
      <c r="X178" s="147" t="s">
        <v>2363</v>
      </c>
      <c r="Y178" s="147"/>
      <c r="Z178" s="147"/>
      <c r="AA178" s="136">
        <v>10</v>
      </c>
      <c r="AB178" s="139">
        <v>43374</v>
      </c>
      <c r="AC178" s="285">
        <v>43160</v>
      </c>
      <c r="AD178" s="139"/>
      <c r="AE178" s="139" t="s">
        <v>2615</v>
      </c>
      <c r="AF178" s="139" t="s">
        <v>2616</v>
      </c>
      <c r="AG178" s="139" t="s">
        <v>2617</v>
      </c>
      <c r="AH178" s="136">
        <f t="shared" si="43"/>
        <v>3</v>
      </c>
      <c r="AI178" s="139" t="s">
        <v>161</v>
      </c>
      <c r="AJ178" s="139" t="s">
        <v>202</v>
      </c>
      <c r="AK178" s="139" t="s">
        <v>161</v>
      </c>
      <c r="AL178" s="139" t="s">
        <v>150</v>
      </c>
      <c r="AM178" s="139" t="s">
        <v>163</v>
      </c>
      <c r="AN178" s="139" t="s">
        <v>163</v>
      </c>
      <c r="AO178" s="139" t="s">
        <v>164</v>
      </c>
      <c r="AP178" s="139" t="s">
        <v>1167</v>
      </c>
      <c r="AQ178" s="139" t="s">
        <v>203</v>
      </c>
      <c r="AR178" s="139" t="s">
        <v>150</v>
      </c>
      <c r="AS178" s="139"/>
      <c r="AT178" s="421" t="s">
        <v>420</v>
      </c>
      <c r="AU178" s="136" t="s">
        <v>2618</v>
      </c>
      <c r="AV178" s="139"/>
      <c r="AW178" s="141">
        <v>43164</v>
      </c>
      <c r="AX178" s="141">
        <v>43409</v>
      </c>
      <c r="AY178" s="141" t="s">
        <v>150</v>
      </c>
      <c r="AZ178" s="141">
        <v>43334</v>
      </c>
      <c r="BA178" s="141">
        <v>43468</v>
      </c>
      <c r="BB178" s="141"/>
      <c r="BC178" s="141"/>
      <c r="BD178" s="141"/>
      <c r="BE178" s="142" t="s">
        <v>2619</v>
      </c>
      <c r="BF178" s="141">
        <v>44207</v>
      </c>
      <c r="BG178" s="141" t="s">
        <v>150</v>
      </c>
      <c r="BH178" s="141">
        <v>44410</v>
      </c>
      <c r="BI178" s="141" t="s">
        <v>150</v>
      </c>
      <c r="BJ178" s="139"/>
      <c r="BK178" s="139"/>
      <c r="BL178" s="139"/>
      <c r="BM178" s="143">
        <v>44679</v>
      </c>
      <c r="BN178" s="136" t="s">
        <v>16</v>
      </c>
      <c r="BO178" s="136">
        <f t="shared" ref="BO178:BO179" si="53">DATEDIF(AW178,BM178, "M")+1</f>
        <v>50</v>
      </c>
      <c r="BP178" s="136">
        <f t="shared" si="52"/>
        <v>42</v>
      </c>
      <c r="BQ178" s="136"/>
      <c r="BR178" s="136">
        <v>1</v>
      </c>
      <c r="BS178" s="136">
        <v>2</v>
      </c>
      <c r="BT178" s="136">
        <v>0</v>
      </c>
      <c r="BU178" s="136"/>
      <c r="BV178" s="136"/>
      <c r="BW178" s="136"/>
      <c r="BX178" s="136"/>
      <c r="BY178" s="136" t="s">
        <v>163</v>
      </c>
      <c r="BZ178" s="136"/>
      <c r="CA178" s="136"/>
      <c r="CB178" s="144"/>
      <c r="CC178" s="144"/>
      <c r="CD178" s="136"/>
      <c r="CE178" s="136"/>
      <c r="CF178" s="136"/>
      <c r="CG178" s="136"/>
      <c r="CH178" s="374">
        <v>2</v>
      </c>
      <c r="CI178" s="136"/>
      <c r="CJ178" s="136"/>
      <c r="CK178" s="136" t="s">
        <v>1806</v>
      </c>
      <c r="CL178"/>
    </row>
    <row r="179" spans="1:90" s="53" customFormat="1" ht="24.95" hidden="1" customHeight="1">
      <c r="A179" s="136">
        <v>183</v>
      </c>
      <c r="B179" s="136" t="s">
        <v>2620</v>
      </c>
      <c r="C179" s="136" t="s">
        <v>2621</v>
      </c>
      <c r="D179" s="136" t="s">
        <v>2622</v>
      </c>
      <c r="E179" s="136" t="s">
        <v>2623</v>
      </c>
      <c r="F179" s="136" t="s">
        <v>24</v>
      </c>
      <c r="G179" s="136">
        <v>8</v>
      </c>
      <c r="H179" s="136" t="s">
        <v>58</v>
      </c>
      <c r="I179" s="136" t="s">
        <v>46</v>
      </c>
      <c r="J179" s="136" t="s">
        <v>2028</v>
      </c>
      <c r="K179" s="136"/>
      <c r="L179" s="136" t="s">
        <v>46</v>
      </c>
      <c r="M179" s="136" t="s">
        <v>150</v>
      </c>
      <c r="N179" s="136"/>
      <c r="O179" s="136" t="s">
        <v>322</v>
      </c>
      <c r="P179" s="136" t="s">
        <v>322</v>
      </c>
      <c r="Q179" s="136"/>
      <c r="R179" s="136" t="s">
        <v>2624</v>
      </c>
      <c r="S179" s="136" t="s">
        <v>2625</v>
      </c>
      <c r="T179" s="346" t="s">
        <v>2626</v>
      </c>
      <c r="U179" s="139"/>
      <c r="V179" s="139">
        <v>30956</v>
      </c>
      <c r="W179" s="147" t="s">
        <v>2627</v>
      </c>
      <c r="X179" s="147" t="s">
        <v>156</v>
      </c>
      <c r="Y179" s="147"/>
      <c r="Z179" s="147"/>
      <c r="AA179" s="136">
        <v>43</v>
      </c>
      <c r="AB179" s="139">
        <v>43466</v>
      </c>
      <c r="AC179" s="285">
        <v>43160</v>
      </c>
      <c r="AD179" s="139"/>
      <c r="AE179" s="139" t="s">
        <v>2628</v>
      </c>
      <c r="AF179" s="139" t="s">
        <v>2629</v>
      </c>
      <c r="AG179" s="139"/>
      <c r="AH179" s="136">
        <f t="shared" si="43"/>
        <v>2</v>
      </c>
      <c r="AI179" s="139" t="s">
        <v>161</v>
      </c>
      <c r="AJ179" s="139" t="s">
        <v>202</v>
      </c>
      <c r="AK179" s="139"/>
      <c r="AL179" s="139" t="s">
        <v>150</v>
      </c>
      <c r="AM179" s="139" t="s">
        <v>163</v>
      </c>
      <c r="AN179" s="139"/>
      <c r="AO179" s="139" t="s">
        <v>202</v>
      </c>
      <c r="AP179" s="139" t="s">
        <v>2630</v>
      </c>
      <c r="AQ179" s="139" t="s">
        <v>182</v>
      </c>
      <c r="AR179" s="139"/>
      <c r="AS179" s="139"/>
      <c r="AT179" s="421" t="s">
        <v>372</v>
      </c>
      <c r="AU179" s="136" t="s">
        <v>2631</v>
      </c>
      <c r="AV179" s="139"/>
      <c r="AW179" s="141">
        <v>43164</v>
      </c>
      <c r="AX179" s="141">
        <v>43409</v>
      </c>
      <c r="AY179" s="141" t="s">
        <v>150</v>
      </c>
      <c r="AZ179" s="141">
        <v>43690</v>
      </c>
      <c r="BA179" s="141">
        <v>43644</v>
      </c>
      <c r="BB179" s="141"/>
      <c r="BC179" s="141"/>
      <c r="BD179" s="141"/>
      <c r="BE179" s="142" t="s">
        <v>2632</v>
      </c>
      <c r="BF179" s="141">
        <v>44207</v>
      </c>
      <c r="BG179" s="141" t="s">
        <v>150</v>
      </c>
      <c r="BH179" s="141">
        <v>44410</v>
      </c>
      <c r="BI179" s="141" t="s">
        <v>150</v>
      </c>
      <c r="BJ179" s="139"/>
      <c r="BK179" s="139"/>
      <c r="BL179" s="139"/>
      <c r="BM179" s="143">
        <v>45610</v>
      </c>
      <c r="BN179" s="150" t="s">
        <v>16</v>
      </c>
      <c r="BO179" s="136">
        <f t="shared" si="53"/>
        <v>81</v>
      </c>
      <c r="BP179" s="136">
        <f t="shared" si="52"/>
        <v>73</v>
      </c>
      <c r="BQ179" s="147" t="s">
        <v>2633</v>
      </c>
      <c r="BR179" s="136">
        <v>1</v>
      </c>
      <c r="BS179" s="136">
        <v>4</v>
      </c>
      <c r="BT179" s="136">
        <v>0</v>
      </c>
      <c r="BU179" s="136"/>
      <c r="BV179" s="136"/>
      <c r="BW179" s="136"/>
      <c r="BX179" s="136"/>
      <c r="BY179" s="136" t="s">
        <v>163</v>
      </c>
      <c r="BZ179" s="136"/>
      <c r="CA179" s="136"/>
      <c r="CB179" s="144"/>
      <c r="CC179" s="144"/>
      <c r="CD179" s="136"/>
      <c r="CE179" s="136"/>
      <c r="CF179" s="136"/>
      <c r="CG179" s="136"/>
      <c r="CH179" s="374">
        <v>3</v>
      </c>
      <c r="CI179" s="136"/>
      <c r="CJ179" s="136"/>
      <c r="CK179" s="136" t="s">
        <v>809</v>
      </c>
      <c r="CL179"/>
    </row>
    <row r="180" spans="1:90" s="53" customFormat="1" ht="24.95" hidden="1" customHeight="1">
      <c r="A180" s="136">
        <v>184</v>
      </c>
      <c r="B180" s="136" t="s">
        <v>2634</v>
      </c>
      <c r="C180" s="136" t="s">
        <v>2635</v>
      </c>
      <c r="D180" s="136" t="s">
        <v>2636</v>
      </c>
      <c r="E180" s="136" t="s">
        <v>2637</v>
      </c>
      <c r="F180" s="136" t="s">
        <v>25</v>
      </c>
      <c r="G180" s="136">
        <v>8</v>
      </c>
      <c r="H180" s="136" t="s">
        <v>54</v>
      </c>
      <c r="I180" s="136" t="s">
        <v>33</v>
      </c>
      <c r="J180" s="136" t="s">
        <v>1405</v>
      </c>
      <c r="K180" s="136" t="s">
        <v>1405</v>
      </c>
      <c r="L180" s="136" t="s">
        <v>33</v>
      </c>
      <c r="M180" s="136" t="s">
        <v>150</v>
      </c>
      <c r="N180" s="136">
        <v>160413</v>
      </c>
      <c r="O180" s="136" t="s">
        <v>151</v>
      </c>
      <c r="P180" s="136" t="s">
        <v>151</v>
      </c>
      <c r="Q180" s="136" t="s">
        <v>151</v>
      </c>
      <c r="R180" s="136" t="s">
        <v>2638</v>
      </c>
      <c r="S180" s="136" t="s">
        <v>2639</v>
      </c>
      <c r="T180" s="345" t="s">
        <v>2640</v>
      </c>
      <c r="U180" s="139" t="s">
        <v>2641</v>
      </c>
      <c r="V180" s="139">
        <v>27514</v>
      </c>
      <c r="W180" s="147" t="s">
        <v>2642</v>
      </c>
      <c r="X180" s="147" t="s">
        <v>179</v>
      </c>
      <c r="Y180" s="147" t="s">
        <v>163</v>
      </c>
      <c r="Z180" s="147"/>
      <c r="AA180" s="136">
        <v>28</v>
      </c>
      <c r="AB180" s="139">
        <v>42030</v>
      </c>
      <c r="AC180" s="285">
        <v>43160</v>
      </c>
      <c r="AD180" s="139"/>
      <c r="AE180" s="139" t="s">
        <v>2643</v>
      </c>
      <c r="AF180" s="139"/>
      <c r="AG180" s="139"/>
      <c r="AH180" s="136">
        <f t="shared" si="43"/>
        <v>1</v>
      </c>
      <c r="AI180" s="139"/>
      <c r="AJ180" s="139"/>
      <c r="AK180" s="139"/>
      <c r="AL180" s="139" t="s">
        <v>150</v>
      </c>
      <c r="AM180" s="139"/>
      <c r="AN180" s="139"/>
      <c r="AO180" s="139" t="s">
        <v>164</v>
      </c>
      <c r="AP180" s="139" t="s">
        <v>445</v>
      </c>
      <c r="AQ180" s="139" t="s">
        <v>445</v>
      </c>
      <c r="AR180" s="139"/>
      <c r="AS180" s="139"/>
      <c r="AT180" s="421" t="s">
        <v>328</v>
      </c>
      <c r="AU180" s="136" t="s">
        <v>2644</v>
      </c>
      <c r="AV180" s="139"/>
      <c r="AW180" s="141">
        <v>43164</v>
      </c>
      <c r="AX180" s="141">
        <v>43409</v>
      </c>
      <c r="AY180" s="141" t="s">
        <v>150</v>
      </c>
      <c r="AZ180" s="141">
        <v>43326</v>
      </c>
      <c r="BA180" s="141">
        <v>43403</v>
      </c>
      <c r="BB180" s="141"/>
      <c r="BC180" s="141"/>
      <c r="BD180" s="141"/>
      <c r="BE180" s="142" t="s">
        <v>2645</v>
      </c>
      <c r="BF180" s="141">
        <v>44207</v>
      </c>
      <c r="BG180" s="141" t="s">
        <v>150</v>
      </c>
      <c r="BH180" s="141">
        <v>44410</v>
      </c>
      <c r="BI180" s="141" t="s">
        <v>150</v>
      </c>
      <c r="BJ180" s="139"/>
      <c r="BK180" s="139"/>
      <c r="BL180" s="139"/>
      <c r="BM180" s="143">
        <v>44648</v>
      </c>
      <c r="BN180" s="136" t="s">
        <v>16</v>
      </c>
      <c r="BO180" s="136">
        <f t="shared" ref="BO180" si="54">DATEDIF(AW180,BM180, "M")+1</f>
        <v>49</v>
      </c>
      <c r="BP180" s="136">
        <f>DATEDIF(AX180,BM180, "M")+1</f>
        <v>41</v>
      </c>
      <c r="BQ180" s="136"/>
      <c r="BR180" s="136">
        <v>1</v>
      </c>
      <c r="BS180" s="136">
        <v>0</v>
      </c>
      <c r="BT180" s="136">
        <v>1</v>
      </c>
      <c r="BU180" s="136"/>
      <c r="BV180" s="136"/>
      <c r="BW180" s="136"/>
      <c r="BX180" s="136"/>
      <c r="BY180" s="136" t="s">
        <v>163</v>
      </c>
      <c r="BZ180" s="136" t="s">
        <v>163</v>
      </c>
      <c r="CA180" s="136"/>
      <c r="CB180" s="144"/>
      <c r="CC180" s="144"/>
      <c r="CD180" s="136"/>
      <c r="CE180" s="136" t="s">
        <v>163</v>
      </c>
      <c r="CF180" s="136"/>
      <c r="CG180" s="136"/>
      <c r="CH180" s="374">
        <v>3</v>
      </c>
      <c r="CI180" s="136">
        <v>3</v>
      </c>
      <c r="CJ180" s="136"/>
      <c r="CK180" s="136" t="s">
        <v>809</v>
      </c>
      <c r="CL180"/>
    </row>
    <row r="181" spans="1:90" s="53" customFormat="1" ht="24.95" hidden="1" customHeight="1">
      <c r="A181" s="136">
        <v>185</v>
      </c>
      <c r="B181" s="136" t="s">
        <v>2646</v>
      </c>
      <c r="C181" s="136" t="s">
        <v>2647</v>
      </c>
      <c r="D181" s="136"/>
      <c r="E181" s="136" t="s">
        <v>2648</v>
      </c>
      <c r="F181" s="136" t="s">
        <v>25</v>
      </c>
      <c r="G181" s="136">
        <v>8</v>
      </c>
      <c r="H181" s="136" t="s">
        <v>60</v>
      </c>
      <c r="I181" s="136" t="s">
        <v>37</v>
      </c>
      <c r="J181" s="136" t="s">
        <v>2649</v>
      </c>
      <c r="K181" s="136" t="s">
        <v>2650</v>
      </c>
      <c r="L181" s="136" t="s">
        <v>44</v>
      </c>
      <c r="M181" s="136" t="s">
        <v>163</v>
      </c>
      <c r="N181" s="136" t="s">
        <v>2651</v>
      </c>
      <c r="O181" s="136" t="s">
        <v>151</v>
      </c>
      <c r="P181" s="136" t="s">
        <v>151</v>
      </c>
      <c r="Q181" s="136"/>
      <c r="R181" s="136" t="s">
        <v>2652</v>
      </c>
      <c r="S181" s="136" t="s">
        <v>2653</v>
      </c>
      <c r="T181" s="345" t="s">
        <v>2654</v>
      </c>
      <c r="U181" s="139" t="s">
        <v>2655</v>
      </c>
      <c r="V181" s="139">
        <v>33161</v>
      </c>
      <c r="W181" s="147" t="s">
        <v>2656</v>
      </c>
      <c r="X181" s="147" t="s">
        <v>2363</v>
      </c>
      <c r="Y181" s="147" t="s">
        <v>157</v>
      </c>
      <c r="Z181" s="147"/>
      <c r="AA181" s="136">
        <v>31</v>
      </c>
      <c r="AB181" s="139">
        <v>43493</v>
      </c>
      <c r="AC181" s="285">
        <v>43160</v>
      </c>
      <c r="AD181" s="139"/>
      <c r="AE181" s="139" t="s">
        <v>2657</v>
      </c>
      <c r="AF181" s="139" t="s">
        <v>2658</v>
      </c>
      <c r="AG181" s="139"/>
      <c r="AH181" s="136">
        <f t="shared" si="43"/>
        <v>2</v>
      </c>
      <c r="AI181" s="139" t="s">
        <v>161</v>
      </c>
      <c r="AJ181" s="139" t="s">
        <v>202</v>
      </c>
      <c r="AK181" s="139"/>
      <c r="AL181" s="139" t="s">
        <v>163</v>
      </c>
      <c r="AM181" s="139" t="s">
        <v>163</v>
      </c>
      <c r="AN181" s="139"/>
      <c r="AO181" s="139" t="s">
        <v>164</v>
      </c>
      <c r="AP181" s="139" t="s">
        <v>181</v>
      </c>
      <c r="AQ181" s="139" t="s">
        <v>181</v>
      </c>
      <c r="AR181" s="139"/>
      <c r="AS181" s="139"/>
      <c r="AT181" s="421" t="s">
        <v>580</v>
      </c>
      <c r="AU181" s="136" t="s">
        <v>2659</v>
      </c>
      <c r="AV181" s="139"/>
      <c r="AW181" s="141">
        <v>43164</v>
      </c>
      <c r="AX181" s="141">
        <v>43409</v>
      </c>
      <c r="AY181" s="141" t="s">
        <v>150</v>
      </c>
      <c r="AZ181" s="141">
        <v>43228</v>
      </c>
      <c r="BA181" s="141">
        <v>43665</v>
      </c>
      <c r="BB181" s="141"/>
      <c r="BC181" s="141"/>
      <c r="BD181" s="141"/>
      <c r="BE181" s="142" t="s">
        <v>2660</v>
      </c>
      <c r="BF181" s="141">
        <v>44207</v>
      </c>
      <c r="BG181" s="141" t="s">
        <v>150</v>
      </c>
      <c r="BH181" s="141">
        <v>44410</v>
      </c>
      <c r="BI181" s="141" t="s">
        <v>150</v>
      </c>
      <c r="BJ181" s="139"/>
      <c r="BK181" s="139"/>
      <c r="BL181" s="139"/>
      <c r="BM181" s="143"/>
      <c r="BN181" s="129" t="s">
        <v>17</v>
      </c>
      <c r="BO181" s="139"/>
      <c r="BP181" s="136"/>
      <c r="BQ181" s="136"/>
      <c r="BR181" s="136">
        <v>1</v>
      </c>
      <c r="BS181" s="136">
        <v>6</v>
      </c>
      <c r="BT181" s="136">
        <v>0</v>
      </c>
      <c r="BU181" s="136"/>
      <c r="BV181" s="136"/>
      <c r="BW181" s="136"/>
      <c r="BX181" s="136"/>
      <c r="BY181" s="136" t="s">
        <v>2298</v>
      </c>
      <c r="BZ181" s="136" t="s">
        <v>163</v>
      </c>
      <c r="CA181" s="136"/>
      <c r="CB181" s="144"/>
      <c r="CC181" s="144"/>
      <c r="CD181" s="136"/>
      <c r="CE181" s="136" t="s">
        <v>163</v>
      </c>
      <c r="CF181" s="136"/>
      <c r="CG181" s="136"/>
      <c r="CH181" s="374">
        <v>0</v>
      </c>
      <c r="CI181" s="136"/>
      <c r="CJ181" s="136"/>
      <c r="CK181" s="136" t="s">
        <v>809</v>
      </c>
      <c r="CL181"/>
    </row>
    <row r="182" spans="1:90" s="53" customFormat="1" ht="24.95" hidden="1" customHeight="1">
      <c r="A182" s="136">
        <v>186</v>
      </c>
      <c r="B182" s="136" t="s">
        <v>2661</v>
      </c>
      <c r="C182" s="136" t="s">
        <v>2662</v>
      </c>
      <c r="D182" s="136"/>
      <c r="E182" s="136" t="s">
        <v>2506</v>
      </c>
      <c r="F182" s="136" t="s">
        <v>24</v>
      </c>
      <c r="G182" s="136">
        <v>8</v>
      </c>
      <c r="H182" s="136" t="s">
        <v>55</v>
      </c>
      <c r="I182" s="136" t="s">
        <v>45</v>
      </c>
      <c r="J182" s="136" t="s">
        <v>2663</v>
      </c>
      <c r="K182" s="136" t="s">
        <v>2664</v>
      </c>
      <c r="L182" s="136" t="s">
        <v>44</v>
      </c>
      <c r="M182" s="136" t="s">
        <v>163</v>
      </c>
      <c r="N182" s="136"/>
      <c r="O182" s="136" t="s">
        <v>151</v>
      </c>
      <c r="P182" s="136" t="s">
        <v>151</v>
      </c>
      <c r="Q182" s="136"/>
      <c r="R182" s="145" t="s">
        <v>2665</v>
      </c>
      <c r="S182" s="136" t="s">
        <v>2666</v>
      </c>
      <c r="T182" s="345" t="s">
        <v>2667</v>
      </c>
      <c r="U182" s="139"/>
      <c r="V182" s="139">
        <v>31334</v>
      </c>
      <c r="W182" s="147" t="s">
        <v>2668</v>
      </c>
      <c r="X182" s="147" t="s">
        <v>2363</v>
      </c>
      <c r="Y182" s="147"/>
      <c r="Z182" s="147"/>
      <c r="AA182" s="136">
        <v>38</v>
      </c>
      <c r="AB182" s="139">
        <v>43325</v>
      </c>
      <c r="AC182" s="285">
        <v>43160</v>
      </c>
      <c r="AD182" s="139"/>
      <c r="AE182" s="139" t="s">
        <v>2669</v>
      </c>
      <c r="AF182" s="139"/>
      <c r="AG182" s="139"/>
      <c r="AH182" s="136">
        <f t="shared" si="43"/>
        <v>1</v>
      </c>
      <c r="AI182" s="139"/>
      <c r="AJ182" s="139"/>
      <c r="AK182" s="139"/>
      <c r="AL182" s="139" t="s">
        <v>150</v>
      </c>
      <c r="AM182" s="139"/>
      <c r="AN182" s="139"/>
      <c r="AO182" s="139" t="s">
        <v>164</v>
      </c>
      <c r="AP182" s="139" t="s">
        <v>181</v>
      </c>
      <c r="AQ182" s="139" t="s">
        <v>203</v>
      </c>
      <c r="AR182" s="139" t="s">
        <v>150</v>
      </c>
      <c r="AS182" s="139"/>
      <c r="AT182" s="421" t="s">
        <v>2670</v>
      </c>
      <c r="AU182" s="136" t="s">
        <v>2671</v>
      </c>
      <c r="AV182" s="139"/>
      <c r="AW182" s="141">
        <v>43164</v>
      </c>
      <c r="AX182" s="141">
        <v>43409</v>
      </c>
      <c r="AY182" s="141" t="s">
        <v>150</v>
      </c>
      <c r="AZ182" s="141">
        <v>43893</v>
      </c>
      <c r="BA182" s="141">
        <v>43700</v>
      </c>
      <c r="BB182" s="141"/>
      <c r="BC182" s="141"/>
      <c r="BD182" s="141"/>
      <c r="BE182" s="142" t="s">
        <v>2672</v>
      </c>
      <c r="BF182" s="141">
        <v>44470</v>
      </c>
      <c r="BG182" s="141" t="s">
        <v>163</v>
      </c>
      <c r="BH182" s="141">
        <v>44732</v>
      </c>
      <c r="BI182" s="141" t="s">
        <v>163</v>
      </c>
      <c r="BJ182" s="139"/>
      <c r="BK182" s="139"/>
      <c r="BL182" s="139"/>
      <c r="BM182" s="143"/>
      <c r="BN182" s="148" t="s">
        <v>17</v>
      </c>
      <c r="BO182" s="139"/>
      <c r="BP182" s="136"/>
      <c r="BQ182" s="136"/>
      <c r="BR182" s="136">
        <v>1</v>
      </c>
      <c r="BS182" s="136">
        <v>6</v>
      </c>
      <c r="BT182" s="136">
        <v>0</v>
      </c>
      <c r="BU182" s="136"/>
      <c r="BV182" s="136"/>
      <c r="BW182" s="136"/>
      <c r="BX182" s="136"/>
      <c r="BY182" s="136" t="s">
        <v>163</v>
      </c>
      <c r="BZ182" s="136"/>
      <c r="CA182" s="136"/>
      <c r="CB182" s="144"/>
      <c r="CC182" s="144"/>
      <c r="CD182" s="136"/>
      <c r="CE182" s="136"/>
      <c r="CF182" s="136"/>
      <c r="CG182" s="136"/>
      <c r="CH182" s="374">
        <v>1</v>
      </c>
      <c r="CI182" s="136"/>
      <c r="CJ182" s="136"/>
      <c r="CK182" s="136" t="s">
        <v>809</v>
      </c>
      <c r="CL182"/>
    </row>
    <row r="183" spans="1:90" s="53" customFormat="1" ht="24.95" hidden="1" customHeight="1">
      <c r="A183" s="136">
        <v>187</v>
      </c>
      <c r="B183" s="136" t="s">
        <v>2673</v>
      </c>
      <c r="C183" s="136" t="s">
        <v>2674</v>
      </c>
      <c r="D183" s="136" t="s">
        <v>2675</v>
      </c>
      <c r="E183" s="136" t="s">
        <v>388</v>
      </c>
      <c r="F183" s="136" t="s">
        <v>25</v>
      </c>
      <c r="G183" s="136">
        <v>8</v>
      </c>
      <c r="H183" s="136" t="s">
        <v>52</v>
      </c>
      <c r="I183" s="136" t="s">
        <v>44</v>
      </c>
      <c r="J183" s="136" t="s">
        <v>2676</v>
      </c>
      <c r="K183" s="136" t="s">
        <v>2677</v>
      </c>
      <c r="L183" s="136" t="s">
        <v>44</v>
      </c>
      <c r="M183" s="136" t="s">
        <v>150</v>
      </c>
      <c r="N183" s="136"/>
      <c r="O183" s="136" t="s">
        <v>151</v>
      </c>
      <c r="P183" s="136" t="s">
        <v>151</v>
      </c>
      <c r="Q183" s="136" t="s">
        <v>151</v>
      </c>
      <c r="R183" s="136" t="s">
        <v>2678</v>
      </c>
      <c r="S183" s="387" t="s">
        <v>2679</v>
      </c>
      <c r="T183" s="346" t="s">
        <v>2680</v>
      </c>
      <c r="U183" s="139" t="s">
        <v>2681</v>
      </c>
      <c r="V183" s="139">
        <v>31784</v>
      </c>
      <c r="W183" s="147" t="s">
        <v>2682</v>
      </c>
      <c r="X183" s="147" t="s">
        <v>2363</v>
      </c>
      <c r="Y183" s="147" t="s">
        <v>157</v>
      </c>
      <c r="Z183" s="147"/>
      <c r="AA183" s="136">
        <v>8</v>
      </c>
      <c r="AB183" s="139">
        <v>43160</v>
      </c>
      <c r="AC183" s="285">
        <v>43160</v>
      </c>
      <c r="AD183" s="139"/>
      <c r="AE183" s="139" t="s">
        <v>2683</v>
      </c>
      <c r="AF183" s="139" t="s">
        <v>2684</v>
      </c>
      <c r="AG183" s="139" t="s">
        <v>2685</v>
      </c>
      <c r="AH183" s="136">
        <f t="shared" si="43"/>
        <v>3</v>
      </c>
      <c r="AI183" s="139" t="s">
        <v>161</v>
      </c>
      <c r="AJ183" s="139" t="s">
        <v>161</v>
      </c>
      <c r="AK183" s="139" t="s">
        <v>161</v>
      </c>
      <c r="AL183" s="139" t="s">
        <v>150</v>
      </c>
      <c r="AM183" s="139"/>
      <c r="AN183" s="139"/>
      <c r="AO183" s="139" t="s">
        <v>164</v>
      </c>
      <c r="AP183" s="139" t="s">
        <v>1167</v>
      </c>
      <c r="AQ183" s="139" t="s">
        <v>203</v>
      </c>
      <c r="AR183" s="139" t="s">
        <v>150</v>
      </c>
      <c r="AS183" s="139"/>
      <c r="AT183" s="421" t="s">
        <v>420</v>
      </c>
      <c r="AU183" s="136" t="s">
        <v>2686</v>
      </c>
      <c r="AV183" s="139"/>
      <c r="AW183" s="141">
        <v>43164</v>
      </c>
      <c r="AX183" s="141">
        <v>43409</v>
      </c>
      <c r="AY183" s="141" t="s">
        <v>150</v>
      </c>
      <c r="AZ183" s="141">
        <v>43327</v>
      </c>
      <c r="BA183" s="141">
        <v>43391</v>
      </c>
      <c r="BB183" s="141"/>
      <c r="BC183" s="141"/>
      <c r="BD183" s="141"/>
      <c r="BE183" s="142" t="s">
        <v>2687</v>
      </c>
      <c r="BF183" s="141">
        <v>44207</v>
      </c>
      <c r="BG183" s="141" t="s">
        <v>150</v>
      </c>
      <c r="BH183" s="141">
        <v>44410</v>
      </c>
      <c r="BI183" s="141" t="s">
        <v>150</v>
      </c>
      <c r="BJ183" s="139"/>
      <c r="BK183" s="139"/>
      <c r="BL183" s="139"/>
      <c r="BM183" s="143">
        <v>44160</v>
      </c>
      <c r="BN183" s="136" t="s">
        <v>16</v>
      </c>
      <c r="BO183" s="136">
        <f t="shared" ref="BO183:BO186" si="55">DATEDIF(AW183,BM183, "M")+1</f>
        <v>33</v>
      </c>
      <c r="BP183" s="136">
        <f t="shared" ref="BP183:BP186" si="56">DATEDIF(AX183,BM183, "M")+1</f>
        <v>25</v>
      </c>
      <c r="BQ183" s="147" t="s">
        <v>2688</v>
      </c>
      <c r="BR183" s="136">
        <v>3</v>
      </c>
      <c r="BS183" s="136">
        <v>5</v>
      </c>
      <c r="BT183" s="136">
        <v>1</v>
      </c>
      <c r="BU183" s="136"/>
      <c r="BV183" s="136"/>
      <c r="BW183" s="136"/>
      <c r="BX183" s="136"/>
      <c r="BY183" s="136" t="s">
        <v>163</v>
      </c>
      <c r="BZ183" s="136" t="s">
        <v>163</v>
      </c>
      <c r="CA183" s="136"/>
      <c r="CB183" s="144"/>
      <c r="CC183" s="144"/>
      <c r="CD183" s="136"/>
      <c r="CE183" s="136"/>
      <c r="CF183" s="136"/>
      <c r="CG183" s="136"/>
      <c r="CH183" s="374">
        <v>1</v>
      </c>
      <c r="CI183" s="136">
        <v>2</v>
      </c>
      <c r="CJ183" s="136"/>
      <c r="CK183" s="136" t="s">
        <v>2203</v>
      </c>
      <c r="CL183"/>
    </row>
    <row r="184" spans="1:90" s="53" customFormat="1" ht="24.95" hidden="1" customHeight="1">
      <c r="A184" s="136">
        <v>188</v>
      </c>
      <c r="B184" s="136" t="s">
        <v>2689</v>
      </c>
      <c r="C184" s="136" t="s">
        <v>2690</v>
      </c>
      <c r="D184" s="136" t="s">
        <v>2691</v>
      </c>
      <c r="E184" s="136" t="s">
        <v>2692</v>
      </c>
      <c r="F184" s="136" t="s">
        <v>25</v>
      </c>
      <c r="G184" s="136">
        <v>8</v>
      </c>
      <c r="H184" s="136" t="s">
        <v>53</v>
      </c>
      <c r="I184" s="136" t="s">
        <v>47</v>
      </c>
      <c r="J184" s="136" t="s">
        <v>257</v>
      </c>
      <c r="K184" s="136" t="s">
        <v>335</v>
      </c>
      <c r="L184" s="136" t="s">
        <v>47</v>
      </c>
      <c r="M184" s="136" t="s">
        <v>150</v>
      </c>
      <c r="N184" s="136"/>
      <c r="O184" s="136" t="s">
        <v>151</v>
      </c>
      <c r="P184" s="136" t="s">
        <v>151</v>
      </c>
      <c r="Q184" s="136"/>
      <c r="R184" s="136" t="s">
        <v>2693</v>
      </c>
      <c r="S184" s="136" t="s">
        <v>2694</v>
      </c>
      <c r="T184" s="346" t="s">
        <v>2695</v>
      </c>
      <c r="U184" s="139"/>
      <c r="V184" s="139">
        <v>29877</v>
      </c>
      <c r="W184" s="147" t="s">
        <v>2696</v>
      </c>
      <c r="X184" s="147" t="s">
        <v>179</v>
      </c>
      <c r="Y184" s="147"/>
      <c r="Z184" s="147"/>
      <c r="AA184" s="136">
        <v>32</v>
      </c>
      <c r="AB184" s="139">
        <v>43191</v>
      </c>
      <c r="AC184" s="285">
        <v>43160</v>
      </c>
      <c r="AD184" s="139"/>
      <c r="AE184" s="139" t="s">
        <v>2697</v>
      </c>
      <c r="AF184" s="139" t="s">
        <v>2698</v>
      </c>
      <c r="AG184" s="139"/>
      <c r="AH184" s="136">
        <f t="shared" si="43"/>
        <v>2</v>
      </c>
      <c r="AI184" s="139" t="s">
        <v>161</v>
      </c>
      <c r="AJ184" s="139" t="s">
        <v>202</v>
      </c>
      <c r="AK184" s="139"/>
      <c r="AL184" s="139" t="s">
        <v>150</v>
      </c>
      <c r="AM184" s="139"/>
      <c r="AN184" s="139"/>
      <c r="AO184" s="139" t="s">
        <v>164</v>
      </c>
      <c r="AP184" s="139"/>
      <c r="AQ184" s="139"/>
      <c r="AR184" s="139"/>
      <c r="AS184" s="139"/>
      <c r="AT184" s="421" t="s">
        <v>298</v>
      </c>
      <c r="AU184" s="136" t="s">
        <v>2699</v>
      </c>
      <c r="AV184" s="139"/>
      <c r="AW184" s="141">
        <v>43164</v>
      </c>
      <c r="AX184" s="141">
        <v>43409</v>
      </c>
      <c r="AY184" s="141" t="s">
        <v>150</v>
      </c>
      <c r="AZ184" s="141">
        <v>43861</v>
      </c>
      <c r="BA184" s="141">
        <v>43696</v>
      </c>
      <c r="BB184" s="141"/>
      <c r="BC184" s="141"/>
      <c r="BD184" s="141"/>
      <c r="BE184" s="142" t="s">
        <v>2700</v>
      </c>
      <c r="BF184" s="141">
        <v>44207</v>
      </c>
      <c r="BG184" s="141" t="s">
        <v>150</v>
      </c>
      <c r="BH184" s="141">
        <v>44410</v>
      </c>
      <c r="BI184" s="141" t="s">
        <v>150</v>
      </c>
      <c r="BJ184" s="139"/>
      <c r="BK184" s="139"/>
      <c r="BL184" s="139"/>
      <c r="BM184" s="143">
        <v>44900</v>
      </c>
      <c r="BN184" s="129" t="s">
        <v>16</v>
      </c>
      <c r="BO184" s="136">
        <f t="shared" si="55"/>
        <v>58</v>
      </c>
      <c r="BP184" s="136">
        <f t="shared" si="56"/>
        <v>50</v>
      </c>
      <c r="BQ184" s="147" t="s">
        <v>2701</v>
      </c>
      <c r="BR184" s="136">
        <v>1</v>
      </c>
      <c r="BS184" s="136">
        <v>3</v>
      </c>
      <c r="BT184" s="136">
        <v>0</v>
      </c>
      <c r="BU184" s="136"/>
      <c r="BV184" s="136"/>
      <c r="BW184" s="136"/>
      <c r="BX184" s="136"/>
      <c r="BY184" s="136" t="s">
        <v>163</v>
      </c>
      <c r="BZ184" s="136"/>
      <c r="CA184" s="136"/>
      <c r="CB184" s="144"/>
      <c r="CC184" s="144"/>
      <c r="CD184" s="136"/>
      <c r="CE184" s="136"/>
      <c r="CF184" s="136"/>
      <c r="CG184" s="136"/>
      <c r="CH184" s="374">
        <v>2</v>
      </c>
      <c r="CI184" s="136"/>
      <c r="CJ184" s="136"/>
      <c r="CK184" s="136" t="s">
        <v>809</v>
      </c>
      <c r="CL184"/>
    </row>
    <row r="185" spans="1:90" s="53" customFormat="1" ht="24.95" hidden="1" customHeight="1">
      <c r="A185" s="136">
        <v>189</v>
      </c>
      <c r="B185" s="136" t="s">
        <v>2702</v>
      </c>
      <c r="C185" s="136" t="s">
        <v>992</v>
      </c>
      <c r="D185" s="136" t="s">
        <v>438</v>
      </c>
      <c r="E185" s="136" t="s">
        <v>2703</v>
      </c>
      <c r="F185" s="136" t="s">
        <v>25</v>
      </c>
      <c r="G185" s="136">
        <v>8</v>
      </c>
      <c r="H185" s="136" t="s">
        <v>54</v>
      </c>
      <c r="I185" s="136" t="s">
        <v>41</v>
      </c>
      <c r="J185" s="136" t="s">
        <v>602</v>
      </c>
      <c r="K185" s="136" t="s">
        <v>1240</v>
      </c>
      <c r="L185" s="136" t="s">
        <v>46</v>
      </c>
      <c r="M185" s="136" t="s">
        <v>163</v>
      </c>
      <c r="N185" s="136">
        <v>1928547</v>
      </c>
      <c r="O185" s="136" t="s">
        <v>151</v>
      </c>
      <c r="P185" s="136" t="s">
        <v>151</v>
      </c>
      <c r="Q185" s="136"/>
      <c r="R185" s="136" t="s">
        <v>2704</v>
      </c>
      <c r="S185" s="136" t="s">
        <v>2705</v>
      </c>
      <c r="T185" s="345" t="s">
        <v>2706</v>
      </c>
      <c r="U185" s="139" t="s">
        <v>2707</v>
      </c>
      <c r="V185" s="139">
        <v>27605</v>
      </c>
      <c r="W185" s="147" t="s">
        <v>2708</v>
      </c>
      <c r="X185" s="147" t="s">
        <v>179</v>
      </c>
      <c r="Y185" s="147"/>
      <c r="Z185" s="147"/>
      <c r="AA185" s="136">
        <v>1</v>
      </c>
      <c r="AB185" s="139">
        <v>43221</v>
      </c>
      <c r="AC185" s="285">
        <v>43160</v>
      </c>
      <c r="AD185" s="139"/>
      <c r="AE185" s="139" t="s">
        <v>2709</v>
      </c>
      <c r="AF185" s="139" t="s">
        <v>2710</v>
      </c>
      <c r="AG185" s="139"/>
      <c r="AH185" s="136">
        <f t="shared" si="43"/>
        <v>2</v>
      </c>
      <c r="AI185" s="139" t="s">
        <v>162</v>
      </c>
      <c r="AJ185" s="139" t="s">
        <v>162</v>
      </c>
      <c r="AK185" s="139"/>
      <c r="AL185" s="139" t="s">
        <v>163</v>
      </c>
      <c r="AM185" s="139" t="s">
        <v>163</v>
      </c>
      <c r="AN185" s="139"/>
      <c r="AO185" s="139" t="s">
        <v>164</v>
      </c>
      <c r="AP185" s="139" t="s">
        <v>250</v>
      </c>
      <c r="AQ185" s="139" t="s">
        <v>1106</v>
      </c>
      <c r="AR185" s="139" t="s">
        <v>150</v>
      </c>
      <c r="AS185" s="139"/>
      <c r="AT185" s="421" t="s">
        <v>285</v>
      </c>
      <c r="AU185" s="136" t="s">
        <v>2711</v>
      </c>
      <c r="AV185" s="139"/>
      <c r="AW185" s="141">
        <v>43164</v>
      </c>
      <c r="AX185" s="141">
        <v>43409</v>
      </c>
      <c r="AY185" s="141" t="s">
        <v>150</v>
      </c>
      <c r="AZ185" s="141">
        <v>43522</v>
      </c>
      <c r="BA185" s="141">
        <v>43623</v>
      </c>
      <c r="BB185" s="141"/>
      <c r="BC185" s="141"/>
      <c r="BD185" s="141"/>
      <c r="BE185" s="142" t="s">
        <v>2712</v>
      </c>
      <c r="BF185" s="141">
        <v>44207</v>
      </c>
      <c r="BG185" s="141" t="s">
        <v>150</v>
      </c>
      <c r="BH185" s="141">
        <v>44410</v>
      </c>
      <c r="BI185" s="141" t="s">
        <v>150</v>
      </c>
      <c r="BJ185" s="139"/>
      <c r="BK185" s="139"/>
      <c r="BL185" s="139"/>
      <c r="BM185" s="143">
        <v>44907</v>
      </c>
      <c r="BN185" s="148" t="s">
        <v>16</v>
      </c>
      <c r="BO185" s="136">
        <f t="shared" si="55"/>
        <v>58</v>
      </c>
      <c r="BP185" s="136">
        <f t="shared" si="56"/>
        <v>50</v>
      </c>
      <c r="BQ185" s="136" t="s">
        <v>2713</v>
      </c>
      <c r="BR185" s="136">
        <v>5</v>
      </c>
      <c r="BS185" s="136">
        <v>5</v>
      </c>
      <c r="BT185" s="136">
        <v>0</v>
      </c>
      <c r="BU185" s="136"/>
      <c r="BV185" s="136"/>
      <c r="BW185" s="136"/>
      <c r="BX185" s="136"/>
      <c r="BY185" s="136" t="s">
        <v>163</v>
      </c>
      <c r="BZ185" s="136"/>
      <c r="CA185" s="136"/>
      <c r="CB185" s="144"/>
      <c r="CC185" s="144"/>
      <c r="CD185" s="136"/>
      <c r="CE185" s="136"/>
      <c r="CF185" s="136"/>
      <c r="CG185" s="136"/>
      <c r="CH185" s="374">
        <v>3</v>
      </c>
      <c r="CI185" s="136"/>
      <c r="CJ185" s="136"/>
      <c r="CK185" s="136" t="s">
        <v>1806</v>
      </c>
      <c r="CL185"/>
    </row>
    <row r="186" spans="1:90" s="53" customFormat="1" ht="24.95" hidden="1" customHeight="1">
      <c r="A186" s="136">
        <v>190</v>
      </c>
      <c r="B186" s="136" t="s">
        <v>2714</v>
      </c>
      <c r="C186" s="136" t="s">
        <v>2715</v>
      </c>
      <c r="D186" s="136" t="s">
        <v>2716</v>
      </c>
      <c r="E186" s="136" t="s">
        <v>2717</v>
      </c>
      <c r="F186" s="136" t="s">
        <v>24</v>
      </c>
      <c r="G186" s="136">
        <v>8</v>
      </c>
      <c r="H186" s="136" t="s">
        <v>54</v>
      </c>
      <c r="I186" s="136" t="s">
        <v>33</v>
      </c>
      <c r="J186" s="136" t="s">
        <v>602</v>
      </c>
      <c r="K186" s="136" t="s">
        <v>2718</v>
      </c>
      <c r="L186" s="136" t="s">
        <v>46</v>
      </c>
      <c r="M186" s="136" t="s">
        <v>163</v>
      </c>
      <c r="N186" s="136"/>
      <c r="O186" s="136" t="s">
        <v>151</v>
      </c>
      <c r="P186" s="136" t="s">
        <v>151</v>
      </c>
      <c r="Q186" s="136" t="s">
        <v>151</v>
      </c>
      <c r="R186" s="136" t="s">
        <v>2719</v>
      </c>
      <c r="S186" s="136" t="s">
        <v>2720</v>
      </c>
      <c r="T186" s="345" t="s">
        <v>2721</v>
      </c>
      <c r="U186" s="139" t="s">
        <v>2722</v>
      </c>
      <c r="V186" s="139">
        <v>29924</v>
      </c>
      <c r="W186" s="147" t="s">
        <v>2723</v>
      </c>
      <c r="X186" s="147" t="s">
        <v>179</v>
      </c>
      <c r="Y186" s="147"/>
      <c r="Z186" s="147"/>
      <c r="AA186" s="136">
        <v>5</v>
      </c>
      <c r="AB186" s="139">
        <v>43318</v>
      </c>
      <c r="AC186" s="285">
        <v>43160</v>
      </c>
      <c r="AD186" s="139"/>
      <c r="AE186" s="139" t="s">
        <v>2724</v>
      </c>
      <c r="AF186" s="139"/>
      <c r="AG186" s="139"/>
      <c r="AH186" s="136">
        <f t="shared" si="43"/>
        <v>1</v>
      </c>
      <c r="AI186" s="139"/>
      <c r="AJ186" s="139"/>
      <c r="AK186" s="139"/>
      <c r="AL186" s="139" t="s">
        <v>163</v>
      </c>
      <c r="AM186" s="139"/>
      <c r="AN186" s="139"/>
      <c r="AO186" s="139" t="s">
        <v>164</v>
      </c>
      <c r="AP186" s="139" t="s">
        <v>445</v>
      </c>
      <c r="AQ186" s="139" t="s">
        <v>1424</v>
      </c>
      <c r="AR186" s="139" t="s">
        <v>150</v>
      </c>
      <c r="AS186" s="139"/>
      <c r="AT186" s="421" t="s">
        <v>328</v>
      </c>
      <c r="AU186" s="136" t="s">
        <v>2725</v>
      </c>
      <c r="AV186" s="139"/>
      <c r="AW186" s="141">
        <v>43164</v>
      </c>
      <c r="AX186" s="141">
        <v>43409</v>
      </c>
      <c r="AY186" s="141" t="s">
        <v>150</v>
      </c>
      <c r="AZ186" s="141">
        <v>43615</v>
      </c>
      <c r="BA186" s="141">
        <v>43615</v>
      </c>
      <c r="BB186" s="141"/>
      <c r="BC186" s="141"/>
      <c r="BD186" s="141"/>
      <c r="BE186" s="142" t="s">
        <v>2726</v>
      </c>
      <c r="BF186" s="141">
        <v>44207</v>
      </c>
      <c r="BG186" s="141" t="s">
        <v>150</v>
      </c>
      <c r="BH186" s="141">
        <v>44410</v>
      </c>
      <c r="BI186" s="141" t="s">
        <v>150</v>
      </c>
      <c r="BJ186" s="139"/>
      <c r="BK186" s="139"/>
      <c r="BL186" s="139"/>
      <c r="BM186" s="143">
        <v>44441</v>
      </c>
      <c r="BN186" s="136" t="s">
        <v>16</v>
      </c>
      <c r="BO186" s="136">
        <f t="shared" si="55"/>
        <v>42</v>
      </c>
      <c r="BP186" s="136">
        <f t="shared" si="56"/>
        <v>34</v>
      </c>
      <c r="BQ186" s="136"/>
      <c r="BR186" s="136">
        <v>3</v>
      </c>
      <c r="BS186" s="136">
        <v>3</v>
      </c>
      <c r="BT186" s="136">
        <v>2</v>
      </c>
      <c r="BU186" s="136"/>
      <c r="BV186" s="136"/>
      <c r="BW186" s="136"/>
      <c r="BX186" s="136"/>
      <c r="BY186" s="136" t="s">
        <v>163</v>
      </c>
      <c r="BZ186" s="136"/>
      <c r="CA186" s="136"/>
      <c r="CB186" s="144"/>
      <c r="CC186" s="144"/>
      <c r="CD186" s="136"/>
      <c r="CE186" s="136"/>
      <c r="CF186" s="136"/>
      <c r="CG186" s="136"/>
      <c r="CH186" s="374">
        <v>3</v>
      </c>
      <c r="CI186" s="136">
        <v>3</v>
      </c>
      <c r="CJ186" s="136"/>
      <c r="CK186" s="136" t="s">
        <v>1806</v>
      </c>
      <c r="CL186"/>
    </row>
    <row r="187" spans="1:90" s="53" customFormat="1" ht="24.95" hidden="1" customHeight="1">
      <c r="A187" s="136">
        <v>191</v>
      </c>
      <c r="B187" s="136" t="s">
        <v>2727</v>
      </c>
      <c r="C187" s="136" t="s">
        <v>2728</v>
      </c>
      <c r="D187" s="136" t="s">
        <v>2729</v>
      </c>
      <c r="E187" s="136" t="s">
        <v>289</v>
      </c>
      <c r="F187" s="136" t="s">
        <v>25</v>
      </c>
      <c r="G187" s="136">
        <v>8</v>
      </c>
      <c r="H187" s="136" t="s">
        <v>58</v>
      </c>
      <c r="I187" s="136" t="s">
        <v>46</v>
      </c>
      <c r="J187" s="136" t="s">
        <v>2730</v>
      </c>
      <c r="K187" s="136" t="s">
        <v>602</v>
      </c>
      <c r="L187" s="136" t="s">
        <v>46</v>
      </c>
      <c r="M187" s="136" t="s">
        <v>150</v>
      </c>
      <c r="N187" s="136" t="s">
        <v>2731</v>
      </c>
      <c r="O187" s="136" t="s">
        <v>151</v>
      </c>
      <c r="P187" s="136" t="s">
        <v>151</v>
      </c>
      <c r="Q187" s="136"/>
      <c r="R187" s="136" t="s">
        <v>2732</v>
      </c>
      <c r="S187" s="136" t="s">
        <v>2733</v>
      </c>
      <c r="T187" s="345" t="s">
        <v>2734</v>
      </c>
      <c r="U187" s="139" t="s">
        <v>2735</v>
      </c>
      <c r="V187" s="139">
        <v>28944</v>
      </c>
      <c r="W187" s="147" t="s">
        <v>2736</v>
      </c>
      <c r="X187" s="147" t="s">
        <v>179</v>
      </c>
      <c r="Y187" s="147" t="s">
        <v>163</v>
      </c>
      <c r="Z187" s="147"/>
      <c r="AA187" s="136">
        <v>19</v>
      </c>
      <c r="AB187" s="139">
        <v>43313</v>
      </c>
      <c r="AC187" s="285">
        <v>43160</v>
      </c>
      <c r="AD187" s="139"/>
      <c r="AE187" s="139" t="s">
        <v>2737</v>
      </c>
      <c r="AF187" s="139" t="s">
        <v>2738</v>
      </c>
      <c r="AG187" s="139"/>
      <c r="AH187" s="136">
        <f t="shared" si="43"/>
        <v>2</v>
      </c>
      <c r="AI187" s="139" t="s">
        <v>161</v>
      </c>
      <c r="AJ187" s="139" t="s">
        <v>161</v>
      </c>
      <c r="AK187" s="139"/>
      <c r="AL187" s="139" t="s">
        <v>163</v>
      </c>
      <c r="AM187" s="139" t="s">
        <v>163</v>
      </c>
      <c r="AN187" s="139"/>
      <c r="AO187" s="139" t="s">
        <v>164</v>
      </c>
      <c r="AP187" s="139" t="s">
        <v>203</v>
      </c>
      <c r="AQ187" s="139" t="s">
        <v>203</v>
      </c>
      <c r="AR187" s="139"/>
      <c r="AS187" s="236" t="s">
        <v>2739</v>
      </c>
      <c r="AT187" s="421" t="s">
        <v>372</v>
      </c>
      <c r="AU187" s="136" t="s">
        <v>299</v>
      </c>
      <c r="AV187" s="139"/>
      <c r="AW187" s="141">
        <v>43164</v>
      </c>
      <c r="AX187" s="141">
        <v>43409</v>
      </c>
      <c r="AY187" s="141" t="s">
        <v>150</v>
      </c>
      <c r="AZ187" s="141">
        <v>43531</v>
      </c>
      <c r="BA187" s="141">
        <v>43623</v>
      </c>
      <c r="BB187" s="141"/>
      <c r="BC187" s="141"/>
      <c r="BD187" s="141"/>
      <c r="BE187" s="142" t="s">
        <v>2740</v>
      </c>
      <c r="BF187" s="141">
        <v>44207</v>
      </c>
      <c r="BG187" s="141" t="s">
        <v>150</v>
      </c>
      <c r="BH187" s="141">
        <v>44410</v>
      </c>
      <c r="BI187" s="141" t="s">
        <v>150</v>
      </c>
      <c r="BJ187" s="139"/>
      <c r="BK187" s="139"/>
      <c r="BL187" s="139"/>
      <c r="BM187" s="143">
        <v>45610</v>
      </c>
      <c r="BN187" s="136" t="s">
        <v>16</v>
      </c>
      <c r="BO187" s="136">
        <f t="shared" ref="BO187" si="57">DATEDIF(AW187,BM187, "M")+1</f>
        <v>81</v>
      </c>
      <c r="BP187" s="136">
        <f t="shared" ref="BP187" si="58">DATEDIF(AX187,BM187, "M")+1</f>
        <v>73</v>
      </c>
      <c r="BQ187" s="136" t="s">
        <v>2741</v>
      </c>
      <c r="BR187" s="136">
        <v>2</v>
      </c>
      <c r="BS187" s="136"/>
      <c r="BT187" s="136"/>
      <c r="BU187" s="136"/>
      <c r="BV187" s="136"/>
      <c r="BW187" s="136"/>
      <c r="BX187" s="136"/>
      <c r="BY187" s="136" t="s">
        <v>163</v>
      </c>
      <c r="BZ187" s="136" t="s">
        <v>163</v>
      </c>
      <c r="CA187" s="136"/>
      <c r="CB187" s="144"/>
      <c r="CC187" s="144"/>
      <c r="CD187" s="136"/>
      <c r="CE187" s="136" t="s">
        <v>163</v>
      </c>
      <c r="CF187" s="136"/>
      <c r="CG187" s="136"/>
      <c r="CH187" s="374">
        <v>2</v>
      </c>
      <c r="CI187" s="136"/>
      <c r="CJ187" s="136"/>
      <c r="CK187" s="136" t="s">
        <v>809</v>
      </c>
      <c r="CL187"/>
    </row>
    <row r="188" spans="1:90" s="53" customFormat="1" ht="24.95" hidden="1" customHeight="1">
      <c r="A188" s="136">
        <v>192</v>
      </c>
      <c r="B188" s="136" t="s">
        <v>2742</v>
      </c>
      <c r="C188" s="136" t="s">
        <v>763</v>
      </c>
      <c r="D188" s="136" t="s">
        <v>464</v>
      </c>
      <c r="E188" s="136" t="s">
        <v>1764</v>
      </c>
      <c r="F188" s="136" t="s">
        <v>25</v>
      </c>
      <c r="G188" s="136">
        <v>8</v>
      </c>
      <c r="H188" s="136" t="s">
        <v>52</v>
      </c>
      <c r="I188" s="136" t="s">
        <v>44</v>
      </c>
      <c r="J188" s="136" t="s">
        <v>1159</v>
      </c>
      <c r="K188" s="136" t="s">
        <v>1159</v>
      </c>
      <c r="L188" s="136" t="s">
        <v>44</v>
      </c>
      <c r="M188" s="136" t="s">
        <v>150</v>
      </c>
      <c r="N188" s="136" t="s">
        <v>2743</v>
      </c>
      <c r="O188" s="136" t="s">
        <v>151</v>
      </c>
      <c r="P188" s="136" t="s">
        <v>151</v>
      </c>
      <c r="Q188" s="136"/>
      <c r="R188" s="136" t="s">
        <v>2744</v>
      </c>
      <c r="S188" s="136" t="s">
        <v>2745</v>
      </c>
      <c r="T188" s="346" t="s">
        <v>2746</v>
      </c>
      <c r="U188" s="139" t="s">
        <v>2747</v>
      </c>
      <c r="V188" s="139">
        <v>29223</v>
      </c>
      <c r="W188" s="147" t="s">
        <v>2748</v>
      </c>
      <c r="X188" s="147" t="s">
        <v>2749</v>
      </c>
      <c r="Y188" s="147"/>
      <c r="Z188" s="147"/>
      <c r="AA188" s="136">
        <v>11</v>
      </c>
      <c r="AB188" s="139">
        <v>43466</v>
      </c>
      <c r="AC188" s="285">
        <v>43160</v>
      </c>
      <c r="AD188" s="139"/>
      <c r="AE188" s="139" t="s">
        <v>2750</v>
      </c>
      <c r="AF188" s="139" t="s">
        <v>2751</v>
      </c>
      <c r="AG188" s="139" t="s">
        <v>2752</v>
      </c>
      <c r="AH188" s="136">
        <f t="shared" si="43"/>
        <v>3</v>
      </c>
      <c r="AI188" s="139" t="s">
        <v>161</v>
      </c>
      <c r="AJ188" s="139" t="s">
        <v>161</v>
      </c>
      <c r="AK188" s="139"/>
      <c r="AL188" s="139" t="s">
        <v>150</v>
      </c>
      <c r="AM188" s="139" t="s">
        <v>163</v>
      </c>
      <c r="AN188" s="139"/>
      <c r="AO188" s="139" t="s">
        <v>164</v>
      </c>
      <c r="AP188" s="139" t="s">
        <v>1167</v>
      </c>
      <c r="AQ188" s="139" t="s">
        <v>1167</v>
      </c>
      <c r="AR188" s="139"/>
      <c r="AS188" s="139"/>
      <c r="AT188" s="421" t="s">
        <v>420</v>
      </c>
      <c r="AU188" s="136" t="s">
        <v>2753</v>
      </c>
      <c r="AV188" s="139"/>
      <c r="AW188" s="141">
        <v>43164</v>
      </c>
      <c r="AX188" s="141">
        <v>43409</v>
      </c>
      <c r="AY188" s="141" t="s">
        <v>150</v>
      </c>
      <c r="AZ188" s="141">
        <v>43319</v>
      </c>
      <c r="BA188" s="141">
        <v>43378</v>
      </c>
      <c r="BB188" s="141"/>
      <c r="BC188" s="141"/>
      <c r="BD188" s="141"/>
      <c r="BE188" s="142" t="s">
        <v>2754</v>
      </c>
      <c r="BF188" s="141">
        <v>44207</v>
      </c>
      <c r="BG188" s="141" t="s">
        <v>150</v>
      </c>
      <c r="BH188" s="141">
        <v>44410</v>
      </c>
      <c r="BI188" s="141" t="s">
        <v>150</v>
      </c>
      <c r="BJ188" s="139"/>
      <c r="BK188" s="139"/>
      <c r="BL188" s="139"/>
      <c r="BM188" s="143"/>
      <c r="BN188" s="136" t="s">
        <v>17</v>
      </c>
      <c r="BO188" s="139"/>
      <c r="BP188" s="136"/>
      <c r="BQ188" s="136"/>
      <c r="BR188" s="136">
        <v>1</v>
      </c>
      <c r="BS188" s="136">
        <v>3</v>
      </c>
      <c r="BT188" s="136">
        <v>0</v>
      </c>
      <c r="BU188" s="136"/>
      <c r="BV188" s="136"/>
      <c r="BW188" s="136"/>
      <c r="BX188" s="136"/>
      <c r="BY188" s="136" t="s">
        <v>163</v>
      </c>
      <c r="BZ188" s="136" t="s">
        <v>163</v>
      </c>
      <c r="CA188" s="136"/>
      <c r="CB188" s="144"/>
      <c r="CC188" s="144"/>
      <c r="CD188" s="136"/>
      <c r="CE188" s="136" t="s">
        <v>163</v>
      </c>
      <c r="CF188" s="136"/>
      <c r="CG188" s="136"/>
      <c r="CH188" s="374">
        <v>3</v>
      </c>
      <c r="CI188" s="136"/>
      <c r="CJ188" s="136"/>
      <c r="CK188" s="136" t="s">
        <v>1806</v>
      </c>
      <c r="CL188"/>
    </row>
    <row r="189" spans="1:90" s="53" customFormat="1" ht="24.95" hidden="1" customHeight="1">
      <c r="A189" s="136">
        <v>193</v>
      </c>
      <c r="B189" s="136" t="s">
        <v>2755</v>
      </c>
      <c r="C189" s="136" t="s">
        <v>2756</v>
      </c>
      <c r="D189" s="136" t="s">
        <v>2757</v>
      </c>
      <c r="E189" s="136" t="s">
        <v>2758</v>
      </c>
      <c r="F189" s="136" t="s">
        <v>25</v>
      </c>
      <c r="G189" s="136">
        <v>8</v>
      </c>
      <c r="H189" s="136" t="s">
        <v>54</v>
      </c>
      <c r="I189" s="136" t="s">
        <v>41</v>
      </c>
      <c r="J189" s="136" t="s">
        <v>1405</v>
      </c>
      <c r="K189" s="136" t="s">
        <v>2759</v>
      </c>
      <c r="L189" s="136" t="s">
        <v>46</v>
      </c>
      <c r="M189" s="136" t="s">
        <v>163</v>
      </c>
      <c r="N189" s="136">
        <v>1815816</v>
      </c>
      <c r="O189" s="136"/>
      <c r="P189" s="136" t="s">
        <v>322</v>
      </c>
      <c r="Q189" s="136"/>
      <c r="R189" s="145" t="s">
        <v>2760</v>
      </c>
      <c r="S189" s="427" t="s">
        <v>2761</v>
      </c>
      <c r="T189" s="346" t="s">
        <v>2762</v>
      </c>
      <c r="U189" s="139"/>
      <c r="V189" s="139">
        <v>30273</v>
      </c>
      <c r="W189" s="147" t="s">
        <v>2763</v>
      </c>
      <c r="X189" s="147" t="s">
        <v>156</v>
      </c>
      <c r="Y189" s="147"/>
      <c r="Z189" s="147"/>
      <c r="AA189" s="136">
        <v>7</v>
      </c>
      <c r="AB189" s="139">
        <v>43311</v>
      </c>
      <c r="AC189" s="285">
        <v>43160</v>
      </c>
      <c r="AD189" s="139"/>
      <c r="AE189" s="139" t="s">
        <v>2764</v>
      </c>
      <c r="AF189" s="139"/>
      <c r="AG189" s="139"/>
      <c r="AH189" s="136">
        <f t="shared" si="43"/>
        <v>1</v>
      </c>
      <c r="AI189" s="139" t="s">
        <v>162</v>
      </c>
      <c r="AJ189" s="139"/>
      <c r="AK189" s="139"/>
      <c r="AL189" s="139" t="s">
        <v>150</v>
      </c>
      <c r="AM189" s="139"/>
      <c r="AN189" s="139"/>
      <c r="AO189" s="139" t="s">
        <v>164</v>
      </c>
      <c r="AP189" s="139"/>
      <c r="AQ189" s="139" t="s">
        <v>250</v>
      </c>
      <c r="AR189" s="139" t="s">
        <v>150</v>
      </c>
      <c r="AS189" s="139"/>
      <c r="AT189" s="421" t="s">
        <v>285</v>
      </c>
      <c r="AU189" s="136" t="s">
        <v>2765</v>
      </c>
      <c r="AV189" s="139"/>
      <c r="AW189" s="141">
        <v>43164</v>
      </c>
      <c r="AX189" s="141">
        <v>43409</v>
      </c>
      <c r="AY189" s="141" t="s">
        <v>150</v>
      </c>
      <c r="AZ189" s="141">
        <v>43333</v>
      </c>
      <c r="BA189" s="141">
        <v>43364</v>
      </c>
      <c r="BB189" s="141"/>
      <c r="BC189" s="141"/>
      <c r="BD189" s="141"/>
      <c r="BE189" s="142" t="s">
        <v>2766</v>
      </c>
      <c r="BF189" s="141">
        <v>44207</v>
      </c>
      <c r="BG189" s="141" t="s">
        <v>150</v>
      </c>
      <c r="BH189" s="141">
        <v>44410</v>
      </c>
      <c r="BI189" s="141" t="s">
        <v>150</v>
      </c>
      <c r="BJ189" s="139"/>
      <c r="BK189" s="139"/>
      <c r="BL189" s="139"/>
      <c r="BM189" s="143">
        <v>44741</v>
      </c>
      <c r="BN189" s="136" t="s">
        <v>16</v>
      </c>
      <c r="BO189" s="136">
        <f t="shared" ref="BO189:BO191" si="59">DATEDIF(AW189,BM189, "M")+1</f>
        <v>52</v>
      </c>
      <c r="BP189" s="136">
        <f>DATEDIF(AX189,BM189, "M")+1</f>
        <v>44</v>
      </c>
      <c r="BQ189" s="264" t="s">
        <v>2767</v>
      </c>
      <c r="BR189" s="136">
        <v>2</v>
      </c>
      <c r="BS189" s="136">
        <v>5</v>
      </c>
      <c r="BT189" s="136">
        <v>2</v>
      </c>
      <c r="BU189" s="136"/>
      <c r="BV189" s="136"/>
      <c r="BW189" s="136"/>
      <c r="BX189" s="136"/>
      <c r="BY189" s="136" t="s">
        <v>163</v>
      </c>
      <c r="BZ189" s="136"/>
      <c r="CA189" s="136"/>
      <c r="CB189" s="144"/>
      <c r="CC189" s="144"/>
      <c r="CD189" s="136"/>
      <c r="CE189" s="136"/>
      <c r="CF189" s="136"/>
      <c r="CG189" s="136"/>
      <c r="CH189" s="374">
        <v>2</v>
      </c>
      <c r="CI189" s="136"/>
      <c r="CJ189" s="136"/>
      <c r="CK189" s="136" t="s">
        <v>1806</v>
      </c>
      <c r="CL189"/>
    </row>
    <row r="190" spans="1:90" s="53" customFormat="1" ht="24.95" hidden="1" customHeight="1">
      <c r="A190" s="136">
        <v>194</v>
      </c>
      <c r="B190" s="136" t="s">
        <v>2768</v>
      </c>
      <c r="C190" s="136" t="s">
        <v>2769</v>
      </c>
      <c r="D190" s="136"/>
      <c r="E190" s="136" t="s">
        <v>2770</v>
      </c>
      <c r="F190" s="136" t="s">
        <v>24</v>
      </c>
      <c r="G190" s="136">
        <v>8</v>
      </c>
      <c r="H190" s="136" t="s">
        <v>55</v>
      </c>
      <c r="I190" s="136" t="s">
        <v>45</v>
      </c>
      <c r="J190" s="136" t="s">
        <v>2771</v>
      </c>
      <c r="K190" s="136" t="s">
        <v>2772</v>
      </c>
      <c r="L190" s="136" t="s">
        <v>45</v>
      </c>
      <c r="M190" s="136" t="s">
        <v>150</v>
      </c>
      <c r="N190" s="136"/>
      <c r="O190" s="136" t="s">
        <v>151</v>
      </c>
      <c r="P190" s="136" t="s">
        <v>151</v>
      </c>
      <c r="Q190" s="136"/>
      <c r="R190" s="387" t="s">
        <v>2773</v>
      </c>
      <c r="S190" s="136" t="s">
        <v>2774</v>
      </c>
      <c r="T190" s="345" t="s">
        <v>2775</v>
      </c>
      <c r="U190" s="139" t="s">
        <v>2772</v>
      </c>
      <c r="V190" s="139">
        <v>28915</v>
      </c>
      <c r="W190" s="147" t="s">
        <v>2776</v>
      </c>
      <c r="X190" s="147" t="s">
        <v>2363</v>
      </c>
      <c r="Y190" s="147" t="s">
        <v>157</v>
      </c>
      <c r="Z190" s="147"/>
      <c r="AA190" s="136">
        <v>12</v>
      </c>
      <c r="AB190" s="139">
        <v>43344</v>
      </c>
      <c r="AC190" s="285">
        <v>43160</v>
      </c>
      <c r="AD190" s="139"/>
      <c r="AE190" s="139" t="s">
        <v>2777</v>
      </c>
      <c r="AF190" s="139"/>
      <c r="AG190" s="139"/>
      <c r="AH190" s="136">
        <f>COUNTA(AE190:AG190)</f>
        <v>1</v>
      </c>
      <c r="AI190" s="139" t="s">
        <v>161</v>
      </c>
      <c r="AJ190" s="139"/>
      <c r="AK190" s="139"/>
      <c r="AL190" s="139" t="s">
        <v>150</v>
      </c>
      <c r="AM190" s="139"/>
      <c r="AN190" s="139"/>
      <c r="AO190" s="139" t="s">
        <v>164</v>
      </c>
      <c r="AP190" s="139" t="s">
        <v>2778</v>
      </c>
      <c r="AQ190" s="139" t="s">
        <v>217</v>
      </c>
      <c r="AR190" s="139" t="s">
        <v>150</v>
      </c>
      <c r="AS190" s="139"/>
      <c r="AT190" s="421" t="s">
        <v>219</v>
      </c>
      <c r="AU190" s="136" t="s">
        <v>2779</v>
      </c>
      <c r="AV190" s="139"/>
      <c r="AW190" s="141">
        <v>43164</v>
      </c>
      <c r="AX190" s="141">
        <v>43409</v>
      </c>
      <c r="AY190" s="141" t="s">
        <v>150</v>
      </c>
      <c r="AZ190" s="141">
        <v>43252</v>
      </c>
      <c r="BA190" s="141">
        <v>43132</v>
      </c>
      <c r="BB190" s="141"/>
      <c r="BC190" s="141"/>
      <c r="BD190" s="141"/>
      <c r="BE190" s="142" t="s">
        <v>2780</v>
      </c>
      <c r="BF190" s="141">
        <v>44207</v>
      </c>
      <c r="BG190" s="141" t="s">
        <v>150</v>
      </c>
      <c r="BH190" s="141">
        <v>44410</v>
      </c>
      <c r="BI190" s="141" t="s">
        <v>150</v>
      </c>
      <c r="BJ190" s="139"/>
      <c r="BK190" s="139"/>
      <c r="BL190" s="139"/>
      <c r="BM190" s="143">
        <v>45247</v>
      </c>
      <c r="BN190" s="136" t="s">
        <v>16</v>
      </c>
      <c r="BO190" s="238"/>
      <c r="BP190" s="136"/>
      <c r="BQ190" s="136"/>
      <c r="BR190" s="136">
        <v>9</v>
      </c>
      <c r="BS190" s="136">
        <v>57</v>
      </c>
      <c r="BT190" s="136">
        <v>0</v>
      </c>
      <c r="BU190" s="136"/>
      <c r="BV190" s="136"/>
      <c r="BW190" s="136"/>
      <c r="BX190" s="136"/>
      <c r="BY190" s="136" t="s">
        <v>163</v>
      </c>
      <c r="BZ190" s="136" t="s">
        <v>163</v>
      </c>
      <c r="CA190" s="136"/>
      <c r="CB190" s="144"/>
      <c r="CC190" s="144"/>
      <c r="CD190" s="136"/>
      <c r="CE190" s="136" t="s">
        <v>163</v>
      </c>
      <c r="CF190" s="136"/>
      <c r="CG190" s="136"/>
      <c r="CH190" s="374">
        <v>2</v>
      </c>
      <c r="CI190" s="136"/>
      <c r="CJ190" s="136"/>
      <c r="CK190" s="136" t="s">
        <v>1806</v>
      </c>
      <c r="CL190"/>
    </row>
    <row r="191" spans="1:90" s="53" customFormat="1" ht="24.95" hidden="1" customHeight="1">
      <c r="A191" s="136">
        <v>195</v>
      </c>
      <c r="B191" s="136" t="s">
        <v>2781</v>
      </c>
      <c r="C191" s="136" t="s">
        <v>2782</v>
      </c>
      <c r="D191" s="136" t="s">
        <v>2783</v>
      </c>
      <c r="E191" s="136" t="s">
        <v>2784</v>
      </c>
      <c r="F191" s="136" t="s">
        <v>25</v>
      </c>
      <c r="G191" s="136">
        <v>8</v>
      </c>
      <c r="H191" s="136" t="s">
        <v>54</v>
      </c>
      <c r="I191" s="136" t="s">
        <v>33</v>
      </c>
      <c r="J191" s="136" t="s">
        <v>2785</v>
      </c>
      <c r="K191" s="136" t="s">
        <v>2786</v>
      </c>
      <c r="L191" s="136" t="s">
        <v>46</v>
      </c>
      <c r="M191" s="136" t="s">
        <v>163</v>
      </c>
      <c r="N191" s="136">
        <v>2113374</v>
      </c>
      <c r="O191" s="136"/>
      <c r="P191" s="136" t="s">
        <v>151</v>
      </c>
      <c r="Q191" s="136"/>
      <c r="R191" s="136" t="s">
        <v>2787</v>
      </c>
      <c r="S191" s="136" t="s">
        <v>2788</v>
      </c>
      <c r="T191" s="346" t="s">
        <v>2789</v>
      </c>
      <c r="U191" s="139"/>
      <c r="V191" s="139">
        <v>28332</v>
      </c>
      <c r="W191" s="147" t="s">
        <v>2790</v>
      </c>
      <c r="X191" s="147" t="s">
        <v>2482</v>
      </c>
      <c r="Y191" s="147"/>
      <c r="Z191" s="147"/>
      <c r="AA191" s="136">
        <v>9</v>
      </c>
      <c r="AB191" s="139">
        <v>43261</v>
      </c>
      <c r="AC191" s="285">
        <v>43160</v>
      </c>
      <c r="AD191" s="139"/>
      <c r="AE191" s="139" t="s">
        <v>2791</v>
      </c>
      <c r="AF191" s="139" t="s">
        <v>2792</v>
      </c>
      <c r="AG191" s="139" t="s">
        <v>2793</v>
      </c>
      <c r="AH191" s="136">
        <f t="shared" ref="AH191:AH196" si="60">COUNTA(AE191:AG191)</f>
        <v>3</v>
      </c>
      <c r="AI191" s="139" t="s">
        <v>162</v>
      </c>
      <c r="AJ191" s="139" t="s">
        <v>162</v>
      </c>
      <c r="AK191" s="139"/>
      <c r="AL191" s="139" t="s">
        <v>150</v>
      </c>
      <c r="AM191" s="139" t="s">
        <v>163</v>
      </c>
      <c r="AN191" s="139" t="s">
        <v>163</v>
      </c>
      <c r="AO191" s="139" t="s">
        <v>164</v>
      </c>
      <c r="AP191" s="139" t="s">
        <v>203</v>
      </c>
      <c r="AQ191" s="139" t="s">
        <v>250</v>
      </c>
      <c r="AR191" s="139"/>
      <c r="AS191" s="139"/>
      <c r="AT191" s="421" t="s">
        <v>328</v>
      </c>
      <c r="AU191" s="136" t="s">
        <v>2794</v>
      </c>
      <c r="AV191" s="139"/>
      <c r="AW191" s="141">
        <v>43164</v>
      </c>
      <c r="AX191" s="141">
        <v>43409</v>
      </c>
      <c r="AY191" s="141" t="s">
        <v>150</v>
      </c>
      <c r="AZ191" s="141">
        <v>44169</v>
      </c>
      <c r="BA191" s="141">
        <v>44124</v>
      </c>
      <c r="BB191" s="141"/>
      <c r="BC191" s="141"/>
      <c r="BD191" s="141"/>
      <c r="BE191" s="142" t="s">
        <v>2795</v>
      </c>
      <c r="BF191" s="141">
        <v>44207</v>
      </c>
      <c r="BG191" s="141" t="s">
        <v>150</v>
      </c>
      <c r="BH191" s="141">
        <v>44410</v>
      </c>
      <c r="BI191" s="141" t="s">
        <v>150</v>
      </c>
      <c r="BJ191" s="139"/>
      <c r="BK191" s="139"/>
      <c r="BL191" s="139"/>
      <c r="BM191" s="143">
        <v>45498</v>
      </c>
      <c r="BN191" s="136" t="s">
        <v>16</v>
      </c>
      <c r="BO191" s="136">
        <f t="shared" si="59"/>
        <v>77</v>
      </c>
      <c r="BP191" s="136">
        <f>DATEDIF(AX191,BM191, "M")+1</f>
        <v>69</v>
      </c>
      <c r="BQ191" s="264" t="s">
        <v>2796</v>
      </c>
      <c r="BR191" s="136">
        <v>1</v>
      </c>
      <c r="BS191" s="136">
        <v>5</v>
      </c>
      <c r="BT191" s="136">
        <v>0</v>
      </c>
      <c r="BU191" s="136"/>
      <c r="BV191" s="136"/>
      <c r="BW191" s="136"/>
      <c r="BX191" s="136"/>
      <c r="BY191" s="136" t="s">
        <v>163</v>
      </c>
      <c r="BZ191" s="136"/>
      <c r="CA191" s="136"/>
      <c r="CB191" s="144"/>
      <c r="CC191" s="144"/>
      <c r="CD191" s="136"/>
      <c r="CE191" s="136"/>
      <c r="CF191" s="136"/>
      <c r="CG191" s="136"/>
      <c r="CH191" s="374"/>
      <c r="CI191" s="136"/>
      <c r="CJ191" s="136"/>
      <c r="CK191" s="136" t="s">
        <v>1806</v>
      </c>
      <c r="CL191"/>
    </row>
    <row r="192" spans="1:90" s="53" customFormat="1" ht="24.95" hidden="1" customHeight="1">
      <c r="A192" s="91">
        <v>196</v>
      </c>
      <c r="B192" s="91" t="s">
        <v>2797</v>
      </c>
      <c r="C192" s="91" t="s">
        <v>2798</v>
      </c>
      <c r="D192" s="91" t="s">
        <v>2799</v>
      </c>
      <c r="E192" s="91" t="s">
        <v>2800</v>
      </c>
      <c r="F192" s="91" t="s">
        <v>24</v>
      </c>
      <c r="G192" s="91">
        <v>8</v>
      </c>
      <c r="H192" s="91" t="s">
        <v>53</v>
      </c>
      <c r="I192" s="91" t="s">
        <v>47</v>
      </c>
      <c r="J192" s="91" t="s">
        <v>2273</v>
      </c>
      <c r="K192" s="91" t="s">
        <v>2801</v>
      </c>
      <c r="L192" s="91" t="s">
        <v>47</v>
      </c>
      <c r="M192" s="91" t="s">
        <v>150</v>
      </c>
      <c r="N192" s="91"/>
      <c r="O192" s="91"/>
      <c r="P192" s="91" t="s">
        <v>151</v>
      </c>
      <c r="Q192" s="91"/>
      <c r="R192" s="91" t="s">
        <v>2802</v>
      </c>
      <c r="S192" s="91" t="s">
        <v>2803</v>
      </c>
      <c r="T192" s="341" t="s">
        <v>2804</v>
      </c>
      <c r="U192" s="92"/>
      <c r="V192" s="92">
        <v>29109</v>
      </c>
      <c r="W192" s="164" t="s">
        <v>2805</v>
      </c>
      <c r="X192" s="164"/>
      <c r="Y192" s="164"/>
      <c r="Z192" s="164"/>
      <c r="AA192" s="91">
        <v>12</v>
      </c>
      <c r="AB192" s="92">
        <v>43284</v>
      </c>
      <c r="AC192" s="281">
        <v>43160</v>
      </c>
      <c r="AD192" s="92">
        <v>44398</v>
      </c>
      <c r="AE192" s="92" t="s">
        <v>2806</v>
      </c>
      <c r="AF192" s="92"/>
      <c r="AG192" s="92"/>
      <c r="AH192" s="91">
        <f t="shared" si="60"/>
        <v>1</v>
      </c>
      <c r="AI192" s="92" t="s">
        <v>161</v>
      </c>
      <c r="AJ192" s="92"/>
      <c r="AK192" s="92"/>
      <c r="AL192" s="92" t="s">
        <v>150</v>
      </c>
      <c r="AM192" s="92"/>
      <c r="AN192" s="92"/>
      <c r="AO192" s="92" t="s">
        <v>164</v>
      </c>
      <c r="AP192" s="92"/>
      <c r="AQ192" s="92"/>
      <c r="AR192" s="92"/>
      <c r="AS192" s="92"/>
      <c r="AT192" s="400" t="s">
        <v>298</v>
      </c>
      <c r="AU192" s="91" t="s">
        <v>2807</v>
      </c>
      <c r="AV192" s="92"/>
      <c r="AW192" s="93">
        <v>43164</v>
      </c>
      <c r="AX192" s="93">
        <v>43409</v>
      </c>
      <c r="AY192" s="93" t="s">
        <v>150</v>
      </c>
      <c r="AZ192" s="93">
        <v>44099</v>
      </c>
      <c r="BA192" s="93">
        <v>44122</v>
      </c>
      <c r="BB192" s="93"/>
      <c r="BC192" s="93"/>
      <c r="BD192" s="93"/>
      <c r="BE192" s="94"/>
      <c r="BF192" s="93"/>
      <c r="BG192" s="93"/>
      <c r="BH192" s="93"/>
      <c r="BI192" s="93"/>
      <c r="BJ192" s="92"/>
      <c r="BK192" s="92"/>
      <c r="BL192" s="92"/>
      <c r="BM192" s="109"/>
      <c r="BN192" s="91" t="s">
        <v>18</v>
      </c>
      <c r="BO192" s="265"/>
      <c r="BP192" s="265"/>
      <c r="BQ192" s="91"/>
      <c r="BR192" s="91">
        <v>0</v>
      </c>
      <c r="BS192" s="91"/>
      <c r="BT192" s="91"/>
      <c r="BU192" s="91"/>
      <c r="BV192" s="91"/>
      <c r="BW192" s="91"/>
      <c r="BX192" s="91"/>
      <c r="BY192" s="91" t="s">
        <v>163</v>
      </c>
      <c r="BZ192" s="91"/>
      <c r="CA192" s="91"/>
      <c r="CB192" s="95"/>
      <c r="CC192" s="95"/>
      <c r="CD192" s="91"/>
      <c r="CE192" s="91"/>
      <c r="CF192" s="91"/>
      <c r="CG192" s="91"/>
      <c r="CH192" s="113"/>
      <c r="CI192" s="91"/>
      <c r="CJ192" s="91"/>
      <c r="CK192" s="91" t="s">
        <v>1806</v>
      </c>
      <c r="CL192"/>
    </row>
    <row r="193" spans="1:90" s="53" customFormat="1" ht="24.95" hidden="1" customHeight="1">
      <c r="A193" s="91">
        <v>197</v>
      </c>
      <c r="B193" s="91" t="s">
        <v>2808</v>
      </c>
      <c r="C193" s="91" t="s">
        <v>2809</v>
      </c>
      <c r="D193" s="91" t="s">
        <v>2810</v>
      </c>
      <c r="E193" s="91" t="s">
        <v>2811</v>
      </c>
      <c r="F193" s="91" t="s">
        <v>25</v>
      </c>
      <c r="G193" s="91">
        <v>8</v>
      </c>
      <c r="H193" s="91" t="s">
        <v>60</v>
      </c>
      <c r="I193" s="91" t="s">
        <v>37</v>
      </c>
      <c r="J193" s="91" t="s">
        <v>602</v>
      </c>
      <c r="K193" s="91" t="s">
        <v>2812</v>
      </c>
      <c r="L193" s="91"/>
      <c r="M193" s="91" t="s">
        <v>163</v>
      </c>
      <c r="N193" s="91"/>
      <c r="O193" s="91"/>
      <c r="P193" s="91" t="s">
        <v>322</v>
      </c>
      <c r="Q193" s="91"/>
      <c r="R193" s="91" t="s">
        <v>2813</v>
      </c>
      <c r="S193" s="91" t="s">
        <v>2814</v>
      </c>
      <c r="T193" s="353" t="s">
        <v>2815</v>
      </c>
      <c r="U193" s="92"/>
      <c r="V193" s="92">
        <v>26666</v>
      </c>
      <c r="W193" s="164" t="s">
        <v>2816</v>
      </c>
      <c r="X193" s="164"/>
      <c r="Y193" s="164"/>
      <c r="Z193" s="164"/>
      <c r="AA193" s="91">
        <v>14</v>
      </c>
      <c r="AB193" s="92">
        <v>43343</v>
      </c>
      <c r="AC193" s="281">
        <v>43160</v>
      </c>
      <c r="AD193" s="92">
        <v>44651</v>
      </c>
      <c r="AE193" s="92" t="s">
        <v>2817</v>
      </c>
      <c r="AF193" s="92" t="s">
        <v>1120</v>
      </c>
      <c r="AG193" s="92"/>
      <c r="AH193" s="91">
        <f t="shared" si="60"/>
        <v>2</v>
      </c>
      <c r="AI193" s="92" t="s">
        <v>161</v>
      </c>
      <c r="AJ193" s="92" t="s">
        <v>161</v>
      </c>
      <c r="AK193" s="92"/>
      <c r="AL193" s="92" t="s">
        <v>163</v>
      </c>
      <c r="AM193" s="92"/>
      <c r="AN193" s="92"/>
      <c r="AO193" s="92" t="s">
        <v>164</v>
      </c>
      <c r="AP193" s="92"/>
      <c r="AQ193" s="92"/>
      <c r="AR193" s="92"/>
      <c r="AS193" s="92"/>
      <c r="AT193" s="400" t="s">
        <v>580</v>
      </c>
      <c r="AU193" s="91" t="s">
        <v>2818</v>
      </c>
      <c r="AV193" s="92"/>
      <c r="AW193" s="93">
        <v>43164</v>
      </c>
      <c r="AX193" s="93">
        <v>43409</v>
      </c>
      <c r="AY193" s="93" t="s">
        <v>150</v>
      </c>
      <c r="AZ193" s="93"/>
      <c r="BA193" s="93"/>
      <c r="BB193" s="93"/>
      <c r="BC193" s="93"/>
      <c r="BD193" s="93"/>
      <c r="BE193" s="94"/>
      <c r="BF193" s="93"/>
      <c r="BG193" s="93"/>
      <c r="BH193" s="93"/>
      <c r="BI193" s="93"/>
      <c r="BJ193" s="92"/>
      <c r="BK193" s="92"/>
      <c r="BL193" s="92"/>
      <c r="BM193" s="109"/>
      <c r="BN193" s="91" t="s">
        <v>18</v>
      </c>
      <c r="BO193" s="265"/>
      <c r="BP193" s="265"/>
      <c r="BQ193" s="91"/>
      <c r="BR193" s="91">
        <v>4</v>
      </c>
      <c r="BS193" s="91"/>
      <c r="BT193" s="91"/>
      <c r="BU193" s="91"/>
      <c r="BV193" s="91"/>
      <c r="BW193" s="91"/>
      <c r="BX193" s="91"/>
      <c r="BY193" s="91" t="s">
        <v>163</v>
      </c>
      <c r="BZ193" s="91"/>
      <c r="CA193" s="91"/>
      <c r="CB193" s="95"/>
      <c r="CC193" s="95"/>
      <c r="CD193" s="91"/>
      <c r="CE193" s="91"/>
      <c r="CF193" s="91"/>
      <c r="CG193" s="91"/>
      <c r="CH193" s="113"/>
      <c r="CI193" s="91"/>
      <c r="CJ193" s="91"/>
      <c r="CK193" s="91" t="s">
        <v>1806</v>
      </c>
      <c r="CL193"/>
    </row>
    <row r="194" spans="1:90" s="53" customFormat="1" ht="24.95" hidden="1" customHeight="1">
      <c r="A194" s="136">
        <v>198</v>
      </c>
      <c r="B194" s="136" t="s">
        <v>2819</v>
      </c>
      <c r="C194" s="136" t="s">
        <v>2820</v>
      </c>
      <c r="D194" s="136" t="s">
        <v>2821</v>
      </c>
      <c r="E194" s="136" t="s">
        <v>2822</v>
      </c>
      <c r="F194" s="136" t="s">
        <v>24</v>
      </c>
      <c r="G194" s="136">
        <v>8</v>
      </c>
      <c r="H194" s="136" t="s">
        <v>54</v>
      </c>
      <c r="I194" s="136" t="s">
        <v>33</v>
      </c>
      <c r="J194" s="136" t="s">
        <v>602</v>
      </c>
      <c r="K194" s="136" t="s">
        <v>2225</v>
      </c>
      <c r="L194" s="136" t="s">
        <v>33</v>
      </c>
      <c r="M194" s="136" t="s">
        <v>150</v>
      </c>
      <c r="N194" s="136"/>
      <c r="O194" s="136"/>
      <c r="P194" s="136" t="s">
        <v>151</v>
      </c>
      <c r="Q194" s="136"/>
      <c r="R194" s="387" t="s">
        <v>2823</v>
      </c>
      <c r="S194" s="136" t="s">
        <v>2824</v>
      </c>
      <c r="T194" s="345" t="s">
        <v>2825</v>
      </c>
      <c r="U194" s="139"/>
      <c r="V194" s="139">
        <v>28488</v>
      </c>
      <c r="W194" s="147" t="s">
        <v>2826</v>
      </c>
      <c r="X194" s="147" t="s">
        <v>156</v>
      </c>
      <c r="Y194" s="147"/>
      <c r="Z194" s="147"/>
      <c r="AA194" s="136">
        <v>2</v>
      </c>
      <c r="AB194" s="139">
        <v>43405</v>
      </c>
      <c r="AC194" s="285">
        <v>43160</v>
      </c>
      <c r="AD194" s="139"/>
      <c r="AE194" s="139" t="s">
        <v>2827</v>
      </c>
      <c r="AF194" s="139" t="s">
        <v>2828</v>
      </c>
      <c r="AG194" s="139"/>
      <c r="AH194" s="136">
        <f t="shared" si="60"/>
        <v>2</v>
      </c>
      <c r="AI194" s="139"/>
      <c r="AJ194" s="139" t="s">
        <v>161</v>
      </c>
      <c r="AK194" s="139"/>
      <c r="AL194" s="139" t="s">
        <v>150</v>
      </c>
      <c r="AM194" s="139" t="s">
        <v>150</v>
      </c>
      <c r="AN194" s="139"/>
      <c r="AO194" s="139" t="s">
        <v>164</v>
      </c>
      <c r="AP194" s="139"/>
      <c r="AQ194" s="139" t="s">
        <v>2829</v>
      </c>
      <c r="AR194" s="139"/>
      <c r="AS194" s="139"/>
      <c r="AT194" s="421" t="s">
        <v>328</v>
      </c>
      <c r="AU194" s="136" t="s">
        <v>2830</v>
      </c>
      <c r="AV194" s="139"/>
      <c r="AW194" s="141">
        <v>43164</v>
      </c>
      <c r="AX194" s="141">
        <v>43409</v>
      </c>
      <c r="AY194" s="141" t="s">
        <v>150</v>
      </c>
      <c r="AZ194" s="141">
        <v>43833</v>
      </c>
      <c r="BA194" s="141">
        <v>43857</v>
      </c>
      <c r="BB194" s="141"/>
      <c r="BC194" s="141"/>
      <c r="BD194" s="141"/>
      <c r="BE194" s="142" t="s">
        <v>2831</v>
      </c>
      <c r="BF194" s="141">
        <v>44207</v>
      </c>
      <c r="BG194" s="141" t="s">
        <v>150</v>
      </c>
      <c r="BH194" s="141">
        <v>44410</v>
      </c>
      <c r="BI194" s="141" t="s">
        <v>150</v>
      </c>
      <c r="BJ194" s="139"/>
      <c r="BK194" s="139"/>
      <c r="BL194" s="139"/>
      <c r="BM194" s="143"/>
      <c r="BN194" s="136" t="s">
        <v>17</v>
      </c>
      <c r="BO194" s="238"/>
      <c r="BP194" s="238"/>
      <c r="BQ194" s="136"/>
      <c r="BR194" s="136">
        <v>5</v>
      </c>
      <c r="BS194" s="136">
        <v>12</v>
      </c>
      <c r="BT194" s="136">
        <v>0</v>
      </c>
      <c r="BU194" s="136"/>
      <c r="BV194" s="136"/>
      <c r="BW194" s="136"/>
      <c r="BX194" s="136"/>
      <c r="BY194" s="136" t="s">
        <v>163</v>
      </c>
      <c r="BZ194" s="136"/>
      <c r="CA194" s="136"/>
      <c r="CB194" s="144"/>
      <c r="CC194" s="144"/>
      <c r="CD194" s="136"/>
      <c r="CE194" s="136"/>
      <c r="CF194" s="136"/>
      <c r="CG194" s="136"/>
      <c r="CH194" s="374"/>
      <c r="CI194" s="136"/>
      <c r="CJ194" s="136"/>
      <c r="CK194" s="136" t="s">
        <v>1806</v>
      </c>
      <c r="CL194"/>
    </row>
    <row r="195" spans="1:90" s="53" customFormat="1" ht="24.95" hidden="1" customHeight="1">
      <c r="A195" s="136">
        <v>199</v>
      </c>
      <c r="B195" s="136" t="s">
        <v>2832</v>
      </c>
      <c r="C195" s="136" t="s">
        <v>2205</v>
      </c>
      <c r="D195" s="136"/>
      <c r="E195" s="136" t="s">
        <v>2833</v>
      </c>
      <c r="F195" s="136" t="s">
        <v>25</v>
      </c>
      <c r="G195" s="136">
        <v>8</v>
      </c>
      <c r="H195" s="136" t="s">
        <v>52</v>
      </c>
      <c r="I195" s="136" t="s">
        <v>39</v>
      </c>
      <c r="J195" s="136" t="s">
        <v>2834</v>
      </c>
      <c r="K195" s="136" t="s">
        <v>2835</v>
      </c>
      <c r="L195" s="136" t="s">
        <v>46</v>
      </c>
      <c r="M195" s="136" t="s">
        <v>163</v>
      </c>
      <c r="N195" s="136">
        <v>1540298</v>
      </c>
      <c r="O195" s="136" t="s">
        <v>322</v>
      </c>
      <c r="P195" s="136" t="s">
        <v>322</v>
      </c>
      <c r="Q195" s="136"/>
      <c r="R195" s="387" t="s">
        <v>2836</v>
      </c>
      <c r="S195" s="136" t="s">
        <v>2837</v>
      </c>
      <c r="T195" s="346" t="s">
        <v>2838</v>
      </c>
      <c r="U195" s="139" t="s">
        <v>2839</v>
      </c>
      <c r="V195" s="139">
        <v>31614</v>
      </c>
      <c r="W195" s="147" t="s">
        <v>2840</v>
      </c>
      <c r="X195" s="147" t="s">
        <v>179</v>
      </c>
      <c r="Y195" s="147" t="s">
        <v>163</v>
      </c>
      <c r="Z195" s="147"/>
      <c r="AA195" s="136">
        <v>15</v>
      </c>
      <c r="AB195" s="139">
        <v>43346</v>
      </c>
      <c r="AC195" s="285">
        <v>43160</v>
      </c>
      <c r="AD195" s="139"/>
      <c r="AE195" s="139" t="s">
        <v>2841</v>
      </c>
      <c r="AF195" s="139" t="s">
        <v>2294</v>
      </c>
      <c r="AG195" s="139"/>
      <c r="AH195" s="136">
        <f t="shared" si="60"/>
        <v>2</v>
      </c>
      <c r="AI195" s="139" t="s">
        <v>162</v>
      </c>
      <c r="AJ195" s="139" t="s">
        <v>161</v>
      </c>
      <c r="AK195" s="139"/>
      <c r="AL195" s="139" t="s">
        <v>163</v>
      </c>
      <c r="AM195" s="139" t="s">
        <v>163</v>
      </c>
      <c r="AN195" s="139"/>
      <c r="AO195" s="139" t="s">
        <v>182</v>
      </c>
      <c r="AP195" s="139" t="s">
        <v>2842</v>
      </c>
      <c r="AQ195" s="139" t="s">
        <v>2843</v>
      </c>
      <c r="AR195" s="139"/>
      <c r="AS195" s="139"/>
      <c r="AT195" s="421" t="s">
        <v>204</v>
      </c>
      <c r="AU195" s="136" t="s">
        <v>2844</v>
      </c>
      <c r="AV195" s="139"/>
      <c r="AW195" s="141">
        <v>43164</v>
      </c>
      <c r="AX195" s="141">
        <v>43409</v>
      </c>
      <c r="AY195" s="141" t="s">
        <v>150</v>
      </c>
      <c r="AZ195" s="141">
        <v>43607</v>
      </c>
      <c r="BA195" s="141">
        <v>43941</v>
      </c>
      <c r="BB195" s="141"/>
      <c r="BC195" s="141"/>
      <c r="BD195" s="141"/>
      <c r="BE195" s="142" t="s">
        <v>2845</v>
      </c>
      <c r="BF195" s="141">
        <v>44207</v>
      </c>
      <c r="BG195" s="141" t="s">
        <v>150</v>
      </c>
      <c r="BH195" s="141">
        <v>44410</v>
      </c>
      <c r="BI195" s="141" t="s">
        <v>150</v>
      </c>
      <c r="BJ195" s="139"/>
      <c r="BK195" s="139"/>
      <c r="BL195" s="139"/>
      <c r="BM195" s="143">
        <v>45701</v>
      </c>
      <c r="BN195" s="136" t="s">
        <v>16</v>
      </c>
      <c r="BO195" s="238"/>
      <c r="BP195" s="238"/>
      <c r="BQ195" s="136" t="s">
        <v>2846</v>
      </c>
      <c r="BR195" s="136">
        <v>1</v>
      </c>
      <c r="BS195" s="136">
        <v>8</v>
      </c>
      <c r="BT195" s="136">
        <v>0</v>
      </c>
      <c r="BU195" s="136"/>
      <c r="BV195" s="136"/>
      <c r="BW195" s="136"/>
      <c r="BX195" s="136"/>
      <c r="BY195" s="136" t="s">
        <v>163</v>
      </c>
      <c r="BZ195" s="136" t="s">
        <v>163</v>
      </c>
      <c r="CA195" s="136" t="s">
        <v>2847</v>
      </c>
      <c r="CB195" s="144"/>
      <c r="CC195" s="144"/>
      <c r="CD195" s="136"/>
      <c r="CE195" s="136" t="s">
        <v>163</v>
      </c>
      <c r="CF195" s="136"/>
      <c r="CG195" s="136"/>
      <c r="CH195" s="374">
        <v>1</v>
      </c>
      <c r="CI195" s="136"/>
      <c r="CJ195" s="136"/>
      <c r="CK195" s="136" t="s">
        <v>809</v>
      </c>
      <c r="CL195"/>
    </row>
    <row r="196" spans="1:90" s="53" customFormat="1" ht="25.5" hidden="1" customHeight="1">
      <c r="A196" s="136">
        <v>200</v>
      </c>
      <c r="B196" s="136" t="s">
        <v>2848</v>
      </c>
      <c r="C196" s="136" t="s">
        <v>2849</v>
      </c>
      <c r="D196" s="136" t="s">
        <v>2850</v>
      </c>
      <c r="E196" s="136" t="s">
        <v>2851</v>
      </c>
      <c r="F196" s="136" t="s">
        <v>25</v>
      </c>
      <c r="G196" s="136">
        <v>8</v>
      </c>
      <c r="H196" s="136" t="s">
        <v>52</v>
      </c>
      <c r="I196" s="136" t="s">
        <v>39</v>
      </c>
      <c r="J196" s="136" t="s">
        <v>2852</v>
      </c>
      <c r="K196" s="136" t="s">
        <v>2853</v>
      </c>
      <c r="L196" s="136" t="s">
        <v>44</v>
      </c>
      <c r="M196" s="136" t="s">
        <v>163</v>
      </c>
      <c r="N196" s="136">
        <v>10104312016</v>
      </c>
      <c r="O196" s="136"/>
      <c r="P196" s="136" t="s">
        <v>151</v>
      </c>
      <c r="Q196" s="136"/>
      <c r="R196" s="136" t="s">
        <v>2854</v>
      </c>
      <c r="S196" s="145" t="s">
        <v>2855</v>
      </c>
      <c r="T196" s="345" t="s">
        <v>2856</v>
      </c>
      <c r="U196" s="139"/>
      <c r="V196" s="139">
        <v>31356</v>
      </c>
      <c r="W196" s="147" t="s">
        <v>2857</v>
      </c>
      <c r="X196" s="147" t="s">
        <v>179</v>
      </c>
      <c r="Y196" s="147"/>
      <c r="Z196" s="147"/>
      <c r="AA196" s="136">
        <v>41</v>
      </c>
      <c r="AB196" s="139">
        <v>42594</v>
      </c>
      <c r="AC196" s="285">
        <v>43160</v>
      </c>
      <c r="AD196" s="139"/>
      <c r="AE196" s="139" t="s">
        <v>2858</v>
      </c>
      <c r="AF196" s="139" t="s">
        <v>2859</v>
      </c>
      <c r="AG196" s="139"/>
      <c r="AH196" s="136">
        <f t="shared" si="60"/>
        <v>2</v>
      </c>
      <c r="AI196" s="139" t="s">
        <v>162</v>
      </c>
      <c r="AJ196" s="139" t="s">
        <v>162</v>
      </c>
      <c r="AK196" s="139"/>
      <c r="AL196" s="139" t="s">
        <v>163</v>
      </c>
      <c r="AM196" s="139"/>
      <c r="AN196" s="139"/>
      <c r="AO196" s="139" t="s">
        <v>164</v>
      </c>
      <c r="AP196" s="139" t="s">
        <v>181</v>
      </c>
      <c r="AQ196" s="139" t="s">
        <v>181</v>
      </c>
      <c r="AR196" s="139"/>
      <c r="AS196" s="139"/>
      <c r="AT196" s="421" t="s">
        <v>204</v>
      </c>
      <c r="AU196" s="136" t="s">
        <v>2860</v>
      </c>
      <c r="AV196" s="139"/>
      <c r="AW196" s="141">
        <v>43164</v>
      </c>
      <c r="AX196" s="141">
        <v>43409</v>
      </c>
      <c r="AY196" s="141" t="s">
        <v>150</v>
      </c>
      <c r="AZ196" s="141">
        <v>43714</v>
      </c>
      <c r="BA196" s="141">
        <v>43927</v>
      </c>
      <c r="BB196" s="141"/>
      <c r="BC196" s="141"/>
      <c r="BD196" s="141"/>
      <c r="BE196" s="142" t="s">
        <v>2861</v>
      </c>
      <c r="BF196" s="141">
        <v>44207</v>
      </c>
      <c r="BG196" s="141" t="s">
        <v>150</v>
      </c>
      <c r="BH196" s="141">
        <v>44410</v>
      </c>
      <c r="BI196" s="141" t="s">
        <v>150</v>
      </c>
      <c r="BJ196" s="139"/>
      <c r="BK196" s="139"/>
      <c r="BL196" s="139"/>
      <c r="BM196" s="143"/>
      <c r="BN196" s="136" t="s">
        <v>17</v>
      </c>
      <c r="BO196" s="238"/>
      <c r="BP196" s="238"/>
      <c r="BQ196" s="136"/>
      <c r="BR196" s="136">
        <v>3</v>
      </c>
      <c r="BS196" s="136"/>
      <c r="BT196" s="136"/>
      <c r="BU196" s="136"/>
      <c r="BV196" s="136"/>
      <c r="BW196" s="136"/>
      <c r="BX196" s="136"/>
      <c r="BY196" s="136" t="s">
        <v>163</v>
      </c>
      <c r="BZ196" s="136"/>
      <c r="CA196" s="136"/>
      <c r="CB196" s="144"/>
      <c r="CC196" s="144"/>
      <c r="CD196" s="136"/>
      <c r="CE196" s="136"/>
      <c r="CF196" s="136"/>
      <c r="CG196" s="136"/>
      <c r="CH196" s="374"/>
      <c r="CI196" s="136"/>
      <c r="CJ196" s="136"/>
      <c r="CK196" s="136" t="s">
        <v>809</v>
      </c>
      <c r="CL196"/>
    </row>
    <row r="197" spans="1:90" s="53" customFormat="1" ht="24.95" hidden="1" customHeight="1">
      <c r="A197" s="96">
        <v>201</v>
      </c>
      <c r="B197" s="96" t="s">
        <v>2862</v>
      </c>
      <c r="C197" s="96" t="s">
        <v>2863</v>
      </c>
      <c r="D197" s="96" t="s">
        <v>2864</v>
      </c>
      <c r="E197" s="96" t="s">
        <v>2865</v>
      </c>
      <c r="F197" s="96" t="s">
        <v>24</v>
      </c>
      <c r="G197" s="96">
        <v>9</v>
      </c>
      <c r="H197" s="96" t="s">
        <v>53</v>
      </c>
      <c r="I197" s="96" t="s">
        <v>47</v>
      </c>
      <c r="J197" s="96" t="s">
        <v>2866</v>
      </c>
      <c r="K197" s="96" t="s">
        <v>2867</v>
      </c>
      <c r="L197" s="96" t="s">
        <v>47</v>
      </c>
      <c r="M197" s="96" t="s">
        <v>150</v>
      </c>
      <c r="N197" s="96"/>
      <c r="O197" s="96" t="s">
        <v>151</v>
      </c>
      <c r="P197" s="96" t="s">
        <v>151</v>
      </c>
      <c r="Q197" s="96"/>
      <c r="R197" s="96" t="s">
        <v>2868</v>
      </c>
      <c r="S197" s="96" t="s">
        <v>2869</v>
      </c>
      <c r="T197" s="196" t="s">
        <v>2870</v>
      </c>
      <c r="U197" s="97"/>
      <c r="V197" s="97">
        <v>31152</v>
      </c>
      <c r="W197" s="105" t="s">
        <v>2871</v>
      </c>
      <c r="X197" s="105" t="s">
        <v>2872</v>
      </c>
      <c r="Y197" s="105"/>
      <c r="Z197" s="105"/>
      <c r="AA197" s="96">
        <v>14</v>
      </c>
      <c r="AB197" s="97">
        <v>43709</v>
      </c>
      <c r="AC197" s="282">
        <v>43525</v>
      </c>
      <c r="AD197" s="97"/>
      <c r="AE197" s="97" t="s">
        <v>2873</v>
      </c>
      <c r="AF197" s="97" t="s">
        <v>2874</v>
      </c>
      <c r="AG197" s="97"/>
      <c r="AH197" s="96">
        <f>COUNTA(AE197:AG197)</f>
        <v>2</v>
      </c>
      <c r="AI197" s="97" t="s">
        <v>161</v>
      </c>
      <c r="AJ197" s="97" t="s">
        <v>161</v>
      </c>
      <c r="AK197" s="97"/>
      <c r="AL197" s="97" t="s">
        <v>163</v>
      </c>
      <c r="AM197" s="97" t="s">
        <v>150</v>
      </c>
      <c r="AN197" s="97"/>
      <c r="AO197" s="97" t="s">
        <v>182</v>
      </c>
      <c r="AP197" s="97" t="s">
        <v>2875</v>
      </c>
      <c r="AQ197" s="97" t="s">
        <v>2876</v>
      </c>
      <c r="AR197" s="97" t="s">
        <v>150</v>
      </c>
      <c r="AS197" s="97"/>
      <c r="AT197" s="401" t="s">
        <v>298</v>
      </c>
      <c r="AU197" s="96" t="s">
        <v>2877</v>
      </c>
      <c r="AV197" s="97"/>
      <c r="AW197" s="99">
        <v>43528</v>
      </c>
      <c r="AX197" s="99">
        <v>43770</v>
      </c>
      <c r="AY197" s="99" t="s">
        <v>150</v>
      </c>
      <c r="AZ197" s="99">
        <v>43815</v>
      </c>
      <c r="BA197" s="99">
        <v>43808</v>
      </c>
      <c r="BB197" s="99"/>
      <c r="BC197" s="99"/>
      <c r="BD197" s="99"/>
      <c r="BE197" s="100" t="s">
        <v>2878</v>
      </c>
      <c r="BF197" s="99">
        <v>44470</v>
      </c>
      <c r="BG197" s="99" t="s">
        <v>150</v>
      </c>
      <c r="BH197" s="99">
        <v>44732</v>
      </c>
      <c r="BI197" s="99" t="s">
        <v>150</v>
      </c>
      <c r="BJ197" s="97">
        <v>45197</v>
      </c>
      <c r="BK197" s="97"/>
      <c r="BL197" s="97"/>
      <c r="BM197" s="101">
        <v>45337</v>
      </c>
      <c r="BN197" s="96" t="s">
        <v>16</v>
      </c>
      <c r="BO197" s="96">
        <f t="shared" ref="BO197:BO202" si="61">DATEDIF(AW197,BM197, "M")+1</f>
        <v>60</v>
      </c>
      <c r="BP197" s="266">
        <f t="shared" ref="BP197:BP199" si="62">DATEDIF(AX197,BM197, "M")+1</f>
        <v>52</v>
      </c>
      <c r="BQ197" s="96"/>
      <c r="BR197" s="96">
        <v>0</v>
      </c>
      <c r="BS197" s="96">
        <v>5</v>
      </c>
      <c r="BT197" s="96"/>
      <c r="BU197" s="96"/>
      <c r="BV197" s="96"/>
      <c r="BW197" s="96"/>
      <c r="BX197" s="96"/>
      <c r="BY197" s="96" t="s">
        <v>163</v>
      </c>
      <c r="BZ197" s="96"/>
      <c r="CA197" s="96"/>
      <c r="CB197" s="103"/>
      <c r="CC197" s="103"/>
      <c r="CD197" s="96"/>
      <c r="CE197" s="96"/>
      <c r="CF197" s="96"/>
      <c r="CG197" s="96"/>
      <c r="CH197" s="371">
        <v>2</v>
      </c>
      <c r="CI197" s="96"/>
      <c r="CJ197" s="96"/>
      <c r="CK197" s="96" t="s">
        <v>1806</v>
      </c>
      <c r="CL197"/>
    </row>
    <row r="198" spans="1:90" s="53" customFormat="1" ht="24.95" hidden="1" customHeight="1">
      <c r="A198" s="96">
        <v>202</v>
      </c>
      <c r="B198" s="96" t="s">
        <v>2879</v>
      </c>
      <c r="C198" s="96" t="s">
        <v>2880</v>
      </c>
      <c r="D198" s="96" t="s">
        <v>2881</v>
      </c>
      <c r="E198" s="96" t="s">
        <v>2882</v>
      </c>
      <c r="F198" s="96" t="s">
        <v>24</v>
      </c>
      <c r="G198" s="96">
        <v>9</v>
      </c>
      <c r="H198" s="96" t="s">
        <v>54</v>
      </c>
      <c r="I198" s="96" t="s">
        <v>41</v>
      </c>
      <c r="J198" s="96" t="s">
        <v>602</v>
      </c>
      <c r="K198" s="96" t="s">
        <v>602</v>
      </c>
      <c r="L198" s="96" t="s">
        <v>46</v>
      </c>
      <c r="M198" s="96" t="s">
        <v>163</v>
      </c>
      <c r="N198" s="197">
        <v>1507128</v>
      </c>
      <c r="O198" s="197" t="s">
        <v>151</v>
      </c>
      <c r="P198" s="96" t="s">
        <v>151</v>
      </c>
      <c r="Q198" s="96"/>
      <c r="R198" s="96" t="s">
        <v>2883</v>
      </c>
      <c r="S198" s="96" t="s">
        <v>2884</v>
      </c>
      <c r="T198" s="196" t="s">
        <v>2885</v>
      </c>
      <c r="U198" s="97" t="s">
        <v>2886</v>
      </c>
      <c r="V198" s="97">
        <v>28764</v>
      </c>
      <c r="W198" s="105" t="s">
        <v>2887</v>
      </c>
      <c r="X198" s="105" t="s">
        <v>179</v>
      </c>
      <c r="Y198" s="105" t="s">
        <v>163</v>
      </c>
      <c r="Z198" s="105"/>
      <c r="AA198" s="96">
        <v>21</v>
      </c>
      <c r="AB198" s="97">
        <v>43837</v>
      </c>
      <c r="AC198" s="282">
        <v>43525</v>
      </c>
      <c r="AD198" s="97"/>
      <c r="AE198" s="97" t="s">
        <v>2888</v>
      </c>
      <c r="AF198" s="97"/>
      <c r="AG198" s="97"/>
      <c r="AH198" s="96">
        <f t="shared" ref="AH198:AH221" si="63">COUNTA(AE198:AG198)</f>
        <v>1</v>
      </c>
      <c r="AI198" s="97" t="s">
        <v>2889</v>
      </c>
      <c r="AJ198" s="97"/>
      <c r="AK198" s="97"/>
      <c r="AL198" s="97" t="s">
        <v>150</v>
      </c>
      <c r="AM198" s="97"/>
      <c r="AN198" s="97"/>
      <c r="AO198" s="97" t="s">
        <v>182</v>
      </c>
      <c r="AP198" s="97" t="s">
        <v>2186</v>
      </c>
      <c r="AQ198" s="97" t="s">
        <v>2890</v>
      </c>
      <c r="AR198" s="97" t="s">
        <v>150</v>
      </c>
      <c r="AS198" s="97"/>
      <c r="AT198" s="401" t="s">
        <v>285</v>
      </c>
      <c r="AU198" s="96" t="s">
        <v>2891</v>
      </c>
      <c r="AV198" s="97"/>
      <c r="AW198" s="99">
        <v>43528</v>
      </c>
      <c r="AX198" s="99">
        <v>43770</v>
      </c>
      <c r="AY198" s="99" t="s">
        <v>150</v>
      </c>
      <c r="AZ198" s="99">
        <v>44057</v>
      </c>
      <c r="BA198" s="99">
        <v>44319</v>
      </c>
      <c r="BB198" s="99"/>
      <c r="BC198" s="99"/>
      <c r="BD198" s="99"/>
      <c r="BE198" s="100" t="s">
        <v>2892</v>
      </c>
      <c r="BF198" s="99">
        <v>44470</v>
      </c>
      <c r="BG198" s="99" t="s">
        <v>150</v>
      </c>
      <c r="BH198" s="99">
        <v>44732</v>
      </c>
      <c r="BI198" s="99" t="s">
        <v>150</v>
      </c>
      <c r="BJ198" s="97"/>
      <c r="BK198" s="97"/>
      <c r="BL198" s="97"/>
      <c r="BM198" s="101">
        <v>45202</v>
      </c>
      <c r="BN198" s="96" t="s">
        <v>16</v>
      </c>
      <c r="BO198" s="96">
        <f t="shared" si="61"/>
        <v>55</v>
      </c>
      <c r="BP198" s="266">
        <f t="shared" si="62"/>
        <v>48</v>
      </c>
      <c r="BQ198" s="266" t="s">
        <v>2893</v>
      </c>
      <c r="BR198" s="96">
        <v>7</v>
      </c>
      <c r="BS198" s="96">
        <v>8</v>
      </c>
      <c r="BT198" s="96"/>
      <c r="BU198" s="96"/>
      <c r="BV198" s="96"/>
      <c r="BW198" s="96"/>
      <c r="BX198" s="96"/>
      <c r="BY198" s="96" t="s">
        <v>163</v>
      </c>
      <c r="BZ198" s="96"/>
      <c r="CA198" s="96"/>
      <c r="CB198" s="103"/>
      <c r="CC198" s="103"/>
      <c r="CD198" s="96"/>
      <c r="CE198" s="96" t="s">
        <v>163</v>
      </c>
      <c r="CF198" s="96"/>
      <c r="CG198" s="96"/>
      <c r="CH198" s="371">
        <v>3</v>
      </c>
      <c r="CI198" s="96"/>
      <c r="CJ198" s="96"/>
      <c r="CK198" s="96" t="s">
        <v>1806</v>
      </c>
      <c r="CL198"/>
    </row>
    <row r="199" spans="1:90" s="53" customFormat="1" ht="24.95" hidden="1" customHeight="1">
      <c r="A199" s="96">
        <v>203</v>
      </c>
      <c r="B199" s="96" t="s">
        <v>2894</v>
      </c>
      <c r="C199" s="96" t="s">
        <v>2895</v>
      </c>
      <c r="D199" s="96" t="s">
        <v>2896</v>
      </c>
      <c r="E199" s="96" t="s">
        <v>2897</v>
      </c>
      <c r="F199" s="96" t="s">
        <v>25</v>
      </c>
      <c r="G199" s="96">
        <v>9</v>
      </c>
      <c r="H199" s="96" t="s">
        <v>58</v>
      </c>
      <c r="I199" s="96" t="s">
        <v>46</v>
      </c>
      <c r="J199" s="96" t="s">
        <v>2898</v>
      </c>
      <c r="K199" s="96" t="s">
        <v>2898</v>
      </c>
      <c r="L199" s="96" t="s">
        <v>46</v>
      </c>
      <c r="M199" s="96" t="s">
        <v>150</v>
      </c>
      <c r="N199" s="96">
        <v>161842</v>
      </c>
      <c r="O199" s="96" t="s">
        <v>322</v>
      </c>
      <c r="P199" s="96" t="s">
        <v>322</v>
      </c>
      <c r="Q199" s="96"/>
      <c r="R199" s="318" t="s">
        <v>2899</v>
      </c>
      <c r="S199" s="318" t="s">
        <v>2900</v>
      </c>
      <c r="T199" s="196" t="s">
        <v>2901</v>
      </c>
      <c r="U199" s="97"/>
      <c r="V199" s="97">
        <v>33162</v>
      </c>
      <c r="W199" s="105" t="s">
        <v>2902</v>
      </c>
      <c r="X199" s="105" t="s">
        <v>2872</v>
      </c>
      <c r="Y199" s="105"/>
      <c r="Z199" s="105"/>
      <c r="AA199" s="96">
        <v>33</v>
      </c>
      <c r="AB199" s="97">
        <v>43242</v>
      </c>
      <c r="AC199" s="282">
        <v>43525</v>
      </c>
      <c r="AD199" s="97"/>
      <c r="AE199" s="97" t="s">
        <v>2903</v>
      </c>
      <c r="AF199" s="97"/>
      <c r="AG199" s="97"/>
      <c r="AH199" s="96">
        <f t="shared" si="63"/>
        <v>1</v>
      </c>
      <c r="AI199" s="97" t="s">
        <v>161</v>
      </c>
      <c r="AJ199" s="97"/>
      <c r="AK199" s="97"/>
      <c r="AL199" s="97" t="s">
        <v>150</v>
      </c>
      <c r="AM199" s="97"/>
      <c r="AN199" s="97"/>
      <c r="AO199" s="97" t="s">
        <v>164</v>
      </c>
      <c r="AP199" s="97"/>
      <c r="AQ199" s="97" t="s">
        <v>165</v>
      </c>
      <c r="AR199" s="97"/>
      <c r="AS199" s="97"/>
      <c r="AT199" s="401" t="s">
        <v>372</v>
      </c>
      <c r="AU199" s="96" t="s">
        <v>2904</v>
      </c>
      <c r="AV199" s="97"/>
      <c r="AW199" s="99">
        <v>43528</v>
      </c>
      <c r="AX199" s="99">
        <v>43770</v>
      </c>
      <c r="AY199" s="99" t="s">
        <v>150</v>
      </c>
      <c r="AZ199" s="99">
        <v>43775</v>
      </c>
      <c r="BA199" s="99">
        <v>43693</v>
      </c>
      <c r="BB199" s="99"/>
      <c r="BC199" s="99"/>
      <c r="BD199" s="99"/>
      <c r="BE199" s="100" t="s">
        <v>2905</v>
      </c>
      <c r="BF199" s="99">
        <v>44470</v>
      </c>
      <c r="BG199" s="99" t="s">
        <v>150</v>
      </c>
      <c r="BH199" s="99">
        <v>45110</v>
      </c>
      <c r="BI199" s="99" t="s">
        <v>163</v>
      </c>
      <c r="BJ199" s="97">
        <v>44678</v>
      </c>
      <c r="BK199" s="97"/>
      <c r="BL199" s="97"/>
      <c r="BM199" s="101">
        <v>44851</v>
      </c>
      <c r="BN199" s="96" t="s">
        <v>16</v>
      </c>
      <c r="BO199" s="96">
        <f t="shared" si="61"/>
        <v>44</v>
      </c>
      <c r="BP199" s="266">
        <f t="shared" si="62"/>
        <v>36</v>
      </c>
      <c r="BQ199" s="266" t="s">
        <v>2906</v>
      </c>
      <c r="BR199" s="96">
        <v>0</v>
      </c>
      <c r="BS199" s="96">
        <v>5</v>
      </c>
      <c r="BT199" s="96"/>
      <c r="BU199" s="96"/>
      <c r="BV199" s="96"/>
      <c r="BW199" s="96"/>
      <c r="BX199" s="96"/>
      <c r="BY199" s="96" t="s">
        <v>163</v>
      </c>
      <c r="BZ199" s="96"/>
      <c r="CA199" s="96"/>
      <c r="CB199" s="103"/>
      <c r="CC199" s="103"/>
      <c r="CD199" s="96"/>
      <c r="CE199" s="96"/>
      <c r="CF199" s="96"/>
      <c r="CG199" s="96"/>
      <c r="CH199" s="371">
        <v>0</v>
      </c>
      <c r="CI199" s="96"/>
      <c r="CJ199" s="96"/>
      <c r="CK199" s="96" t="s">
        <v>1806</v>
      </c>
      <c r="CL199"/>
    </row>
    <row r="200" spans="1:90" s="53" customFormat="1" ht="24.95" hidden="1" customHeight="1">
      <c r="A200" s="96">
        <v>204</v>
      </c>
      <c r="B200" s="96" t="s">
        <v>2907</v>
      </c>
      <c r="C200" s="96" t="s">
        <v>2908</v>
      </c>
      <c r="D200" s="96"/>
      <c r="E200" s="96" t="s">
        <v>2909</v>
      </c>
      <c r="F200" s="96" t="s">
        <v>24</v>
      </c>
      <c r="G200" s="96">
        <v>9</v>
      </c>
      <c r="H200" s="96" t="s">
        <v>55</v>
      </c>
      <c r="I200" s="96" t="s">
        <v>45</v>
      </c>
      <c r="J200" s="96" t="s">
        <v>2910</v>
      </c>
      <c r="K200" s="96" t="s">
        <v>2910</v>
      </c>
      <c r="L200" s="96" t="s">
        <v>45</v>
      </c>
      <c r="M200" s="96" t="s">
        <v>150</v>
      </c>
      <c r="N200" s="96">
        <v>217303134</v>
      </c>
      <c r="O200" s="96" t="s">
        <v>151</v>
      </c>
      <c r="P200" s="96" t="s">
        <v>151</v>
      </c>
      <c r="Q200" s="96"/>
      <c r="R200" s="96" t="s">
        <v>2911</v>
      </c>
      <c r="S200" s="96" t="s">
        <v>2912</v>
      </c>
      <c r="T200" s="196" t="s">
        <v>2913</v>
      </c>
      <c r="U200" s="97" t="s">
        <v>2914</v>
      </c>
      <c r="V200" s="97">
        <v>29580</v>
      </c>
      <c r="W200" s="105" t="s">
        <v>2915</v>
      </c>
      <c r="X200" s="105" t="s">
        <v>2363</v>
      </c>
      <c r="Y200" s="105" t="s">
        <v>163</v>
      </c>
      <c r="Z200" s="105"/>
      <c r="AA200" s="96">
        <v>21</v>
      </c>
      <c r="AB200" s="97">
        <v>43709</v>
      </c>
      <c r="AC200" s="282">
        <v>43525</v>
      </c>
      <c r="AD200" s="97"/>
      <c r="AE200" s="97" t="s">
        <v>2916</v>
      </c>
      <c r="AF200" s="97"/>
      <c r="AG200" s="97"/>
      <c r="AH200" s="96">
        <f t="shared" si="63"/>
        <v>1</v>
      </c>
      <c r="AI200" s="97" t="s">
        <v>2917</v>
      </c>
      <c r="AJ200" s="97"/>
      <c r="AK200" s="97"/>
      <c r="AL200" s="97" t="s">
        <v>150</v>
      </c>
      <c r="AM200" s="97"/>
      <c r="AN200" s="97"/>
      <c r="AO200" s="97" t="s">
        <v>164</v>
      </c>
      <c r="AP200" s="97" t="s">
        <v>203</v>
      </c>
      <c r="AQ200" s="97" t="s">
        <v>203</v>
      </c>
      <c r="AR200" s="97" t="s">
        <v>163</v>
      </c>
      <c r="AS200" s="104" t="s">
        <v>2918</v>
      </c>
      <c r="AT200" s="401" t="s">
        <v>219</v>
      </c>
      <c r="AU200" s="96" t="s">
        <v>2919</v>
      </c>
      <c r="AV200" s="97"/>
      <c r="AW200" s="99">
        <v>43528</v>
      </c>
      <c r="AX200" s="99">
        <v>43770</v>
      </c>
      <c r="AY200" s="99" t="s">
        <v>150</v>
      </c>
      <c r="AZ200" s="99">
        <v>44266</v>
      </c>
      <c r="BA200" s="99">
        <v>44270</v>
      </c>
      <c r="BB200" s="99"/>
      <c r="BC200" s="99"/>
      <c r="BD200" s="99"/>
      <c r="BE200" s="100" t="s">
        <v>2920</v>
      </c>
      <c r="BF200" s="99">
        <v>44470</v>
      </c>
      <c r="BG200" s="99" t="s">
        <v>150</v>
      </c>
      <c r="BH200" s="99">
        <v>44732</v>
      </c>
      <c r="BI200" s="99" t="s">
        <v>150</v>
      </c>
      <c r="BJ200" s="97"/>
      <c r="BK200" s="97"/>
      <c r="BL200" s="97"/>
      <c r="BM200" s="101">
        <v>45916</v>
      </c>
      <c r="BN200" s="96" t="s">
        <v>16</v>
      </c>
      <c r="BO200" s="96">
        <f t="shared" si="61"/>
        <v>79</v>
      </c>
      <c r="BP200" s="266">
        <f t="shared" ref="BP200" si="64">DATEDIF(AX200,BM200, "M")+1</f>
        <v>71</v>
      </c>
      <c r="BQ200" s="266"/>
      <c r="BR200" s="96"/>
      <c r="BS200" s="96"/>
      <c r="BT200" s="96"/>
      <c r="BU200" s="96"/>
      <c r="BV200" s="96"/>
      <c r="BW200" s="96"/>
      <c r="BX200" s="96"/>
      <c r="BY200" s="96" t="s">
        <v>163</v>
      </c>
      <c r="BZ200" s="96"/>
      <c r="CA200" s="96"/>
      <c r="CB200" s="103"/>
      <c r="CC200" s="103"/>
      <c r="CD200" s="96"/>
      <c r="CE200" s="96"/>
      <c r="CF200" s="96"/>
      <c r="CG200" s="96"/>
      <c r="CH200" s="371">
        <v>2</v>
      </c>
      <c r="CI200" s="96"/>
      <c r="CJ200" s="96"/>
      <c r="CK200" s="96" t="s">
        <v>1806</v>
      </c>
      <c r="CL200"/>
    </row>
    <row r="201" spans="1:90" s="53" customFormat="1" ht="24.95" hidden="1" customHeight="1">
      <c r="A201" s="96">
        <v>205</v>
      </c>
      <c r="B201" s="96" t="s">
        <v>2921</v>
      </c>
      <c r="C201" s="96" t="s">
        <v>2922</v>
      </c>
      <c r="D201" s="96"/>
      <c r="E201" s="96" t="s">
        <v>2923</v>
      </c>
      <c r="F201" s="96" t="s">
        <v>25</v>
      </c>
      <c r="G201" s="96">
        <v>9</v>
      </c>
      <c r="H201" s="96" t="s">
        <v>55</v>
      </c>
      <c r="I201" s="96" t="s">
        <v>45</v>
      </c>
      <c r="J201" s="96" t="s">
        <v>1405</v>
      </c>
      <c r="K201" s="96" t="s">
        <v>1997</v>
      </c>
      <c r="L201" s="96" t="s">
        <v>46</v>
      </c>
      <c r="M201" s="96" t="s">
        <v>163</v>
      </c>
      <c r="N201" s="96">
        <v>2394319</v>
      </c>
      <c r="O201" s="96" t="s">
        <v>151</v>
      </c>
      <c r="P201" s="96" t="s">
        <v>151</v>
      </c>
      <c r="Q201" s="96"/>
      <c r="R201" s="318" t="s">
        <v>2924</v>
      </c>
      <c r="S201" s="318" t="s">
        <v>2925</v>
      </c>
      <c r="T201" s="196" t="s">
        <v>2926</v>
      </c>
      <c r="U201" s="97" t="s">
        <v>2927</v>
      </c>
      <c r="V201" s="97">
        <v>27760</v>
      </c>
      <c r="W201" s="105" t="s">
        <v>2928</v>
      </c>
      <c r="X201" s="105" t="s">
        <v>2363</v>
      </c>
      <c r="Y201" s="105" t="s">
        <v>150</v>
      </c>
      <c r="Z201" s="105"/>
      <c r="AA201" s="96">
        <v>8</v>
      </c>
      <c r="AB201" s="97">
        <v>43840</v>
      </c>
      <c r="AC201" s="282">
        <v>43525</v>
      </c>
      <c r="AD201" s="97"/>
      <c r="AE201" s="97" t="s">
        <v>2929</v>
      </c>
      <c r="AF201" s="97"/>
      <c r="AG201" s="97"/>
      <c r="AH201" s="96">
        <f t="shared" si="63"/>
        <v>1</v>
      </c>
      <c r="AI201" s="97" t="s">
        <v>162</v>
      </c>
      <c r="AJ201" s="97"/>
      <c r="AK201" s="97"/>
      <c r="AL201" s="97" t="s">
        <v>150</v>
      </c>
      <c r="AM201" s="97"/>
      <c r="AN201" s="97"/>
      <c r="AO201" s="97" t="s">
        <v>164</v>
      </c>
      <c r="AP201" s="97" t="s">
        <v>203</v>
      </c>
      <c r="AQ201" s="97" t="s">
        <v>203</v>
      </c>
      <c r="AR201" s="97" t="s">
        <v>163</v>
      </c>
      <c r="AS201" s="97"/>
      <c r="AT201" s="401" t="s">
        <v>219</v>
      </c>
      <c r="AU201" s="96" t="s">
        <v>2930</v>
      </c>
      <c r="AV201" s="97"/>
      <c r="AW201" s="99">
        <v>43528</v>
      </c>
      <c r="AX201" s="99">
        <v>43770</v>
      </c>
      <c r="AY201" s="99" t="s">
        <v>150</v>
      </c>
      <c r="AZ201" s="99">
        <v>44166</v>
      </c>
      <c r="BA201" s="99">
        <v>44228</v>
      </c>
      <c r="BB201" s="99"/>
      <c r="BC201" s="99"/>
      <c r="BD201" s="99"/>
      <c r="BE201" s="100" t="s">
        <v>2931</v>
      </c>
      <c r="BF201" s="99">
        <v>44470</v>
      </c>
      <c r="BG201" s="99" t="s">
        <v>150</v>
      </c>
      <c r="BH201" s="99">
        <v>44732</v>
      </c>
      <c r="BI201" s="99" t="s">
        <v>150</v>
      </c>
      <c r="BJ201" s="97">
        <v>44986</v>
      </c>
      <c r="BK201" s="97"/>
      <c r="BL201" s="97"/>
      <c r="BM201" s="101">
        <v>45240</v>
      </c>
      <c r="BN201" s="96" t="s">
        <v>16</v>
      </c>
      <c r="BO201" s="96">
        <f t="shared" si="61"/>
        <v>57</v>
      </c>
      <c r="BP201" s="266">
        <f>DATEDIF(AX201,BM201, "M")+1</f>
        <v>49</v>
      </c>
      <c r="BQ201" s="266" t="s">
        <v>2932</v>
      </c>
      <c r="BR201" s="96">
        <v>1</v>
      </c>
      <c r="BS201" s="96">
        <v>1</v>
      </c>
      <c r="BT201" s="96"/>
      <c r="BU201" s="96"/>
      <c r="BV201" s="96"/>
      <c r="BW201" s="96"/>
      <c r="BX201" s="96"/>
      <c r="BY201" s="96" t="s">
        <v>163</v>
      </c>
      <c r="BZ201" s="96"/>
      <c r="CA201" s="96"/>
      <c r="CB201" s="103"/>
      <c r="CC201" s="103"/>
      <c r="CD201" s="96"/>
      <c r="CE201" s="96"/>
      <c r="CF201" s="96"/>
      <c r="CG201" s="96"/>
      <c r="CH201" s="371">
        <v>3</v>
      </c>
      <c r="CI201" s="96"/>
      <c r="CJ201" s="96"/>
      <c r="CK201" s="96" t="s">
        <v>1806</v>
      </c>
      <c r="CL201"/>
    </row>
    <row r="202" spans="1:90" s="53" customFormat="1" ht="24.95" hidden="1" customHeight="1">
      <c r="A202" s="96">
        <v>206</v>
      </c>
      <c r="B202" s="96" t="s">
        <v>2933</v>
      </c>
      <c r="C202" s="96" t="s">
        <v>2934</v>
      </c>
      <c r="D202" s="96" t="s">
        <v>2935</v>
      </c>
      <c r="E202" s="96" t="s">
        <v>2936</v>
      </c>
      <c r="F202" s="96" t="s">
        <v>25</v>
      </c>
      <c r="G202" s="96">
        <v>9</v>
      </c>
      <c r="H202" s="96" t="s">
        <v>52</v>
      </c>
      <c r="I202" s="96" t="s">
        <v>44</v>
      </c>
      <c r="J202" s="96" t="s">
        <v>2937</v>
      </c>
      <c r="K202" s="96" t="s">
        <v>2938</v>
      </c>
      <c r="L202" s="96" t="s">
        <v>44</v>
      </c>
      <c r="M202" s="96" t="s">
        <v>150</v>
      </c>
      <c r="N202" s="96" t="s">
        <v>2939</v>
      </c>
      <c r="O202" s="96" t="s">
        <v>322</v>
      </c>
      <c r="P202" s="96" t="s">
        <v>322</v>
      </c>
      <c r="Q202" s="96"/>
      <c r="R202" s="96" t="s">
        <v>2940</v>
      </c>
      <c r="S202" s="96" t="s">
        <v>2941</v>
      </c>
      <c r="T202" s="196" t="s">
        <v>2942</v>
      </c>
      <c r="U202" s="97" t="s">
        <v>2943</v>
      </c>
      <c r="V202" s="97">
        <v>28925</v>
      </c>
      <c r="W202" s="105" t="s">
        <v>2944</v>
      </c>
      <c r="X202" s="105" t="s">
        <v>2363</v>
      </c>
      <c r="Y202" s="105" t="s">
        <v>157</v>
      </c>
      <c r="Z202" s="105"/>
      <c r="AA202" s="96">
        <v>12</v>
      </c>
      <c r="AB202" s="97">
        <v>43442</v>
      </c>
      <c r="AC202" s="282">
        <v>43525</v>
      </c>
      <c r="AD202" s="97"/>
      <c r="AE202" s="313" t="s">
        <v>2945</v>
      </c>
      <c r="AF202" s="97" t="s">
        <v>2946</v>
      </c>
      <c r="AG202" s="313" t="s">
        <v>2947</v>
      </c>
      <c r="AH202" s="96">
        <f t="shared" si="63"/>
        <v>3</v>
      </c>
      <c r="AI202" s="97" t="s">
        <v>161</v>
      </c>
      <c r="AJ202" s="97" t="s">
        <v>161</v>
      </c>
      <c r="AK202" s="97" t="s">
        <v>202</v>
      </c>
      <c r="AL202" s="97" t="s">
        <v>150</v>
      </c>
      <c r="AM202" s="97" t="s">
        <v>163</v>
      </c>
      <c r="AN202" s="97" t="s">
        <v>163</v>
      </c>
      <c r="AO202" s="97" t="s">
        <v>202</v>
      </c>
      <c r="AP202" s="97" t="s">
        <v>2948</v>
      </c>
      <c r="AQ202" s="97" t="s">
        <v>2949</v>
      </c>
      <c r="AR202" s="97" t="s">
        <v>150</v>
      </c>
      <c r="AS202" s="104" t="s">
        <v>2950</v>
      </c>
      <c r="AT202" s="401" t="s">
        <v>2951</v>
      </c>
      <c r="AU202" s="96" t="s">
        <v>2952</v>
      </c>
      <c r="AV202" s="97"/>
      <c r="AW202" s="99">
        <v>43528</v>
      </c>
      <c r="AX202" s="99">
        <v>43770</v>
      </c>
      <c r="AY202" s="99" t="s">
        <v>150</v>
      </c>
      <c r="AZ202" s="99">
        <v>43411</v>
      </c>
      <c r="BA202" s="99">
        <v>43768</v>
      </c>
      <c r="BB202" s="99"/>
      <c r="BC202" s="99"/>
      <c r="BD202" s="99"/>
      <c r="BE202" s="100" t="s">
        <v>2953</v>
      </c>
      <c r="BF202" s="99">
        <v>44470</v>
      </c>
      <c r="BG202" s="99" t="s">
        <v>150</v>
      </c>
      <c r="BH202" s="99">
        <v>44732</v>
      </c>
      <c r="BI202" s="99" t="s">
        <v>150</v>
      </c>
      <c r="BJ202" s="97"/>
      <c r="BK202" s="97">
        <v>45694</v>
      </c>
      <c r="BL202" s="97"/>
      <c r="BM202" s="101">
        <v>45702</v>
      </c>
      <c r="BN202" s="96" t="s">
        <v>16</v>
      </c>
      <c r="BO202" s="220">
        <f t="shared" si="61"/>
        <v>72</v>
      </c>
      <c r="BP202" s="266">
        <f>DATEDIF(AX202,BM202, "M")+1</f>
        <v>64</v>
      </c>
      <c r="BQ202" s="96"/>
      <c r="BR202" s="96">
        <v>3</v>
      </c>
      <c r="BS202" s="96">
        <v>0</v>
      </c>
      <c r="BT202" s="96"/>
      <c r="BU202" s="96"/>
      <c r="BV202" s="96"/>
      <c r="BW202" s="96"/>
      <c r="BX202" s="96"/>
      <c r="BY202" s="96" t="s">
        <v>163</v>
      </c>
      <c r="BZ202" s="96"/>
      <c r="CA202" s="96"/>
      <c r="CB202" s="103">
        <v>45170</v>
      </c>
      <c r="CC202" s="103">
        <v>45473</v>
      </c>
      <c r="CD202" s="96">
        <v>10</v>
      </c>
      <c r="CE202" s="96"/>
      <c r="CF202" s="96"/>
      <c r="CG202" s="96"/>
      <c r="CH202" s="371">
        <v>1</v>
      </c>
      <c r="CI202" s="96"/>
      <c r="CJ202" s="96"/>
      <c r="CK202" s="96" t="s">
        <v>1806</v>
      </c>
      <c r="CL202"/>
    </row>
    <row r="203" spans="1:90" s="53" customFormat="1" ht="24.95" hidden="1" customHeight="1">
      <c r="A203" s="96">
        <v>207</v>
      </c>
      <c r="B203" s="96" t="s">
        <v>2954</v>
      </c>
      <c r="C203" s="96" t="s">
        <v>2955</v>
      </c>
      <c r="D203" s="96"/>
      <c r="E203" s="96" t="s">
        <v>2191</v>
      </c>
      <c r="F203" s="96" t="s">
        <v>24</v>
      </c>
      <c r="G203" s="96">
        <v>9</v>
      </c>
      <c r="H203" s="96" t="s">
        <v>55</v>
      </c>
      <c r="I203" s="96" t="s">
        <v>45</v>
      </c>
      <c r="J203" s="96" t="s">
        <v>2123</v>
      </c>
      <c r="K203" s="96" t="s">
        <v>173</v>
      </c>
      <c r="L203" s="96" t="s">
        <v>45</v>
      </c>
      <c r="M203" s="96" t="s">
        <v>150</v>
      </c>
      <c r="N203" s="96"/>
      <c r="O203" s="96" t="s">
        <v>151</v>
      </c>
      <c r="P203" s="96" t="s">
        <v>151</v>
      </c>
      <c r="Q203" s="96"/>
      <c r="R203" s="318" t="s">
        <v>2956</v>
      </c>
      <c r="S203" s="96" t="s">
        <v>2957</v>
      </c>
      <c r="T203" s="196" t="s">
        <v>2958</v>
      </c>
      <c r="U203" s="97" t="s">
        <v>303</v>
      </c>
      <c r="V203" s="97">
        <v>30157</v>
      </c>
      <c r="W203" s="105" t="s">
        <v>2959</v>
      </c>
      <c r="X203" s="105" t="s">
        <v>179</v>
      </c>
      <c r="Y203" s="105"/>
      <c r="Z203" s="105"/>
      <c r="AA203" s="96">
        <v>6</v>
      </c>
      <c r="AB203" s="97">
        <v>43758</v>
      </c>
      <c r="AC203" s="282">
        <v>43525</v>
      </c>
      <c r="AD203" s="97"/>
      <c r="AE203" s="97" t="s">
        <v>2960</v>
      </c>
      <c r="AF203" s="97" t="s">
        <v>2961</v>
      </c>
      <c r="AG203" s="97"/>
      <c r="AH203" s="96">
        <f t="shared" si="63"/>
        <v>2</v>
      </c>
      <c r="AI203" s="97" t="s">
        <v>162</v>
      </c>
      <c r="AJ203" s="97" t="s">
        <v>202</v>
      </c>
      <c r="AK203" s="97"/>
      <c r="AL203" s="97" t="s">
        <v>150</v>
      </c>
      <c r="AM203" s="97" t="s">
        <v>163</v>
      </c>
      <c r="AN203" s="97"/>
      <c r="AO203" s="97" t="s">
        <v>164</v>
      </c>
      <c r="AP203" s="97" t="s">
        <v>165</v>
      </c>
      <c r="AQ203" s="97" t="s">
        <v>203</v>
      </c>
      <c r="AR203" s="97" t="s">
        <v>163</v>
      </c>
      <c r="AS203" s="97"/>
      <c r="AT203" s="401" t="s">
        <v>219</v>
      </c>
      <c r="AU203" s="96" t="s">
        <v>2962</v>
      </c>
      <c r="AV203" s="97"/>
      <c r="AW203" s="99">
        <v>43528</v>
      </c>
      <c r="AX203" s="99">
        <v>43770</v>
      </c>
      <c r="AY203" s="99" t="s">
        <v>150</v>
      </c>
      <c r="AZ203" s="99">
        <v>43915</v>
      </c>
      <c r="BA203" s="99">
        <v>43971</v>
      </c>
      <c r="BB203" s="99"/>
      <c r="BC203" s="99"/>
      <c r="BD203" s="99"/>
      <c r="BE203" s="100" t="s">
        <v>2963</v>
      </c>
      <c r="BF203" s="99">
        <v>44470</v>
      </c>
      <c r="BG203" s="99" t="s">
        <v>150</v>
      </c>
      <c r="BH203" s="99">
        <v>44732</v>
      </c>
      <c r="BI203" s="99" t="s">
        <v>150</v>
      </c>
      <c r="BJ203" s="97"/>
      <c r="BK203" s="97"/>
      <c r="BL203" s="97"/>
      <c r="BM203" s="101"/>
      <c r="BN203" s="96" t="s">
        <v>17</v>
      </c>
      <c r="BO203" s="220"/>
      <c r="BP203" s="266"/>
      <c r="BQ203" s="96"/>
      <c r="BR203" s="96">
        <v>1</v>
      </c>
      <c r="BS203" s="96">
        <v>0</v>
      </c>
      <c r="BT203" s="96"/>
      <c r="BU203" s="96"/>
      <c r="BV203" s="96"/>
      <c r="BW203" s="96"/>
      <c r="BX203" s="96"/>
      <c r="BY203" s="96" t="s">
        <v>163</v>
      </c>
      <c r="BZ203" s="96"/>
      <c r="CA203" s="96"/>
      <c r="CB203" s="103"/>
      <c r="CC203" s="103"/>
      <c r="CD203" s="96"/>
      <c r="CE203" s="96"/>
      <c r="CF203" s="96"/>
      <c r="CG203" s="96"/>
      <c r="CH203" s="371">
        <v>1</v>
      </c>
      <c r="CI203" s="96"/>
      <c r="CJ203" s="96"/>
      <c r="CK203" s="96" t="s">
        <v>1806</v>
      </c>
      <c r="CL203"/>
    </row>
    <row r="204" spans="1:90" s="53" customFormat="1" ht="24.95" hidden="1" customHeight="1">
      <c r="A204" s="96">
        <v>208</v>
      </c>
      <c r="B204" s="96" t="s">
        <v>2964</v>
      </c>
      <c r="C204" s="96" t="s">
        <v>811</v>
      </c>
      <c r="D204" s="96"/>
      <c r="E204" s="96" t="s">
        <v>2965</v>
      </c>
      <c r="F204" s="96" t="s">
        <v>24</v>
      </c>
      <c r="G204" s="96">
        <v>9</v>
      </c>
      <c r="H204" s="96" t="s">
        <v>60</v>
      </c>
      <c r="I204" s="96" t="s">
        <v>37</v>
      </c>
      <c r="J204" s="96" t="s">
        <v>1728</v>
      </c>
      <c r="K204" s="96" t="s">
        <v>2966</v>
      </c>
      <c r="L204" s="96" t="s">
        <v>37</v>
      </c>
      <c r="M204" s="96" t="s">
        <v>150</v>
      </c>
      <c r="N204" s="96" t="s">
        <v>2967</v>
      </c>
      <c r="O204" s="96" t="s">
        <v>322</v>
      </c>
      <c r="P204" s="96" t="s">
        <v>322</v>
      </c>
      <c r="Q204" s="96"/>
      <c r="R204" s="96" t="s">
        <v>2968</v>
      </c>
      <c r="S204" s="96" t="s">
        <v>2969</v>
      </c>
      <c r="T204" s="198" t="s">
        <v>2970</v>
      </c>
      <c r="U204" s="97" t="s">
        <v>2971</v>
      </c>
      <c r="V204" s="97">
        <v>32361</v>
      </c>
      <c r="W204" s="105" t="s">
        <v>2972</v>
      </c>
      <c r="X204" s="105" t="s">
        <v>2363</v>
      </c>
      <c r="Y204" s="105" t="s">
        <v>157</v>
      </c>
      <c r="Z204" s="105"/>
      <c r="AA204" s="96">
        <v>15</v>
      </c>
      <c r="AB204" s="97">
        <v>43647</v>
      </c>
      <c r="AC204" s="282">
        <v>43525</v>
      </c>
      <c r="AD204" s="97"/>
      <c r="AE204" s="97" t="s">
        <v>2973</v>
      </c>
      <c r="AF204" s="97" t="s">
        <v>2974</v>
      </c>
      <c r="AG204" s="97" t="s">
        <v>2975</v>
      </c>
      <c r="AH204" s="96">
        <f t="shared" si="63"/>
        <v>3</v>
      </c>
      <c r="AI204" s="97" t="s">
        <v>161</v>
      </c>
      <c r="AJ204" s="97" t="s">
        <v>161</v>
      </c>
      <c r="AK204" s="97" t="s">
        <v>202</v>
      </c>
      <c r="AL204" s="97" t="s">
        <v>163</v>
      </c>
      <c r="AM204" s="97" t="s">
        <v>163</v>
      </c>
      <c r="AN204" s="97" t="s">
        <v>163</v>
      </c>
      <c r="AO204" s="97" t="s">
        <v>182</v>
      </c>
      <c r="AP204" s="97" t="s">
        <v>2976</v>
      </c>
      <c r="AQ204" s="97" t="s">
        <v>2976</v>
      </c>
      <c r="AR204" s="97"/>
      <c r="AS204" s="97"/>
      <c r="AT204" s="401" t="s">
        <v>580</v>
      </c>
      <c r="AU204" s="96" t="s">
        <v>2977</v>
      </c>
      <c r="AV204" s="97"/>
      <c r="AW204" s="99">
        <v>43528</v>
      </c>
      <c r="AX204" s="99">
        <v>43770</v>
      </c>
      <c r="AY204" s="99" t="s">
        <v>150</v>
      </c>
      <c r="AZ204" s="99">
        <v>43599</v>
      </c>
      <c r="BA204" s="99">
        <v>43746</v>
      </c>
      <c r="BB204" s="99"/>
      <c r="BC204" s="99"/>
      <c r="BD204" s="99"/>
      <c r="BE204" s="100" t="s">
        <v>2978</v>
      </c>
      <c r="BF204" s="99">
        <v>44470</v>
      </c>
      <c r="BG204" s="99" t="s">
        <v>150</v>
      </c>
      <c r="BH204" s="99">
        <v>44732</v>
      </c>
      <c r="BI204" s="99" t="s">
        <v>150</v>
      </c>
      <c r="BJ204" s="97"/>
      <c r="BK204" s="97">
        <v>45168</v>
      </c>
      <c r="BL204" s="97"/>
      <c r="BM204" s="97">
        <v>45168</v>
      </c>
      <c r="BN204" s="96" t="s">
        <v>16</v>
      </c>
      <c r="BO204" s="96">
        <f>DATEDIF(AW204,BM204, "M")+1</f>
        <v>54</v>
      </c>
      <c r="BP204" s="266">
        <f>DATEDIF(AX204,BM204, "M")+1</f>
        <v>46</v>
      </c>
      <c r="BQ204" s="266" t="s">
        <v>2972</v>
      </c>
      <c r="BR204" s="96">
        <v>7</v>
      </c>
      <c r="BS204" s="96">
        <v>24</v>
      </c>
      <c r="BT204" s="96"/>
      <c r="BU204" s="96"/>
      <c r="BV204" s="96"/>
      <c r="BW204" s="96"/>
      <c r="BX204" s="96"/>
      <c r="BY204" s="96" t="s">
        <v>163</v>
      </c>
      <c r="BZ204" s="96"/>
      <c r="CA204" s="96"/>
      <c r="CB204" s="103"/>
      <c r="CC204" s="103"/>
      <c r="CD204" s="96"/>
      <c r="CE204" s="96"/>
      <c r="CF204" s="96"/>
      <c r="CG204" s="96"/>
      <c r="CH204" s="371"/>
      <c r="CI204" s="96"/>
      <c r="CJ204" s="96"/>
      <c r="CK204" s="96" t="s">
        <v>1806</v>
      </c>
      <c r="CL204"/>
    </row>
    <row r="205" spans="1:90" s="53" customFormat="1" ht="24.95" hidden="1" customHeight="1">
      <c r="A205" s="96">
        <v>209</v>
      </c>
      <c r="B205" s="96" t="s">
        <v>2979</v>
      </c>
      <c r="C205" s="96" t="s">
        <v>2980</v>
      </c>
      <c r="D205" s="96" t="s">
        <v>2981</v>
      </c>
      <c r="E205" s="96" t="s">
        <v>2982</v>
      </c>
      <c r="F205" s="96" t="s">
        <v>24</v>
      </c>
      <c r="G205" s="96">
        <v>9</v>
      </c>
      <c r="H205" s="96" t="s">
        <v>52</v>
      </c>
      <c r="I205" s="96" t="s">
        <v>44</v>
      </c>
      <c r="J205" s="96" t="s">
        <v>2303</v>
      </c>
      <c r="K205" s="96" t="s">
        <v>2983</v>
      </c>
      <c r="L205" s="96" t="s">
        <v>46</v>
      </c>
      <c r="M205" s="96" t="s">
        <v>163</v>
      </c>
      <c r="N205" s="96"/>
      <c r="O205" s="96" t="s">
        <v>151</v>
      </c>
      <c r="P205" s="96" t="s">
        <v>151</v>
      </c>
      <c r="Q205" s="96"/>
      <c r="R205" s="96" t="s">
        <v>2984</v>
      </c>
      <c r="S205" s="96" t="s">
        <v>2985</v>
      </c>
      <c r="T205" s="196" t="s">
        <v>2986</v>
      </c>
      <c r="U205" s="97"/>
      <c r="V205" s="97">
        <v>30383</v>
      </c>
      <c r="W205" s="105"/>
      <c r="X205" s="105" t="s">
        <v>179</v>
      </c>
      <c r="Y205" s="105"/>
      <c r="Z205" s="105"/>
      <c r="AA205" s="96">
        <v>17</v>
      </c>
      <c r="AB205" s="97">
        <v>44055</v>
      </c>
      <c r="AC205" s="282">
        <v>43525</v>
      </c>
      <c r="AD205" s="97"/>
      <c r="AE205" s="97" t="s">
        <v>2987</v>
      </c>
      <c r="AF205" s="97" t="s">
        <v>2988</v>
      </c>
      <c r="AG205" s="97"/>
      <c r="AH205" s="96">
        <f t="shared" si="63"/>
        <v>2</v>
      </c>
      <c r="AI205" s="97" t="s">
        <v>162</v>
      </c>
      <c r="AJ205" s="97" t="s">
        <v>161</v>
      </c>
      <c r="AK205" s="97"/>
      <c r="AL205" s="197" t="s">
        <v>163</v>
      </c>
      <c r="AM205" s="97" t="s">
        <v>150</v>
      </c>
      <c r="AN205" s="97"/>
      <c r="AO205" s="97" t="s">
        <v>164</v>
      </c>
      <c r="AP205" s="97" t="s">
        <v>2989</v>
      </c>
      <c r="AQ205" s="97" t="s">
        <v>165</v>
      </c>
      <c r="AR205" s="97" t="s">
        <v>150</v>
      </c>
      <c r="AS205" s="97"/>
      <c r="AT205" s="401" t="s">
        <v>420</v>
      </c>
      <c r="AU205" s="96" t="s">
        <v>2990</v>
      </c>
      <c r="AV205" s="97"/>
      <c r="AW205" s="99">
        <v>43528</v>
      </c>
      <c r="AX205" s="99">
        <v>43770</v>
      </c>
      <c r="AY205" s="99" t="s">
        <v>150</v>
      </c>
      <c r="AZ205" s="99"/>
      <c r="BA205" s="99"/>
      <c r="BB205" s="99"/>
      <c r="BC205" s="99"/>
      <c r="BD205" s="99"/>
      <c r="BE205" s="100" t="s">
        <v>2991</v>
      </c>
      <c r="BF205" s="99">
        <v>45061</v>
      </c>
      <c r="BG205" s="99" t="s">
        <v>163</v>
      </c>
      <c r="BH205" s="99">
        <v>45110</v>
      </c>
      <c r="BI205" s="99" t="s">
        <v>163</v>
      </c>
      <c r="BJ205" s="97"/>
      <c r="BK205" s="97"/>
      <c r="BL205" s="97"/>
      <c r="BM205" s="101"/>
      <c r="BN205" s="96" t="s">
        <v>17</v>
      </c>
      <c r="BO205" s="220"/>
      <c r="BP205" s="266"/>
      <c r="BQ205" s="96"/>
      <c r="BR205" s="96"/>
      <c r="BS205" s="96"/>
      <c r="BT205" s="96"/>
      <c r="BU205" s="96"/>
      <c r="BV205" s="96"/>
      <c r="BW205" s="96"/>
      <c r="BX205" s="96"/>
      <c r="BY205" s="96" t="s">
        <v>163</v>
      </c>
      <c r="BZ205" s="96"/>
      <c r="CA205" s="96"/>
      <c r="CB205" s="103"/>
      <c r="CC205" s="103"/>
      <c r="CD205" s="96"/>
      <c r="CE205" s="96"/>
      <c r="CF205" s="96"/>
      <c r="CG205" s="96"/>
      <c r="CH205" s="371">
        <v>3</v>
      </c>
      <c r="CI205" s="96"/>
      <c r="CJ205" s="96"/>
      <c r="CK205" s="96" t="s">
        <v>1806</v>
      </c>
      <c r="CL205"/>
    </row>
    <row r="206" spans="1:90" s="53" customFormat="1" ht="24.95" hidden="1" customHeight="1">
      <c r="A206" s="96">
        <v>210</v>
      </c>
      <c r="B206" s="96" t="s">
        <v>2992</v>
      </c>
      <c r="C206" s="96" t="s">
        <v>2993</v>
      </c>
      <c r="D206" s="96"/>
      <c r="E206" s="96" t="s">
        <v>2994</v>
      </c>
      <c r="F206" s="96" t="s">
        <v>25</v>
      </c>
      <c r="G206" s="96">
        <v>9</v>
      </c>
      <c r="H206" s="96" t="s">
        <v>55</v>
      </c>
      <c r="I206" s="96" t="s">
        <v>45</v>
      </c>
      <c r="J206" s="96" t="s">
        <v>2995</v>
      </c>
      <c r="K206" s="96" t="s">
        <v>2996</v>
      </c>
      <c r="L206" s="96" t="s">
        <v>45</v>
      </c>
      <c r="M206" s="96" t="s">
        <v>150</v>
      </c>
      <c r="N206" s="96"/>
      <c r="O206" s="96" t="s">
        <v>151</v>
      </c>
      <c r="P206" s="96" t="s">
        <v>151</v>
      </c>
      <c r="Q206" s="96"/>
      <c r="R206" s="96" t="s">
        <v>2997</v>
      </c>
      <c r="S206" s="96" t="s">
        <v>2998</v>
      </c>
      <c r="T206" s="196" t="s">
        <v>2999</v>
      </c>
      <c r="U206" s="97" t="s">
        <v>3000</v>
      </c>
      <c r="V206" s="97">
        <v>29221</v>
      </c>
      <c r="W206" s="105" t="s">
        <v>3001</v>
      </c>
      <c r="X206" s="105" t="s">
        <v>2363</v>
      </c>
      <c r="Y206" s="105" t="s">
        <v>157</v>
      </c>
      <c r="Z206" s="105"/>
      <c r="AA206" s="96">
        <v>11</v>
      </c>
      <c r="AB206" s="97">
        <v>43810</v>
      </c>
      <c r="AC206" s="282">
        <v>43525</v>
      </c>
      <c r="AD206" s="97"/>
      <c r="AE206" s="97" t="s">
        <v>3002</v>
      </c>
      <c r="AF206" s="97" t="s">
        <v>3003</v>
      </c>
      <c r="AG206" s="97"/>
      <c r="AH206" s="96">
        <f t="shared" si="63"/>
        <v>2</v>
      </c>
      <c r="AI206" s="97" t="s">
        <v>161</v>
      </c>
      <c r="AJ206" s="97" t="s">
        <v>161</v>
      </c>
      <c r="AK206" s="97"/>
      <c r="AL206" s="197" t="s">
        <v>163</v>
      </c>
      <c r="AM206" s="97" t="s">
        <v>150</v>
      </c>
      <c r="AN206" s="97"/>
      <c r="AO206" s="97" t="s">
        <v>164</v>
      </c>
      <c r="AP206" s="97" t="s">
        <v>181</v>
      </c>
      <c r="AQ206" s="97" t="s">
        <v>203</v>
      </c>
      <c r="AR206" s="97" t="s">
        <v>163</v>
      </c>
      <c r="AS206" s="97"/>
      <c r="AT206" s="401" t="s">
        <v>219</v>
      </c>
      <c r="AU206" s="96" t="s">
        <v>3004</v>
      </c>
      <c r="AV206" s="97"/>
      <c r="AW206" s="99">
        <v>43528</v>
      </c>
      <c r="AX206" s="99">
        <v>43770</v>
      </c>
      <c r="AY206" s="99" t="s">
        <v>150</v>
      </c>
      <c r="AZ206" s="99"/>
      <c r="BA206" s="99"/>
      <c r="BB206" s="99"/>
      <c r="BC206" s="99"/>
      <c r="BD206" s="99"/>
      <c r="BE206" s="100" t="s">
        <v>3005</v>
      </c>
      <c r="BF206" s="99">
        <v>44470</v>
      </c>
      <c r="BG206" s="99" t="s">
        <v>150</v>
      </c>
      <c r="BH206" s="99">
        <v>44732</v>
      </c>
      <c r="BI206" s="99" t="s">
        <v>150</v>
      </c>
      <c r="BJ206" s="97"/>
      <c r="BK206" s="97"/>
      <c r="BL206" s="97"/>
      <c r="BM206" s="101">
        <v>45229</v>
      </c>
      <c r="BN206" s="96" t="s">
        <v>16</v>
      </c>
      <c r="BO206" s="96">
        <f>DATEDIF(AW206,BM206, "M")+1</f>
        <v>56</v>
      </c>
      <c r="BP206" s="266">
        <f>DATEDIF(AX206,BM206, "M")+1</f>
        <v>48</v>
      </c>
      <c r="BQ206" s="303" t="s">
        <v>3006</v>
      </c>
      <c r="BR206" s="96">
        <v>0</v>
      </c>
      <c r="BS206" s="96"/>
      <c r="BT206" s="96"/>
      <c r="BU206" s="96"/>
      <c r="BV206" s="96"/>
      <c r="BW206" s="96"/>
      <c r="BX206" s="96"/>
      <c r="BY206" s="96" t="s">
        <v>3007</v>
      </c>
      <c r="BZ206" s="96"/>
      <c r="CA206" s="96"/>
      <c r="CB206" s="103"/>
      <c r="CC206" s="103"/>
      <c r="CD206" s="96"/>
      <c r="CE206" s="96"/>
      <c r="CF206" s="96"/>
      <c r="CG206" s="96"/>
      <c r="CH206" s="371">
        <v>4</v>
      </c>
      <c r="CI206" s="96"/>
      <c r="CJ206" s="96"/>
      <c r="CK206" s="96" t="s">
        <v>1806</v>
      </c>
      <c r="CL206"/>
    </row>
    <row r="207" spans="1:90" s="53" customFormat="1" ht="24.95" hidden="1" customHeight="1">
      <c r="A207" s="96">
        <v>211</v>
      </c>
      <c r="B207" s="96" t="s">
        <v>3008</v>
      </c>
      <c r="C207" s="96" t="s">
        <v>3009</v>
      </c>
      <c r="D207" s="96"/>
      <c r="E207" s="96" t="s">
        <v>3010</v>
      </c>
      <c r="F207" s="96" t="s">
        <v>24</v>
      </c>
      <c r="G207" s="96">
        <v>9</v>
      </c>
      <c r="H207" s="96" t="s">
        <v>60</v>
      </c>
      <c r="I207" s="96" t="s">
        <v>37</v>
      </c>
      <c r="J207" s="96" t="s">
        <v>3011</v>
      </c>
      <c r="K207" s="96" t="s">
        <v>3012</v>
      </c>
      <c r="L207" s="96" t="s">
        <v>37</v>
      </c>
      <c r="M207" s="96" t="s">
        <v>150</v>
      </c>
      <c r="N207" s="96">
        <v>201000282</v>
      </c>
      <c r="O207" s="96" t="s">
        <v>151</v>
      </c>
      <c r="P207" s="96" t="s">
        <v>151</v>
      </c>
      <c r="Q207" s="96"/>
      <c r="R207" s="96" t="s">
        <v>3013</v>
      </c>
      <c r="S207" s="96" t="s">
        <v>3014</v>
      </c>
      <c r="T207" s="196" t="s">
        <v>3015</v>
      </c>
      <c r="U207" s="97" t="s">
        <v>3016</v>
      </c>
      <c r="V207" s="97">
        <v>29803</v>
      </c>
      <c r="W207" s="105" t="s">
        <v>3017</v>
      </c>
      <c r="X207" s="105" t="s">
        <v>2482</v>
      </c>
      <c r="Y207" s="105"/>
      <c r="Z207" s="105"/>
      <c r="AA207" s="96">
        <v>28</v>
      </c>
      <c r="AB207" s="97">
        <v>43556</v>
      </c>
      <c r="AC207" s="282">
        <v>43525</v>
      </c>
      <c r="AD207" s="97"/>
      <c r="AE207" s="97" t="s">
        <v>3018</v>
      </c>
      <c r="AF207" s="97" t="s">
        <v>3019</v>
      </c>
      <c r="AG207" s="97"/>
      <c r="AH207" s="96">
        <f t="shared" si="63"/>
        <v>2</v>
      </c>
      <c r="AI207" s="97"/>
      <c r="AJ207" s="97"/>
      <c r="AK207" s="97"/>
      <c r="AL207" s="97"/>
      <c r="AM207" s="97"/>
      <c r="AN207" s="97"/>
      <c r="AO207" s="97" t="s">
        <v>164</v>
      </c>
      <c r="AP207" s="97" t="s">
        <v>181</v>
      </c>
      <c r="AQ207" s="97"/>
      <c r="AR207" s="97"/>
      <c r="AS207" s="97"/>
      <c r="AT207" s="401" t="s">
        <v>580</v>
      </c>
      <c r="AU207" s="96" t="s">
        <v>3020</v>
      </c>
      <c r="AV207" s="97"/>
      <c r="AW207" s="99">
        <v>43528</v>
      </c>
      <c r="AX207" s="99">
        <v>43770</v>
      </c>
      <c r="AY207" s="99" t="s">
        <v>150</v>
      </c>
      <c r="AZ207" s="99"/>
      <c r="BA207" s="99">
        <v>43934</v>
      </c>
      <c r="BB207" s="99"/>
      <c r="BC207" s="99"/>
      <c r="BD207" s="99"/>
      <c r="BE207" s="100" t="s">
        <v>3021</v>
      </c>
      <c r="BF207" s="99">
        <v>44470</v>
      </c>
      <c r="BG207" s="99" t="s">
        <v>150</v>
      </c>
      <c r="BH207" s="99">
        <v>44732</v>
      </c>
      <c r="BI207" s="99" t="s">
        <v>150</v>
      </c>
      <c r="BJ207" s="97"/>
      <c r="BK207" s="97"/>
      <c r="BL207" s="97"/>
      <c r="BM207" s="101">
        <v>45483</v>
      </c>
      <c r="BN207" s="96" t="s">
        <v>16</v>
      </c>
      <c r="BO207" s="96">
        <f>DATEDIF(AW207,BM207, "M")+1</f>
        <v>65</v>
      </c>
      <c r="BP207" s="266">
        <f>DATEDIF(AX207,BM207, "M")+1</f>
        <v>57</v>
      </c>
      <c r="BQ207" s="96"/>
      <c r="BR207" s="96">
        <v>4</v>
      </c>
      <c r="BS207" s="96">
        <v>1</v>
      </c>
      <c r="BT207" s="96"/>
      <c r="BU207" s="96"/>
      <c r="BV207" s="96"/>
      <c r="BW207" s="96"/>
      <c r="BX207" s="96"/>
      <c r="BY207" s="96" t="s">
        <v>163</v>
      </c>
      <c r="BZ207" s="96"/>
      <c r="CA207" s="96"/>
      <c r="CB207" s="103"/>
      <c r="CC207" s="103"/>
      <c r="CD207" s="96"/>
      <c r="CE207" s="96"/>
      <c r="CF207" s="96"/>
      <c r="CG207" s="96"/>
      <c r="CH207" s="371">
        <v>3</v>
      </c>
      <c r="CI207" s="96"/>
      <c r="CJ207" s="96"/>
      <c r="CK207" s="96" t="s">
        <v>1806</v>
      </c>
      <c r="CL207"/>
    </row>
    <row r="208" spans="1:90" s="53" customFormat="1" ht="24.95" hidden="1" customHeight="1">
      <c r="A208" s="96">
        <v>212</v>
      </c>
      <c r="B208" s="96" t="s">
        <v>3022</v>
      </c>
      <c r="C208" s="96" t="s">
        <v>3023</v>
      </c>
      <c r="D208" s="96"/>
      <c r="E208" s="96" t="s">
        <v>3024</v>
      </c>
      <c r="F208" s="96" t="s">
        <v>25</v>
      </c>
      <c r="G208" s="96">
        <v>9</v>
      </c>
      <c r="H208" s="96" t="s">
        <v>58</v>
      </c>
      <c r="I208" s="96" t="s">
        <v>46</v>
      </c>
      <c r="J208" s="96" t="s">
        <v>2730</v>
      </c>
      <c r="K208" s="96" t="s">
        <v>2730</v>
      </c>
      <c r="L208" s="96" t="s">
        <v>46</v>
      </c>
      <c r="M208" s="96" t="s">
        <v>150</v>
      </c>
      <c r="N208" s="96"/>
      <c r="O208" s="96" t="s">
        <v>322</v>
      </c>
      <c r="P208" s="96" t="s">
        <v>322</v>
      </c>
      <c r="Q208" s="96"/>
      <c r="R208" s="96" t="s">
        <v>3025</v>
      </c>
      <c r="S208" s="96" t="s">
        <v>3026</v>
      </c>
      <c r="T208" s="196" t="s">
        <v>3027</v>
      </c>
      <c r="U208" s="97" t="s">
        <v>3028</v>
      </c>
      <c r="V208" s="97">
        <v>30461</v>
      </c>
      <c r="W208" s="105" t="s">
        <v>3029</v>
      </c>
      <c r="X208" s="105" t="s">
        <v>179</v>
      </c>
      <c r="Y208" s="105"/>
      <c r="Z208" s="105"/>
      <c r="AA208" s="96">
        <v>1</v>
      </c>
      <c r="AB208" s="97">
        <v>43528</v>
      </c>
      <c r="AC208" s="282">
        <v>43525</v>
      </c>
      <c r="AD208" s="97"/>
      <c r="AE208" s="97" t="s">
        <v>3030</v>
      </c>
      <c r="AF208" s="97" t="s">
        <v>3031</v>
      </c>
      <c r="AG208" s="97" t="s">
        <v>3032</v>
      </c>
      <c r="AH208" s="96">
        <f t="shared" si="63"/>
        <v>3</v>
      </c>
      <c r="AI208" s="97" t="s">
        <v>161</v>
      </c>
      <c r="AJ208" s="97" t="s">
        <v>202</v>
      </c>
      <c r="AK208" s="97"/>
      <c r="AL208" s="97" t="s">
        <v>150</v>
      </c>
      <c r="AM208" s="97" t="s">
        <v>163</v>
      </c>
      <c r="AN208" s="97"/>
      <c r="AO208" s="97" t="s">
        <v>164</v>
      </c>
      <c r="AP208" s="97" t="s">
        <v>1843</v>
      </c>
      <c r="AQ208" s="97" t="s">
        <v>2418</v>
      </c>
      <c r="AR208" s="97" t="s">
        <v>150</v>
      </c>
      <c r="AS208" s="104" t="s">
        <v>3033</v>
      </c>
      <c r="AT208" s="401" t="s">
        <v>372</v>
      </c>
      <c r="AU208" s="96" t="s">
        <v>3034</v>
      </c>
      <c r="AV208" s="97"/>
      <c r="AW208" s="99">
        <v>43528</v>
      </c>
      <c r="AX208" s="99">
        <v>43770</v>
      </c>
      <c r="AY208" s="99" t="s">
        <v>150</v>
      </c>
      <c r="AZ208" s="99">
        <v>43770</v>
      </c>
      <c r="BA208" s="99">
        <v>43862</v>
      </c>
      <c r="BB208" s="99"/>
      <c r="BC208" s="99"/>
      <c r="BD208" s="99"/>
      <c r="BE208" s="100" t="s">
        <v>3035</v>
      </c>
      <c r="BF208" s="99">
        <v>44470</v>
      </c>
      <c r="BG208" s="99" t="s">
        <v>150</v>
      </c>
      <c r="BH208" s="99">
        <v>44732</v>
      </c>
      <c r="BI208" s="99" t="s">
        <v>150</v>
      </c>
      <c r="BJ208" s="97"/>
      <c r="BK208" s="97"/>
      <c r="BL208" s="97"/>
      <c r="BM208" s="101">
        <v>45443</v>
      </c>
      <c r="BN208" s="96" t="s">
        <v>16</v>
      </c>
      <c r="BO208" s="96">
        <f>DATEDIF(AW208,BM208, "M")+1</f>
        <v>63</v>
      </c>
      <c r="BP208" s="266">
        <f t="shared" ref="BP208:BP209" si="65">DATEDIF(AX208,BM208, "M")+1</f>
        <v>55</v>
      </c>
      <c r="BQ208" s="303" t="s">
        <v>3036</v>
      </c>
      <c r="BR208" s="96">
        <v>2</v>
      </c>
      <c r="BS208" s="96">
        <v>0</v>
      </c>
      <c r="BT208" s="96"/>
      <c r="BU208" s="96"/>
      <c r="BV208" s="96"/>
      <c r="BW208" s="96"/>
      <c r="BX208" s="96"/>
      <c r="BY208" s="96" t="s">
        <v>163</v>
      </c>
      <c r="BZ208" s="96"/>
      <c r="CA208" s="96"/>
      <c r="CB208" s="103"/>
      <c r="CC208" s="103"/>
      <c r="CD208" s="96"/>
      <c r="CE208" s="96"/>
      <c r="CF208" s="96"/>
      <c r="CG208" s="96"/>
      <c r="CH208" s="371">
        <v>0</v>
      </c>
      <c r="CI208" s="96"/>
      <c r="CJ208" s="96"/>
      <c r="CK208" s="96" t="s">
        <v>1806</v>
      </c>
      <c r="CL208"/>
    </row>
    <row r="209" spans="1:90" s="53" customFormat="1" ht="24.95" hidden="1" customHeight="1">
      <c r="A209" s="96">
        <v>213</v>
      </c>
      <c r="B209" s="96" t="s">
        <v>3037</v>
      </c>
      <c r="C209" s="96" t="s">
        <v>3038</v>
      </c>
      <c r="D209" s="96" t="s">
        <v>3039</v>
      </c>
      <c r="E209" s="96" t="s">
        <v>3040</v>
      </c>
      <c r="F209" s="96" t="s">
        <v>25</v>
      </c>
      <c r="G209" s="96">
        <v>9</v>
      </c>
      <c r="H209" s="96" t="s">
        <v>54</v>
      </c>
      <c r="I209" s="96" t="s">
        <v>41</v>
      </c>
      <c r="J209" s="96" t="s">
        <v>3041</v>
      </c>
      <c r="K209" s="96" t="s">
        <v>290</v>
      </c>
      <c r="L209" s="96" t="s">
        <v>33</v>
      </c>
      <c r="M209" s="96" t="s">
        <v>163</v>
      </c>
      <c r="N209" s="96">
        <v>78570</v>
      </c>
      <c r="O209" s="96" t="s">
        <v>151</v>
      </c>
      <c r="P209" s="96" t="s">
        <v>151</v>
      </c>
      <c r="Q209" s="96"/>
      <c r="R209" s="96" t="s">
        <v>3042</v>
      </c>
      <c r="S209" s="318" t="s">
        <v>3043</v>
      </c>
      <c r="T209" s="196" t="s">
        <v>3044</v>
      </c>
      <c r="U209" s="97"/>
      <c r="V209" s="97">
        <v>28082</v>
      </c>
      <c r="W209" s="105" t="s">
        <v>3045</v>
      </c>
      <c r="X209" s="105" t="s">
        <v>179</v>
      </c>
      <c r="Y209" s="105"/>
      <c r="Z209" s="105"/>
      <c r="AA209" s="96">
        <v>30</v>
      </c>
      <c r="AB209" s="97">
        <v>43570</v>
      </c>
      <c r="AC209" s="282">
        <v>43525</v>
      </c>
      <c r="AD209" s="97"/>
      <c r="AE209" s="97" t="s">
        <v>3046</v>
      </c>
      <c r="AF209" s="97" t="s">
        <v>3047</v>
      </c>
      <c r="AG209" s="97"/>
      <c r="AH209" s="96">
        <f t="shared" si="63"/>
        <v>2</v>
      </c>
      <c r="AI209" s="97" t="s">
        <v>162</v>
      </c>
      <c r="AJ209" s="97" t="s">
        <v>161</v>
      </c>
      <c r="AK209" s="97"/>
      <c r="AL209" s="97" t="s">
        <v>150</v>
      </c>
      <c r="AM209" s="97"/>
      <c r="AN209" s="97"/>
      <c r="AO209" s="97" t="s">
        <v>164</v>
      </c>
      <c r="AP209" s="97" t="s">
        <v>203</v>
      </c>
      <c r="AQ209" s="97" t="s">
        <v>250</v>
      </c>
      <c r="AR209" s="97" t="s">
        <v>150</v>
      </c>
      <c r="AS209" s="97"/>
      <c r="AT209" s="401" t="s">
        <v>285</v>
      </c>
      <c r="AU209" s="96" t="s">
        <v>3048</v>
      </c>
      <c r="AV209" s="97"/>
      <c r="AW209" s="99">
        <v>43528</v>
      </c>
      <c r="AX209" s="99">
        <v>43770</v>
      </c>
      <c r="AY209" s="99" t="s">
        <v>150</v>
      </c>
      <c r="AZ209" s="99">
        <v>44369</v>
      </c>
      <c r="BA209" s="99">
        <v>44083</v>
      </c>
      <c r="BB209" s="99"/>
      <c r="BC209" s="99"/>
      <c r="BD209" s="99"/>
      <c r="BE209" s="100" t="s">
        <v>3049</v>
      </c>
      <c r="BF209" s="99">
        <v>44470</v>
      </c>
      <c r="BG209" s="99" t="s">
        <v>150</v>
      </c>
      <c r="BH209" s="99">
        <v>44732</v>
      </c>
      <c r="BI209" s="99" t="s">
        <v>150</v>
      </c>
      <c r="BJ209" s="97"/>
      <c r="BK209" s="97">
        <v>45187</v>
      </c>
      <c r="BL209" s="97"/>
      <c r="BM209" s="101">
        <v>45226</v>
      </c>
      <c r="BN209" s="96" t="s">
        <v>16</v>
      </c>
      <c r="BO209" s="96">
        <f>DATEDIF(AW209,BM209, "M")+1</f>
        <v>56</v>
      </c>
      <c r="BP209" s="266">
        <f t="shared" si="65"/>
        <v>48</v>
      </c>
      <c r="BQ209" s="96"/>
      <c r="BR209" s="96">
        <v>2</v>
      </c>
      <c r="BS209" s="96">
        <v>2</v>
      </c>
      <c r="BT209" s="96"/>
      <c r="BU209" s="96"/>
      <c r="BV209" s="96"/>
      <c r="BW209" s="96"/>
      <c r="BX209" s="96"/>
      <c r="BY209" s="96" t="s">
        <v>163</v>
      </c>
      <c r="BZ209" s="96"/>
      <c r="CA209" s="96"/>
      <c r="CB209" s="103">
        <v>45047</v>
      </c>
      <c r="CC209" s="103">
        <v>45229</v>
      </c>
      <c r="CD209" s="96">
        <v>6</v>
      </c>
      <c r="CE209" s="96"/>
      <c r="CF209" s="96"/>
      <c r="CG209" s="96"/>
      <c r="CH209" s="371">
        <v>3</v>
      </c>
      <c r="CI209" s="96"/>
      <c r="CJ209" s="96"/>
      <c r="CK209" s="96" t="s">
        <v>809</v>
      </c>
      <c r="CL209"/>
    </row>
    <row r="210" spans="1:90" s="53" customFormat="1" ht="24.95" hidden="1" customHeight="1">
      <c r="A210" s="96">
        <v>214</v>
      </c>
      <c r="B210" s="96" t="s">
        <v>3050</v>
      </c>
      <c r="C210" s="96" t="s">
        <v>3051</v>
      </c>
      <c r="D210" s="96" t="s">
        <v>3052</v>
      </c>
      <c r="E210" s="96" t="s">
        <v>3053</v>
      </c>
      <c r="F210" s="96" t="s">
        <v>25</v>
      </c>
      <c r="G210" s="96">
        <v>9</v>
      </c>
      <c r="H210" s="96" t="s">
        <v>54</v>
      </c>
      <c r="I210" s="96" t="s">
        <v>33</v>
      </c>
      <c r="J210" s="96" t="s">
        <v>1159</v>
      </c>
      <c r="K210" s="96" t="s">
        <v>3054</v>
      </c>
      <c r="L210" s="96" t="s">
        <v>33</v>
      </c>
      <c r="M210" s="96" t="s">
        <v>150</v>
      </c>
      <c r="N210" s="96" t="s">
        <v>3055</v>
      </c>
      <c r="O210" s="96" t="s">
        <v>151</v>
      </c>
      <c r="P210" s="96" t="s">
        <v>151</v>
      </c>
      <c r="Q210" s="96"/>
      <c r="R210" s="96" t="s">
        <v>3056</v>
      </c>
      <c r="S210" s="96" t="s">
        <v>3057</v>
      </c>
      <c r="T210" s="196" t="s">
        <v>3058</v>
      </c>
      <c r="U210" s="97" t="s">
        <v>3059</v>
      </c>
      <c r="V210" s="97">
        <v>27320</v>
      </c>
      <c r="W210" s="105" t="s">
        <v>3060</v>
      </c>
      <c r="X210" s="105" t="s">
        <v>2363</v>
      </c>
      <c r="Y210" s="105" t="s">
        <v>150</v>
      </c>
      <c r="Z210" s="105"/>
      <c r="AA210" s="96">
        <v>2</v>
      </c>
      <c r="AB210" s="97">
        <v>43472</v>
      </c>
      <c r="AC210" s="282">
        <v>43525</v>
      </c>
      <c r="AD210" s="97"/>
      <c r="AE210" s="97" t="s">
        <v>3061</v>
      </c>
      <c r="AF210" s="97"/>
      <c r="AG210" s="97"/>
      <c r="AH210" s="96">
        <f t="shared" si="63"/>
        <v>1</v>
      </c>
      <c r="AI210" s="97" t="s">
        <v>161</v>
      </c>
      <c r="AJ210" s="97"/>
      <c r="AK210" s="97"/>
      <c r="AL210" s="97" t="s">
        <v>150</v>
      </c>
      <c r="AM210" s="97"/>
      <c r="AN210" s="97"/>
      <c r="AO210" s="97" t="s">
        <v>164</v>
      </c>
      <c r="AP210" s="97" t="s">
        <v>1424</v>
      </c>
      <c r="AQ210" s="97" t="s">
        <v>250</v>
      </c>
      <c r="AR210" s="97" t="s">
        <v>150</v>
      </c>
      <c r="AS210" s="97"/>
      <c r="AT210" s="402" t="s">
        <v>328</v>
      </c>
      <c r="AU210" s="96" t="s">
        <v>3062</v>
      </c>
      <c r="AV210" s="97"/>
      <c r="AW210" s="99">
        <v>43528</v>
      </c>
      <c r="AX210" s="99">
        <v>43770</v>
      </c>
      <c r="AY210" s="99" t="s">
        <v>150</v>
      </c>
      <c r="AZ210" s="99">
        <v>43724</v>
      </c>
      <c r="BA210" s="99">
        <v>44187</v>
      </c>
      <c r="BB210" s="99"/>
      <c r="BC210" s="99"/>
      <c r="BD210" s="99"/>
      <c r="BE210" s="100" t="s">
        <v>3063</v>
      </c>
      <c r="BF210" s="99">
        <v>44872</v>
      </c>
      <c r="BG210" s="99" t="s">
        <v>163</v>
      </c>
      <c r="BH210" s="99">
        <v>45110</v>
      </c>
      <c r="BI210" s="99" t="s">
        <v>163</v>
      </c>
      <c r="BJ210" s="97"/>
      <c r="BK210" s="97"/>
      <c r="BL210" s="97"/>
      <c r="BM210" s="101"/>
      <c r="BN210" s="96" t="s">
        <v>17</v>
      </c>
      <c r="BO210" s="220"/>
      <c r="BP210" s="266"/>
      <c r="BQ210" s="96"/>
      <c r="BR210" s="96">
        <v>7</v>
      </c>
      <c r="BS210" s="96">
        <v>5</v>
      </c>
      <c r="BT210" s="96"/>
      <c r="BU210" s="96"/>
      <c r="BV210" s="96"/>
      <c r="BW210" s="96"/>
      <c r="BX210" s="96"/>
      <c r="BY210" s="96" t="s">
        <v>163</v>
      </c>
      <c r="BZ210" s="96"/>
      <c r="CA210" s="96"/>
      <c r="CB210" s="103"/>
      <c r="CC210" s="103"/>
      <c r="CD210" s="96"/>
      <c r="CE210" s="96"/>
      <c r="CF210" s="96"/>
      <c r="CG210" s="96"/>
      <c r="CH210" s="371">
        <v>4</v>
      </c>
      <c r="CI210" s="96"/>
      <c r="CJ210" s="96"/>
      <c r="CK210" s="96" t="s">
        <v>809</v>
      </c>
      <c r="CL210"/>
    </row>
    <row r="211" spans="1:90" s="53" customFormat="1" ht="30.95" hidden="1" customHeight="1">
      <c r="A211" s="96">
        <v>215</v>
      </c>
      <c r="B211" s="96" t="s">
        <v>3064</v>
      </c>
      <c r="C211" s="96" t="s">
        <v>3065</v>
      </c>
      <c r="D211" s="96" t="s">
        <v>3066</v>
      </c>
      <c r="E211" s="96" t="s">
        <v>3067</v>
      </c>
      <c r="F211" s="96" t="s">
        <v>25</v>
      </c>
      <c r="G211" s="96">
        <v>9</v>
      </c>
      <c r="H211" s="96" t="s">
        <v>54</v>
      </c>
      <c r="I211" s="96" t="s">
        <v>33</v>
      </c>
      <c r="J211" s="96" t="s">
        <v>3068</v>
      </c>
      <c r="K211" s="96" t="s">
        <v>3069</v>
      </c>
      <c r="L211" s="96" t="s">
        <v>33</v>
      </c>
      <c r="M211" s="96" t="s">
        <v>150</v>
      </c>
      <c r="N211" s="96">
        <v>138807</v>
      </c>
      <c r="O211" s="96" t="s">
        <v>322</v>
      </c>
      <c r="P211" s="96" t="s">
        <v>322</v>
      </c>
      <c r="Q211" s="96"/>
      <c r="R211" s="318" t="s">
        <v>3070</v>
      </c>
      <c r="S211" s="318" t="s">
        <v>3071</v>
      </c>
      <c r="T211" s="199" t="s">
        <v>3072</v>
      </c>
      <c r="U211" s="97" t="s">
        <v>3073</v>
      </c>
      <c r="V211" s="97">
        <v>31819</v>
      </c>
      <c r="W211" s="105" t="s">
        <v>3074</v>
      </c>
      <c r="X211" s="105" t="s">
        <v>2363</v>
      </c>
      <c r="Y211" s="105" t="s">
        <v>157</v>
      </c>
      <c r="Z211" s="105"/>
      <c r="AA211" s="96">
        <v>13</v>
      </c>
      <c r="AB211" s="97">
        <v>42417</v>
      </c>
      <c r="AC211" s="282">
        <v>43525</v>
      </c>
      <c r="AD211" s="97"/>
      <c r="AE211" s="97" t="s">
        <v>3075</v>
      </c>
      <c r="AF211" s="97"/>
      <c r="AG211" s="97"/>
      <c r="AH211" s="96">
        <f t="shared" si="63"/>
        <v>1</v>
      </c>
      <c r="AI211" s="97" t="s">
        <v>161</v>
      </c>
      <c r="AJ211" s="97"/>
      <c r="AK211" s="97"/>
      <c r="AL211" s="97" t="s">
        <v>150</v>
      </c>
      <c r="AM211" s="97"/>
      <c r="AN211" s="97"/>
      <c r="AO211" s="97" t="s">
        <v>164</v>
      </c>
      <c r="AP211" s="97" t="s">
        <v>3076</v>
      </c>
      <c r="AQ211" s="97" t="s">
        <v>3077</v>
      </c>
      <c r="AR211" s="97"/>
      <c r="AS211" s="97"/>
      <c r="AT211" s="402" t="s">
        <v>3078</v>
      </c>
      <c r="AU211" s="96" t="s">
        <v>3079</v>
      </c>
      <c r="AV211" s="97"/>
      <c r="AW211" s="99">
        <v>43528</v>
      </c>
      <c r="AX211" s="99">
        <v>43770</v>
      </c>
      <c r="AY211" s="99" t="s">
        <v>150</v>
      </c>
      <c r="AZ211" s="99">
        <v>43271</v>
      </c>
      <c r="BA211" s="99">
        <v>43977</v>
      </c>
      <c r="BB211" s="99"/>
      <c r="BC211" s="99"/>
      <c r="BD211" s="99"/>
      <c r="BE211" s="100" t="s">
        <v>3080</v>
      </c>
      <c r="BF211" s="99">
        <v>44470</v>
      </c>
      <c r="BG211" s="99" t="s">
        <v>150</v>
      </c>
      <c r="BH211" s="99">
        <v>44732</v>
      </c>
      <c r="BI211" s="99" t="s">
        <v>150</v>
      </c>
      <c r="BJ211" s="97"/>
      <c r="BK211" s="97">
        <v>45152</v>
      </c>
      <c r="BL211" s="97"/>
      <c r="BM211" s="101">
        <v>45163</v>
      </c>
      <c r="BN211" s="96" t="s">
        <v>16</v>
      </c>
      <c r="BO211" s="96">
        <f t="shared" ref="BO211" si="66">DATEDIF(AW211,BM211, "M")+1</f>
        <v>54</v>
      </c>
      <c r="BP211" s="266">
        <f t="shared" ref="BP211:BP212" si="67">DATEDIF(AX211,BM211, "M")+1</f>
        <v>46</v>
      </c>
      <c r="BQ211" s="266" t="s">
        <v>3081</v>
      </c>
      <c r="BR211" s="96">
        <v>2</v>
      </c>
      <c r="BS211" s="96">
        <v>1</v>
      </c>
      <c r="BT211" s="96"/>
      <c r="BU211" s="96"/>
      <c r="BV211" s="96"/>
      <c r="BW211" s="96"/>
      <c r="BX211" s="96"/>
      <c r="BY211" s="96" t="s">
        <v>163</v>
      </c>
      <c r="BZ211" s="96"/>
      <c r="CA211" s="96"/>
      <c r="CB211" s="103"/>
      <c r="CC211" s="103"/>
      <c r="CD211" s="96"/>
      <c r="CE211" s="96"/>
      <c r="CF211" s="96"/>
      <c r="CG211" s="96"/>
      <c r="CH211" s="371"/>
      <c r="CI211" s="96"/>
      <c r="CJ211" s="96"/>
      <c r="CK211" s="96" t="s">
        <v>809</v>
      </c>
      <c r="CL211"/>
    </row>
    <row r="212" spans="1:90" s="53" customFormat="1" ht="24" hidden="1" customHeight="1">
      <c r="A212" s="96">
        <v>216</v>
      </c>
      <c r="B212" s="96" t="s">
        <v>3082</v>
      </c>
      <c r="C212" s="96" t="s">
        <v>3083</v>
      </c>
      <c r="D212" s="96" t="s">
        <v>3084</v>
      </c>
      <c r="E212" s="96" t="s">
        <v>3085</v>
      </c>
      <c r="F212" s="96" t="s">
        <v>25</v>
      </c>
      <c r="G212" s="96">
        <v>9</v>
      </c>
      <c r="H212" s="96" t="s">
        <v>58</v>
      </c>
      <c r="I212" s="96" t="s">
        <v>46</v>
      </c>
      <c r="J212" s="96" t="s">
        <v>3086</v>
      </c>
      <c r="K212" s="96" t="s">
        <v>3087</v>
      </c>
      <c r="L212" s="96" t="s">
        <v>46</v>
      </c>
      <c r="M212" s="96" t="s">
        <v>150</v>
      </c>
      <c r="N212" s="96" t="s">
        <v>3088</v>
      </c>
      <c r="O212" s="96" t="s">
        <v>322</v>
      </c>
      <c r="P212" s="96" t="s">
        <v>322</v>
      </c>
      <c r="Q212" s="96"/>
      <c r="R212" s="96" t="s">
        <v>3089</v>
      </c>
      <c r="S212" s="96" t="s">
        <v>3090</v>
      </c>
      <c r="T212" s="196" t="s">
        <v>3091</v>
      </c>
      <c r="U212" s="97" t="s">
        <v>3092</v>
      </c>
      <c r="V212" s="97">
        <v>31878</v>
      </c>
      <c r="W212" s="105" t="s">
        <v>3093</v>
      </c>
      <c r="X212" s="105" t="s">
        <v>179</v>
      </c>
      <c r="Y212" s="105"/>
      <c r="Z212" s="105"/>
      <c r="AA212" s="96">
        <v>6</v>
      </c>
      <c r="AB212" s="97">
        <v>43861</v>
      </c>
      <c r="AC212" s="282">
        <v>43525</v>
      </c>
      <c r="AD212" s="97"/>
      <c r="AE212" s="97" t="s">
        <v>3094</v>
      </c>
      <c r="AF212" s="97" t="s">
        <v>3095</v>
      </c>
      <c r="AG212" s="97"/>
      <c r="AH212" s="96">
        <f t="shared" si="63"/>
        <v>2</v>
      </c>
      <c r="AI212" s="97" t="s">
        <v>161</v>
      </c>
      <c r="AJ212" s="97" t="s">
        <v>161</v>
      </c>
      <c r="AK212" s="97"/>
      <c r="AL212" s="97" t="s">
        <v>163</v>
      </c>
      <c r="AM212" s="97" t="s">
        <v>163</v>
      </c>
      <c r="AN212" s="97"/>
      <c r="AO212" s="97" t="s">
        <v>164</v>
      </c>
      <c r="AP212" s="97" t="s">
        <v>203</v>
      </c>
      <c r="AQ212" s="97" t="s">
        <v>250</v>
      </c>
      <c r="AR212" s="97"/>
      <c r="AS212" s="97"/>
      <c r="AT212" s="401" t="s">
        <v>3096</v>
      </c>
      <c r="AU212" s="96" t="s">
        <v>3034</v>
      </c>
      <c r="AV212" s="97"/>
      <c r="AW212" s="99">
        <v>43528</v>
      </c>
      <c r="AX212" s="99">
        <v>43770</v>
      </c>
      <c r="AY212" s="99" t="s">
        <v>150</v>
      </c>
      <c r="AZ212" s="99">
        <v>43918</v>
      </c>
      <c r="BA212" s="99">
        <v>44050</v>
      </c>
      <c r="BB212" s="99"/>
      <c r="BC212" s="99"/>
      <c r="BD212" s="99"/>
      <c r="BE212" s="100" t="s">
        <v>3097</v>
      </c>
      <c r="BF212" s="99">
        <v>44470</v>
      </c>
      <c r="BG212" s="99" t="s">
        <v>150</v>
      </c>
      <c r="BH212" s="99">
        <v>44732</v>
      </c>
      <c r="BI212" s="99" t="s">
        <v>150</v>
      </c>
      <c r="BJ212" s="97">
        <v>45247</v>
      </c>
      <c r="BK212" s="97"/>
      <c r="BL212" s="97"/>
      <c r="BM212" s="101">
        <v>45441</v>
      </c>
      <c r="BN212" s="96" t="s">
        <v>16</v>
      </c>
      <c r="BO212" s="96">
        <f>DATEDIF(AW212,BM212, "M")+1</f>
        <v>63</v>
      </c>
      <c r="BP212" s="266">
        <f t="shared" si="67"/>
        <v>55</v>
      </c>
      <c r="BQ212" s="266" t="s">
        <v>3098</v>
      </c>
      <c r="BR212" s="96">
        <v>0</v>
      </c>
      <c r="BS212" s="96"/>
      <c r="BT212" s="96"/>
      <c r="BU212" s="96"/>
      <c r="BV212" s="96"/>
      <c r="BW212" s="96"/>
      <c r="BX212" s="96"/>
      <c r="BY212" s="96" t="s">
        <v>163</v>
      </c>
      <c r="BZ212" s="96"/>
      <c r="CA212" s="96"/>
      <c r="CB212" s="103"/>
      <c r="CC212" s="103"/>
      <c r="CD212" s="96"/>
      <c r="CE212" s="96"/>
      <c r="CF212" s="96"/>
      <c r="CG212" s="96"/>
      <c r="CH212" s="371">
        <v>0</v>
      </c>
      <c r="CI212" s="96"/>
      <c r="CJ212" s="96"/>
      <c r="CK212" s="96" t="s">
        <v>809</v>
      </c>
      <c r="CL212"/>
    </row>
    <row r="213" spans="1:90" s="53" customFormat="1" ht="24.95" hidden="1" customHeight="1">
      <c r="A213" s="91">
        <v>217</v>
      </c>
      <c r="B213" s="91" t="s">
        <v>3099</v>
      </c>
      <c r="C213" s="91" t="s">
        <v>3100</v>
      </c>
      <c r="D213" s="91" t="s">
        <v>3101</v>
      </c>
      <c r="E213" s="91" t="s">
        <v>3102</v>
      </c>
      <c r="F213" s="91" t="s">
        <v>25</v>
      </c>
      <c r="G213" s="91">
        <v>9</v>
      </c>
      <c r="H213" s="91" t="s">
        <v>52</v>
      </c>
      <c r="I213" s="91" t="s">
        <v>44</v>
      </c>
      <c r="J213" s="91" t="s">
        <v>2663</v>
      </c>
      <c r="K213" s="91" t="s">
        <v>3103</v>
      </c>
      <c r="L213" s="91" t="s">
        <v>44</v>
      </c>
      <c r="M213" s="91" t="s">
        <v>150</v>
      </c>
      <c r="N213" s="91" t="s">
        <v>3104</v>
      </c>
      <c r="O213" s="91" t="s">
        <v>151</v>
      </c>
      <c r="P213" s="91" t="s">
        <v>151</v>
      </c>
      <c r="Q213" s="91"/>
      <c r="R213" s="91" t="s">
        <v>3105</v>
      </c>
      <c r="S213" s="91" t="s">
        <v>3106</v>
      </c>
      <c r="T213" s="200" t="s">
        <v>3107</v>
      </c>
      <c r="U213" s="92" t="s">
        <v>3108</v>
      </c>
      <c r="V213" s="92">
        <v>31511</v>
      </c>
      <c r="W213" s="164"/>
      <c r="X213" s="164" t="s">
        <v>202</v>
      </c>
      <c r="Y213" s="164"/>
      <c r="Z213" s="164"/>
      <c r="AA213" s="91">
        <v>5</v>
      </c>
      <c r="AB213" s="92">
        <v>43346</v>
      </c>
      <c r="AC213" s="281">
        <v>43525</v>
      </c>
      <c r="AD213" s="92">
        <v>44818</v>
      </c>
      <c r="AE213" s="92" t="s">
        <v>3109</v>
      </c>
      <c r="AF213" s="92" t="s">
        <v>3110</v>
      </c>
      <c r="AG213" s="114"/>
      <c r="AH213" s="91">
        <f>COUNTA(AE213:AF213)</f>
        <v>2</v>
      </c>
      <c r="AI213" s="92" t="s">
        <v>161</v>
      </c>
      <c r="AJ213" s="92" t="s">
        <v>161</v>
      </c>
      <c r="AK213" s="92" t="s">
        <v>202</v>
      </c>
      <c r="AL213" s="92" t="s">
        <v>163</v>
      </c>
      <c r="AM213" s="92"/>
      <c r="AN213" s="92"/>
      <c r="AO213" s="92" t="s">
        <v>182</v>
      </c>
      <c r="AP213" s="92" t="s">
        <v>3111</v>
      </c>
      <c r="AQ213" s="92" t="s">
        <v>182</v>
      </c>
      <c r="AR213" s="92"/>
      <c r="AS213" s="92"/>
      <c r="AT213" s="400" t="s">
        <v>420</v>
      </c>
      <c r="AU213" s="91" t="s">
        <v>3112</v>
      </c>
      <c r="AV213" s="92"/>
      <c r="AW213" s="93">
        <v>43528</v>
      </c>
      <c r="AX213" s="93">
        <v>43770</v>
      </c>
      <c r="AY213" s="93" t="s">
        <v>150</v>
      </c>
      <c r="AZ213" s="93">
        <v>43427</v>
      </c>
      <c r="BA213" s="93">
        <v>43599</v>
      </c>
      <c r="BB213" s="93"/>
      <c r="BC213" s="93"/>
      <c r="BD213" s="93"/>
      <c r="BE213" s="94" t="s">
        <v>3113</v>
      </c>
      <c r="BF213" s="93"/>
      <c r="BG213" s="93"/>
      <c r="BH213" s="93"/>
      <c r="BI213" s="93"/>
      <c r="BJ213" s="91"/>
      <c r="BK213" s="91"/>
      <c r="BL213" s="91"/>
      <c r="BM213" s="109"/>
      <c r="BN213" s="91" t="s">
        <v>18</v>
      </c>
      <c r="BO213" s="265" t="s">
        <v>18</v>
      </c>
      <c r="BP213" s="265"/>
      <c r="BQ213" s="91"/>
      <c r="BR213" s="91">
        <v>1</v>
      </c>
      <c r="BS213" s="91">
        <v>1</v>
      </c>
      <c r="BT213" s="91"/>
      <c r="BU213" s="91"/>
      <c r="BV213" s="91"/>
      <c r="BW213" s="91"/>
      <c r="BX213" s="91"/>
      <c r="BY213" s="91" t="s">
        <v>3114</v>
      </c>
      <c r="BZ213" s="91"/>
      <c r="CA213" s="91"/>
      <c r="CB213" s="95">
        <v>44398</v>
      </c>
      <c r="CC213" s="95">
        <v>44733</v>
      </c>
      <c r="CD213" s="91">
        <v>12</v>
      </c>
      <c r="CE213" s="91"/>
      <c r="CF213" s="91"/>
      <c r="CG213" s="91"/>
      <c r="CH213" s="113">
        <v>2</v>
      </c>
      <c r="CI213" s="91"/>
      <c r="CJ213" s="91"/>
      <c r="CK213" s="91" t="s">
        <v>809</v>
      </c>
      <c r="CL213"/>
    </row>
    <row r="214" spans="1:90" s="53" customFormat="1" ht="24.95" hidden="1" customHeight="1">
      <c r="A214" s="96">
        <v>218</v>
      </c>
      <c r="B214" s="96" t="s">
        <v>3115</v>
      </c>
      <c r="C214" s="96" t="s">
        <v>3116</v>
      </c>
      <c r="D214" s="96" t="s">
        <v>2635</v>
      </c>
      <c r="E214" s="96" t="s">
        <v>3117</v>
      </c>
      <c r="F214" s="96" t="s">
        <v>25</v>
      </c>
      <c r="G214" s="96">
        <v>9</v>
      </c>
      <c r="H214" s="96" t="s">
        <v>54</v>
      </c>
      <c r="I214" s="96" t="s">
        <v>33</v>
      </c>
      <c r="J214" s="96" t="s">
        <v>3118</v>
      </c>
      <c r="K214" s="96" t="s">
        <v>3118</v>
      </c>
      <c r="L214" s="96" t="s">
        <v>46</v>
      </c>
      <c r="M214" s="96" t="s">
        <v>163</v>
      </c>
      <c r="N214" s="96" t="s">
        <v>3119</v>
      </c>
      <c r="O214" s="96" t="s">
        <v>151</v>
      </c>
      <c r="P214" s="96" t="s">
        <v>151</v>
      </c>
      <c r="Q214" s="96"/>
      <c r="R214" s="96" t="s">
        <v>3120</v>
      </c>
      <c r="S214" s="96" t="s">
        <v>3121</v>
      </c>
      <c r="T214" s="199" t="s">
        <v>3122</v>
      </c>
      <c r="U214" s="267"/>
      <c r="V214" s="97">
        <v>27798</v>
      </c>
      <c r="W214" s="105" t="s">
        <v>3123</v>
      </c>
      <c r="X214" s="105" t="s">
        <v>179</v>
      </c>
      <c r="Y214" s="105"/>
      <c r="Z214" s="105"/>
      <c r="AA214" s="96">
        <v>24</v>
      </c>
      <c r="AB214" s="97">
        <v>43647</v>
      </c>
      <c r="AC214" s="282">
        <v>43525</v>
      </c>
      <c r="AD214" s="97"/>
      <c r="AE214" s="97" t="s">
        <v>3124</v>
      </c>
      <c r="AF214" s="97"/>
      <c r="AG214" s="97"/>
      <c r="AH214" s="96">
        <f t="shared" si="63"/>
        <v>1</v>
      </c>
      <c r="AI214" s="97" t="s">
        <v>162</v>
      </c>
      <c r="AJ214" s="97"/>
      <c r="AK214" s="97"/>
      <c r="AL214" s="97" t="s">
        <v>163</v>
      </c>
      <c r="AM214" s="97"/>
      <c r="AN214" s="97"/>
      <c r="AO214" s="97" t="s">
        <v>164</v>
      </c>
      <c r="AP214" s="97" t="s">
        <v>203</v>
      </c>
      <c r="AQ214" s="97" t="s">
        <v>250</v>
      </c>
      <c r="AR214" s="97" t="s">
        <v>150</v>
      </c>
      <c r="AS214" s="97"/>
      <c r="AT214" s="401" t="s">
        <v>328</v>
      </c>
      <c r="AU214" s="96" t="s">
        <v>3125</v>
      </c>
      <c r="AV214" s="97"/>
      <c r="AW214" s="99">
        <v>43528</v>
      </c>
      <c r="AX214" s="99">
        <v>43770</v>
      </c>
      <c r="AY214" s="99" t="s">
        <v>150</v>
      </c>
      <c r="AZ214" s="99">
        <v>44258</v>
      </c>
      <c r="BA214" s="99">
        <v>44287</v>
      </c>
      <c r="BB214" s="99"/>
      <c r="BC214" s="99"/>
      <c r="BD214" s="99"/>
      <c r="BE214" s="100" t="s">
        <v>3126</v>
      </c>
      <c r="BF214" s="99">
        <v>44470</v>
      </c>
      <c r="BG214" s="99" t="s">
        <v>150</v>
      </c>
      <c r="BH214" s="99">
        <v>44732</v>
      </c>
      <c r="BI214" s="99" t="s">
        <v>150</v>
      </c>
      <c r="BJ214" s="96"/>
      <c r="BK214" s="96"/>
      <c r="BL214" s="96"/>
      <c r="BM214" s="101">
        <v>45258</v>
      </c>
      <c r="BN214" s="96" t="s">
        <v>16</v>
      </c>
      <c r="BO214" s="96">
        <f t="shared" ref="BO214:BO217" si="68">DATEDIF(AW214,BM214, "M")+1</f>
        <v>57</v>
      </c>
      <c r="BP214" s="266">
        <f>DATEDIF(AX214,BM214, "M")+1</f>
        <v>49</v>
      </c>
      <c r="BQ214" s="266" t="s">
        <v>3127</v>
      </c>
      <c r="BR214" s="96">
        <v>5</v>
      </c>
      <c r="BS214" s="96">
        <v>6</v>
      </c>
      <c r="BT214" s="96"/>
      <c r="BU214" s="96"/>
      <c r="BV214" s="96"/>
      <c r="BW214" s="96"/>
      <c r="BX214" s="96"/>
      <c r="BY214" s="96" t="s">
        <v>163</v>
      </c>
      <c r="BZ214" s="96"/>
      <c r="CA214" s="96"/>
      <c r="CB214" s="103"/>
      <c r="CC214" s="103"/>
      <c r="CD214" s="96"/>
      <c r="CE214" s="96"/>
      <c r="CF214" s="96"/>
      <c r="CG214" s="96"/>
      <c r="CH214" s="371">
        <v>2</v>
      </c>
      <c r="CI214" s="96"/>
      <c r="CJ214" s="96"/>
      <c r="CK214" s="96" t="s">
        <v>809</v>
      </c>
      <c r="CL214"/>
    </row>
    <row r="215" spans="1:90" s="53" customFormat="1" ht="24.95" hidden="1" customHeight="1">
      <c r="A215" s="96">
        <v>219</v>
      </c>
      <c r="B215" s="96" t="s">
        <v>3128</v>
      </c>
      <c r="C215" s="96" t="s">
        <v>3129</v>
      </c>
      <c r="D215" s="96" t="s">
        <v>3130</v>
      </c>
      <c r="E215" s="96" t="s">
        <v>3131</v>
      </c>
      <c r="F215" s="96" t="s">
        <v>24</v>
      </c>
      <c r="G215" s="96">
        <v>9</v>
      </c>
      <c r="H215" s="96" t="s">
        <v>52</v>
      </c>
      <c r="I215" s="96" t="s">
        <v>39</v>
      </c>
      <c r="J215" s="96" t="s">
        <v>3132</v>
      </c>
      <c r="K215" s="96" t="s">
        <v>3133</v>
      </c>
      <c r="L215" s="96" t="s">
        <v>46</v>
      </c>
      <c r="M215" s="96" t="s">
        <v>163</v>
      </c>
      <c r="N215" s="96"/>
      <c r="O215" s="96" t="s">
        <v>151</v>
      </c>
      <c r="P215" s="96" t="s">
        <v>151</v>
      </c>
      <c r="Q215" s="96"/>
      <c r="R215" s="96" t="s">
        <v>3134</v>
      </c>
      <c r="S215" s="96" t="s">
        <v>3135</v>
      </c>
      <c r="T215" s="196" t="s">
        <v>3136</v>
      </c>
      <c r="U215" s="97" t="s">
        <v>3137</v>
      </c>
      <c r="V215" s="97">
        <v>29084</v>
      </c>
      <c r="W215" s="105" t="s">
        <v>3138</v>
      </c>
      <c r="X215" s="105" t="s">
        <v>2363</v>
      </c>
      <c r="Y215" s="105" t="s">
        <v>157</v>
      </c>
      <c r="Z215" s="105"/>
      <c r="AA215" s="96">
        <v>16</v>
      </c>
      <c r="AB215" s="97">
        <v>43831</v>
      </c>
      <c r="AC215" s="282">
        <v>43525</v>
      </c>
      <c r="AD215" s="97"/>
      <c r="AE215" s="97" t="s">
        <v>3139</v>
      </c>
      <c r="AF215" s="97" t="s">
        <v>3140</v>
      </c>
      <c r="AG215" s="97" t="s">
        <v>3141</v>
      </c>
      <c r="AH215" s="96">
        <f t="shared" si="63"/>
        <v>3</v>
      </c>
      <c r="AI215" s="97" t="s">
        <v>162</v>
      </c>
      <c r="AJ215" s="97" t="s">
        <v>161</v>
      </c>
      <c r="AK215" s="97" t="s">
        <v>161</v>
      </c>
      <c r="AL215" s="97" t="s">
        <v>150</v>
      </c>
      <c r="AM215" s="97"/>
      <c r="AN215" s="97"/>
      <c r="AO215" s="97" t="s">
        <v>164</v>
      </c>
      <c r="AP215" s="97" t="s">
        <v>203</v>
      </c>
      <c r="AQ215" s="97" t="s">
        <v>203</v>
      </c>
      <c r="AR215" s="97"/>
      <c r="AS215" s="97"/>
      <c r="AT215" s="401" t="s">
        <v>204</v>
      </c>
      <c r="AU215" s="96" t="s">
        <v>3142</v>
      </c>
      <c r="AV215" s="97"/>
      <c r="AW215" s="99">
        <v>43528</v>
      </c>
      <c r="AX215" s="99">
        <v>43770</v>
      </c>
      <c r="AY215" s="99" t="s">
        <v>150</v>
      </c>
      <c r="AZ215" s="99">
        <v>44887</v>
      </c>
      <c r="BA215" s="99">
        <v>44887</v>
      </c>
      <c r="BB215" s="99"/>
      <c r="BC215" s="99"/>
      <c r="BD215" s="99"/>
      <c r="BE215" s="100" t="s">
        <v>3143</v>
      </c>
      <c r="BF215" s="99">
        <v>44470</v>
      </c>
      <c r="BG215" s="99" t="s">
        <v>150</v>
      </c>
      <c r="BH215" s="99">
        <v>44732</v>
      </c>
      <c r="BI215" s="99" t="s">
        <v>150</v>
      </c>
      <c r="BJ215" s="96"/>
      <c r="BK215" s="96"/>
      <c r="BL215" s="96"/>
      <c r="BM215" s="101"/>
      <c r="BN215" s="96" t="s">
        <v>17</v>
      </c>
      <c r="BO215" s="220"/>
      <c r="BP215" s="266"/>
      <c r="BQ215" s="96"/>
      <c r="BR215" s="96">
        <v>3</v>
      </c>
      <c r="BS215" s="96"/>
      <c r="BT215" s="96"/>
      <c r="BU215" s="96"/>
      <c r="BV215" s="96"/>
      <c r="BW215" s="96"/>
      <c r="BX215" s="96"/>
      <c r="BY215" s="96" t="s">
        <v>163</v>
      </c>
      <c r="BZ215" s="96"/>
      <c r="CA215" s="96"/>
      <c r="CB215" s="103"/>
      <c r="CC215" s="103"/>
      <c r="CD215" s="96"/>
      <c r="CE215" s="96"/>
      <c r="CF215" s="96"/>
      <c r="CG215" s="96"/>
      <c r="CH215" s="371">
        <v>3</v>
      </c>
      <c r="CI215" s="96"/>
      <c r="CJ215" s="96"/>
      <c r="CK215" s="96" t="s">
        <v>809</v>
      </c>
      <c r="CL215"/>
    </row>
    <row r="216" spans="1:90" s="53" customFormat="1" ht="24.95" hidden="1" customHeight="1">
      <c r="A216" s="96">
        <v>220</v>
      </c>
      <c r="B216" s="96" t="s">
        <v>3144</v>
      </c>
      <c r="C216" s="96" t="s">
        <v>3145</v>
      </c>
      <c r="D216" s="96" t="s">
        <v>3146</v>
      </c>
      <c r="E216" s="96" t="s">
        <v>3147</v>
      </c>
      <c r="F216" s="96" t="s">
        <v>25</v>
      </c>
      <c r="G216" s="96">
        <v>9</v>
      </c>
      <c r="H216" s="96" t="s">
        <v>54</v>
      </c>
      <c r="I216" s="96" t="s">
        <v>41</v>
      </c>
      <c r="J216" s="96" t="s">
        <v>3148</v>
      </c>
      <c r="K216" s="96" t="s">
        <v>3149</v>
      </c>
      <c r="L216" s="96" t="s">
        <v>41</v>
      </c>
      <c r="M216" s="96" t="s">
        <v>150</v>
      </c>
      <c r="N216" s="96" t="s">
        <v>3150</v>
      </c>
      <c r="O216" s="96" t="s">
        <v>151</v>
      </c>
      <c r="P216" s="96" t="s">
        <v>151</v>
      </c>
      <c r="Q216" s="96"/>
      <c r="R216" s="96" t="s">
        <v>3151</v>
      </c>
      <c r="S216" s="96" t="s">
        <v>3152</v>
      </c>
      <c r="T216" s="196" t="s">
        <v>3153</v>
      </c>
      <c r="U216" s="97" t="s">
        <v>2735</v>
      </c>
      <c r="V216" s="97">
        <v>27500</v>
      </c>
      <c r="W216" s="105"/>
      <c r="X216" s="105" t="s">
        <v>179</v>
      </c>
      <c r="Y216" s="105" t="s">
        <v>163</v>
      </c>
      <c r="Z216" s="105"/>
      <c r="AA216" s="96">
        <v>9</v>
      </c>
      <c r="AB216" s="97">
        <v>43396</v>
      </c>
      <c r="AC216" s="282">
        <v>43525</v>
      </c>
      <c r="AD216" s="97"/>
      <c r="AE216" s="97" t="s">
        <v>3154</v>
      </c>
      <c r="AF216" s="97" t="s">
        <v>3155</v>
      </c>
      <c r="AG216" s="97"/>
      <c r="AH216" s="96">
        <f t="shared" si="63"/>
        <v>2</v>
      </c>
      <c r="AI216" s="97" t="s">
        <v>161</v>
      </c>
      <c r="AJ216" s="97" t="s">
        <v>161</v>
      </c>
      <c r="AK216" s="97"/>
      <c r="AL216" s="97" t="s">
        <v>150</v>
      </c>
      <c r="AM216" s="97"/>
      <c r="AN216" s="97"/>
      <c r="AO216" s="97" t="s">
        <v>182</v>
      </c>
      <c r="AP216" s="97" t="s">
        <v>1249</v>
      </c>
      <c r="AQ216" s="97"/>
      <c r="AR216" s="97"/>
      <c r="AS216" s="97"/>
      <c r="AT216" s="401" t="s">
        <v>285</v>
      </c>
      <c r="AU216" s="96" t="s">
        <v>3156</v>
      </c>
      <c r="AV216" s="97"/>
      <c r="AW216" s="99">
        <v>43528</v>
      </c>
      <c r="AX216" s="99">
        <v>43770</v>
      </c>
      <c r="AY216" s="99" t="s">
        <v>150</v>
      </c>
      <c r="AZ216" s="99">
        <v>44404</v>
      </c>
      <c r="BA216" s="99">
        <v>44351</v>
      </c>
      <c r="BB216" s="99"/>
      <c r="BC216" s="99"/>
      <c r="BD216" s="99"/>
      <c r="BE216" s="100" t="s">
        <v>3157</v>
      </c>
      <c r="BF216" s="99">
        <v>44470</v>
      </c>
      <c r="BG216" s="99" t="s">
        <v>150</v>
      </c>
      <c r="BH216" s="99">
        <v>44732</v>
      </c>
      <c r="BI216" s="99" t="s">
        <v>150</v>
      </c>
      <c r="BJ216" s="96"/>
      <c r="BK216" s="98">
        <v>45272</v>
      </c>
      <c r="BL216" s="98">
        <v>45283</v>
      </c>
      <c r="BM216" s="101">
        <v>44938</v>
      </c>
      <c r="BN216" s="96" t="s">
        <v>16</v>
      </c>
      <c r="BO216" s="96">
        <f t="shared" si="68"/>
        <v>47</v>
      </c>
      <c r="BP216" s="266">
        <f t="shared" ref="BP216:BP217" si="69">DATEDIF(AX216,BM216, "M")+1</f>
        <v>39</v>
      </c>
      <c r="BQ216" s="266" t="s">
        <v>3158</v>
      </c>
      <c r="BR216" s="96">
        <v>7</v>
      </c>
      <c r="BS216" s="96">
        <v>4</v>
      </c>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hidden="1" customHeight="1">
      <c r="A217" s="96">
        <v>221</v>
      </c>
      <c r="B217" s="96" t="s">
        <v>3159</v>
      </c>
      <c r="C217" s="96" t="s">
        <v>3160</v>
      </c>
      <c r="D217" s="96" t="s">
        <v>619</v>
      </c>
      <c r="E217" s="96" t="s">
        <v>3161</v>
      </c>
      <c r="F217" s="96" t="s">
        <v>24</v>
      </c>
      <c r="G217" s="96">
        <v>9</v>
      </c>
      <c r="H217" s="96" t="s">
        <v>59</v>
      </c>
      <c r="I217" s="96" t="s">
        <v>42</v>
      </c>
      <c r="J217" s="96" t="s">
        <v>1112</v>
      </c>
      <c r="K217" s="96" t="s">
        <v>3162</v>
      </c>
      <c r="L217" s="96" t="s">
        <v>46</v>
      </c>
      <c r="M217" s="96" t="s">
        <v>163</v>
      </c>
      <c r="N217" s="96"/>
      <c r="O217" s="96" t="s">
        <v>151</v>
      </c>
      <c r="P217" s="96" t="s">
        <v>151</v>
      </c>
      <c r="Q217" s="96"/>
      <c r="R217" s="318" t="s">
        <v>3163</v>
      </c>
      <c r="S217" s="318" t="s">
        <v>3164</v>
      </c>
      <c r="T217" s="198" t="s">
        <v>3165</v>
      </c>
      <c r="U217" s="97" t="s">
        <v>3166</v>
      </c>
      <c r="V217" s="97">
        <v>30008</v>
      </c>
      <c r="W217" s="105" t="s">
        <v>3167</v>
      </c>
      <c r="X217" s="105" t="s">
        <v>2363</v>
      </c>
      <c r="Y217" s="105" t="s">
        <v>157</v>
      </c>
      <c r="Z217" s="105"/>
      <c r="AA217" s="96">
        <v>9</v>
      </c>
      <c r="AB217" s="97">
        <v>43861</v>
      </c>
      <c r="AC217" s="282">
        <v>43525</v>
      </c>
      <c r="AD217" s="97"/>
      <c r="AE217" s="97" t="s">
        <v>3168</v>
      </c>
      <c r="AF217" s="97" t="s">
        <v>3169</v>
      </c>
      <c r="AG217" s="97" t="s">
        <v>3170</v>
      </c>
      <c r="AH217" s="96">
        <f t="shared" si="63"/>
        <v>3</v>
      </c>
      <c r="AI217" s="97" t="s">
        <v>162</v>
      </c>
      <c r="AJ217" s="97" t="s">
        <v>162</v>
      </c>
      <c r="AK217" s="97" t="s">
        <v>161</v>
      </c>
      <c r="AL217" s="97" t="s">
        <v>150</v>
      </c>
      <c r="AM217" s="97" t="s">
        <v>163</v>
      </c>
      <c r="AN217" s="97" t="s">
        <v>163</v>
      </c>
      <c r="AO217" s="97" t="s">
        <v>182</v>
      </c>
      <c r="AP217" s="97" t="s">
        <v>593</v>
      </c>
      <c r="AQ217" s="97"/>
      <c r="AR217" s="97"/>
      <c r="AS217" s="97"/>
      <c r="AT217" s="401" t="s">
        <v>1250</v>
      </c>
      <c r="AU217" s="96" t="s">
        <v>3171</v>
      </c>
      <c r="AV217" s="97"/>
      <c r="AW217" s="99">
        <v>43528</v>
      </c>
      <c r="AX217" s="99">
        <v>43770</v>
      </c>
      <c r="AY217" s="99" t="s">
        <v>150</v>
      </c>
      <c r="AZ217" s="99">
        <v>44239</v>
      </c>
      <c r="BA217" s="99">
        <v>44375</v>
      </c>
      <c r="BB217" s="99"/>
      <c r="BC217" s="99"/>
      <c r="BD217" s="99"/>
      <c r="BE217" s="100" t="s">
        <v>3172</v>
      </c>
      <c r="BF217" s="99">
        <v>44470</v>
      </c>
      <c r="BG217" s="99" t="s">
        <v>150</v>
      </c>
      <c r="BH217" s="99">
        <v>44732</v>
      </c>
      <c r="BI217" s="99" t="s">
        <v>150</v>
      </c>
      <c r="BJ217" s="96"/>
      <c r="BK217" s="96"/>
      <c r="BL217" s="96"/>
      <c r="BM217" s="101">
        <v>45313</v>
      </c>
      <c r="BN217" s="96" t="s">
        <v>16</v>
      </c>
      <c r="BO217" s="96">
        <f t="shared" si="68"/>
        <v>59</v>
      </c>
      <c r="BP217" s="266">
        <f t="shared" si="69"/>
        <v>51</v>
      </c>
      <c r="BQ217" s="266" t="s">
        <v>3173</v>
      </c>
      <c r="BR217" s="96">
        <v>24</v>
      </c>
      <c r="BS217" s="96">
        <v>6</v>
      </c>
      <c r="BT217" s="96"/>
      <c r="BU217" s="96"/>
      <c r="BV217" s="96"/>
      <c r="BW217" s="96"/>
      <c r="BX217" s="96"/>
      <c r="BY217" s="96" t="s">
        <v>163</v>
      </c>
      <c r="BZ217" s="96"/>
      <c r="CA217" s="96"/>
      <c r="CB217" s="103"/>
      <c r="CC217" s="103"/>
      <c r="CD217" s="96"/>
      <c r="CE217" s="96"/>
      <c r="CF217" s="96"/>
      <c r="CG217" s="96"/>
      <c r="CH217" s="371">
        <v>1</v>
      </c>
      <c r="CI217" s="96"/>
      <c r="CJ217" s="96"/>
      <c r="CK217" s="96" t="s">
        <v>809</v>
      </c>
      <c r="CL217"/>
    </row>
    <row r="218" spans="1:90" s="53" customFormat="1" ht="24.95" hidden="1" customHeight="1">
      <c r="A218" s="96">
        <v>222</v>
      </c>
      <c r="B218" s="96" t="s">
        <v>3174</v>
      </c>
      <c r="C218" s="96" t="s">
        <v>3175</v>
      </c>
      <c r="D218" s="96"/>
      <c r="E218" s="96" t="s">
        <v>3176</v>
      </c>
      <c r="F218" s="96" t="s">
        <v>25</v>
      </c>
      <c r="G218" s="96">
        <v>9</v>
      </c>
      <c r="H218" s="96" t="s">
        <v>53</v>
      </c>
      <c r="I218" s="96" t="s">
        <v>47</v>
      </c>
      <c r="J218" s="96" t="s">
        <v>3177</v>
      </c>
      <c r="K218" s="96" t="s">
        <v>3178</v>
      </c>
      <c r="L218" s="96" t="s">
        <v>47</v>
      </c>
      <c r="M218" s="96" t="s">
        <v>150</v>
      </c>
      <c r="N218" s="96">
        <v>201980015427</v>
      </c>
      <c r="O218" s="96" t="s">
        <v>151</v>
      </c>
      <c r="P218" s="96" t="s">
        <v>151</v>
      </c>
      <c r="Q218" s="96"/>
      <c r="R218" s="96" t="s">
        <v>3179</v>
      </c>
      <c r="S218" s="96" t="s">
        <v>3180</v>
      </c>
      <c r="T218" s="196" t="s">
        <v>3181</v>
      </c>
      <c r="U218" s="97" t="s">
        <v>3182</v>
      </c>
      <c r="V218" s="97">
        <v>33421</v>
      </c>
      <c r="W218" s="105" t="s">
        <v>3183</v>
      </c>
      <c r="X218" s="105" t="s">
        <v>156</v>
      </c>
      <c r="Y218" s="105"/>
      <c r="Z218" s="105"/>
      <c r="AA218" s="96">
        <v>3</v>
      </c>
      <c r="AB218" s="97">
        <v>43815</v>
      </c>
      <c r="AC218" s="282">
        <v>43525</v>
      </c>
      <c r="AD218" s="97"/>
      <c r="AE218" s="97" t="s">
        <v>3184</v>
      </c>
      <c r="AF218" s="97" t="s">
        <v>3185</v>
      </c>
      <c r="AG218" s="97"/>
      <c r="AH218" s="96">
        <f t="shared" si="63"/>
        <v>2</v>
      </c>
      <c r="AI218" s="97" t="s">
        <v>161</v>
      </c>
      <c r="AJ218" s="97" t="s">
        <v>161</v>
      </c>
      <c r="AK218" s="97"/>
      <c r="AL218" s="97" t="s">
        <v>163</v>
      </c>
      <c r="AM218" s="97" t="s">
        <v>150</v>
      </c>
      <c r="AN218" s="97"/>
      <c r="AO218" s="97" t="s">
        <v>182</v>
      </c>
      <c r="AP218" s="97" t="s">
        <v>2186</v>
      </c>
      <c r="AQ218" s="97" t="s">
        <v>2186</v>
      </c>
      <c r="AR218" s="97"/>
      <c r="AS218" s="97"/>
      <c r="AT218" s="401" t="s">
        <v>298</v>
      </c>
      <c r="AU218" s="96" t="s">
        <v>3186</v>
      </c>
      <c r="AV218" s="97"/>
      <c r="AW218" s="99">
        <v>43528</v>
      </c>
      <c r="AX218" s="99">
        <v>43770</v>
      </c>
      <c r="AY218" s="99" t="s">
        <v>150</v>
      </c>
      <c r="AZ218" s="99">
        <v>43609</v>
      </c>
      <c r="BA218" s="99">
        <v>43653</v>
      </c>
      <c r="BB218" s="99"/>
      <c r="BC218" s="99"/>
      <c r="BD218" s="99"/>
      <c r="BE218" s="100" t="s">
        <v>3187</v>
      </c>
      <c r="BF218" s="99">
        <v>44470</v>
      </c>
      <c r="BG218" s="99" t="s">
        <v>150</v>
      </c>
      <c r="BH218" s="99">
        <v>44732</v>
      </c>
      <c r="BI218" s="99" t="s">
        <v>150</v>
      </c>
      <c r="BJ218" s="96"/>
      <c r="BK218" s="96"/>
      <c r="BL218" s="96"/>
      <c r="BM218" s="101"/>
      <c r="BN218" s="96" t="s">
        <v>17</v>
      </c>
      <c r="BO218" s="220"/>
      <c r="BP218" s="266"/>
      <c r="BQ218" s="96"/>
      <c r="BR218" s="96">
        <v>0</v>
      </c>
      <c r="BS218" s="96">
        <v>5</v>
      </c>
      <c r="BT218" s="96"/>
      <c r="BU218" s="96"/>
      <c r="BV218" s="96"/>
      <c r="BW218" s="96"/>
      <c r="BX218" s="96"/>
      <c r="BY218" s="96" t="s">
        <v>163</v>
      </c>
      <c r="BZ218" s="96"/>
      <c r="CA218" s="96"/>
      <c r="CB218" s="103">
        <v>45078</v>
      </c>
      <c r="CC218" s="103">
        <v>45443</v>
      </c>
      <c r="CD218" s="96">
        <v>12</v>
      </c>
      <c r="CE218" s="96"/>
      <c r="CF218" s="96"/>
      <c r="CG218" s="96"/>
      <c r="CH218" s="371">
        <v>0</v>
      </c>
      <c r="CI218" s="96"/>
      <c r="CJ218" s="96"/>
      <c r="CK218" s="96" t="s">
        <v>809</v>
      </c>
      <c r="CL218"/>
    </row>
    <row r="219" spans="1:90" ht="24.95" hidden="1" customHeight="1">
      <c r="A219" s="116">
        <v>67</v>
      </c>
      <c r="B219" s="116" t="s">
        <v>3188</v>
      </c>
      <c r="C219" s="116" t="s">
        <v>3189</v>
      </c>
      <c r="D219" s="116" t="s">
        <v>3190</v>
      </c>
      <c r="E219" s="116" t="s">
        <v>3191</v>
      </c>
      <c r="F219" s="116" t="s">
        <v>25</v>
      </c>
      <c r="G219" s="116">
        <v>3</v>
      </c>
      <c r="H219" s="116" t="s">
        <v>52</v>
      </c>
      <c r="I219" s="116" t="s">
        <v>39</v>
      </c>
      <c r="J219" s="116" t="s">
        <v>3192</v>
      </c>
      <c r="K219" s="116" t="s">
        <v>3193</v>
      </c>
      <c r="L219" s="116" t="s">
        <v>39</v>
      </c>
      <c r="M219" s="116" t="s">
        <v>150</v>
      </c>
      <c r="N219" s="116" t="s">
        <v>3194</v>
      </c>
      <c r="O219" s="225"/>
      <c r="P219" s="226" t="s">
        <v>151</v>
      </c>
      <c r="Q219" s="116"/>
      <c r="R219" s="116" t="s">
        <v>3195</v>
      </c>
      <c r="S219" s="116" t="s">
        <v>3196</v>
      </c>
      <c r="T219" s="342" t="s">
        <v>3197</v>
      </c>
      <c r="U219" s="117" t="s">
        <v>3198</v>
      </c>
      <c r="V219" s="117">
        <v>28857</v>
      </c>
      <c r="W219" s="121" t="s">
        <v>3199</v>
      </c>
      <c r="X219" s="121" t="s">
        <v>179</v>
      </c>
      <c r="Y219" s="121" t="s">
        <v>163</v>
      </c>
      <c r="Z219" s="121" t="s">
        <v>158</v>
      </c>
      <c r="AA219" s="116">
        <v>5</v>
      </c>
      <c r="AB219" s="117">
        <v>41153</v>
      </c>
      <c r="AC219" s="283">
        <v>41334</v>
      </c>
      <c r="AD219" s="117"/>
      <c r="AE219" s="21" t="s">
        <v>3200</v>
      </c>
      <c r="AF219" s="23" t="s">
        <v>3201</v>
      </c>
      <c r="AG219" s="116"/>
      <c r="AH219" s="116">
        <f>COUNTA(AE219:AG219)</f>
        <v>2</v>
      </c>
      <c r="AI219" s="20" t="s">
        <v>161</v>
      </c>
      <c r="AJ219" s="116" t="s">
        <v>202</v>
      </c>
      <c r="AK219" s="116"/>
      <c r="AL219" s="116">
        <v>2013</v>
      </c>
      <c r="AM219" s="116"/>
      <c r="AN219" s="116"/>
      <c r="AO219" s="116"/>
      <c r="AP219" s="116" t="s">
        <v>181</v>
      </c>
      <c r="AQ219" s="116"/>
      <c r="AR219" s="116"/>
      <c r="AS219" s="116"/>
      <c r="AT219" s="17" t="s">
        <v>204</v>
      </c>
      <c r="AU219" s="116" t="s">
        <v>3202</v>
      </c>
      <c r="AV219" s="117"/>
      <c r="AW219" s="118">
        <v>41334</v>
      </c>
      <c r="AX219" s="118">
        <v>41579</v>
      </c>
      <c r="AY219" s="118" t="s">
        <v>150</v>
      </c>
      <c r="AZ219" s="118"/>
      <c r="BA219" s="118"/>
      <c r="BB219" s="118"/>
      <c r="BC219" s="118"/>
      <c r="BD219" s="118"/>
      <c r="BE219" s="119"/>
      <c r="BF219" s="118">
        <v>42583</v>
      </c>
      <c r="BG219" s="118" t="s">
        <v>163</v>
      </c>
      <c r="BH219" s="118">
        <v>42793</v>
      </c>
      <c r="BI219" s="118" t="s">
        <v>163</v>
      </c>
      <c r="BJ219" s="117"/>
      <c r="BK219" s="117"/>
      <c r="BL219" s="117"/>
      <c r="BM219" s="120"/>
      <c r="BN219" s="125" t="s">
        <v>17</v>
      </c>
      <c r="BO219" s="224"/>
      <c r="BP219" s="116"/>
      <c r="BQ219" s="116"/>
      <c r="BR219" s="116">
        <v>0</v>
      </c>
      <c r="BS219" s="116">
        <v>0</v>
      </c>
      <c r="BT219" s="116">
        <v>0</v>
      </c>
      <c r="BU219" s="116">
        <v>0</v>
      </c>
      <c r="BV219" s="116">
        <v>0</v>
      </c>
      <c r="BW219" s="116">
        <v>0</v>
      </c>
      <c r="BX219" s="116">
        <v>0</v>
      </c>
      <c r="BY219" s="116" t="s">
        <v>3203</v>
      </c>
      <c r="BZ219" s="116">
        <v>0</v>
      </c>
      <c r="CA219" s="116"/>
      <c r="CB219" s="122"/>
      <c r="CC219" s="122"/>
      <c r="CD219" s="116"/>
      <c r="CE219" s="116" t="s">
        <v>163</v>
      </c>
      <c r="CF219" s="116"/>
      <c r="CG219" s="116"/>
      <c r="CH219" s="372" t="s">
        <v>168</v>
      </c>
      <c r="CI219" s="116" t="s">
        <v>168</v>
      </c>
      <c r="CJ219" s="116"/>
      <c r="CK219" s="116" t="s">
        <v>809</v>
      </c>
    </row>
    <row r="220" spans="1:90" s="53" customFormat="1" ht="24.95" hidden="1" customHeight="1">
      <c r="A220" s="96">
        <v>223</v>
      </c>
      <c r="B220" s="96" t="s">
        <v>3204</v>
      </c>
      <c r="C220" s="96" t="s">
        <v>3205</v>
      </c>
      <c r="D220" s="96"/>
      <c r="E220" s="96" t="s">
        <v>3206</v>
      </c>
      <c r="F220" s="96" t="s">
        <v>25</v>
      </c>
      <c r="G220" s="96">
        <v>9</v>
      </c>
      <c r="H220" s="96" t="s">
        <v>54</v>
      </c>
      <c r="I220" s="96" t="s">
        <v>33</v>
      </c>
      <c r="J220" s="96" t="s">
        <v>3207</v>
      </c>
      <c r="K220" s="96" t="s">
        <v>3208</v>
      </c>
      <c r="L220" s="96" t="s">
        <v>33</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1424</v>
      </c>
      <c r="AQ220" s="97" t="s">
        <v>1424</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hidden="1" customHeight="1">
      <c r="A221" s="96">
        <v>224</v>
      </c>
      <c r="B221" s="91" t="s">
        <v>3218</v>
      </c>
      <c r="C221" s="91" t="s">
        <v>3219</v>
      </c>
      <c r="D221" s="91" t="s">
        <v>3220</v>
      </c>
      <c r="E221" s="91" t="s">
        <v>3221</v>
      </c>
      <c r="F221" s="91" t="s">
        <v>25</v>
      </c>
      <c r="G221" s="91">
        <v>9</v>
      </c>
      <c r="H221" s="91" t="s">
        <v>60</v>
      </c>
      <c r="I221" s="91" t="s">
        <v>37</v>
      </c>
      <c r="J221" s="91" t="s">
        <v>1515</v>
      </c>
      <c r="K221" s="91" t="s">
        <v>2966</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2875</v>
      </c>
      <c r="AQ221" s="92" t="s">
        <v>2875</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hidden="1" customHeight="1">
      <c r="A222" s="202">
        <v>225</v>
      </c>
      <c r="B222" s="202" t="s">
        <v>3228</v>
      </c>
      <c r="C222" s="202" t="s">
        <v>3229</v>
      </c>
      <c r="D222" s="202"/>
      <c r="E222" s="202" t="s">
        <v>3230</v>
      </c>
      <c r="F222" s="202" t="s">
        <v>25</v>
      </c>
      <c r="G222" s="202">
        <v>10</v>
      </c>
      <c r="H222" s="202" t="s">
        <v>55</v>
      </c>
      <c r="I222" s="202" t="s">
        <v>45</v>
      </c>
      <c r="J222" s="202" t="s">
        <v>1405</v>
      </c>
      <c r="K222" s="202" t="s">
        <v>3231</v>
      </c>
      <c r="L222" s="202" t="s">
        <v>46</v>
      </c>
      <c r="M222" s="202" t="s">
        <v>163</v>
      </c>
      <c r="N222" s="202"/>
      <c r="O222" s="202" t="s">
        <v>151</v>
      </c>
      <c r="P222" s="202" t="s">
        <v>151</v>
      </c>
      <c r="Q222" s="202"/>
      <c r="R222" s="39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hidden="1" customHeight="1">
      <c r="A223" s="202">
        <v>226</v>
      </c>
      <c r="B223" s="202" t="s">
        <v>3241</v>
      </c>
      <c r="C223" s="202" t="s">
        <v>3242</v>
      </c>
      <c r="D223" s="202"/>
      <c r="E223" s="202" t="s">
        <v>3243</v>
      </c>
      <c r="F223" s="202" t="s">
        <v>25</v>
      </c>
      <c r="G223" s="202">
        <v>10</v>
      </c>
      <c r="H223" s="202" t="s">
        <v>55</v>
      </c>
      <c r="I223" s="202" t="s">
        <v>45</v>
      </c>
      <c r="J223" s="202" t="s">
        <v>602</v>
      </c>
      <c r="K223" s="202" t="s">
        <v>3244</v>
      </c>
      <c r="L223" s="202" t="s">
        <v>46</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hidden="1" customHeight="1">
      <c r="A224" s="202">
        <v>227</v>
      </c>
      <c r="B224" s="202" t="s">
        <v>3253</v>
      </c>
      <c r="C224" s="202" t="s">
        <v>3254</v>
      </c>
      <c r="D224" s="202" t="s">
        <v>3255</v>
      </c>
      <c r="E224" s="202" t="s">
        <v>3256</v>
      </c>
      <c r="F224" s="202" t="s">
        <v>25</v>
      </c>
      <c r="G224" s="202">
        <v>10</v>
      </c>
      <c r="H224" s="202" t="s">
        <v>59</v>
      </c>
      <c r="I224" s="202" t="s">
        <v>42</v>
      </c>
      <c r="J224" s="202" t="s">
        <v>2123</v>
      </c>
      <c r="K224" s="202" t="s">
        <v>3257</v>
      </c>
      <c r="L224" s="202" t="s">
        <v>46</v>
      </c>
      <c r="M224" s="202" t="s">
        <v>163</v>
      </c>
      <c r="N224" s="202"/>
      <c r="O224" s="202" t="s">
        <v>322</v>
      </c>
      <c r="P224" s="202" t="s">
        <v>322</v>
      </c>
      <c r="Q224" s="202"/>
      <c r="R224" s="392" t="s">
        <v>3258</v>
      </c>
      <c r="S224" s="392" t="s">
        <v>3259</v>
      </c>
      <c r="T224" s="354" t="s">
        <v>3260</v>
      </c>
      <c r="U224" s="203" t="s">
        <v>3261</v>
      </c>
      <c r="V224" s="203">
        <v>30155</v>
      </c>
      <c r="W224" s="269" t="s">
        <v>3262</v>
      </c>
      <c r="X224" s="269" t="s">
        <v>2872</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1250</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hidden="1" customHeight="1">
      <c r="A225" s="202">
        <v>228</v>
      </c>
      <c r="B225" s="202" t="s">
        <v>3266</v>
      </c>
      <c r="C225" s="202" t="s">
        <v>629</v>
      </c>
      <c r="D225" s="202" t="s">
        <v>3267</v>
      </c>
      <c r="E225" s="202" t="s">
        <v>3268</v>
      </c>
      <c r="F225" s="202" t="s">
        <v>25</v>
      </c>
      <c r="G225" s="202">
        <v>10</v>
      </c>
      <c r="H225" s="202" t="s">
        <v>54</v>
      </c>
      <c r="I225" s="202" t="s">
        <v>33</v>
      </c>
      <c r="J225" s="202" t="s">
        <v>3269</v>
      </c>
      <c r="K225" s="202" t="s">
        <v>3270</v>
      </c>
      <c r="L225" s="202" t="s">
        <v>33</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1424</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hidden="1" customHeight="1">
      <c r="A226" s="202">
        <v>229</v>
      </c>
      <c r="B226" s="202" t="s">
        <v>3278</v>
      </c>
      <c r="C226" s="202" t="s">
        <v>3279</v>
      </c>
      <c r="D226" s="202" t="s">
        <v>3280</v>
      </c>
      <c r="E226" s="202" t="s">
        <v>3281</v>
      </c>
      <c r="F226" s="202" t="s">
        <v>25</v>
      </c>
      <c r="G226" s="202">
        <v>10</v>
      </c>
      <c r="H226" s="202" t="s">
        <v>53</v>
      </c>
      <c r="I226" s="202" t="s">
        <v>47</v>
      </c>
      <c r="J226" s="202" t="s">
        <v>1405</v>
      </c>
      <c r="K226" s="202" t="s">
        <v>3282</v>
      </c>
      <c r="L226" s="202" t="s">
        <v>46</v>
      </c>
      <c r="M226" s="202" t="s">
        <v>163</v>
      </c>
      <c r="N226" s="202"/>
      <c r="O226" s="202" t="s">
        <v>151</v>
      </c>
      <c r="P226" s="202" t="s">
        <v>151</v>
      </c>
      <c r="Q226" s="202"/>
      <c r="R226" s="392" t="s">
        <v>3283</v>
      </c>
      <c r="S226" s="392" t="s">
        <v>3284</v>
      </c>
      <c r="T226" s="354" t="s">
        <v>3285</v>
      </c>
      <c r="U226" s="203" t="s">
        <v>3286</v>
      </c>
      <c r="V226" s="203">
        <v>29049</v>
      </c>
      <c r="W226" s="269" t="s">
        <v>3287</v>
      </c>
      <c r="X226" s="269" t="s">
        <v>2872</v>
      </c>
      <c r="Y226" s="269"/>
      <c r="Z226" s="269"/>
      <c r="AA226" s="202"/>
      <c r="AB226" s="203">
        <v>44398</v>
      </c>
      <c r="AC226" s="289">
        <v>43891</v>
      </c>
      <c r="AD226" s="203"/>
      <c r="AE226" s="203" t="s">
        <v>2929</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5"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hidden="1" customHeight="1">
      <c r="A227" s="202">
        <v>230</v>
      </c>
      <c r="B227" s="202" t="s">
        <v>3291</v>
      </c>
      <c r="C227" s="202" t="s">
        <v>3292</v>
      </c>
      <c r="D227" s="202" t="s">
        <v>3293</v>
      </c>
      <c r="E227" s="202" t="s">
        <v>3294</v>
      </c>
      <c r="F227" s="202" t="s">
        <v>25</v>
      </c>
      <c r="G227" s="202">
        <v>10</v>
      </c>
      <c r="H227" s="202" t="s">
        <v>52</v>
      </c>
      <c r="I227" s="202" t="s">
        <v>39</v>
      </c>
      <c r="J227" s="202" t="s">
        <v>3295</v>
      </c>
      <c r="K227" s="202" t="s">
        <v>3296</v>
      </c>
      <c r="L227" s="202" t="s">
        <v>46</v>
      </c>
      <c r="M227" s="202" t="s">
        <v>163</v>
      </c>
      <c r="N227" s="202"/>
      <c r="O227" s="202" t="s">
        <v>1287</v>
      </c>
      <c r="P227" s="202" t="s">
        <v>1287</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hidden="1" customHeight="1">
      <c r="A228" s="202">
        <v>231</v>
      </c>
      <c r="B228" s="202" t="s">
        <v>3308</v>
      </c>
      <c r="C228" s="202" t="s">
        <v>3309</v>
      </c>
      <c r="D228" s="202" t="s">
        <v>3310</v>
      </c>
      <c r="E228" s="202" t="s">
        <v>3311</v>
      </c>
      <c r="F228" s="202" t="s">
        <v>25</v>
      </c>
      <c r="G228" s="202">
        <v>10</v>
      </c>
      <c r="H228" s="202" t="s">
        <v>54</v>
      </c>
      <c r="I228" s="202" t="s">
        <v>33</v>
      </c>
      <c r="J228" s="202" t="s">
        <v>3312</v>
      </c>
      <c r="K228" s="202" t="s">
        <v>1728</v>
      </c>
      <c r="L228" s="202" t="s">
        <v>33</v>
      </c>
      <c r="M228" s="202" t="s">
        <v>163</v>
      </c>
      <c r="N228" s="202"/>
      <c r="O228" s="202" t="s">
        <v>151</v>
      </c>
      <c r="P228" s="202" t="s">
        <v>151</v>
      </c>
      <c r="Q228" s="202" t="s">
        <v>151</v>
      </c>
      <c r="R228" s="392" t="s">
        <v>3313</v>
      </c>
      <c r="S228" s="392" t="s">
        <v>3314</v>
      </c>
      <c r="T228" s="354" t="s">
        <v>3315</v>
      </c>
      <c r="U228" s="203" t="s">
        <v>3316</v>
      </c>
      <c r="V228" s="203">
        <v>29362</v>
      </c>
      <c r="W228" s="269" t="s">
        <v>3317</v>
      </c>
      <c r="X228" s="269" t="s">
        <v>2482</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1424</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hidden="1" customHeight="1">
      <c r="A229" s="202">
        <v>232</v>
      </c>
      <c r="B229" s="91" t="s">
        <v>3324</v>
      </c>
      <c r="C229" s="91" t="s">
        <v>3325</v>
      </c>
      <c r="D229" s="91" t="s">
        <v>3326</v>
      </c>
      <c r="E229" s="91" t="s">
        <v>3327</v>
      </c>
      <c r="F229" s="91" t="s">
        <v>24</v>
      </c>
      <c r="G229" s="91">
        <v>10</v>
      </c>
      <c r="H229" s="91" t="s">
        <v>52</v>
      </c>
      <c r="I229" s="91" t="s">
        <v>44</v>
      </c>
      <c r="J229" s="91" t="s">
        <v>3328</v>
      </c>
      <c r="K229" s="91" t="s">
        <v>2274</v>
      </c>
      <c r="L229" s="91" t="s">
        <v>44</v>
      </c>
      <c r="M229" s="91" t="s">
        <v>150</v>
      </c>
      <c r="N229" s="91"/>
      <c r="O229" s="91" t="s">
        <v>322</v>
      </c>
      <c r="P229" s="91" t="s">
        <v>322</v>
      </c>
      <c r="Q229" s="91"/>
      <c r="R229" s="91" t="s">
        <v>3329</v>
      </c>
      <c r="S229" s="91" t="s">
        <v>3330</v>
      </c>
      <c r="T229" s="341" t="s">
        <v>3331</v>
      </c>
      <c r="U229" s="92" t="s">
        <v>3332</v>
      </c>
      <c r="V229" s="92">
        <v>30207</v>
      </c>
      <c r="W229" s="164" t="s">
        <v>3333</v>
      </c>
      <c r="X229" s="164" t="s">
        <v>2363</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hidden="1" customHeight="1">
      <c r="A230" s="202">
        <v>233</v>
      </c>
      <c r="B230" s="202" t="s">
        <v>3336</v>
      </c>
      <c r="C230" s="202" t="s">
        <v>3337</v>
      </c>
      <c r="D230" s="202" t="s">
        <v>3338</v>
      </c>
      <c r="E230" s="202" t="s">
        <v>3339</v>
      </c>
      <c r="F230" s="202" t="s">
        <v>25</v>
      </c>
      <c r="G230" s="202">
        <v>10</v>
      </c>
      <c r="H230" s="202" t="s">
        <v>54</v>
      </c>
      <c r="I230" s="202" t="s">
        <v>41</v>
      </c>
      <c r="J230" s="202" t="s">
        <v>2785</v>
      </c>
      <c r="K230" s="202" t="s">
        <v>3340</v>
      </c>
      <c r="L230" s="202" t="s">
        <v>46</v>
      </c>
      <c r="M230" s="202" t="s">
        <v>163</v>
      </c>
      <c r="N230" s="202"/>
      <c r="O230" s="202" t="s">
        <v>151</v>
      </c>
      <c r="P230" s="202" t="s">
        <v>151</v>
      </c>
      <c r="Q230" s="202"/>
      <c r="R230" s="392" t="s">
        <v>3341</v>
      </c>
      <c r="S230" s="392" t="s">
        <v>3342</v>
      </c>
      <c r="T230" s="354" t="s">
        <v>3343</v>
      </c>
      <c r="U230" s="203" t="s">
        <v>789</v>
      </c>
      <c r="V230" s="203">
        <v>29652</v>
      </c>
      <c r="W230" s="269" t="s">
        <v>3344</v>
      </c>
      <c r="X230" s="269" t="s">
        <v>2363</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1424</v>
      </c>
      <c r="AQ230" s="203" t="s">
        <v>1106</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hidden="1" customHeight="1">
      <c r="A231" s="202">
        <v>234</v>
      </c>
      <c r="B231" s="202" t="s">
        <v>3350</v>
      </c>
      <c r="C231" s="202" t="s">
        <v>3351</v>
      </c>
      <c r="D231" s="202"/>
      <c r="E231" s="202" t="s">
        <v>3352</v>
      </c>
      <c r="F231" s="202" t="s">
        <v>24</v>
      </c>
      <c r="G231" s="202">
        <v>10</v>
      </c>
      <c r="H231" s="202" t="s">
        <v>60</v>
      </c>
      <c r="I231" s="202" t="s">
        <v>37</v>
      </c>
      <c r="J231" s="202" t="s">
        <v>602</v>
      </c>
      <c r="K231" s="202" t="s">
        <v>2966</v>
      </c>
      <c r="L231" s="202" t="s">
        <v>37</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1819</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hidden="1" customHeight="1">
      <c r="A232" s="202">
        <v>235</v>
      </c>
      <c r="B232" s="202" t="s">
        <v>3362</v>
      </c>
      <c r="C232" s="202" t="s">
        <v>3363</v>
      </c>
      <c r="D232" s="202" t="s">
        <v>3364</v>
      </c>
      <c r="E232" s="202" t="s">
        <v>3365</v>
      </c>
      <c r="F232" s="202" t="s">
        <v>25</v>
      </c>
      <c r="G232" s="202">
        <v>10</v>
      </c>
      <c r="H232" s="202" t="s">
        <v>54</v>
      </c>
      <c r="I232" s="202" t="s">
        <v>41</v>
      </c>
      <c r="J232" s="202" t="s">
        <v>3366</v>
      </c>
      <c r="K232" s="202" t="s">
        <v>3367</v>
      </c>
      <c r="L232" s="202" t="s">
        <v>33</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hidden="1" customHeight="1">
      <c r="A233" s="202">
        <v>236</v>
      </c>
      <c r="B233" s="202" t="s">
        <v>3377</v>
      </c>
      <c r="C233" s="202" t="s">
        <v>3378</v>
      </c>
      <c r="D233" s="202"/>
      <c r="E233" s="202" t="s">
        <v>3379</v>
      </c>
      <c r="F233" s="202" t="s">
        <v>24</v>
      </c>
      <c r="G233" s="202">
        <v>10</v>
      </c>
      <c r="H233" s="202" t="s">
        <v>60</v>
      </c>
      <c r="I233" s="202" t="s">
        <v>37</v>
      </c>
      <c r="J233" s="202" t="s">
        <v>2676</v>
      </c>
      <c r="K233" s="202" t="s">
        <v>3380</v>
      </c>
      <c r="L233" s="202" t="s">
        <v>37</v>
      </c>
      <c r="M233" s="202" t="s">
        <v>150</v>
      </c>
      <c r="N233" s="202"/>
      <c r="O233" s="202" t="s">
        <v>151</v>
      </c>
      <c r="P233" s="202" t="s">
        <v>151</v>
      </c>
      <c r="Q233" s="202"/>
      <c r="R233" s="392" t="s">
        <v>3381</v>
      </c>
      <c r="S233" s="392" t="s">
        <v>3382</v>
      </c>
      <c r="T233" s="354" t="s">
        <v>3383</v>
      </c>
      <c r="U233" s="203" t="s">
        <v>3384</v>
      </c>
      <c r="V233" s="203">
        <v>34002</v>
      </c>
      <c r="W233" s="269" t="s">
        <v>3385</v>
      </c>
      <c r="X233" s="269" t="s">
        <v>2482</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1819</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hidden="1" customHeight="1">
      <c r="A234" s="202">
        <v>237</v>
      </c>
      <c r="B234" s="202" t="s">
        <v>3391</v>
      </c>
      <c r="C234" s="202" t="s">
        <v>3392</v>
      </c>
      <c r="D234" s="202"/>
      <c r="E234" s="202" t="s">
        <v>3393</v>
      </c>
      <c r="F234" s="202" t="s">
        <v>25</v>
      </c>
      <c r="G234" s="202">
        <v>10</v>
      </c>
      <c r="H234" s="202" t="s">
        <v>61</v>
      </c>
      <c r="I234" s="202" t="s">
        <v>46</v>
      </c>
      <c r="J234" s="304" t="s">
        <v>602</v>
      </c>
      <c r="K234" s="202" t="s">
        <v>3394</v>
      </c>
      <c r="L234" s="202" t="s">
        <v>46</v>
      </c>
      <c r="M234" s="202" t="s">
        <v>150</v>
      </c>
      <c r="N234" s="202"/>
      <c r="O234" s="202" t="s">
        <v>151</v>
      </c>
      <c r="P234" s="202" t="s">
        <v>151</v>
      </c>
      <c r="Q234" s="202"/>
      <c r="R234" s="202" t="s">
        <v>3395</v>
      </c>
      <c r="S234" s="39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2084</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hidden="1" customHeight="1">
      <c r="A235" s="202">
        <v>238</v>
      </c>
      <c r="B235" s="202" t="s">
        <v>3404</v>
      </c>
      <c r="C235" s="202" t="s">
        <v>3405</v>
      </c>
      <c r="D235" s="202"/>
      <c r="E235" s="202" t="s">
        <v>3406</v>
      </c>
      <c r="F235" s="202" t="s">
        <v>25</v>
      </c>
      <c r="G235" s="202">
        <v>10</v>
      </c>
      <c r="H235" s="202" t="s">
        <v>61</v>
      </c>
      <c r="I235" s="202" t="s">
        <v>46</v>
      </c>
      <c r="J235" s="202" t="s">
        <v>362</v>
      </c>
      <c r="K235" s="202" t="s">
        <v>3407</v>
      </c>
      <c r="L235" s="202" t="s">
        <v>46</v>
      </c>
      <c r="M235" s="202" t="s">
        <v>150</v>
      </c>
      <c r="N235" s="202"/>
      <c r="O235" s="202" t="s">
        <v>151</v>
      </c>
      <c r="P235" s="202" t="s">
        <v>151</v>
      </c>
      <c r="Q235" s="202"/>
      <c r="R235" s="202" t="s">
        <v>3408</v>
      </c>
      <c r="S235" s="39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hidden="1" customHeight="1">
      <c r="A236" s="202">
        <v>239</v>
      </c>
      <c r="B236" s="202" t="s">
        <v>3419</v>
      </c>
      <c r="C236" s="202" t="s">
        <v>3420</v>
      </c>
      <c r="D236" s="202" t="s">
        <v>3421</v>
      </c>
      <c r="E236" s="202" t="s">
        <v>3422</v>
      </c>
      <c r="F236" s="202" t="s">
        <v>25</v>
      </c>
      <c r="G236" s="202">
        <v>10</v>
      </c>
      <c r="H236" s="202" t="s">
        <v>54</v>
      </c>
      <c r="I236" s="202" t="s">
        <v>33</v>
      </c>
      <c r="J236" s="202" t="s">
        <v>2303</v>
      </c>
      <c r="K236" s="202" t="s">
        <v>3423</v>
      </c>
      <c r="L236" s="202" t="s">
        <v>33</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hidden="1" customHeight="1">
      <c r="A237" s="202">
        <v>240</v>
      </c>
      <c r="B237" s="202" t="s">
        <v>3435</v>
      </c>
      <c r="C237" s="202" t="s">
        <v>3436</v>
      </c>
      <c r="D237" s="202"/>
      <c r="E237" s="202" t="s">
        <v>3437</v>
      </c>
      <c r="F237" s="202" t="s">
        <v>25</v>
      </c>
      <c r="G237" s="202">
        <v>10</v>
      </c>
      <c r="H237" s="202" t="s">
        <v>58</v>
      </c>
      <c r="I237" s="202" t="s">
        <v>46</v>
      </c>
      <c r="J237" s="202" t="s">
        <v>3438</v>
      </c>
      <c r="K237" s="202" t="s">
        <v>3439</v>
      </c>
      <c r="L237" s="202" t="s">
        <v>46</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hidden="1" customHeight="1">
      <c r="A238" s="202">
        <v>241</v>
      </c>
      <c r="B238" s="202" t="s">
        <v>3449</v>
      </c>
      <c r="C238" s="202" t="s">
        <v>3450</v>
      </c>
      <c r="D238" s="202" t="s">
        <v>3451</v>
      </c>
      <c r="E238" s="202" t="s">
        <v>3452</v>
      </c>
      <c r="F238" s="202" t="s">
        <v>25</v>
      </c>
      <c r="G238" s="202">
        <v>10</v>
      </c>
      <c r="H238" s="202" t="s">
        <v>53</v>
      </c>
      <c r="I238" s="202" t="s">
        <v>47</v>
      </c>
      <c r="J238" s="202" t="s">
        <v>3453</v>
      </c>
      <c r="K238" s="202" t="s">
        <v>2256</v>
      </c>
      <c r="L238" s="202" t="s">
        <v>46</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hidden="1" customHeight="1">
      <c r="A239" s="202">
        <v>242</v>
      </c>
      <c r="B239" s="202" t="s">
        <v>3462</v>
      </c>
      <c r="C239" s="202" t="s">
        <v>3463</v>
      </c>
      <c r="D239" s="202" t="s">
        <v>3464</v>
      </c>
      <c r="E239" s="202" t="s">
        <v>3465</v>
      </c>
      <c r="F239" s="202" t="s">
        <v>25</v>
      </c>
      <c r="G239" s="202">
        <v>10</v>
      </c>
      <c r="H239" s="202" t="s">
        <v>54</v>
      </c>
      <c r="I239" s="202" t="s">
        <v>33</v>
      </c>
      <c r="J239" s="202" t="s">
        <v>3466</v>
      </c>
      <c r="K239" s="202" t="s">
        <v>3467</v>
      </c>
      <c r="L239" s="202" t="s">
        <v>44</v>
      </c>
      <c r="M239" s="202" t="s">
        <v>163</v>
      </c>
      <c r="N239" s="202"/>
      <c r="O239" s="202" t="s">
        <v>322</v>
      </c>
      <c r="P239" s="202" t="s">
        <v>3468</v>
      </c>
      <c r="Q239" s="202"/>
      <c r="R239" s="392" t="s">
        <v>3469</v>
      </c>
      <c r="S239" s="392" t="s">
        <v>3470</v>
      </c>
      <c r="T239" s="354" t="s">
        <v>3471</v>
      </c>
      <c r="U239" s="203" t="s">
        <v>3472</v>
      </c>
      <c r="V239" s="203">
        <v>28305</v>
      </c>
      <c r="W239" s="269" t="s">
        <v>3473</v>
      </c>
      <c r="X239" s="269" t="s">
        <v>2482</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1424</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hidden="1" customHeight="1">
      <c r="A240" s="202">
        <v>243</v>
      </c>
      <c r="B240" s="202" t="s">
        <v>3477</v>
      </c>
      <c r="C240" s="202" t="s">
        <v>3478</v>
      </c>
      <c r="D240" s="202" t="s">
        <v>3479</v>
      </c>
      <c r="E240" s="202" t="s">
        <v>3480</v>
      </c>
      <c r="F240" s="202" t="s">
        <v>24</v>
      </c>
      <c r="G240" s="202">
        <v>10</v>
      </c>
      <c r="H240" s="202" t="s">
        <v>55</v>
      </c>
      <c r="I240" s="202" t="s">
        <v>45</v>
      </c>
      <c r="J240" s="202" t="s">
        <v>3481</v>
      </c>
      <c r="K240" s="202" t="s">
        <v>2772</v>
      </c>
      <c r="L240" s="202" t="s">
        <v>45</v>
      </c>
      <c r="M240" s="202" t="s">
        <v>150</v>
      </c>
      <c r="N240" s="202"/>
      <c r="O240" s="202" t="s">
        <v>151</v>
      </c>
      <c r="P240" s="202" t="s">
        <v>151</v>
      </c>
      <c r="Q240" s="202"/>
      <c r="R240" s="392" t="s">
        <v>3482</v>
      </c>
      <c r="S240" s="392" t="s">
        <v>3483</v>
      </c>
      <c r="T240" s="354" t="s">
        <v>3484</v>
      </c>
      <c r="U240" s="203" t="s">
        <v>3485</v>
      </c>
      <c r="V240" s="203">
        <v>29588</v>
      </c>
      <c r="W240" s="269" t="s">
        <v>3486</v>
      </c>
      <c r="X240" s="269" t="s">
        <v>2872</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hidden="1" customHeight="1">
      <c r="A241" s="202">
        <v>244</v>
      </c>
      <c r="B241" s="202" t="s">
        <v>3492</v>
      </c>
      <c r="C241" s="202" t="s">
        <v>3493</v>
      </c>
      <c r="D241" s="202"/>
      <c r="E241" s="202" t="s">
        <v>3494</v>
      </c>
      <c r="F241" s="202" t="s">
        <v>24</v>
      </c>
      <c r="G241" s="202">
        <v>10</v>
      </c>
      <c r="H241" s="202" t="s">
        <v>53</v>
      </c>
      <c r="I241" s="202" t="s">
        <v>47</v>
      </c>
      <c r="J241" s="202" t="s">
        <v>3495</v>
      </c>
      <c r="K241" s="202" t="s">
        <v>517</v>
      </c>
      <c r="L241" s="202" t="s">
        <v>46</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hidden="1" customHeight="1">
      <c r="A242" s="202">
        <v>245</v>
      </c>
      <c r="B242" s="202" t="s">
        <v>3505</v>
      </c>
      <c r="C242" s="202" t="s">
        <v>825</v>
      </c>
      <c r="D242" s="202"/>
      <c r="E242" s="202" t="s">
        <v>3506</v>
      </c>
      <c r="F242" s="202" t="s">
        <v>24</v>
      </c>
      <c r="G242" s="202">
        <v>10</v>
      </c>
      <c r="H242" s="202" t="s">
        <v>55</v>
      </c>
      <c r="I242" s="202" t="s">
        <v>45</v>
      </c>
      <c r="J242" s="202" t="s">
        <v>2303</v>
      </c>
      <c r="K242" s="202" t="s">
        <v>3507</v>
      </c>
      <c r="L242" s="202" t="s">
        <v>46</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hidden="1" customHeight="1">
      <c r="A243" s="202">
        <v>246</v>
      </c>
      <c r="B243" s="202" t="s">
        <v>3518</v>
      </c>
      <c r="C243" s="202" t="s">
        <v>3378</v>
      </c>
      <c r="D243" s="202" t="s">
        <v>3519</v>
      </c>
      <c r="E243" s="202" t="s">
        <v>3520</v>
      </c>
      <c r="F243" s="202" t="s">
        <v>24</v>
      </c>
      <c r="G243" s="202">
        <v>10</v>
      </c>
      <c r="H243" s="202" t="s">
        <v>52</v>
      </c>
      <c r="I243" s="202" t="s">
        <v>44</v>
      </c>
      <c r="J243" s="202" t="s">
        <v>2937</v>
      </c>
      <c r="K243" s="202" t="s">
        <v>3521</v>
      </c>
      <c r="L243" s="202" t="s">
        <v>44</v>
      </c>
      <c r="M243" s="202" t="s">
        <v>150</v>
      </c>
      <c r="N243" s="202"/>
      <c r="O243" s="202" t="s">
        <v>151</v>
      </c>
      <c r="P243" s="202" t="s">
        <v>151</v>
      </c>
      <c r="Q243" s="202"/>
      <c r="R243" s="392" t="s">
        <v>3522</v>
      </c>
      <c r="S243" s="392" t="s">
        <v>3523</v>
      </c>
      <c r="T243" s="354" t="s">
        <v>3524</v>
      </c>
      <c r="U243" s="203" t="s">
        <v>3525</v>
      </c>
      <c r="V243" s="203">
        <v>31757</v>
      </c>
      <c r="W243" s="269" t="s">
        <v>3526</v>
      </c>
      <c r="X243" s="269" t="s">
        <v>2363</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hidden="1" customHeight="1">
      <c r="A244" s="202">
        <v>247</v>
      </c>
      <c r="B244" s="202" t="s">
        <v>3532</v>
      </c>
      <c r="C244" s="202" t="s">
        <v>3533</v>
      </c>
      <c r="D244" s="202" t="s">
        <v>20</v>
      </c>
      <c r="E244" s="202" t="s">
        <v>3534</v>
      </c>
      <c r="F244" s="202" t="s">
        <v>24</v>
      </c>
      <c r="G244" s="202">
        <v>10</v>
      </c>
      <c r="H244" s="202" t="s">
        <v>58</v>
      </c>
      <c r="I244" s="202" t="s">
        <v>46</v>
      </c>
      <c r="J244" s="202" t="s">
        <v>3453</v>
      </c>
      <c r="K244" s="202" t="s">
        <v>3535</v>
      </c>
      <c r="L244" s="202" t="s">
        <v>46</v>
      </c>
      <c r="M244" s="202" t="s">
        <v>150</v>
      </c>
      <c r="N244" s="202">
        <v>1897532</v>
      </c>
      <c r="O244" s="202" t="s">
        <v>322</v>
      </c>
      <c r="P244" s="202" t="s">
        <v>322</v>
      </c>
      <c r="Q244" s="202"/>
      <c r="R244" s="202" t="s">
        <v>3536</v>
      </c>
      <c r="S244" s="39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hidden="1" customHeight="1">
      <c r="A245" s="202">
        <v>248</v>
      </c>
      <c r="B245" s="202" t="s">
        <v>3545</v>
      </c>
      <c r="C245" s="202" t="s">
        <v>3546</v>
      </c>
      <c r="D245" s="202" t="s">
        <v>3547</v>
      </c>
      <c r="E245" s="202" t="s">
        <v>3548</v>
      </c>
      <c r="F245" s="202" t="s">
        <v>24</v>
      </c>
      <c r="G245" s="202">
        <v>10</v>
      </c>
      <c r="H245" s="202" t="s">
        <v>54</v>
      </c>
      <c r="I245" s="202" t="s">
        <v>41</v>
      </c>
      <c r="J245" s="202" t="s">
        <v>406</v>
      </c>
      <c r="K245" s="202" t="s">
        <v>290</v>
      </c>
      <c r="L245" s="202" t="s">
        <v>33</v>
      </c>
      <c r="M245" s="202" t="s">
        <v>163</v>
      </c>
      <c r="N245" s="202"/>
      <c r="O245" s="202" t="s">
        <v>151</v>
      </c>
      <c r="P245" s="202" t="s">
        <v>151</v>
      </c>
      <c r="Q245" s="202"/>
      <c r="R245" s="392" t="s">
        <v>3549</v>
      </c>
      <c r="S245" s="392" t="s">
        <v>3550</v>
      </c>
      <c r="T245" s="354" t="s">
        <v>3551</v>
      </c>
      <c r="U245" s="203" t="s">
        <v>3552</v>
      </c>
      <c r="V245" s="203">
        <v>31740</v>
      </c>
      <c r="W245" s="269" t="s">
        <v>3553</v>
      </c>
      <c r="X245" s="269" t="s">
        <v>2482</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hidden="1" customHeight="1">
      <c r="A246" s="202">
        <v>249</v>
      </c>
      <c r="B246" s="208" t="s">
        <v>3556</v>
      </c>
      <c r="C246" s="208" t="s">
        <v>3557</v>
      </c>
      <c r="D246" s="208" t="s">
        <v>3558</v>
      </c>
      <c r="E246" s="208" t="s">
        <v>933</v>
      </c>
      <c r="F246" s="208" t="s">
        <v>24</v>
      </c>
      <c r="G246" s="208">
        <v>10</v>
      </c>
      <c r="H246" s="208" t="s">
        <v>54</v>
      </c>
      <c r="I246" s="208" t="s">
        <v>41</v>
      </c>
      <c r="J246" s="208" t="s">
        <v>3559</v>
      </c>
      <c r="K246" s="208" t="s">
        <v>290</v>
      </c>
      <c r="L246" s="202" t="s">
        <v>46</v>
      </c>
      <c r="M246" s="208" t="s">
        <v>163</v>
      </c>
      <c r="N246" s="208"/>
      <c r="O246" s="208" t="s">
        <v>151</v>
      </c>
      <c r="P246" s="208" t="s">
        <v>151</v>
      </c>
      <c r="Q246" s="208"/>
      <c r="R246" s="484" t="s">
        <v>3560</v>
      </c>
      <c r="S246" s="484"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1424</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hidden="1" customHeight="1">
      <c r="A247" s="330">
        <v>250</v>
      </c>
      <c r="B247" s="330" t="s">
        <v>3567</v>
      </c>
      <c r="C247" s="330" t="s">
        <v>3568</v>
      </c>
      <c r="D247" s="330" t="s">
        <v>3557</v>
      </c>
      <c r="E247" s="330" t="s">
        <v>3569</v>
      </c>
      <c r="F247" s="330" t="s">
        <v>25</v>
      </c>
      <c r="G247" s="329">
        <v>11</v>
      </c>
      <c r="H247" s="329" t="s">
        <v>54</v>
      </c>
      <c r="I247" s="329" t="s">
        <v>33</v>
      </c>
      <c r="J247" s="329" t="s">
        <v>3570</v>
      </c>
      <c r="K247" s="329" t="s">
        <v>3571</v>
      </c>
      <c r="L247" s="329" t="s">
        <v>33</v>
      </c>
      <c r="M247" s="329" t="s">
        <v>150</v>
      </c>
      <c r="N247" s="331"/>
      <c r="O247" s="331" t="s">
        <v>151</v>
      </c>
      <c r="P247" s="331" t="s">
        <v>151</v>
      </c>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3583</v>
      </c>
      <c r="C248" s="330" t="s">
        <v>3584</v>
      </c>
      <c r="D248" s="330" t="s">
        <v>3585</v>
      </c>
      <c r="E248" s="330" t="s">
        <v>1755</v>
      </c>
      <c r="F248" s="330" t="s">
        <v>25</v>
      </c>
      <c r="G248" s="329">
        <v>11</v>
      </c>
      <c r="H248" s="329" t="s">
        <v>57</v>
      </c>
      <c r="I248" s="329" t="s">
        <v>48</v>
      </c>
      <c r="J248" s="329" t="s">
        <v>3586</v>
      </c>
      <c r="K248" s="329" t="s">
        <v>3587</v>
      </c>
      <c r="L248" s="329" t="s">
        <v>37</v>
      </c>
      <c r="M248" s="329" t="s">
        <v>150</v>
      </c>
      <c r="N248" s="331"/>
      <c r="O248" s="331" t="s">
        <v>151</v>
      </c>
      <c r="P248" s="331" t="s">
        <v>151</v>
      </c>
      <c r="Q248" s="329"/>
      <c r="R248" s="490" t="s">
        <v>3588</v>
      </c>
      <c r="S248" s="490"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hidden="1" customHeight="1">
      <c r="A249" s="330">
        <v>252</v>
      </c>
      <c r="B249" s="330" t="s">
        <v>3597</v>
      </c>
      <c r="C249" s="330" t="s">
        <v>3598</v>
      </c>
      <c r="D249" s="330"/>
      <c r="E249" s="330" t="s">
        <v>3599</v>
      </c>
      <c r="F249" s="330" t="s">
        <v>25</v>
      </c>
      <c r="G249" s="329">
        <v>11</v>
      </c>
      <c r="H249" s="329" t="s">
        <v>60</v>
      </c>
      <c r="I249" s="329" t="s">
        <v>37</v>
      </c>
      <c r="J249" s="329" t="s">
        <v>602</v>
      </c>
      <c r="K249" s="329" t="s">
        <v>3600</v>
      </c>
      <c r="L249" s="329" t="s">
        <v>37</v>
      </c>
      <c r="M249" s="329" t="s">
        <v>150</v>
      </c>
      <c r="N249" s="331"/>
      <c r="O249" s="331" t="s">
        <v>151</v>
      </c>
      <c r="P249" s="331" t="s">
        <v>151</v>
      </c>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hidden="1" customHeight="1">
      <c r="A250" s="330">
        <v>253</v>
      </c>
      <c r="B250" s="330" t="s">
        <v>3611</v>
      </c>
      <c r="C250" s="330" t="s">
        <v>2980</v>
      </c>
      <c r="D250" s="330" t="s">
        <v>3612</v>
      </c>
      <c r="E250" s="330" t="s">
        <v>3613</v>
      </c>
      <c r="F250" s="330" t="s">
        <v>24</v>
      </c>
      <c r="G250" s="329">
        <v>11</v>
      </c>
      <c r="H250" s="329" t="s">
        <v>61</v>
      </c>
      <c r="I250" s="329" t="s">
        <v>38</v>
      </c>
      <c r="J250" s="329" t="s">
        <v>3614</v>
      </c>
      <c r="K250" s="329" t="s">
        <v>3615</v>
      </c>
      <c r="L250" s="329" t="s">
        <v>46</v>
      </c>
      <c r="M250" s="329" t="s">
        <v>163</v>
      </c>
      <c r="N250" s="331"/>
      <c r="O250" s="331" t="s">
        <v>322</v>
      </c>
      <c r="P250" s="331" t="s">
        <v>322</v>
      </c>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hidden="1" customHeight="1">
      <c r="A251" s="330">
        <v>254</v>
      </c>
      <c r="B251" s="330" t="s">
        <v>3625</v>
      </c>
      <c r="C251" s="330" t="s">
        <v>3626</v>
      </c>
      <c r="D251" s="330" t="s">
        <v>1930</v>
      </c>
      <c r="E251" s="330" t="s">
        <v>1884</v>
      </c>
      <c r="F251" s="330" t="s">
        <v>25</v>
      </c>
      <c r="G251" s="329">
        <v>11</v>
      </c>
      <c r="H251" s="329" t="s">
        <v>54</v>
      </c>
      <c r="I251" s="329" t="s">
        <v>33</v>
      </c>
      <c r="J251" s="329" t="s">
        <v>2303</v>
      </c>
      <c r="K251" s="329" t="s">
        <v>3627</v>
      </c>
      <c r="L251" s="329" t="s">
        <v>33</v>
      </c>
      <c r="M251" s="329" t="s">
        <v>150</v>
      </c>
      <c r="N251" s="331"/>
      <c r="O251" s="331" t="s">
        <v>151</v>
      </c>
      <c r="P251" s="331" t="s">
        <v>151</v>
      </c>
      <c r="Q251" s="329"/>
      <c r="R251" s="330" t="s">
        <v>3628</v>
      </c>
      <c r="S251" s="330" t="s">
        <v>3629</v>
      </c>
      <c r="T251" s="356" t="s">
        <v>3630</v>
      </c>
      <c r="U251" s="330" t="s">
        <v>3631</v>
      </c>
      <c r="V251" s="332">
        <v>30376</v>
      </c>
      <c r="W251" s="391" t="s">
        <v>3632</v>
      </c>
      <c r="X251" s="333" t="s">
        <v>2749</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hidden="1" customHeight="1">
      <c r="A252" s="330">
        <v>255</v>
      </c>
      <c r="B252" s="330" t="s">
        <v>3637</v>
      </c>
      <c r="C252" s="330" t="s">
        <v>3638</v>
      </c>
      <c r="D252" s="330" t="s">
        <v>3639</v>
      </c>
      <c r="E252" s="330" t="s">
        <v>3640</v>
      </c>
      <c r="F252" s="330" t="s">
        <v>24</v>
      </c>
      <c r="G252" s="329">
        <v>11</v>
      </c>
      <c r="H252" s="329" t="s">
        <v>53</v>
      </c>
      <c r="I252" s="329" t="s">
        <v>47</v>
      </c>
      <c r="J252" s="329" t="s">
        <v>2256</v>
      </c>
      <c r="K252" s="329" t="s">
        <v>3641</v>
      </c>
      <c r="L252" s="329" t="s">
        <v>46</v>
      </c>
      <c r="M252" s="329" t="s">
        <v>163</v>
      </c>
      <c r="N252" s="331"/>
      <c r="O252" s="331" t="s">
        <v>322</v>
      </c>
      <c r="P252" s="331" t="s">
        <v>322</v>
      </c>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hidden="1" customHeight="1">
      <c r="A253" s="330">
        <v>256</v>
      </c>
      <c r="B253" s="330" t="s">
        <v>3653</v>
      </c>
      <c r="C253" s="330" t="s">
        <v>2315</v>
      </c>
      <c r="D253" s="330" t="s">
        <v>3654</v>
      </c>
      <c r="E253" s="330" t="s">
        <v>3655</v>
      </c>
      <c r="F253" s="330" t="s">
        <v>25</v>
      </c>
      <c r="G253" s="329">
        <v>11</v>
      </c>
      <c r="H253" s="329" t="s">
        <v>54</v>
      </c>
      <c r="I253" s="329" t="s">
        <v>41</v>
      </c>
      <c r="J253" s="329" t="s">
        <v>3656</v>
      </c>
      <c r="K253" s="329" t="s">
        <v>2772</v>
      </c>
      <c r="L253" s="329" t="s">
        <v>46</v>
      </c>
      <c r="M253" s="329"/>
      <c r="N253" s="331"/>
      <c r="O253" s="331" t="s">
        <v>151</v>
      </c>
      <c r="P253" s="331" t="s">
        <v>151</v>
      </c>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3666</v>
      </c>
      <c r="C254" s="330" t="s">
        <v>3667</v>
      </c>
      <c r="D254" s="330" t="s">
        <v>3668</v>
      </c>
      <c r="E254" s="330" t="s">
        <v>3585</v>
      </c>
      <c r="F254" s="330" t="s">
        <v>24</v>
      </c>
      <c r="G254" s="329">
        <v>11</v>
      </c>
      <c r="H254" s="329" t="s">
        <v>57</v>
      </c>
      <c r="I254" s="329" t="s">
        <v>48</v>
      </c>
      <c r="J254" s="329" t="s">
        <v>3295</v>
      </c>
      <c r="K254" s="329" t="s">
        <v>3669</v>
      </c>
      <c r="L254" s="329" t="s">
        <v>37</v>
      </c>
      <c r="M254" s="329" t="s">
        <v>163</v>
      </c>
      <c r="N254" s="331"/>
      <c r="O254" s="331" t="s">
        <v>151</v>
      </c>
      <c r="P254" s="331" t="s">
        <v>151</v>
      </c>
      <c r="Q254" s="329"/>
      <c r="R254" s="490" t="s">
        <v>3670</v>
      </c>
      <c r="S254" s="357"/>
      <c r="T254" s="356" t="s">
        <v>3671</v>
      </c>
      <c r="U254" s="330" t="s">
        <v>3672</v>
      </c>
      <c r="V254" s="332">
        <v>32143</v>
      </c>
      <c r="W254" s="391" t="s">
        <v>3673</v>
      </c>
      <c r="X254" s="333" t="s">
        <v>3577</v>
      </c>
      <c r="Y254" s="331"/>
      <c r="Z254" s="331"/>
      <c r="AA254" s="329"/>
      <c r="AB254" s="361">
        <v>45762</v>
      </c>
      <c r="AC254" s="361">
        <v>45719</v>
      </c>
      <c r="AD254" s="329"/>
      <c r="AE254" s="329" t="s">
        <v>3674</v>
      </c>
      <c r="AF254" s="329" t="s">
        <v>3675</v>
      </c>
      <c r="AG254" s="329" t="s">
        <v>3676</v>
      </c>
      <c r="AH254" s="334">
        <v>3</v>
      </c>
      <c r="AI254" s="329" t="s">
        <v>162</v>
      </c>
      <c r="AJ254" s="329" t="s">
        <v>162</v>
      </c>
      <c r="AK254" s="329" t="s">
        <v>161</v>
      </c>
      <c r="AL254" s="334"/>
      <c r="AM254" s="334"/>
      <c r="AN254" s="334"/>
      <c r="AO254" s="335"/>
      <c r="AP254" s="335"/>
      <c r="AQ254" s="335"/>
      <c r="AR254" s="334"/>
      <c r="AS254" s="329"/>
      <c r="AT254" s="424"/>
      <c r="AU254" s="329" t="s">
        <v>3677</v>
      </c>
      <c r="AV254" s="329"/>
      <c r="AW254" s="362">
        <v>45719</v>
      </c>
      <c r="AX254" s="329"/>
      <c r="AY254" s="334"/>
      <c r="AZ254" s="329"/>
      <c r="BA254" s="329"/>
      <c r="BB254" s="329"/>
      <c r="BC254" s="439"/>
      <c r="BD254" s="439"/>
      <c r="BE254" s="440" t="s">
        <v>3678</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hidden="1" customHeight="1">
      <c r="A255" s="330">
        <v>258</v>
      </c>
      <c r="B255" s="330" t="s">
        <v>3679</v>
      </c>
      <c r="C255" s="330" t="s">
        <v>3680</v>
      </c>
      <c r="D255" s="330"/>
      <c r="E255" s="330" t="s">
        <v>3681</v>
      </c>
      <c r="F255" s="330" t="s">
        <v>24</v>
      </c>
      <c r="G255" s="329">
        <v>11</v>
      </c>
      <c r="H255" s="329" t="s">
        <v>60</v>
      </c>
      <c r="I255" s="329" t="s">
        <v>37</v>
      </c>
      <c r="J255" s="329" t="s">
        <v>3682</v>
      </c>
      <c r="K255" s="329" t="s">
        <v>3683</v>
      </c>
      <c r="L255" s="329" t="s">
        <v>37</v>
      </c>
      <c r="M255" s="329" t="s">
        <v>150</v>
      </c>
      <c r="N255" s="331"/>
      <c r="O255" s="331" t="s">
        <v>322</v>
      </c>
      <c r="P255" s="331" t="s">
        <v>322</v>
      </c>
      <c r="Q255" s="329"/>
      <c r="R255" s="330" t="s">
        <v>3684</v>
      </c>
      <c r="S255" s="330" t="s">
        <v>3685</v>
      </c>
      <c r="T255" s="356" t="s">
        <v>3686</v>
      </c>
      <c r="U255" s="330" t="s">
        <v>3687</v>
      </c>
      <c r="V255" s="332">
        <v>35384</v>
      </c>
      <c r="W255" s="391" t="s">
        <v>3688</v>
      </c>
      <c r="X255" s="333" t="s">
        <v>3689</v>
      </c>
      <c r="Y255" s="331"/>
      <c r="Z255" s="331"/>
      <c r="AA255" s="329"/>
      <c r="AB255" s="361">
        <v>45762</v>
      </c>
      <c r="AC255" s="361">
        <v>45719</v>
      </c>
      <c r="AD255" s="329"/>
      <c r="AE255" s="329" t="s">
        <v>3690</v>
      </c>
      <c r="AF255" s="329" t="s">
        <v>3691</v>
      </c>
      <c r="AG255" s="329" t="s">
        <v>3692</v>
      </c>
      <c r="AH255" s="334">
        <v>3</v>
      </c>
      <c r="AI255" s="329" t="s">
        <v>161</v>
      </c>
      <c r="AJ255" s="329" t="s">
        <v>161</v>
      </c>
      <c r="AK255" s="329" t="s">
        <v>202</v>
      </c>
      <c r="AL255" s="334"/>
      <c r="AM255" s="334"/>
      <c r="AN255" s="334"/>
      <c r="AO255" s="335"/>
      <c r="AP255" s="335"/>
      <c r="AQ255" s="335"/>
      <c r="AR255" s="334"/>
      <c r="AS255" s="329"/>
      <c r="AT255" s="424"/>
      <c r="AU255" s="329" t="s">
        <v>3693</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hidden="1" customHeight="1">
      <c r="A256" s="330">
        <v>259</v>
      </c>
      <c r="B256" s="330" t="s">
        <v>3694</v>
      </c>
      <c r="C256" s="330" t="s">
        <v>3695</v>
      </c>
      <c r="D256" s="330" t="s">
        <v>3101</v>
      </c>
      <c r="E256" s="330" t="s">
        <v>3696</v>
      </c>
      <c r="F256" s="330" t="s">
        <v>25</v>
      </c>
      <c r="G256" s="329">
        <v>11</v>
      </c>
      <c r="H256" s="329" t="s">
        <v>52</v>
      </c>
      <c r="I256" s="329" t="s">
        <v>44</v>
      </c>
      <c r="J256" s="329" t="s">
        <v>3697</v>
      </c>
      <c r="K256" s="329" t="s">
        <v>3698</v>
      </c>
      <c r="L256" s="329" t="s">
        <v>44</v>
      </c>
      <c r="M256" s="329" t="s">
        <v>150</v>
      </c>
      <c r="N256" s="331"/>
      <c r="O256" s="331" t="s">
        <v>322</v>
      </c>
      <c r="P256" s="331" t="s">
        <v>322</v>
      </c>
      <c r="Q256" s="329"/>
      <c r="R256" s="330" t="s">
        <v>3699</v>
      </c>
      <c r="S256" s="330" t="s">
        <v>3700</v>
      </c>
      <c r="T256" s="356" t="s">
        <v>3701</v>
      </c>
      <c r="U256" s="330" t="s">
        <v>3702</v>
      </c>
      <c r="V256" s="332">
        <v>33077</v>
      </c>
      <c r="W256" s="391" t="s">
        <v>3703</v>
      </c>
      <c r="X256" s="333" t="s">
        <v>3704</v>
      </c>
      <c r="Y256" s="331"/>
      <c r="Z256" s="331"/>
      <c r="AA256" s="329"/>
      <c r="AB256" s="361">
        <v>44991</v>
      </c>
      <c r="AC256" s="361">
        <v>45719</v>
      </c>
      <c r="AD256" s="329"/>
      <c r="AE256" s="329" t="s">
        <v>3705</v>
      </c>
      <c r="AF256" s="329" t="s">
        <v>3706</v>
      </c>
      <c r="AG256" s="329" t="s">
        <v>3707</v>
      </c>
      <c r="AH256" s="334">
        <v>3</v>
      </c>
      <c r="AI256" s="329" t="s">
        <v>161</v>
      </c>
      <c r="AJ256" s="329" t="s">
        <v>161</v>
      </c>
      <c r="AK256" s="329" t="s">
        <v>161</v>
      </c>
      <c r="AL256" s="334"/>
      <c r="AM256" s="334"/>
      <c r="AN256" s="334"/>
      <c r="AO256" s="335"/>
      <c r="AP256" s="335"/>
      <c r="AQ256" s="335"/>
      <c r="AR256" s="334"/>
      <c r="AS256" s="329"/>
      <c r="AT256" s="424"/>
      <c r="AU256" s="329" t="s">
        <v>3708</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hidden="1" customHeight="1">
      <c r="A257" s="330">
        <v>260</v>
      </c>
      <c r="B257" s="330" t="s">
        <v>3709</v>
      </c>
      <c r="C257" s="330" t="s">
        <v>629</v>
      </c>
      <c r="D257" s="330" t="s">
        <v>3710</v>
      </c>
      <c r="E257" s="330" t="s">
        <v>3711</v>
      </c>
      <c r="F257" s="330" t="s">
        <v>25</v>
      </c>
      <c r="G257" s="329">
        <v>11</v>
      </c>
      <c r="H257" s="329" t="s">
        <v>52</v>
      </c>
      <c r="I257" s="329" t="s">
        <v>44</v>
      </c>
      <c r="J257" s="329" t="s">
        <v>2273</v>
      </c>
      <c r="K257" s="329" t="s">
        <v>3712</v>
      </c>
      <c r="L257" s="329" t="s">
        <v>44</v>
      </c>
      <c r="M257" s="329" t="s">
        <v>150</v>
      </c>
      <c r="N257" s="331"/>
      <c r="O257" s="331" t="s">
        <v>151</v>
      </c>
      <c r="P257" s="331" t="s">
        <v>151</v>
      </c>
      <c r="Q257" s="329"/>
      <c r="R257" s="330" t="s">
        <v>3713</v>
      </c>
      <c r="S257" s="330" t="s">
        <v>3714</v>
      </c>
      <c r="T257" s="356" t="s">
        <v>3715</v>
      </c>
      <c r="U257" s="330" t="s">
        <v>3716</v>
      </c>
      <c r="V257" s="332">
        <v>30619</v>
      </c>
      <c r="W257" s="391" t="s">
        <v>3717</v>
      </c>
      <c r="X257" s="333" t="s">
        <v>156</v>
      </c>
      <c r="Y257" s="331"/>
      <c r="Z257" s="331"/>
      <c r="AA257" s="329"/>
      <c r="AB257" s="361">
        <v>45901</v>
      </c>
      <c r="AC257" s="361">
        <v>45719</v>
      </c>
      <c r="AD257" s="329"/>
      <c r="AE257" s="329" t="s">
        <v>3718</v>
      </c>
      <c r="AF257" s="329" t="s">
        <v>3719</v>
      </c>
      <c r="AG257" s="329"/>
      <c r="AH257" s="334">
        <v>2</v>
      </c>
      <c r="AI257" s="329" t="s">
        <v>161</v>
      </c>
      <c r="AJ257" s="329" t="s">
        <v>161</v>
      </c>
      <c r="AK257" s="329"/>
      <c r="AL257" s="334"/>
      <c r="AM257" s="334"/>
      <c r="AN257" s="334"/>
      <c r="AO257" s="335"/>
      <c r="AP257" s="335"/>
      <c r="AQ257" s="335"/>
      <c r="AR257" s="334"/>
      <c r="AS257" s="329"/>
      <c r="AT257" s="424"/>
      <c r="AU257" s="329" t="s">
        <v>3720</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hidden="1" customHeight="1">
      <c r="A258" s="330">
        <v>261</v>
      </c>
      <c r="B258" s="330" t="s">
        <v>3721</v>
      </c>
      <c r="C258" s="330" t="s">
        <v>3722</v>
      </c>
      <c r="D258" s="330" t="s">
        <v>3723</v>
      </c>
      <c r="E258" s="330" t="s">
        <v>3724</v>
      </c>
      <c r="F258" s="330" t="s">
        <v>24</v>
      </c>
      <c r="G258" s="329">
        <v>11</v>
      </c>
      <c r="H258" s="329" t="s">
        <v>54</v>
      </c>
      <c r="I258" s="329" t="s">
        <v>33</v>
      </c>
      <c r="J258" s="329" t="s">
        <v>3725</v>
      </c>
      <c r="K258" s="329" t="s">
        <v>1545</v>
      </c>
      <c r="L258" s="329" t="s">
        <v>33</v>
      </c>
      <c r="M258" s="329" t="s">
        <v>150</v>
      </c>
      <c r="N258" s="331"/>
      <c r="O258" s="331" t="s">
        <v>151</v>
      </c>
      <c r="P258" s="331" t="s">
        <v>151</v>
      </c>
      <c r="Q258" s="329"/>
      <c r="R258" s="330" t="s">
        <v>3726</v>
      </c>
      <c r="S258" s="359" t="s">
        <v>3727</v>
      </c>
      <c r="T258" s="360" t="s">
        <v>3728</v>
      </c>
      <c r="U258" s="330" t="s">
        <v>3729</v>
      </c>
      <c r="V258" s="332">
        <v>31080</v>
      </c>
      <c r="W258" s="391" t="s">
        <v>3730</v>
      </c>
      <c r="X258" s="333" t="s">
        <v>3689</v>
      </c>
      <c r="Y258" s="331"/>
      <c r="Z258" s="331"/>
      <c r="AA258" s="329"/>
      <c r="AB258" s="361">
        <v>43647</v>
      </c>
      <c r="AC258" s="361">
        <v>45719</v>
      </c>
      <c r="AD258" s="329"/>
      <c r="AE258" s="329" t="s">
        <v>3731</v>
      </c>
      <c r="AF258" s="329" t="s">
        <v>3732</v>
      </c>
      <c r="AG258" s="329"/>
      <c r="AH258" s="334">
        <v>2</v>
      </c>
      <c r="AI258" s="329" t="s">
        <v>161</v>
      </c>
      <c r="AJ258" s="329" t="s">
        <v>161</v>
      </c>
      <c r="AK258" s="329"/>
      <c r="AL258" s="334"/>
      <c r="AM258" s="334"/>
      <c r="AN258" s="334"/>
      <c r="AO258" s="335"/>
      <c r="AP258" s="335"/>
      <c r="AQ258" s="335"/>
      <c r="AR258" s="334"/>
      <c r="AS258" s="329"/>
      <c r="AT258" s="424"/>
      <c r="AU258" s="329" t="s">
        <v>3733</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hidden="1" customHeight="1">
      <c r="A259" s="330">
        <v>262</v>
      </c>
      <c r="B259" s="330" t="s">
        <v>3734</v>
      </c>
      <c r="C259" s="330" t="s">
        <v>3735</v>
      </c>
      <c r="D259" s="330" t="s">
        <v>3736</v>
      </c>
      <c r="E259" s="330" t="s">
        <v>3737</v>
      </c>
      <c r="F259" s="330" t="s">
        <v>25</v>
      </c>
      <c r="G259" s="329">
        <v>11</v>
      </c>
      <c r="H259" s="329" t="s">
        <v>52</v>
      </c>
      <c r="I259" s="329" t="s">
        <v>39</v>
      </c>
      <c r="J259" s="329" t="s">
        <v>3738</v>
      </c>
      <c r="K259" s="329" t="s">
        <v>3739</v>
      </c>
      <c r="L259" s="329" t="s">
        <v>39</v>
      </c>
      <c r="M259" s="329" t="s">
        <v>150</v>
      </c>
      <c r="N259" s="331"/>
      <c r="O259" s="331" t="s">
        <v>151</v>
      </c>
      <c r="P259" s="331" t="s">
        <v>151</v>
      </c>
      <c r="Q259" s="329"/>
      <c r="R259" s="330" t="s">
        <v>3740</v>
      </c>
      <c r="S259" s="330" t="s">
        <v>3741</v>
      </c>
      <c r="T259" s="356" t="s">
        <v>3742</v>
      </c>
      <c r="U259" s="330" t="s">
        <v>3743</v>
      </c>
      <c r="V259" s="332">
        <v>34463</v>
      </c>
      <c r="W259" s="391" t="s">
        <v>3744</v>
      </c>
      <c r="X259" s="333" t="s">
        <v>3577</v>
      </c>
      <c r="Y259" s="331"/>
      <c r="Z259" s="331"/>
      <c r="AA259" s="329"/>
      <c r="AB259" s="361">
        <v>45537</v>
      </c>
      <c r="AC259" s="361">
        <v>45719</v>
      </c>
      <c r="AD259" s="329"/>
      <c r="AE259" s="329" t="s">
        <v>3745</v>
      </c>
      <c r="AF259" s="329" t="s">
        <v>3746</v>
      </c>
      <c r="AG259" s="329" t="s">
        <v>3747</v>
      </c>
      <c r="AH259" s="334">
        <v>3</v>
      </c>
      <c r="AI259" s="329" t="s">
        <v>161</v>
      </c>
      <c r="AJ259" s="329" t="s">
        <v>161</v>
      </c>
      <c r="AK259" s="329" t="s">
        <v>161</v>
      </c>
      <c r="AL259" s="334"/>
      <c r="AM259" s="334"/>
      <c r="AN259" s="334"/>
      <c r="AO259" s="335"/>
      <c r="AP259" s="335"/>
      <c r="AQ259" s="335"/>
      <c r="AR259" s="334"/>
      <c r="AS259" s="329"/>
      <c r="AT259" s="424"/>
      <c r="AU259" s="329" t="s">
        <v>3748</v>
      </c>
      <c r="AV259" s="329"/>
      <c r="AW259" s="362">
        <v>45719</v>
      </c>
      <c r="AX259" s="329"/>
      <c r="AY259" s="334"/>
      <c r="AZ259" s="329"/>
      <c r="BA259" s="329"/>
      <c r="BB259" s="329"/>
      <c r="BC259" s="439"/>
      <c r="BD259" s="439"/>
      <c r="BE259" s="440" t="s">
        <v>3749</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3750</v>
      </c>
    </row>
    <row r="260" spans="1:89" ht="21" hidden="1" customHeight="1">
      <c r="A260" s="330">
        <v>263</v>
      </c>
      <c r="B260" s="330" t="s">
        <v>3751</v>
      </c>
      <c r="C260" s="330" t="s">
        <v>3752</v>
      </c>
      <c r="D260" s="330" t="s">
        <v>3753</v>
      </c>
      <c r="E260" s="330" t="s">
        <v>3754</v>
      </c>
      <c r="F260" s="330" t="s">
        <v>24</v>
      </c>
      <c r="G260" s="329">
        <v>11</v>
      </c>
      <c r="H260" s="329" t="s">
        <v>53</v>
      </c>
      <c r="I260" s="329" t="s">
        <v>47</v>
      </c>
      <c r="J260" s="329" t="s">
        <v>3755</v>
      </c>
      <c r="K260" s="329" t="s">
        <v>3756</v>
      </c>
      <c r="L260" s="329" t="s">
        <v>47</v>
      </c>
      <c r="M260" s="329" t="s">
        <v>150</v>
      </c>
      <c r="N260" s="331"/>
      <c r="O260" s="331" t="s">
        <v>322</v>
      </c>
      <c r="P260" s="331" t="s">
        <v>322</v>
      </c>
      <c r="Q260" s="329"/>
      <c r="R260" s="330" t="s">
        <v>3757</v>
      </c>
      <c r="S260" s="330" t="s">
        <v>3758</v>
      </c>
      <c r="T260" s="356" t="s">
        <v>3759</v>
      </c>
      <c r="U260" s="330" t="s">
        <v>3760</v>
      </c>
      <c r="V260" s="332">
        <v>33558</v>
      </c>
      <c r="W260" s="391" t="s">
        <v>3761</v>
      </c>
      <c r="X260" s="333" t="s">
        <v>3577</v>
      </c>
      <c r="Y260" s="331"/>
      <c r="Z260" s="331"/>
      <c r="AA260" s="329"/>
      <c r="AB260" s="361">
        <v>45719</v>
      </c>
      <c r="AC260" s="361">
        <v>45719</v>
      </c>
      <c r="AD260" s="329"/>
      <c r="AE260" s="329" t="s">
        <v>3762</v>
      </c>
      <c r="AF260" s="329" t="s">
        <v>3763</v>
      </c>
      <c r="AG260" s="329"/>
      <c r="AH260" s="334">
        <v>2</v>
      </c>
      <c r="AI260" s="329" t="s">
        <v>161</v>
      </c>
      <c r="AJ260" s="329" t="s">
        <v>162</v>
      </c>
      <c r="AK260" s="329"/>
      <c r="AL260" s="334"/>
      <c r="AM260" s="334"/>
      <c r="AN260" s="334"/>
      <c r="AO260" s="335"/>
      <c r="AP260" s="335"/>
      <c r="AQ260" s="335"/>
      <c r="AR260" s="334"/>
      <c r="AS260" s="329"/>
      <c r="AT260" s="424"/>
      <c r="AU260" s="329" t="s">
        <v>3764</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3750</v>
      </c>
    </row>
    <row r="261" spans="1:89" ht="20.25" hidden="1" customHeight="1">
      <c r="A261" s="330">
        <v>264</v>
      </c>
      <c r="B261" s="330" t="s">
        <v>3765</v>
      </c>
      <c r="C261" s="330" t="s">
        <v>3766</v>
      </c>
      <c r="D261" s="330" t="s">
        <v>3767</v>
      </c>
      <c r="E261" s="330" t="s">
        <v>3768</v>
      </c>
      <c r="F261" s="330" t="s">
        <v>24</v>
      </c>
      <c r="G261" s="329">
        <v>11</v>
      </c>
      <c r="H261" s="329" t="s">
        <v>52</v>
      </c>
      <c r="I261" s="329" t="s">
        <v>44</v>
      </c>
      <c r="J261" s="329" t="s">
        <v>3769</v>
      </c>
      <c r="K261" s="329" t="s">
        <v>3698</v>
      </c>
      <c r="L261" s="329" t="s">
        <v>44</v>
      </c>
      <c r="M261" s="329" t="s">
        <v>150</v>
      </c>
      <c r="N261" s="331"/>
      <c r="O261" s="331" t="s">
        <v>151</v>
      </c>
      <c r="P261" s="331" t="s">
        <v>151</v>
      </c>
      <c r="Q261" s="329"/>
      <c r="R261" s="330" t="s">
        <v>3770</v>
      </c>
      <c r="S261" s="330" t="s">
        <v>3771</v>
      </c>
      <c r="T261" s="356" t="s">
        <v>3772</v>
      </c>
      <c r="U261" s="330" t="s">
        <v>3773</v>
      </c>
      <c r="V261" s="332">
        <v>34034</v>
      </c>
      <c r="W261" s="391" t="s">
        <v>3774</v>
      </c>
      <c r="X261" s="333" t="s">
        <v>3775</v>
      </c>
      <c r="Y261" s="331"/>
      <c r="Z261" s="331"/>
      <c r="AA261" s="329"/>
      <c r="AB261" s="361">
        <v>45180</v>
      </c>
      <c r="AC261" s="361">
        <v>45719</v>
      </c>
      <c r="AD261" s="329"/>
      <c r="AE261" s="329" t="s">
        <v>3776</v>
      </c>
      <c r="AF261" s="329" t="s">
        <v>3777</v>
      </c>
      <c r="AG261" s="329" t="s">
        <v>3778</v>
      </c>
      <c r="AH261" s="334">
        <v>3</v>
      </c>
      <c r="AI261" s="329" t="s">
        <v>161</v>
      </c>
      <c r="AJ261" s="329" t="s">
        <v>161</v>
      </c>
      <c r="AK261" s="329" t="s">
        <v>161</v>
      </c>
      <c r="AL261" s="334"/>
      <c r="AM261" s="334"/>
      <c r="AN261" s="334"/>
      <c r="AO261" s="335"/>
      <c r="AP261" s="335"/>
      <c r="AQ261" s="335"/>
      <c r="AR261" s="334"/>
      <c r="AS261" s="329"/>
      <c r="AT261" s="424"/>
      <c r="AU261" s="329" t="s">
        <v>3779</v>
      </c>
      <c r="AV261" s="329"/>
      <c r="AW261" s="362">
        <v>45719</v>
      </c>
      <c r="AX261" s="329"/>
      <c r="AY261" s="334"/>
      <c r="AZ261" s="329"/>
      <c r="BA261" s="329"/>
      <c r="BB261" s="329"/>
      <c r="BC261" s="439"/>
      <c r="BD261" s="439"/>
      <c r="BE261" s="440" t="s">
        <v>3780</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hidden="1" customHeight="1">
      <c r="A262" s="330">
        <v>265</v>
      </c>
      <c r="B262" s="330" t="s">
        <v>3781</v>
      </c>
      <c r="C262" s="330" t="s">
        <v>3782</v>
      </c>
      <c r="D262" s="330" t="s">
        <v>3279</v>
      </c>
      <c r="E262" s="330" t="s">
        <v>3783</v>
      </c>
      <c r="F262" s="330" t="s">
        <v>25</v>
      </c>
      <c r="G262" s="329">
        <v>11</v>
      </c>
      <c r="H262" s="329" t="s">
        <v>54</v>
      </c>
      <c r="I262" s="329" t="s">
        <v>41</v>
      </c>
      <c r="J262" s="329" t="s">
        <v>3784</v>
      </c>
      <c r="K262" s="329" t="s">
        <v>3785</v>
      </c>
      <c r="L262" s="329" t="s">
        <v>41</v>
      </c>
      <c r="M262" s="329" t="s">
        <v>150</v>
      </c>
      <c r="N262" s="331"/>
      <c r="O262" s="331" t="s">
        <v>322</v>
      </c>
      <c r="P262" s="331" t="s">
        <v>322</v>
      </c>
      <c r="Q262" s="329"/>
      <c r="R262" s="330" t="s">
        <v>3786</v>
      </c>
      <c r="S262" s="330" t="s">
        <v>3787</v>
      </c>
      <c r="T262" s="356" t="s">
        <v>3788</v>
      </c>
      <c r="U262" s="330" t="s">
        <v>3789</v>
      </c>
      <c r="V262" s="332">
        <v>32059</v>
      </c>
      <c r="W262" s="391" t="s">
        <v>3790</v>
      </c>
      <c r="X262" s="333" t="s">
        <v>156</v>
      </c>
      <c r="Y262" s="331"/>
      <c r="Z262" s="331"/>
      <c r="AA262" s="329"/>
      <c r="AB262" s="361">
        <v>45611</v>
      </c>
      <c r="AC262" s="361">
        <v>45719</v>
      </c>
      <c r="AD262" s="329"/>
      <c r="AE262" s="329" t="s">
        <v>3791</v>
      </c>
      <c r="AF262" s="329" t="s">
        <v>3792</v>
      </c>
      <c r="AG262" s="329"/>
      <c r="AH262" s="334">
        <v>2</v>
      </c>
      <c r="AI262" s="329" t="s">
        <v>161</v>
      </c>
      <c r="AJ262" s="329" t="s">
        <v>161</v>
      </c>
      <c r="AK262" s="329"/>
      <c r="AL262" s="334"/>
      <c r="AM262" s="334"/>
      <c r="AN262" s="334"/>
      <c r="AO262" s="335"/>
      <c r="AP262" s="335"/>
      <c r="AQ262" s="335"/>
      <c r="AR262" s="334"/>
      <c r="AS262" s="329"/>
      <c r="AT262" s="424"/>
      <c r="AU262" s="329" t="s">
        <v>3793</v>
      </c>
      <c r="AV262" s="329"/>
      <c r="AW262" s="362">
        <v>45719</v>
      </c>
      <c r="AX262" s="329"/>
      <c r="AY262" s="334"/>
      <c r="AZ262" s="329"/>
      <c r="BA262" s="329"/>
      <c r="BB262" s="329"/>
      <c r="BC262" s="439"/>
      <c r="BD262" s="439"/>
      <c r="BE262" s="440" t="s">
        <v>3794</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hidden="1" customHeight="1">
      <c r="A263" s="330">
        <v>266</v>
      </c>
      <c r="B263" s="330" t="s">
        <v>3795</v>
      </c>
      <c r="C263" s="330" t="s">
        <v>3796</v>
      </c>
      <c r="D263" s="330" t="s">
        <v>3797</v>
      </c>
      <c r="E263" s="330" t="s">
        <v>3798</v>
      </c>
      <c r="F263" s="330" t="s">
        <v>24</v>
      </c>
      <c r="G263" s="329">
        <v>11</v>
      </c>
      <c r="H263" s="329" t="s">
        <v>53</v>
      </c>
      <c r="I263" s="329" t="s">
        <v>47</v>
      </c>
      <c r="J263" s="329" t="s">
        <v>602</v>
      </c>
      <c r="K263" s="329" t="s">
        <v>3799</v>
      </c>
      <c r="L263" s="329" t="s">
        <v>46</v>
      </c>
      <c r="M263" s="329" t="s">
        <v>163</v>
      </c>
      <c r="N263" s="331"/>
      <c r="O263" s="331" t="s">
        <v>151</v>
      </c>
      <c r="P263" s="331" t="s">
        <v>151</v>
      </c>
      <c r="Q263" s="329"/>
      <c r="R263" s="330" t="s">
        <v>3800</v>
      </c>
      <c r="S263" s="330" t="s">
        <v>3801</v>
      </c>
      <c r="T263" s="356" t="s">
        <v>3802</v>
      </c>
      <c r="U263" s="330" t="s">
        <v>3803</v>
      </c>
      <c r="V263" s="332">
        <v>31592</v>
      </c>
      <c r="W263" s="391" t="s">
        <v>3804</v>
      </c>
      <c r="X263" s="333" t="s">
        <v>3577</v>
      </c>
      <c r="Y263" s="331"/>
      <c r="Z263" s="331"/>
      <c r="AA263" s="329"/>
      <c r="AB263" s="361">
        <v>45839</v>
      </c>
      <c r="AC263" s="361">
        <v>45719</v>
      </c>
      <c r="AD263" s="329"/>
      <c r="AE263" s="329" t="s">
        <v>3805</v>
      </c>
      <c r="AF263" s="329" t="s">
        <v>3806</v>
      </c>
      <c r="AG263" s="329" t="s">
        <v>3807</v>
      </c>
      <c r="AH263" s="334">
        <v>3</v>
      </c>
      <c r="AI263" s="329" t="s">
        <v>162</v>
      </c>
      <c r="AJ263" s="329" t="s">
        <v>161</v>
      </c>
      <c r="AK263" s="329" t="s">
        <v>202</v>
      </c>
      <c r="AL263" s="334"/>
      <c r="AM263" s="334"/>
      <c r="AN263" s="334"/>
      <c r="AO263" s="335"/>
      <c r="AP263" s="335"/>
      <c r="AQ263" s="335"/>
      <c r="AR263" s="334"/>
      <c r="AS263" s="329"/>
      <c r="AT263" s="424"/>
      <c r="AU263" s="329" t="s">
        <v>3808</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hidden="1" customHeight="1">
      <c r="A264" s="357">
        <v>267</v>
      </c>
      <c r="B264" s="357" t="s">
        <v>3809</v>
      </c>
      <c r="C264" s="357" t="s">
        <v>3810</v>
      </c>
      <c r="D264" s="357"/>
      <c r="E264" s="357" t="s">
        <v>3811</v>
      </c>
      <c r="F264" s="357" t="s">
        <v>24</v>
      </c>
      <c r="G264" s="337">
        <v>11</v>
      </c>
      <c r="H264" s="337" t="s">
        <v>55</v>
      </c>
      <c r="I264" s="337" t="s">
        <v>45</v>
      </c>
      <c r="J264" s="337" t="s">
        <v>3812</v>
      </c>
      <c r="K264" s="337" t="s">
        <v>3813</v>
      </c>
      <c r="L264" s="337"/>
      <c r="M264" s="337"/>
      <c r="N264" s="428"/>
      <c r="O264" s="428" t="s">
        <v>322</v>
      </c>
      <c r="P264" s="428" t="s">
        <v>322</v>
      </c>
      <c r="Q264" s="337"/>
      <c r="R264" s="357" t="s">
        <v>3814</v>
      </c>
      <c r="S264" s="357" t="s">
        <v>3815</v>
      </c>
      <c r="T264" s="358" t="s">
        <v>3816</v>
      </c>
      <c r="U264" s="357" t="s">
        <v>3817</v>
      </c>
      <c r="V264" s="429">
        <v>31315</v>
      </c>
      <c r="W264" s="430" t="s">
        <v>3818</v>
      </c>
      <c r="X264" s="431" t="s">
        <v>3689</v>
      </c>
      <c r="Y264" s="428"/>
      <c r="Z264" s="428"/>
      <c r="AA264" s="337"/>
      <c r="AB264" s="432">
        <v>45930</v>
      </c>
      <c r="AC264" s="432">
        <v>45719</v>
      </c>
      <c r="AD264" s="337" t="s">
        <v>3819</v>
      </c>
      <c r="AE264" s="337"/>
      <c r="AF264" s="337"/>
      <c r="AG264" s="337"/>
      <c r="AH264" s="433"/>
      <c r="AI264" s="337"/>
      <c r="AJ264" s="337"/>
      <c r="AK264" s="337"/>
      <c r="AL264" s="433"/>
      <c r="AM264" s="433"/>
      <c r="AN264" s="433"/>
      <c r="AO264" s="434"/>
      <c r="AP264" s="434"/>
      <c r="AQ264" s="434"/>
      <c r="AR264" s="433"/>
      <c r="AS264" s="337"/>
      <c r="AT264" s="435"/>
      <c r="AU264" s="337" t="s">
        <v>3820</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hidden="1" customHeight="1">
      <c r="A265" s="330">
        <v>268</v>
      </c>
      <c r="B265" s="330" t="s">
        <v>3821</v>
      </c>
      <c r="C265" s="330" t="s">
        <v>3822</v>
      </c>
      <c r="D265" s="330"/>
      <c r="E265" s="330" t="s">
        <v>3823</v>
      </c>
      <c r="F265" s="330" t="s">
        <v>25</v>
      </c>
      <c r="G265" s="329">
        <v>11</v>
      </c>
      <c r="H265" s="329" t="s">
        <v>55</v>
      </c>
      <c r="I265" s="329" t="s">
        <v>45</v>
      </c>
      <c r="J265" s="329" t="s">
        <v>602</v>
      </c>
      <c r="K265" s="329" t="s">
        <v>3824</v>
      </c>
      <c r="L265" s="486" t="s">
        <v>45</v>
      </c>
      <c r="M265" s="329" t="s">
        <v>150</v>
      </c>
      <c r="N265" s="331"/>
      <c r="O265" s="331" t="s">
        <v>151</v>
      </c>
      <c r="P265" s="331" t="s">
        <v>151</v>
      </c>
      <c r="Q265" s="329"/>
      <c r="R265" s="330" t="s">
        <v>3825</v>
      </c>
      <c r="S265" s="330" t="s">
        <v>3826</v>
      </c>
      <c r="T265" s="356" t="s">
        <v>3827</v>
      </c>
      <c r="U265" s="330" t="s">
        <v>3828</v>
      </c>
      <c r="V265" s="332">
        <v>32091</v>
      </c>
      <c r="W265" s="391" t="s">
        <v>3829</v>
      </c>
      <c r="X265" s="333"/>
      <c r="Y265" s="331"/>
      <c r="Z265" s="331"/>
      <c r="AA265" s="329"/>
      <c r="AB265" s="361"/>
      <c r="AC265" s="361">
        <v>45719</v>
      </c>
      <c r="AD265" s="329"/>
      <c r="AE265" s="329" t="s">
        <v>3830</v>
      </c>
      <c r="AF265" s="329" t="s">
        <v>3831</v>
      </c>
      <c r="AG265" s="329"/>
      <c r="AH265" s="334">
        <v>2</v>
      </c>
      <c r="AI265" s="329" t="s">
        <v>161</v>
      </c>
      <c r="AJ265" s="329" t="s">
        <v>161</v>
      </c>
      <c r="AK265" s="329"/>
      <c r="AL265" s="334"/>
      <c r="AM265" s="334"/>
      <c r="AN265" s="334"/>
      <c r="AO265" s="335"/>
      <c r="AP265" s="335"/>
      <c r="AQ265" s="335"/>
      <c r="AR265" s="334"/>
      <c r="AS265" s="329"/>
      <c r="AT265" s="424"/>
      <c r="AU265" s="329" t="s">
        <v>3832</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3750</v>
      </c>
    </row>
    <row r="266" spans="1:89" ht="23.25" hidden="1" customHeight="1">
      <c r="A266" s="443">
        <v>269</v>
      </c>
      <c r="B266" s="443" t="s">
        <v>3833</v>
      </c>
      <c r="C266" s="443" t="s">
        <v>3834</v>
      </c>
      <c r="D266" s="443" t="s">
        <v>3835</v>
      </c>
      <c r="E266" s="443" t="s">
        <v>3836</v>
      </c>
      <c r="F266" s="443" t="s">
        <v>25</v>
      </c>
      <c r="G266" s="444">
        <v>11</v>
      </c>
      <c r="H266" s="444" t="s">
        <v>59</v>
      </c>
      <c r="I266" s="444" t="s">
        <v>42</v>
      </c>
      <c r="J266" s="444" t="s">
        <v>3837</v>
      </c>
      <c r="K266" s="444" t="s">
        <v>3838</v>
      </c>
      <c r="L266" s="329" t="s">
        <v>46</v>
      </c>
      <c r="M266" s="329" t="s">
        <v>163</v>
      </c>
      <c r="N266" s="445"/>
      <c r="O266" s="445" t="s">
        <v>151</v>
      </c>
      <c r="P266" s="445" t="s">
        <v>151</v>
      </c>
      <c r="Q266" s="444"/>
      <c r="R266" s="443" t="s">
        <v>3839</v>
      </c>
      <c r="S266" s="443" t="s">
        <v>3840</v>
      </c>
      <c r="T266" s="446" t="s">
        <v>3841</v>
      </c>
      <c r="U266" s="443" t="s">
        <v>3842</v>
      </c>
      <c r="V266" s="447">
        <v>30939</v>
      </c>
      <c r="W266" s="448" t="s">
        <v>3843</v>
      </c>
      <c r="X266" s="449" t="s">
        <v>3577</v>
      </c>
      <c r="Y266" s="445"/>
      <c r="Z266" s="445"/>
      <c r="AA266" s="444"/>
      <c r="AB266" s="450">
        <v>45777</v>
      </c>
      <c r="AC266" s="361">
        <v>45719</v>
      </c>
      <c r="AD266" s="444"/>
      <c r="AE266" s="444" t="s">
        <v>3805</v>
      </c>
      <c r="AF266" s="444" t="s">
        <v>3844</v>
      </c>
      <c r="AG266" s="444" t="s">
        <v>3845</v>
      </c>
      <c r="AH266" s="451">
        <v>3</v>
      </c>
      <c r="AI266" s="444" t="s">
        <v>162</v>
      </c>
      <c r="AJ266" s="444" t="s">
        <v>161</v>
      </c>
      <c r="AK266" s="444" t="s">
        <v>202</v>
      </c>
      <c r="AL266" s="451"/>
      <c r="AM266" s="451"/>
      <c r="AN266" s="451"/>
      <c r="AO266" s="452"/>
      <c r="AP266" s="452"/>
      <c r="AQ266" s="452"/>
      <c r="AR266" s="451"/>
      <c r="AS266" s="444"/>
      <c r="AT266" s="453"/>
      <c r="AU266" s="444" t="s">
        <v>3846</v>
      </c>
      <c r="AV266" s="444"/>
      <c r="AW266" s="454">
        <v>45719</v>
      </c>
      <c r="AX266" s="444"/>
      <c r="AY266" s="451"/>
      <c r="AZ266" s="444"/>
      <c r="BA266" s="444"/>
      <c r="BB266" s="444"/>
      <c r="BC266" s="439"/>
      <c r="BD266" s="439"/>
      <c r="BE266" s="440" t="s">
        <v>3847</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809</v>
      </c>
    </row>
    <row r="267" spans="1:89" ht="20.25" hidden="1" customHeight="1">
      <c r="A267" s="473">
        <v>270</v>
      </c>
      <c r="B267" s="459" t="s">
        <v>3848</v>
      </c>
      <c r="C267" s="459" t="s">
        <v>3849</v>
      </c>
      <c r="D267" s="459"/>
      <c r="E267" s="459" t="s">
        <v>3850</v>
      </c>
      <c r="F267" s="459" t="s">
        <v>24</v>
      </c>
      <c r="G267" s="458">
        <v>12</v>
      </c>
      <c r="H267" s="459" t="s">
        <v>59</v>
      </c>
      <c r="I267" s="459" t="s">
        <v>42</v>
      </c>
      <c r="J267" s="482" t="s">
        <v>1112</v>
      </c>
      <c r="K267" s="459"/>
      <c r="L267" s="487" t="s">
        <v>46</v>
      </c>
      <c r="M267" s="458" t="s">
        <v>163</v>
      </c>
      <c r="N267" s="462"/>
      <c r="O267" s="474" t="s">
        <v>151</v>
      </c>
      <c r="P267" s="474" t="s">
        <v>151</v>
      </c>
      <c r="Q267" s="458"/>
      <c r="R267" s="475" t="s">
        <v>3851</v>
      </c>
      <c r="S267" s="476" t="s">
        <v>3852</v>
      </c>
      <c r="T267" s="489" t="s">
        <v>3853</v>
      </c>
      <c r="U267" s="459" t="s">
        <v>3854</v>
      </c>
      <c r="V267" s="460">
        <v>34635</v>
      </c>
      <c r="W267" s="461" t="s">
        <v>3855</v>
      </c>
      <c r="X267" s="470" t="s">
        <v>156</v>
      </c>
      <c r="Y267" s="462"/>
      <c r="Z267" s="462"/>
      <c r="AA267" s="458"/>
      <c r="AB267" s="458"/>
      <c r="AC267" s="483">
        <v>46083</v>
      </c>
      <c r="AD267" s="463"/>
      <c r="AE267" s="458"/>
      <c r="AF267" s="458"/>
      <c r="AG267" s="458"/>
      <c r="AH267" s="464"/>
      <c r="AI267" s="463"/>
      <c r="AJ267" s="458"/>
      <c r="AK267" s="458"/>
      <c r="AL267" s="464"/>
      <c r="AM267" s="464"/>
      <c r="AN267" s="464"/>
      <c r="AO267" s="465" t="s">
        <v>182</v>
      </c>
      <c r="AP267" s="466" t="s">
        <v>3856</v>
      </c>
      <c r="AQ267" s="465"/>
      <c r="AR267" s="464"/>
      <c r="AS267" s="458"/>
      <c r="AT267" s="467"/>
      <c r="AU267" s="477" t="s">
        <v>3857</v>
      </c>
      <c r="AV267" s="458"/>
      <c r="AW267" s="478">
        <v>46083</v>
      </c>
      <c r="AX267" s="458"/>
      <c r="AY267" s="464"/>
      <c r="AZ267" s="458"/>
      <c r="BA267" s="458"/>
      <c r="BB267" s="458"/>
      <c r="BC267" s="458"/>
      <c r="BD267" s="458"/>
      <c r="BE267" s="458"/>
      <c r="BF267" s="458"/>
      <c r="BG267" s="463"/>
      <c r="BH267" s="458"/>
      <c r="BI267" s="458"/>
      <c r="BJ267" s="458"/>
      <c r="BK267" s="458"/>
      <c r="BL267" s="458"/>
      <c r="BM267" s="468"/>
      <c r="BN267" s="477"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hidden="1" customHeight="1">
      <c r="A268" s="479">
        <v>271</v>
      </c>
      <c r="B268" s="459" t="s">
        <v>3858</v>
      </c>
      <c r="C268" s="459" t="s">
        <v>3859</v>
      </c>
      <c r="D268" s="459"/>
      <c r="E268" s="459" t="s">
        <v>3860</v>
      </c>
      <c r="F268" s="459" t="s">
        <v>25</v>
      </c>
      <c r="G268" s="458">
        <v>12</v>
      </c>
      <c r="H268" s="459" t="s">
        <v>58</v>
      </c>
      <c r="I268" s="459" t="s">
        <v>46</v>
      </c>
      <c r="J268" s="482" t="s">
        <v>602</v>
      </c>
      <c r="K268" s="459" t="s">
        <v>3295</v>
      </c>
      <c r="L268" s="488" t="s">
        <v>46</v>
      </c>
      <c r="M268" s="458" t="s">
        <v>150</v>
      </c>
      <c r="N268" s="462"/>
      <c r="O268" s="474" t="s">
        <v>151</v>
      </c>
      <c r="P268" s="474" t="s">
        <v>151</v>
      </c>
      <c r="Q268" s="458"/>
      <c r="R268" s="475" t="s">
        <v>3861</v>
      </c>
      <c r="S268" s="476" t="s">
        <v>3862</v>
      </c>
      <c r="T268" s="489" t="s">
        <v>3863</v>
      </c>
      <c r="U268" s="480" t="s">
        <v>3864</v>
      </c>
      <c r="V268" s="460">
        <v>33459</v>
      </c>
      <c r="W268" s="461" t="s">
        <v>3865</v>
      </c>
      <c r="X268" s="470" t="s">
        <v>3577</v>
      </c>
      <c r="Y268" s="462"/>
      <c r="Z268" s="462"/>
      <c r="AA268" s="458"/>
      <c r="AB268" s="458"/>
      <c r="AC268" s="483">
        <v>46083</v>
      </c>
      <c r="AD268" s="463"/>
      <c r="AE268" s="458"/>
      <c r="AF268" s="458"/>
      <c r="AG268" s="458"/>
      <c r="AH268" s="464"/>
      <c r="AI268" s="463"/>
      <c r="AJ268" s="458"/>
      <c r="AK268" s="458"/>
      <c r="AL268" s="464"/>
      <c r="AM268" s="464"/>
      <c r="AN268" s="464"/>
      <c r="AO268" s="465" t="s">
        <v>164</v>
      </c>
      <c r="AP268" s="466" t="s">
        <v>203</v>
      </c>
      <c r="AQ268" s="465"/>
      <c r="AR268" s="464"/>
      <c r="AS268" s="458"/>
      <c r="AT268" s="467"/>
      <c r="AU268" s="481" t="s">
        <v>3866</v>
      </c>
      <c r="AV268" s="458"/>
      <c r="AW268" s="478">
        <v>46083</v>
      </c>
      <c r="AX268" s="458"/>
      <c r="AY268" s="464"/>
      <c r="AZ268" s="458"/>
      <c r="BA268" s="458"/>
      <c r="BB268" s="458"/>
      <c r="BC268" s="458"/>
      <c r="BD268" s="458"/>
      <c r="BE268" s="458"/>
      <c r="BF268" s="458"/>
      <c r="BG268" s="463"/>
      <c r="BH268" s="458"/>
      <c r="BI268" s="458"/>
      <c r="BJ268" s="458"/>
      <c r="BK268" s="458"/>
      <c r="BL268" s="458"/>
      <c r="BM268" s="468"/>
      <c r="BN268" s="477"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hidden="1" customHeight="1">
      <c r="A269" s="473">
        <v>272</v>
      </c>
      <c r="B269" s="459" t="s">
        <v>3867</v>
      </c>
      <c r="C269" s="459" t="s">
        <v>3868</v>
      </c>
      <c r="D269" s="459" t="s">
        <v>3869</v>
      </c>
      <c r="E269" s="459" t="s">
        <v>3870</v>
      </c>
      <c r="F269" s="459" t="s">
        <v>24</v>
      </c>
      <c r="G269" s="458">
        <v>12</v>
      </c>
      <c r="H269" s="459" t="s">
        <v>54</v>
      </c>
      <c r="I269" s="459" t="s">
        <v>33</v>
      </c>
      <c r="J269" s="482" t="s">
        <v>936</v>
      </c>
      <c r="K269" s="459" t="s">
        <v>3871</v>
      </c>
      <c r="L269" s="488" t="s">
        <v>33</v>
      </c>
      <c r="M269" s="458" t="s">
        <v>150</v>
      </c>
      <c r="N269" s="462"/>
      <c r="O269" s="474" t="s">
        <v>322</v>
      </c>
      <c r="P269" s="474" t="s">
        <v>322</v>
      </c>
      <c r="Q269" s="458"/>
      <c r="R269" s="475" t="s">
        <v>3872</v>
      </c>
      <c r="S269" s="476" t="s">
        <v>3873</v>
      </c>
      <c r="T269" s="489" t="s">
        <v>3874</v>
      </c>
      <c r="U269" s="459" t="s">
        <v>3875</v>
      </c>
      <c r="V269" s="460">
        <v>35044</v>
      </c>
      <c r="W269" s="461" t="s">
        <v>3876</v>
      </c>
      <c r="X269" s="470" t="s">
        <v>3577</v>
      </c>
      <c r="Y269" s="462"/>
      <c r="Z269" s="462"/>
      <c r="AA269" s="458"/>
      <c r="AB269" s="458"/>
      <c r="AC269" s="483">
        <v>46083</v>
      </c>
      <c r="AD269" s="463"/>
      <c r="AE269" s="458"/>
      <c r="AF269" s="458"/>
      <c r="AG269" s="458"/>
      <c r="AH269" s="464"/>
      <c r="AI269" s="463"/>
      <c r="AJ269" s="458"/>
      <c r="AK269" s="458"/>
      <c r="AL269" s="464"/>
      <c r="AM269" s="464"/>
      <c r="AN269" s="464"/>
      <c r="AO269" s="465" t="s">
        <v>164</v>
      </c>
      <c r="AP269" s="466" t="s">
        <v>181</v>
      </c>
      <c r="AQ269" s="465"/>
      <c r="AR269" s="464"/>
      <c r="AS269" s="458"/>
      <c r="AT269" s="467"/>
      <c r="AU269" s="477" t="s">
        <v>3877</v>
      </c>
      <c r="AV269" s="458"/>
      <c r="AW269" s="478">
        <v>46083</v>
      </c>
      <c r="AX269" s="458"/>
      <c r="AY269" s="464"/>
      <c r="AZ269" s="458"/>
      <c r="BA269" s="458"/>
      <c r="BB269" s="458"/>
      <c r="BC269" s="458"/>
      <c r="BD269" s="458"/>
      <c r="BE269" s="458"/>
      <c r="BF269" s="458"/>
      <c r="BG269" s="463"/>
      <c r="BH269" s="458"/>
      <c r="BI269" s="458"/>
      <c r="BJ269" s="458"/>
      <c r="BK269" s="458"/>
      <c r="BL269" s="458"/>
      <c r="BM269" s="468"/>
      <c r="BN269" s="477"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hidden="1" customHeight="1">
      <c r="A270" s="479">
        <v>273</v>
      </c>
      <c r="B270" s="459" t="s">
        <v>3878</v>
      </c>
      <c r="C270" s="459" t="s">
        <v>3879</v>
      </c>
      <c r="D270" s="459"/>
      <c r="E270" s="459" t="s">
        <v>3880</v>
      </c>
      <c r="F270" s="459" t="s">
        <v>25</v>
      </c>
      <c r="G270" s="458">
        <v>12</v>
      </c>
      <c r="H270" s="459" t="s">
        <v>55</v>
      </c>
      <c r="I270" s="459" t="s">
        <v>45</v>
      </c>
      <c r="J270" s="482" t="s">
        <v>3881</v>
      </c>
      <c r="K270" s="459" t="s">
        <v>3882</v>
      </c>
      <c r="L270" s="488" t="s">
        <v>45</v>
      </c>
      <c r="M270" s="458" t="s">
        <v>150</v>
      </c>
      <c r="N270" s="462"/>
      <c r="O270" s="474" t="s">
        <v>151</v>
      </c>
      <c r="P270" s="474" t="s">
        <v>151</v>
      </c>
      <c r="Q270" s="458"/>
      <c r="R270" s="475" t="s">
        <v>3883</v>
      </c>
      <c r="S270" s="476" t="s">
        <v>3884</v>
      </c>
      <c r="T270" s="489" t="s">
        <v>3885</v>
      </c>
      <c r="U270" s="459">
        <v>2017</v>
      </c>
      <c r="V270" s="460">
        <v>31413</v>
      </c>
      <c r="W270" s="461" t="s">
        <v>3886</v>
      </c>
      <c r="X270" s="470" t="s">
        <v>3577</v>
      </c>
      <c r="Y270" s="462"/>
      <c r="Z270" s="462"/>
      <c r="AA270" s="458"/>
      <c r="AB270" s="458"/>
      <c r="AC270" s="483">
        <v>46083</v>
      </c>
      <c r="AD270" s="463"/>
      <c r="AE270" s="458"/>
      <c r="AF270" s="458"/>
      <c r="AG270" s="458"/>
      <c r="AH270" s="464"/>
      <c r="AI270" s="463"/>
      <c r="AJ270" s="458"/>
      <c r="AK270" s="458"/>
      <c r="AL270" s="464"/>
      <c r="AM270" s="464"/>
      <c r="AN270" s="464"/>
      <c r="AO270" s="465" t="s">
        <v>164</v>
      </c>
      <c r="AP270" s="466" t="s">
        <v>181</v>
      </c>
      <c r="AQ270" s="465"/>
      <c r="AR270" s="464"/>
      <c r="AS270" s="458"/>
      <c r="AT270" s="467"/>
      <c r="AU270" s="481" t="s">
        <v>3887</v>
      </c>
      <c r="AV270" s="458"/>
      <c r="AW270" s="478">
        <v>46083</v>
      </c>
      <c r="AX270" s="458"/>
      <c r="AY270" s="464"/>
      <c r="AZ270" s="458"/>
      <c r="BA270" s="458"/>
      <c r="BB270" s="458"/>
      <c r="BC270" s="458"/>
      <c r="BD270" s="458"/>
      <c r="BE270" s="458"/>
      <c r="BF270" s="458"/>
      <c r="BG270" s="463"/>
      <c r="BH270" s="458"/>
      <c r="BI270" s="458"/>
      <c r="BJ270" s="458"/>
      <c r="BK270" s="458"/>
      <c r="BL270" s="458"/>
      <c r="BM270" s="468"/>
      <c r="BN270" s="477"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hidden="1" customHeight="1">
      <c r="A271" s="473">
        <v>274</v>
      </c>
      <c r="B271" s="459" t="s">
        <v>3888</v>
      </c>
      <c r="C271" s="459" t="s">
        <v>2270</v>
      </c>
      <c r="D271" s="459"/>
      <c r="E271" s="459" t="s">
        <v>3889</v>
      </c>
      <c r="F271" s="459" t="s">
        <v>25</v>
      </c>
      <c r="G271" s="458">
        <v>12</v>
      </c>
      <c r="H271" s="459" t="s">
        <v>53</v>
      </c>
      <c r="I271" s="488" t="s">
        <v>47</v>
      </c>
      <c r="J271" s="482" t="s">
        <v>1405</v>
      </c>
      <c r="K271" s="459"/>
      <c r="L271" s="488" t="s">
        <v>47</v>
      </c>
      <c r="M271" s="458" t="s">
        <v>150</v>
      </c>
      <c r="N271" s="462"/>
      <c r="O271" s="474" t="s">
        <v>322</v>
      </c>
      <c r="P271" s="474" t="s">
        <v>322</v>
      </c>
      <c r="Q271" s="458"/>
      <c r="R271" s="475" t="s">
        <v>3890</v>
      </c>
      <c r="S271" s="476" t="s">
        <v>3891</v>
      </c>
      <c r="T271" s="489" t="s">
        <v>3892</v>
      </c>
      <c r="U271" s="459" t="s">
        <v>3893</v>
      </c>
      <c r="V271" s="460">
        <v>31905</v>
      </c>
      <c r="W271" s="461" t="s">
        <v>3894</v>
      </c>
      <c r="X271" s="470" t="s">
        <v>3577</v>
      </c>
      <c r="Y271" s="462"/>
      <c r="Z271" s="462"/>
      <c r="AA271" s="458"/>
      <c r="AB271" s="458"/>
      <c r="AC271" s="483">
        <v>46083</v>
      </c>
      <c r="AD271" s="463"/>
      <c r="AE271" s="458"/>
      <c r="AF271" s="458"/>
      <c r="AG271" s="458"/>
      <c r="AH271" s="464"/>
      <c r="AI271" s="463"/>
      <c r="AJ271" s="458"/>
      <c r="AK271" s="458"/>
      <c r="AL271" s="464"/>
      <c r="AM271" s="464"/>
      <c r="AN271" s="464"/>
      <c r="AO271" s="465" t="s">
        <v>164</v>
      </c>
      <c r="AP271" s="466" t="s">
        <v>203</v>
      </c>
      <c r="AQ271" s="465"/>
      <c r="AR271" s="464"/>
      <c r="AS271" s="458"/>
      <c r="AT271" s="467"/>
      <c r="AU271" s="477" t="s">
        <v>3895</v>
      </c>
      <c r="AV271" s="458"/>
      <c r="AW271" s="478">
        <v>46083</v>
      </c>
      <c r="AX271" s="458"/>
      <c r="AY271" s="464"/>
      <c r="AZ271" s="458"/>
      <c r="BA271" s="458"/>
      <c r="BB271" s="458"/>
      <c r="BC271" s="458"/>
      <c r="BD271" s="458"/>
      <c r="BE271" s="458"/>
      <c r="BF271" s="458"/>
      <c r="BG271" s="463"/>
      <c r="BH271" s="458"/>
      <c r="BI271" s="458"/>
      <c r="BJ271" s="458"/>
      <c r="BK271" s="458"/>
      <c r="BL271" s="458"/>
      <c r="BM271" s="468"/>
      <c r="BN271" s="477"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hidden="1" customHeight="1">
      <c r="A272" s="479">
        <v>275</v>
      </c>
      <c r="B272" s="459" t="s">
        <v>3896</v>
      </c>
      <c r="C272" s="459" t="s">
        <v>1583</v>
      </c>
      <c r="D272" s="459"/>
      <c r="E272" s="459" t="s">
        <v>3897</v>
      </c>
      <c r="F272" s="459" t="s">
        <v>25</v>
      </c>
      <c r="G272" s="458">
        <v>12</v>
      </c>
      <c r="H272" s="459" t="s">
        <v>60</v>
      </c>
      <c r="I272" s="459" t="s">
        <v>37</v>
      </c>
      <c r="J272" s="482" t="s">
        <v>3898</v>
      </c>
      <c r="K272" s="459" t="s">
        <v>3899</v>
      </c>
      <c r="L272" s="488" t="s">
        <v>37</v>
      </c>
      <c r="M272" s="458" t="s">
        <v>150</v>
      </c>
      <c r="N272" s="462"/>
      <c r="O272" s="474" t="s">
        <v>322</v>
      </c>
      <c r="P272" s="474" t="s">
        <v>322</v>
      </c>
      <c r="Q272" s="458"/>
      <c r="R272" s="475" t="s">
        <v>3900</v>
      </c>
      <c r="S272" s="476" t="s">
        <v>3901</v>
      </c>
      <c r="T272" s="489" t="s">
        <v>3902</v>
      </c>
      <c r="U272" s="480" t="s">
        <v>3903</v>
      </c>
      <c r="V272" s="460">
        <v>30496</v>
      </c>
      <c r="W272" s="461" t="s">
        <v>3904</v>
      </c>
      <c r="X272" s="470" t="s">
        <v>3689</v>
      </c>
      <c r="Y272" s="462"/>
      <c r="Z272" s="462"/>
      <c r="AA272" s="458"/>
      <c r="AB272" s="458"/>
      <c r="AC272" s="483">
        <v>46083</v>
      </c>
      <c r="AD272" s="463"/>
      <c r="AE272" s="458"/>
      <c r="AF272" s="458"/>
      <c r="AG272" s="458"/>
      <c r="AH272" s="464"/>
      <c r="AI272" s="463"/>
      <c r="AJ272" s="458"/>
      <c r="AK272" s="458"/>
      <c r="AL272" s="464"/>
      <c r="AM272" s="464"/>
      <c r="AN272" s="464"/>
      <c r="AO272" s="465" t="s">
        <v>164</v>
      </c>
      <c r="AP272" s="466" t="s">
        <v>181</v>
      </c>
      <c r="AQ272" s="465"/>
      <c r="AR272" s="464"/>
      <c r="AS272" s="458"/>
      <c r="AT272" s="467"/>
      <c r="AU272" s="477" t="s">
        <v>3905</v>
      </c>
      <c r="AV272" s="458"/>
      <c r="AW272" s="478">
        <v>46083</v>
      </c>
      <c r="AX272" s="458"/>
      <c r="AY272" s="464"/>
      <c r="AZ272" s="458"/>
      <c r="BA272" s="458"/>
      <c r="BB272" s="458"/>
      <c r="BC272" s="458"/>
      <c r="BD272" s="458"/>
      <c r="BE272" s="458"/>
      <c r="BF272" s="458"/>
      <c r="BG272" s="463"/>
      <c r="BH272" s="458"/>
      <c r="BI272" s="458"/>
      <c r="BJ272" s="458"/>
      <c r="BK272" s="458"/>
      <c r="BL272" s="458"/>
      <c r="BM272" s="468"/>
      <c r="BN272" s="477"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hidden="1" customHeight="1">
      <c r="A273" s="473">
        <v>276</v>
      </c>
      <c r="B273" s="459" t="s">
        <v>3906</v>
      </c>
      <c r="C273" s="459" t="s">
        <v>3907</v>
      </c>
      <c r="D273" s="459"/>
      <c r="E273" s="459" t="s">
        <v>3908</v>
      </c>
      <c r="F273" s="459" t="s">
        <v>24</v>
      </c>
      <c r="G273" s="458">
        <v>12</v>
      </c>
      <c r="H273" s="459" t="s">
        <v>55</v>
      </c>
      <c r="I273" s="459" t="s">
        <v>45</v>
      </c>
      <c r="J273" s="482" t="s">
        <v>3909</v>
      </c>
      <c r="K273" s="459" t="s">
        <v>1997</v>
      </c>
      <c r="L273" s="488" t="s">
        <v>45</v>
      </c>
      <c r="M273" s="458" t="s">
        <v>150</v>
      </c>
      <c r="N273" s="462"/>
      <c r="O273" s="474" t="s">
        <v>151</v>
      </c>
      <c r="P273" s="474" t="s">
        <v>151</v>
      </c>
      <c r="Q273" s="458"/>
      <c r="R273" s="475" t="s">
        <v>3910</v>
      </c>
      <c r="S273" s="476" t="s">
        <v>3911</v>
      </c>
      <c r="T273" s="489" t="s">
        <v>3912</v>
      </c>
      <c r="U273" s="459">
        <v>2022</v>
      </c>
      <c r="V273" s="460">
        <v>32173</v>
      </c>
      <c r="W273" s="461" t="s">
        <v>3913</v>
      </c>
      <c r="X273" s="470" t="s">
        <v>3577</v>
      </c>
      <c r="Y273" s="462"/>
      <c r="Z273" s="462"/>
      <c r="AA273" s="458"/>
      <c r="AB273" s="458"/>
      <c r="AC273" s="483">
        <v>46083</v>
      </c>
      <c r="AD273" s="463"/>
      <c r="AE273" s="458"/>
      <c r="AF273" s="458"/>
      <c r="AG273" s="458"/>
      <c r="AH273" s="464"/>
      <c r="AI273" s="463"/>
      <c r="AJ273" s="458"/>
      <c r="AK273" s="458"/>
      <c r="AL273" s="464"/>
      <c r="AM273" s="464"/>
      <c r="AN273" s="464"/>
      <c r="AO273" s="465" t="s">
        <v>164</v>
      </c>
      <c r="AP273" s="466" t="s">
        <v>2154</v>
      </c>
      <c r="AQ273" s="465"/>
      <c r="AR273" s="464"/>
      <c r="AS273" s="458"/>
      <c r="AT273" s="467"/>
      <c r="AU273" s="477" t="s">
        <v>3914</v>
      </c>
      <c r="AV273" s="458"/>
      <c r="AW273" s="478">
        <v>46083</v>
      </c>
      <c r="AX273" s="458"/>
      <c r="AY273" s="464"/>
      <c r="AZ273" s="458"/>
      <c r="BA273" s="458"/>
      <c r="BB273" s="458"/>
      <c r="BC273" s="458"/>
      <c r="BD273" s="458"/>
      <c r="BE273" s="458"/>
      <c r="BF273" s="458"/>
      <c r="BG273" s="463"/>
      <c r="BH273" s="458"/>
      <c r="BI273" s="458"/>
      <c r="BJ273" s="458"/>
      <c r="BK273" s="458"/>
      <c r="BL273" s="458"/>
      <c r="BM273" s="468"/>
      <c r="BN273" s="477"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hidden="1" customHeight="1">
      <c r="A274" s="479">
        <v>277</v>
      </c>
      <c r="B274" s="459" t="s">
        <v>3915</v>
      </c>
      <c r="C274" s="459" t="s">
        <v>3916</v>
      </c>
      <c r="D274" s="459"/>
      <c r="E274" s="459" t="s">
        <v>2542</v>
      </c>
      <c r="F274" s="459" t="s">
        <v>24</v>
      </c>
      <c r="G274" s="458">
        <v>12</v>
      </c>
      <c r="H274" s="459" t="s">
        <v>55</v>
      </c>
      <c r="I274" s="459" t="s">
        <v>45</v>
      </c>
      <c r="J274" s="482" t="s">
        <v>3917</v>
      </c>
      <c r="K274" s="459" t="s">
        <v>3918</v>
      </c>
      <c r="L274" s="488" t="s">
        <v>45</v>
      </c>
      <c r="M274" s="458" t="s">
        <v>150</v>
      </c>
      <c r="N274" s="462"/>
      <c r="O274" s="474" t="s">
        <v>322</v>
      </c>
      <c r="P274" s="474" t="s">
        <v>322</v>
      </c>
      <c r="Q274" s="458"/>
      <c r="R274" s="475" t="s">
        <v>3919</v>
      </c>
      <c r="S274" s="476" t="s">
        <v>3920</v>
      </c>
      <c r="T274" s="489" t="s">
        <v>3921</v>
      </c>
      <c r="U274" s="459" t="s">
        <v>3922</v>
      </c>
      <c r="V274" s="460">
        <v>32197</v>
      </c>
      <c r="W274" s="461" t="s">
        <v>3923</v>
      </c>
      <c r="X274" s="470" t="s">
        <v>3924</v>
      </c>
      <c r="Y274" s="462"/>
      <c r="Z274" s="462"/>
      <c r="AA274" s="458"/>
      <c r="AB274" s="458"/>
      <c r="AC274" s="483">
        <v>46083</v>
      </c>
      <c r="AD274" s="463"/>
      <c r="AE274" s="458"/>
      <c r="AF274" s="458"/>
      <c r="AG274" s="458"/>
      <c r="AH274" s="464"/>
      <c r="AI274" s="463"/>
      <c r="AJ274" s="458"/>
      <c r="AK274" s="458"/>
      <c r="AL274" s="464"/>
      <c r="AM274" s="464"/>
      <c r="AN274" s="464"/>
      <c r="AO274" s="465" t="s">
        <v>164</v>
      </c>
      <c r="AP274" s="466" t="s">
        <v>249</v>
      </c>
      <c r="AQ274" s="465"/>
      <c r="AR274" s="464"/>
      <c r="AS274" s="458"/>
      <c r="AT274" s="467"/>
      <c r="AU274" s="477" t="s">
        <v>3925</v>
      </c>
      <c r="AV274" s="458"/>
      <c r="AW274" s="478">
        <v>46083</v>
      </c>
      <c r="AX274" s="458"/>
      <c r="AY274" s="464"/>
      <c r="AZ274" s="458"/>
      <c r="BA274" s="458"/>
      <c r="BB274" s="458"/>
      <c r="BC274" s="458"/>
      <c r="BD274" s="458"/>
      <c r="BE274" s="458"/>
      <c r="BF274" s="458"/>
      <c r="BG274" s="463"/>
      <c r="BH274" s="458"/>
      <c r="BI274" s="458"/>
      <c r="BJ274" s="458"/>
      <c r="BK274" s="458"/>
      <c r="BL274" s="458"/>
      <c r="BM274" s="468"/>
      <c r="BN274" s="477"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hidden="1" customHeight="1">
      <c r="A275" s="473">
        <v>278</v>
      </c>
      <c r="B275" s="459" t="s">
        <v>3926</v>
      </c>
      <c r="C275" s="459" t="s">
        <v>3927</v>
      </c>
      <c r="D275" s="459"/>
      <c r="E275" s="459" t="s">
        <v>3928</v>
      </c>
      <c r="F275" s="459" t="s">
        <v>24</v>
      </c>
      <c r="G275" s="458">
        <v>12</v>
      </c>
      <c r="H275" s="459" t="s">
        <v>53</v>
      </c>
      <c r="I275" s="459" t="s">
        <v>38</v>
      </c>
      <c r="J275" s="482" t="s">
        <v>602</v>
      </c>
      <c r="K275" s="459"/>
      <c r="L275" s="488" t="s">
        <v>46</v>
      </c>
      <c r="M275" s="458"/>
      <c r="N275" s="462"/>
      <c r="O275" s="474" t="s">
        <v>151</v>
      </c>
      <c r="P275" s="474" t="s">
        <v>151</v>
      </c>
      <c r="Q275" s="458"/>
      <c r="R275" s="475" t="s">
        <v>3929</v>
      </c>
      <c r="S275" s="476" t="s">
        <v>3930</v>
      </c>
      <c r="T275" s="489" t="s">
        <v>3931</v>
      </c>
      <c r="U275" s="459" t="s">
        <v>3932</v>
      </c>
      <c r="V275" s="460">
        <v>34209</v>
      </c>
      <c r="W275" s="461" t="s">
        <v>3933</v>
      </c>
      <c r="X275" s="470" t="s">
        <v>3577</v>
      </c>
      <c r="Y275" s="462"/>
      <c r="Z275" s="462"/>
      <c r="AA275" s="458"/>
      <c r="AB275" s="458"/>
      <c r="AC275" s="483">
        <v>46083</v>
      </c>
      <c r="AD275" s="463"/>
      <c r="AE275" s="458"/>
      <c r="AF275" s="458"/>
      <c r="AG275" s="458"/>
      <c r="AH275" s="464"/>
      <c r="AI275" s="463"/>
      <c r="AJ275" s="458"/>
      <c r="AK275" s="458"/>
      <c r="AL275" s="464"/>
      <c r="AM275" s="464"/>
      <c r="AN275" s="464"/>
      <c r="AO275" s="465" t="s">
        <v>182</v>
      </c>
      <c r="AP275" s="466" t="s">
        <v>3934</v>
      </c>
      <c r="AQ275" s="465"/>
      <c r="AR275" s="464"/>
      <c r="AS275" s="458"/>
      <c r="AT275" s="467"/>
      <c r="AU275" s="477" t="s">
        <v>3935</v>
      </c>
      <c r="AV275" s="458"/>
      <c r="AW275" s="478">
        <v>46083</v>
      </c>
      <c r="AX275" s="458"/>
      <c r="AY275" s="464"/>
      <c r="AZ275" s="458"/>
      <c r="BA275" s="458"/>
      <c r="BB275" s="458"/>
      <c r="BC275" s="458"/>
      <c r="BD275" s="458"/>
      <c r="BE275" s="458"/>
      <c r="BF275" s="458"/>
      <c r="BG275" s="463"/>
      <c r="BH275" s="458"/>
      <c r="BI275" s="458"/>
      <c r="BJ275" s="458"/>
      <c r="BK275" s="458"/>
      <c r="BL275" s="458"/>
      <c r="BM275" s="468"/>
      <c r="BN275" s="477"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hidden="1" customHeight="1">
      <c r="A276" s="479">
        <v>279</v>
      </c>
      <c r="B276" s="459" t="s">
        <v>3936</v>
      </c>
      <c r="C276" s="459" t="s">
        <v>332</v>
      </c>
      <c r="D276" s="459" t="s">
        <v>3937</v>
      </c>
      <c r="E276" s="459" t="s">
        <v>3938</v>
      </c>
      <c r="F276" s="459" t="s">
        <v>24</v>
      </c>
      <c r="G276" s="458">
        <v>12</v>
      </c>
      <c r="H276" s="459" t="s">
        <v>53</v>
      </c>
      <c r="I276" s="488" t="s">
        <v>47</v>
      </c>
      <c r="J276" s="482" t="s">
        <v>3939</v>
      </c>
      <c r="K276" s="480" t="s">
        <v>3940</v>
      </c>
      <c r="L276" s="488" t="s">
        <v>47</v>
      </c>
      <c r="M276" s="458" t="s">
        <v>150</v>
      </c>
      <c r="N276" s="462"/>
      <c r="O276" s="474" t="s">
        <v>151</v>
      </c>
      <c r="P276" s="474" t="s">
        <v>151</v>
      </c>
      <c r="Q276" s="458"/>
      <c r="R276" s="475" t="s">
        <v>3941</v>
      </c>
      <c r="S276" s="476" t="s">
        <v>3942</v>
      </c>
      <c r="T276" s="489" t="s">
        <v>3943</v>
      </c>
      <c r="U276" s="459" t="s">
        <v>3944</v>
      </c>
      <c r="V276" s="460">
        <v>33814</v>
      </c>
      <c r="W276" s="461" t="s">
        <v>3945</v>
      </c>
      <c r="X276" s="470" t="s">
        <v>156</v>
      </c>
      <c r="Y276" s="462"/>
      <c r="Z276" s="462"/>
      <c r="AA276" s="458"/>
      <c r="AB276" s="458"/>
      <c r="AC276" s="483">
        <v>46083</v>
      </c>
      <c r="AD276" s="463"/>
      <c r="AE276" s="458"/>
      <c r="AF276" s="458"/>
      <c r="AG276" s="458"/>
      <c r="AH276" s="464"/>
      <c r="AI276" s="463"/>
      <c r="AJ276" s="458"/>
      <c r="AK276" s="458"/>
      <c r="AL276" s="464"/>
      <c r="AM276" s="464"/>
      <c r="AN276" s="464"/>
      <c r="AO276" s="465"/>
      <c r="AP276" s="466" t="s">
        <v>3946</v>
      </c>
      <c r="AQ276" s="465"/>
      <c r="AR276" s="464"/>
      <c r="AS276" s="458"/>
      <c r="AT276" s="467"/>
      <c r="AU276" s="477" t="s">
        <v>3947</v>
      </c>
      <c r="AV276" s="458"/>
      <c r="AW276" s="478">
        <v>46083</v>
      </c>
      <c r="AX276" s="458"/>
      <c r="AY276" s="464"/>
      <c r="AZ276" s="458"/>
      <c r="BA276" s="458"/>
      <c r="BB276" s="458"/>
      <c r="BC276" s="458"/>
      <c r="BD276" s="458"/>
      <c r="BE276" s="458"/>
      <c r="BF276" s="458"/>
      <c r="BG276" s="463"/>
      <c r="BH276" s="458"/>
      <c r="BI276" s="458"/>
      <c r="BJ276" s="458"/>
      <c r="BK276" s="458"/>
      <c r="BL276" s="458"/>
      <c r="BM276" s="468"/>
      <c r="BN276" s="477"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hidden="1" customHeight="1">
      <c r="A277" s="473">
        <v>280</v>
      </c>
      <c r="B277" s="459" t="s">
        <v>3948</v>
      </c>
      <c r="C277" s="459" t="s">
        <v>2380</v>
      </c>
      <c r="D277" s="459"/>
      <c r="E277" s="459" t="s">
        <v>2800</v>
      </c>
      <c r="F277" s="459" t="s">
        <v>25</v>
      </c>
      <c r="G277" s="458">
        <v>12</v>
      </c>
      <c r="H277" s="459" t="s">
        <v>53</v>
      </c>
      <c r="I277" s="459" t="s">
        <v>47</v>
      </c>
      <c r="J277" s="482" t="s">
        <v>3949</v>
      </c>
      <c r="K277" s="459"/>
      <c r="L277" s="459" t="s">
        <v>47</v>
      </c>
      <c r="M277" s="458"/>
      <c r="N277" s="462"/>
      <c r="O277" s="474" t="s">
        <v>151</v>
      </c>
      <c r="P277" s="474" t="s">
        <v>151</v>
      </c>
      <c r="Q277" s="458"/>
      <c r="R277" s="475" t="s">
        <v>3950</v>
      </c>
      <c r="S277" s="476" t="s">
        <v>3951</v>
      </c>
      <c r="T277" s="489" t="s">
        <v>3952</v>
      </c>
      <c r="U277" s="459">
        <v>2016</v>
      </c>
      <c r="V277" s="460">
        <v>30578</v>
      </c>
      <c r="W277" s="461" t="s">
        <v>3953</v>
      </c>
      <c r="X277" s="470" t="s">
        <v>156</v>
      </c>
      <c r="Y277" s="462"/>
      <c r="Z277" s="462"/>
      <c r="AA277" s="458"/>
      <c r="AB277" s="458"/>
      <c r="AC277" s="483">
        <v>46083</v>
      </c>
      <c r="AD277" s="463"/>
      <c r="AE277" s="458"/>
      <c r="AF277" s="458"/>
      <c r="AG277" s="458"/>
      <c r="AH277" s="464"/>
      <c r="AI277" s="463"/>
      <c r="AJ277" s="458"/>
      <c r="AK277" s="458"/>
      <c r="AL277" s="464"/>
      <c r="AM277" s="464"/>
      <c r="AN277" s="464"/>
      <c r="AO277" s="465" t="s">
        <v>164</v>
      </c>
      <c r="AP277" s="466" t="s">
        <v>3954</v>
      </c>
      <c r="AQ277" s="465"/>
      <c r="AR277" s="464"/>
      <c r="AS277" s="458"/>
      <c r="AT277" s="467"/>
      <c r="AU277" s="477" t="s">
        <v>3955</v>
      </c>
      <c r="AV277" s="458"/>
      <c r="AW277" s="478">
        <v>46083</v>
      </c>
      <c r="AX277" s="458"/>
      <c r="AY277" s="464"/>
      <c r="AZ277" s="458"/>
      <c r="BA277" s="458"/>
      <c r="BB277" s="458"/>
      <c r="BC277" s="458"/>
      <c r="BD277" s="458"/>
      <c r="BE277" s="458"/>
      <c r="BF277" s="458"/>
      <c r="BG277" s="463"/>
      <c r="BH277" s="458"/>
      <c r="BI277" s="458"/>
      <c r="BJ277" s="458"/>
      <c r="BK277" s="458"/>
      <c r="BL277" s="458"/>
      <c r="BM277" s="468"/>
      <c r="BN277" s="477"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hidden="1" customHeight="1">
      <c r="A278" s="479">
        <v>281</v>
      </c>
      <c r="B278" s="459" t="s">
        <v>3956</v>
      </c>
      <c r="C278" s="459" t="s">
        <v>2380</v>
      </c>
      <c r="D278" s="459" t="s">
        <v>3957</v>
      </c>
      <c r="E278" s="459" t="s">
        <v>3958</v>
      </c>
      <c r="F278" s="459" t="s">
        <v>25</v>
      </c>
      <c r="G278" s="458">
        <v>12</v>
      </c>
      <c r="H278" s="459" t="s">
        <v>60</v>
      </c>
      <c r="I278" s="459" t="s">
        <v>37</v>
      </c>
      <c r="J278" s="482" t="s">
        <v>602</v>
      </c>
      <c r="K278" s="459" t="s">
        <v>3959</v>
      </c>
      <c r="L278" s="488" t="s">
        <v>37</v>
      </c>
      <c r="M278" s="458" t="s">
        <v>150</v>
      </c>
      <c r="N278" s="462"/>
      <c r="O278" s="474" t="s">
        <v>322</v>
      </c>
      <c r="P278" s="474" t="s">
        <v>322</v>
      </c>
      <c r="Q278" s="458"/>
      <c r="R278" s="475" t="s">
        <v>3960</v>
      </c>
      <c r="S278" s="476" t="s">
        <v>3961</v>
      </c>
      <c r="T278" s="489" t="s">
        <v>3962</v>
      </c>
      <c r="U278" s="459" t="s">
        <v>3963</v>
      </c>
      <c r="V278" s="460">
        <v>33274</v>
      </c>
      <c r="W278" s="461" t="s">
        <v>3964</v>
      </c>
      <c r="X278" s="470" t="s">
        <v>3924</v>
      </c>
      <c r="Y278" s="462"/>
      <c r="Z278" s="462"/>
      <c r="AA278" s="458"/>
      <c r="AB278" s="458"/>
      <c r="AC278" s="483">
        <v>46083</v>
      </c>
      <c r="AD278" s="463"/>
      <c r="AE278" s="458"/>
      <c r="AF278" s="458"/>
      <c r="AG278" s="458"/>
      <c r="AH278" s="464"/>
      <c r="AI278" s="463"/>
      <c r="AJ278" s="458"/>
      <c r="AK278" s="458"/>
      <c r="AL278" s="464"/>
      <c r="AM278" s="464"/>
      <c r="AN278" s="464"/>
      <c r="AO278" s="465" t="s">
        <v>164</v>
      </c>
      <c r="AP278" s="466" t="s">
        <v>181</v>
      </c>
      <c r="AQ278" s="465"/>
      <c r="AR278" s="464"/>
      <c r="AS278" s="458"/>
      <c r="AT278" s="467"/>
      <c r="AU278" s="477" t="s">
        <v>3965</v>
      </c>
      <c r="AV278" s="458"/>
      <c r="AW278" s="478">
        <v>46083</v>
      </c>
      <c r="AX278" s="458"/>
      <c r="AY278" s="464"/>
      <c r="AZ278" s="458"/>
      <c r="BA278" s="458"/>
      <c r="BB278" s="458"/>
      <c r="BC278" s="458"/>
      <c r="BD278" s="458"/>
      <c r="BE278" s="458"/>
      <c r="BF278" s="458"/>
      <c r="BG278" s="463"/>
      <c r="BH278" s="458"/>
      <c r="BI278" s="458"/>
      <c r="BJ278" s="458"/>
      <c r="BK278" s="458"/>
      <c r="BL278" s="458"/>
      <c r="BM278" s="468"/>
      <c r="BN278" s="477"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hidden="1" customHeight="1">
      <c r="A279" s="473">
        <v>282</v>
      </c>
      <c r="B279" s="459" t="s">
        <v>3966</v>
      </c>
      <c r="C279" s="459" t="s">
        <v>3967</v>
      </c>
      <c r="D279" s="459" t="s">
        <v>3968</v>
      </c>
      <c r="E279" s="459" t="s">
        <v>2589</v>
      </c>
      <c r="F279" s="459" t="s">
        <v>25</v>
      </c>
      <c r="G279" s="458">
        <v>12</v>
      </c>
      <c r="H279" s="459" t="s">
        <v>52</v>
      </c>
      <c r="I279" s="459" t="s">
        <v>44</v>
      </c>
      <c r="J279" s="482" t="s">
        <v>3969</v>
      </c>
      <c r="K279" s="459" t="s">
        <v>1144</v>
      </c>
      <c r="L279" s="488" t="s">
        <v>44</v>
      </c>
      <c r="M279" s="458" t="s">
        <v>150</v>
      </c>
      <c r="N279" s="462"/>
      <c r="O279" s="474" t="s">
        <v>322</v>
      </c>
      <c r="P279" s="474" t="s">
        <v>322</v>
      </c>
      <c r="Q279" s="458"/>
      <c r="R279" s="475" t="s">
        <v>3970</v>
      </c>
      <c r="S279" s="476" t="s">
        <v>3971</v>
      </c>
      <c r="T279" s="489" t="s">
        <v>3972</v>
      </c>
      <c r="U279" s="459" t="s">
        <v>3973</v>
      </c>
      <c r="V279" s="460">
        <v>32423</v>
      </c>
      <c r="W279" s="461" t="s">
        <v>3974</v>
      </c>
      <c r="X279" s="470" t="s">
        <v>3924</v>
      </c>
      <c r="Y279" s="462"/>
      <c r="Z279" s="462"/>
      <c r="AA279" s="458"/>
      <c r="AB279" s="458"/>
      <c r="AC279" s="483">
        <v>46083</v>
      </c>
      <c r="AD279" s="463"/>
      <c r="AE279" s="458"/>
      <c r="AF279" s="458"/>
      <c r="AG279" s="458"/>
      <c r="AH279" s="464"/>
      <c r="AI279" s="463"/>
      <c r="AJ279" s="458"/>
      <c r="AK279" s="458"/>
      <c r="AL279" s="464"/>
      <c r="AM279" s="464"/>
      <c r="AN279" s="464"/>
      <c r="AO279" s="465" t="s">
        <v>164</v>
      </c>
      <c r="AP279" s="466" t="s">
        <v>1167</v>
      </c>
      <c r="AQ279" s="465"/>
      <c r="AR279" s="464"/>
      <c r="AS279" s="458"/>
      <c r="AT279" s="467"/>
      <c r="AU279" s="477" t="s">
        <v>3975</v>
      </c>
      <c r="AV279" s="458"/>
      <c r="AW279" s="478">
        <v>46083</v>
      </c>
      <c r="AX279" s="458"/>
      <c r="AY279" s="464"/>
      <c r="AZ279" s="458"/>
      <c r="BA279" s="458"/>
      <c r="BB279" s="458"/>
      <c r="BC279" s="458"/>
      <c r="BD279" s="458"/>
      <c r="BE279" s="458"/>
      <c r="BF279" s="458"/>
      <c r="BG279" s="463"/>
      <c r="BH279" s="458"/>
      <c r="BI279" s="458"/>
      <c r="BJ279" s="458"/>
      <c r="BK279" s="458"/>
      <c r="BL279" s="458"/>
      <c r="BM279" s="468"/>
      <c r="BN279" s="477"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hidden="1" customHeight="1">
      <c r="A280" s="479">
        <v>283</v>
      </c>
      <c r="B280" s="459" t="s">
        <v>3976</v>
      </c>
      <c r="C280" s="459" t="s">
        <v>3977</v>
      </c>
      <c r="D280" s="459" t="s">
        <v>571</v>
      </c>
      <c r="E280" s="459" t="s">
        <v>3978</v>
      </c>
      <c r="F280" s="459" t="s">
        <v>24</v>
      </c>
      <c r="G280" s="458">
        <v>12</v>
      </c>
      <c r="H280" s="459" t="s">
        <v>54</v>
      </c>
      <c r="I280" s="459" t="s">
        <v>33</v>
      </c>
      <c r="J280" s="482" t="s">
        <v>2676</v>
      </c>
      <c r="K280" s="459" t="s">
        <v>2676</v>
      </c>
      <c r="L280" s="488" t="s">
        <v>33</v>
      </c>
      <c r="M280" s="458" t="s">
        <v>150</v>
      </c>
      <c r="N280" s="462"/>
      <c r="O280" s="474" t="s">
        <v>151</v>
      </c>
      <c r="P280" s="474" t="s">
        <v>151</v>
      </c>
      <c r="Q280" s="458"/>
      <c r="R280" s="475" t="s">
        <v>3979</v>
      </c>
      <c r="S280" s="476" t="s">
        <v>3980</v>
      </c>
      <c r="T280" s="489" t="s">
        <v>3981</v>
      </c>
      <c r="U280" s="459" t="s">
        <v>3982</v>
      </c>
      <c r="V280" s="460">
        <v>32371</v>
      </c>
      <c r="W280" s="461" t="s">
        <v>3983</v>
      </c>
      <c r="X280" s="470" t="s">
        <v>3689</v>
      </c>
      <c r="Y280" s="462"/>
      <c r="Z280" s="462"/>
      <c r="AA280" s="458"/>
      <c r="AB280" s="458"/>
      <c r="AC280" s="483">
        <v>46083</v>
      </c>
      <c r="AD280" s="463"/>
      <c r="AE280" s="458"/>
      <c r="AF280" s="458"/>
      <c r="AG280" s="458"/>
      <c r="AH280" s="464"/>
      <c r="AI280" s="463"/>
      <c r="AJ280" s="458"/>
      <c r="AK280" s="458"/>
      <c r="AL280" s="464"/>
      <c r="AM280" s="464"/>
      <c r="AN280" s="464"/>
      <c r="AO280" s="465" t="s">
        <v>164</v>
      </c>
      <c r="AP280" s="466" t="s">
        <v>203</v>
      </c>
      <c r="AQ280" s="465"/>
      <c r="AR280" s="464"/>
      <c r="AS280" s="458"/>
      <c r="AT280" s="467"/>
      <c r="AU280" s="477" t="s">
        <v>3984</v>
      </c>
      <c r="AV280" s="458"/>
      <c r="AW280" s="478">
        <v>46083</v>
      </c>
      <c r="AX280" s="458"/>
      <c r="AY280" s="464"/>
      <c r="AZ280" s="458"/>
      <c r="BA280" s="458"/>
      <c r="BB280" s="458"/>
      <c r="BC280" s="458"/>
      <c r="BD280" s="458"/>
      <c r="BE280" s="458"/>
      <c r="BF280" s="458"/>
      <c r="BG280" s="463"/>
      <c r="BH280" s="458"/>
      <c r="BI280" s="458"/>
      <c r="BJ280" s="458"/>
      <c r="BK280" s="458"/>
      <c r="BL280" s="458"/>
      <c r="BM280" s="468"/>
      <c r="BN280" s="477"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hidden="1" customHeight="1">
      <c r="A281" s="473">
        <v>284</v>
      </c>
      <c r="B281" s="459" t="s">
        <v>3985</v>
      </c>
      <c r="C281" s="459" t="s">
        <v>3558</v>
      </c>
      <c r="D281" s="459" t="s">
        <v>3986</v>
      </c>
      <c r="E281" s="459" t="s">
        <v>3987</v>
      </c>
      <c r="F281" s="459" t="s">
        <v>24</v>
      </c>
      <c r="G281" s="458">
        <v>12</v>
      </c>
      <c r="H281" s="459" t="s">
        <v>54</v>
      </c>
      <c r="I281" s="459" t="s">
        <v>33</v>
      </c>
      <c r="J281" s="482" t="s">
        <v>3340</v>
      </c>
      <c r="K281" s="459"/>
      <c r="L281" s="459" t="s">
        <v>33</v>
      </c>
      <c r="M281" s="458"/>
      <c r="N281" s="462"/>
      <c r="O281" s="474" t="s">
        <v>151</v>
      </c>
      <c r="P281" s="474" t="s">
        <v>151</v>
      </c>
      <c r="Q281" s="458"/>
      <c r="R281" s="475" t="s">
        <v>3988</v>
      </c>
      <c r="S281" s="476" t="s">
        <v>3989</v>
      </c>
      <c r="T281" s="489" t="s">
        <v>3990</v>
      </c>
      <c r="U281" s="459" t="s">
        <v>3991</v>
      </c>
      <c r="V281" s="460"/>
      <c r="W281" s="461" t="s">
        <v>3992</v>
      </c>
      <c r="X281" s="470" t="s">
        <v>156</v>
      </c>
      <c r="Y281" s="462"/>
      <c r="Z281" s="462"/>
      <c r="AA281" s="458"/>
      <c r="AB281" s="458"/>
      <c r="AC281" s="483">
        <v>46083</v>
      </c>
      <c r="AD281" s="463"/>
      <c r="AE281" s="458"/>
      <c r="AF281" s="458"/>
      <c r="AG281" s="458"/>
      <c r="AH281" s="464"/>
      <c r="AI281" s="463"/>
      <c r="AJ281" s="458"/>
      <c r="AK281" s="458"/>
      <c r="AL281" s="464"/>
      <c r="AM281" s="464"/>
      <c r="AN281" s="464"/>
      <c r="AO281" s="465" t="s">
        <v>164</v>
      </c>
      <c r="AP281" s="466" t="s">
        <v>2186</v>
      </c>
      <c r="AQ281" s="465"/>
      <c r="AR281" s="464"/>
      <c r="AS281" s="458"/>
      <c r="AT281" s="467"/>
      <c r="AU281" s="477" t="s">
        <v>3993</v>
      </c>
      <c r="AV281" s="458"/>
      <c r="AW281" s="478">
        <v>46083</v>
      </c>
      <c r="AX281" s="458"/>
      <c r="AY281" s="464"/>
      <c r="AZ281" s="458"/>
      <c r="BA281" s="458"/>
      <c r="BB281" s="458"/>
      <c r="BC281" s="458"/>
      <c r="BD281" s="458"/>
      <c r="BE281" s="458"/>
      <c r="BF281" s="458"/>
      <c r="BG281" s="463"/>
      <c r="BH281" s="458"/>
      <c r="BI281" s="458"/>
      <c r="BJ281" s="458"/>
      <c r="BK281" s="458"/>
      <c r="BL281" s="458"/>
      <c r="BM281" s="468"/>
      <c r="BN281" s="477"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hidden="1" customHeight="1">
      <c r="A282" s="479">
        <v>285</v>
      </c>
      <c r="B282" s="459" t="s">
        <v>3994</v>
      </c>
      <c r="C282" s="459" t="s">
        <v>3995</v>
      </c>
      <c r="D282" s="459" t="s">
        <v>3996</v>
      </c>
      <c r="E282" s="459" t="s">
        <v>3997</v>
      </c>
      <c r="F282" s="459" t="s">
        <v>24</v>
      </c>
      <c r="G282" s="458">
        <v>12</v>
      </c>
      <c r="H282" s="459" t="s">
        <v>54</v>
      </c>
      <c r="I282" s="459" t="s">
        <v>33</v>
      </c>
      <c r="J282" s="482" t="s">
        <v>3998</v>
      </c>
      <c r="K282" s="459" t="s">
        <v>3998</v>
      </c>
      <c r="L282" s="459" t="s">
        <v>33</v>
      </c>
      <c r="M282" s="458"/>
      <c r="N282" s="462"/>
      <c r="O282" s="474" t="s">
        <v>151</v>
      </c>
      <c r="P282" s="474" t="s">
        <v>151</v>
      </c>
      <c r="Q282" s="458"/>
      <c r="R282" s="475" t="s">
        <v>3999</v>
      </c>
      <c r="S282" s="476" t="s">
        <v>4000</v>
      </c>
      <c r="T282" s="489" t="s">
        <v>4001</v>
      </c>
      <c r="U282" s="480" t="s">
        <v>4002</v>
      </c>
      <c r="V282" s="460">
        <v>33414</v>
      </c>
      <c r="W282" s="461" t="s">
        <v>4003</v>
      </c>
      <c r="X282" s="470" t="s">
        <v>3924</v>
      </c>
      <c r="Y282" s="462"/>
      <c r="Z282" s="462"/>
      <c r="AA282" s="458"/>
      <c r="AB282" s="458"/>
      <c r="AC282" s="483">
        <v>46083</v>
      </c>
      <c r="AD282" s="463"/>
      <c r="AE282" s="458"/>
      <c r="AF282" s="458"/>
      <c r="AG282" s="458"/>
      <c r="AH282" s="464"/>
      <c r="AI282" s="463"/>
      <c r="AJ282" s="458"/>
      <c r="AK282" s="458"/>
      <c r="AL282" s="464"/>
      <c r="AM282" s="464"/>
      <c r="AN282" s="464"/>
      <c r="AO282" s="465" t="s">
        <v>164</v>
      </c>
      <c r="AP282" s="466" t="s">
        <v>181</v>
      </c>
      <c r="AQ282" s="465"/>
      <c r="AR282" s="464"/>
      <c r="AS282" s="458"/>
      <c r="AT282" s="467"/>
      <c r="AU282" s="477" t="s">
        <v>4004</v>
      </c>
      <c r="AV282" s="458"/>
      <c r="AW282" s="478">
        <v>46083</v>
      </c>
      <c r="AX282" s="458"/>
      <c r="AY282" s="464"/>
      <c r="AZ282" s="458"/>
      <c r="BA282" s="458"/>
      <c r="BB282" s="458"/>
      <c r="BC282" s="458"/>
      <c r="BD282" s="458"/>
      <c r="BE282" s="458"/>
      <c r="BF282" s="458"/>
      <c r="BG282" s="463"/>
      <c r="BH282" s="458"/>
      <c r="BI282" s="458"/>
      <c r="BJ282" s="458"/>
      <c r="BK282" s="458"/>
      <c r="BL282" s="458"/>
      <c r="BM282" s="468"/>
      <c r="BN282" s="477"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hidden="1" customHeight="1">
      <c r="A283" s="473">
        <v>286</v>
      </c>
      <c r="B283" s="459" t="s">
        <v>4005</v>
      </c>
      <c r="C283" s="459" t="s">
        <v>4006</v>
      </c>
      <c r="D283" s="459"/>
      <c r="E283" s="459" t="s">
        <v>4007</v>
      </c>
      <c r="F283" s="459" t="s">
        <v>24</v>
      </c>
      <c r="G283" s="458">
        <v>12</v>
      </c>
      <c r="H283" s="459" t="s">
        <v>52</v>
      </c>
      <c r="I283" s="459" t="s">
        <v>40</v>
      </c>
      <c r="J283" s="482" t="s">
        <v>602</v>
      </c>
      <c r="K283" s="459"/>
      <c r="L283" s="488" t="s">
        <v>46</v>
      </c>
      <c r="M283" s="458"/>
      <c r="N283" s="462"/>
      <c r="O283" s="474" t="s">
        <v>322</v>
      </c>
      <c r="P283" s="474" t="s">
        <v>322</v>
      </c>
      <c r="Q283" s="458"/>
      <c r="R283" s="475" t="s">
        <v>4008</v>
      </c>
      <c r="S283" s="476" t="s">
        <v>4009</v>
      </c>
      <c r="T283" s="489" t="s">
        <v>4010</v>
      </c>
      <c r="U283" s="459" t="s">
        <v>4011</v>
      </c>
      <c r="V283" s="460">
        <v>33824</v>
      </c>
      <c r="W283" s="461" t="s">
        <v>4012</v>
      </c>
      <c r="X283" s="470" t="s">
        <v>3577</v>
      </c>
      <c r="Y283" s="462"/>
      <c r="Z283" s="462"/>
      <c r="AA283" s="458"/>
      <c r="AB283" s="458"/>
      <c r="AC283" s="483">
        <v>46083</v>
      </c>
      <c r="AD283" s="463"/>
      <c r="AE283" s="458"/>
      <c r="AF283" s="458"/>
      <c r="AG283" s="458"/>
      <c r="AH283" s="464"/>
      <c r="AI283" s="463"/>
      <c r="AJ283" s="458"/>
      <c r="AK283" s="458"/>
      <c r="AL283" s="464"/>
      <c r="AM283" s="464"/>
      <c r="AN283" s="464"/>
      <c r="AO283" s="465" t="s">
        <v>182</v>
      </c>
      <c r="AP283" s="466" t="s">
        <v>4013</v>
      </c>
      <c r="AQ283" s="465"/>
      <c r="AR283" s="464"/>
      <c r="AS283" s="458"/>
      <c r="AT283" s="467"/>
      <c r="AU283" s="477" t="s">
        <v>4014</v>
      </c>
      <c r="AV283" s="458"/>
      <c r="AW283" s="478">
        <v>46083</v>
      </c>
      <c r="AX283" s="458"/>
      <c r="AY283" s="464"/>
      <c r="AZ283" s="458"/>
      <c r="BA283" s="458"/>
      <c r="BB283" s="458"/>
      <c r="BC283" s="458"/>
      <c r="BD283" s="458"/>
      <c r="BE283" s="458"/>
      <c r="BF283" s="458"/>
      <c r="BG283" s="463"/>
      <c r="BH283" s="458"/>
      <c r="BI283" s="458"/>
      <c r="BJ283" s="458"/>
      <c r="BK283" s="458"/>
      <c r="BL283" s="458"/>
      <c r="BM283" s="468"/>
      <c r="BN283" s="477"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hidden="1" customHeight="1">
      <c r="A284" s="479">
        <v>287</v>
      </c>
      <c r="B284" s="459" t="s">
        <v>4015</v>
      </c>
      <c r="C284" s="459" t="s">
        <v>4016</v>
      </c>
      <c r="D284" s="459"/>
      <c r="E284" s="459" t="s">
        <v>4017</v>
      </c>
      <c r="F284" s="459" t="s">
        <v>25</v>
      </c>
      <c r="G284" s="458">
        <v>12</v>
      </c>
      <c r="H284" s="459" t="s">
        <v>60</v>
      </c>
      <c r="I284" s="459" t="s">
        <v>37</v>
      </c>
      <c r="J284" s="482" t="s">
        <v>3270</v>
      </c>
      <c r="K284" s="459" t="s">
        <v>4018</v>
      </c>
      <c r="L284" s="488" t="s">
        <v>37</v>
      </c>
      <c r="M284" s="458" t="s">
        <v>150</v>
      </c>
      <c r="N284" s="462"/>
      <c r="O284" s="474" t="s">
        <v>151</v>
      </c>
      <c r="P284" s="474" t="s">
        <v>151</v>
      </c>
      <c r="Q284" s="458"/>
      <c r="R284" s="475" t="s">
        <v>4019</v>
      </c>
      <c r="S284" s="476" t="s">
        <v>4020</v>
      </c>
      <c r="T284" s="489" t="s">
        <v>4021</v>
      </c>
      <c r="U284" s="459">
        <v>2018</v>
      </c>
      <c r="V284" s="460">
        <v>31835</v>
      </c>
      <c r="W284" s="461" t="s">
        <v>4022</v>
      </c>
      <c r="X284" s="470" t="s">
        <v>156</v>
      </c>
      <c r="Y284" s="462"/>
      <c r="Z284" s="462"/>
      <c r="AA284" s="458"/>
      <c r="AB284" s="458"/>
      <c r="AC284" s="483">
        <v>46083</v>
      </c>
      <c r="AD284" s="463"/>
      <c r="AE284" s="458"/>
      <c r="AF284" s="458"/>
      <c r="AG284" s="458"/>
      <c r="AH284" s="464"/>
      <c r="AI284" s="463"/>
      <c r="AJ284" s="458"/>
      <c r="AK284" s="458"/>
      <c r="AL284" s="464"/>
      <c r="AM284" s="464"/>
      <c r="AN284" s="464"/>
      <c r="AO284" s="465" t="s">
        <v>164</v>
      </c>
      <c r="AP284" s="466" t="s">
        <v>4023</v>
      </c>
      <c r="AQ284" s="465"/>
      <c r="AR284" s="464"/>
      <c r="AS284" s="458"/>
      <c r="AT284" s="467"/>
      <c r="AU284" s="477" t="s">
        <v>4024</v>
      </c>
      <c r="AV284" s="458"/>
      <c r="AW284" s="478">
        <v>46083</v>
      </c>
      <c r="AX284" s="458"/>
      <c r="AY284" s="464"/>
      <c r="AZ284" s="458"/>
      <c r="BA284" s="458"/>
      <c r="BB284" s="458"/>
      <c r="BC284" s="458"/>
      <c r="BD284" s="458"/>
      <c r="BE284" s="458"/>
      <c r="BF284" s="458"/>
      <c r="BG284" s="463"/>
      <c r="BH284" s="458"/>
      <c r="BI284" s="458"/>
      <c r="BJ284" s="458"/>
      <c r="BK284" s="458"/>
      <c r="BL284" s="458"/>
      <c r="BM284" s="468"/>
      <c r="BN284" s="477"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hidden="1" customHeight="1">
      <c r="A285" s="473">
        <v>288</v>
      </c>
      <c r="B285" s="459" t="s">
        <v>4025</v>
      </c>
      <c r="C285" s="459" t="s">
        <v>4026</v>
      </c>
      <c r="D285" s="459" t="s">
        <v>4027</v>
      </c>
      <c r="E285" s="459" t="s">
        <v>4028</v>
      </c>
      <c r="F285" s="459" t="s">
        <v>25</v>
      </c>
      <c r="G285" s="458">
        <v>12</v>
      </c>
      <c r="H285" s="459" t="s">
        <v>53</v>
      </c>
      <c r="I285" s="459" t="s">
        <v>47</v>
      </c>
      <c r="J285" s="482" t="s">
        <v>602</v>
      </c>
      <c r="K285" s="459"/>
      <c r="L285" s="459" t="s">
        <v>47</v>
      </c>
      <c r="M285" s="458"/>
      <c r="N285" s="462"/>
      <c r="O285" s="474" t="s">
        <v>151</v>
      </c>
      <c r="P285" s="474" t="s">
        <v>151</v>
      </c>
      <c r="Q285" s="458"/>
      <c r="R285" s="475" t="s">
        <v>4029</v>
      </c>
      <c r="S285" s="476" t="s">
        <v>4030</v>
      </c>
      <c r="T285" s="489" t="s">
        <v>4031</v>
      </c>
      <c r="U285" s="459" t="s">
        <v>4032</v>
      </c>
      <c r="V285" s="460">
        <v>33563</v>
      </c>
      <c r="W285" s="461" t="s">
        <v>4033</v>
      </c>
      <c r="X285" s="470" t="s">
        <v>156</v>
      </c>
      <c r="Y285" s="462"/>
      <c r="Z285" s="462"/>
      <c r="AA285" s="458"/>
      <c r="AB285" s="458"/>
      <c r="AC285" s="483">
        <v>46083</v>
      </c>
      <c r="AD285" s="463"/>
      <c r="AE285" s="458"/>
      <c r="AF285" s="458"/>
      <c r="AG285" s="458"/>
      <c r="AH285" s="464"/>
      <c r="AI285" s="463"/>
      <c r="AJ285" s="458"/>
      <c r="AK285" s="458"/>
      <c r="AL285" s="464"/>
      <c r="AM285" s="464"/>
      <c r="AN285" s="464"/>
      <c r="AO285" s="465"/>
      <c r="AP285" s="466" t="s">
        <v>4034</v>
      </c>
      <c r="AQ285" s="465"/>
      <c r="AR285" s="464"/>
      <c r="AS285" s="458"/>
      <c r="AT285" s="467"/>
      <c r="AU285" s="477" t="s">
        <v>4035</v>
      </c>
      <c r="AV285" s="458"/>
      <c r="AW285" s="478">
        <v>46083</v>
      </c>
      <c r="AX285" s="458"/>
      <c r="AY285" s="464"/>
      <c r="AZ285" s="458"/>
      <c r="BA285" s="458"/>
      <c r="BB285" s="458"/>
      <c r="BC285" s="458"/>
      <c r="BD285" s="458"/>
      <c r="BE285" s="458"/>
      <c r="BF285" s="458"/>
      <c r="BG285" s="463"/>
      <c r="BH285" s="458"/>
      <c r="BI285" s="458"/>
      <c r="BJ285" s="458"/>
      <c r="BK285" s="458"/>
      <c r="BL285" s="458"/>
      <c r="BM285" s="468"/>
      <c r="BN285" s="477"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hidden="1" customHeight="1">
      <c r="A286" s="479">
        <v>289</v>
      </c>
      <c r="B286" s="459" t="s">
        <v>4036</v>
      </c>
      <c r="C286" s="459" t="s">
        <v>4037</v>
      </c>
      <c r="D286" s="459"/>
      <c r="E286" s="459" t="s">
        <v>4038</v>
      </c>
      <c r="F286" s="459" t="s">
        <v>24</v>
      </c>
      <c r="G286" s="458">
        <v>12</v>
      </c>
      <c r="H286" s="459" t="s">
        <v>55</v>
      </c>
      <c r="I286" s="459" t="s">
        <v>45</v>
      </c>
      <c r="J286" s="482" t="s">
        <v>4039</v>
      </c>
      <c r="K286" s="459" t="s">
        <v>4040</v>
      </c>
      <c r="L286" s="488" t="s">
        <v>45</v>
      </c>
      <c r="M286" s="458" t="s">
        <v>150</v>
      </c>
      <c r="N286" s="462"/>
      <c r="O286" s="474" t="s">
        <v>151</v>
      </c>
      <c r="P286" s="474" t="s">
        <v>151</v>
      </c>
      <c r="Q286" s="458"/>
      <c r="R286" s="475" t="s">
        <v>4041</v>
      </c>
      <c r="S286" s="476" t="s">
        <v>4042</v>
      </c>
      <c r="T286" s="489" t="s">
        <v>4043</v>
      </c>
      <c r="U286" s="459" t="s">
        <v>4044</v>
      </c>
      <c r="V286" s="460">
        <v>32156</v>
      </c>
      <c r="W286" s="461" t="s">
        <v>4045</v>
      </c>
      <c r="X286" s="470" t="s">
        <v>3689</v>
      </c>
      <c r="Y286" s="462"/>
      <c r="Z286" s="462"/>
      <c r="AA286" s="458"/>
      <c r="AB286" s="458"/>
      <c r="AC286" s="483">
        <v>46083</v>
      </c>
      <c r="AD286" s="463"/>
      <c r="AE286" s="458"/>
      <c r="AF286" s="458"/>
      <c r="AG286" s="458"/>
      <c r="AH286" s="464"/>
      <c r="AI286" s="463"/>
      <c r="AJ286" s="458"/>
      <c r="AK286" s="458"/>
      <c r="AL286" s="464"/>
      <c r="AM286" s="464"/>
      <c r="AN286" s="464"/>
      <c r="AO286" s="465" t="s">
        <v>202</v>
      </c>
      <c r="AP286" s="466" t="s">
        <v>4046</v>
      </c>
      <c r="AQ286" s="465"/>
      <c r="AR286" s="464"/>
      <c r="AS286" s="458"/>
      <c r="AT286" s="467"/>
      <c r="AU286" s="477" t="s">
        <v>4047</v>
      </c>
      <c r="AV286" s="458"/>
      <c r="AW286" s="478">
        <v>46083</v>
      </c>
      <c r="AX286" s="458"/>
      <c r="AY286" s="464"/>
      <c r="AZ286" s="458"/>
      <c r="BA286" s="458"/>
      <c r="BB286" s="458"/>
      <c r="BC286" s="458"/>
      <c r="BD286" s="458"/>
      <c r="BE286" s="458"/>
      <c r="BF286" s="458"/>
      <c r="BG286" s="463"/>
      <c r="BH286" s="458"/>
      <c r="BI286" s="458"/>
      <c r="BJ286" s="458"/>
      <c r="BK286" s="458"/>
      <c r="BL286" s="458"/>
      <c r="BM286" s="468"/>
      <c r="BN286" s="477"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hidden="1" customHeight="1">
      <c r="A287" s="473">
        <v>290</v>
      </c>
      <c r="B287" s="459" t="s">
        <v>4048</v>
      </c>
      <c r="C287" s="459" t="s">
        <v>4049</v>
      </c>
      <c r="D287" s="459" t="s">
        <v>4050</v>
      </c>
      <c r="E287" s="459" t="s">
        <v>4051</v>
      </c>
      <c r="F287" s="459" t="s">
        <v>25</v>
      </c>
      <c r="G287" s="458">
        <v>12</v>
      </c>
      <c r="H287" s="459" t="s">
        <v>52</v>
      </c>
      <c r="I287" s="459" t="s">
        <v>39</v>
      </c>
      <c r="J287" s="482" t="s">
        <v>4052</v>
      </c>
      <c r="K287" s="480" t="s">
        <v>602</v>
      </c>
      <c r="L287" s="488" t="s">
        <v>39</v>
      </c>
      <c r="M287" s="458" t="s">
        <v>150</v>
      </c>
      <c r="N287" s="462"/>
      <c r="O287" s="474" t="s">
        <v>151</v>
      </c>
      <c r="P287" s="474" t="s">
        <v>151</v>
      </c>
      <c r="Q287" s="458"/>
      <c r="R287" s="475" t="s">
        <v>4053</v>
      </c>
      <c r="S287" s="476" t="s">
        <v>4054</v>
      </c>
      <c r="T287" s="489" t="s">
        <v>4055</v>
      </c>
      <c r="U287" s="459" t="s">
        <v>4056</v>
      </c>
      <c r="V287" s="460">
        <v>32625</v>
      </c>
      <c r="W287" s="461" t="s">
        <v>4057</v>
      </c>
      <c r="X287" s="470" t="s">
        <v>3924</v>
      </c>
      <c r="Y287" s="462"/>
      <c r="Z287" s="462"/>
      <c r="AA287" s="458"/>
      <c r="AB287" s="458"/>
      <c r="AC287" s="483">
        <v>46083</v>
      </c>
      <c r="AD287" s="463"/>
      <c r="AE287" s="458"/>
      <c r="AF287" s="458"/>
      <c r="AG287" s="458"/>
      <c r="AH287" s="464"/>
      <c r="AI287" s="463"/>
      <c r="AJ287" s="458"/>
      <c r="AK287" s="458"/>
      <c r="AL287" s="464"/>
      <c r="AM287" s="464"/>
      <c r="AN287" s="464"/>
      <c r="AO287" s="465" t="s">
        <v>182</v>
      </c>
      <c r="AP287" s="466" t="s">
        <v>2246</v>
      </c>
      <c r="AQ287" s="465"/>
      <c r="AR287" s="464"/>
      <c r="AS287" s="458"/>
      <c r="AT287" s="467"/>
      <c r="AU287" s="477" t="s">
        <v>4058</v>
      </c>
      <c r="AV287" s="458"/>
      <c r="AW287" s="478">
        <v>46083</v>
      </c>
      <c r="AX287" s="458"/>
      <c r="AY287" s="464"/>
      <c r="AZ287" s="458"/>
      <c r="BA287" s="458"/>
      <c r="BB287" s="458"/>
      <c r="BC287" s="458"/>
      <c r="BD287" s="458"/>
      <c r="BE287" s="458"/>
      <c r="BF287" s="458"/>
      <c r="BG287" s="463"/>
      <c r="BH287" s="458"/>
      <c r="BI287" s="458"/>
      <c r="BJ287" s="458"/>
      <c r="BK287" s="458"/>
      <c r="BL287" s="458"/>
      <c r="BM287" s="468"/>
      <c r="BN287" s="477"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hidden="1" customHeight="1">
      <c r="A288" s="479">
        <v>291</v>
      </c>
      <c r="B288" s="459" t="s">
        <v>4059</v>
      </c>
      <c r="C288" s="459" t="s">
        <v>4060</v>
      </c>
      <c r="D288" s="459"/>
      <c r="E288" s="459" t="s">
        <v>4061</v>
      </c>
      <c r="F288" s="459" t="s">
        <v>24</v>
      </c>
      <c r="G288" s="458">
        <v>12</v>
      </c>
      <c r="H288" s="459" t="s">
        <v>60</v>
      </c>
      <c r="I288" s="459" t="s">
        <v>37</v>
      </c>
      <c r="J288" s="482" t="s">
        <v>4062</v>
      </c>
      <c r="K288" s="459" t="s">
        <v>2650</v>
      </c>
      <c r="L288" s="488" t="s">
        <v>37</v>
      </c>
      <c r="M288" s="458" t="s">
        <v>150</v>
      </c>
      <c r="N288" s="462"/>
      <c r="O288" s="474" t="s">
        <v>151</v>
      </c>
      <c r="P288" s="474" t="s">
        <v>151</v>
      </c>
      <c r="Q288" s="458"/>
      <c r="R288" s="475" t="s">
        <v>4063</v>
      </c>
      <c r="S288" s="476" t="s">
        <v>4064</v>
      </c>
      <c r="T288" s="489" t="s">
        <v>4065</v>
      </c>
      <c r="U288" s="459" t="s">
        <v>4066</v>
      </c>
      <c r="V288" s="460">
        <v>34820</v>
      </c>
      <c r="W288" s="461" t="s">
        <v>4067</v>
      </c>
      <c r="X288" s="470" t="s">
        <v>3924</v>
      </c>
      <c r="Y288" s="462"/>
      <c r="Z288" s="462"/>
      <c r="AA288" s="458"/>
      <c r="AB288" s="458"/>
      <c r="AC288" s="483">
        <v>46083</v>
      </c>
      <c r="AD288" s="463"/>
      <c r="AE288" s="458"/>
      <c r="AF288" s="458"/>
      <c r="AG288" s="458"/>
      <c r="AH288" s="464"/>
      <c r="AI288" s="463"/>
      <c r="AJ288" s="458"/>
      <c r="AK288" s="458"/>
      <c r="AL288" s="464"/>
      <c r="AM288" s="464"/>
      <c r="AN288" s="464"/>
      <c r="AO288" s="465" t="s">
        <v>202</v>
      </c>
      <c r="AP288" s="466" t="s">
        <v>4068</v>
      </c>
      <c r="AQ288" s="465"/>
      <c r="AR288" s="464"/>
      <c r="AS288" s="458"/>
      <c r="AT288" s="467"/>
      <c r="AU288" s="477" t="s">
        <v>4069</v>
      </c>
      <c r="AV288" s="458"/>
      <c r="AW288" s="478">
        <v>46083</v>
      </c>
      <c r="AX288" s="458"/>
      <c r="AY288" s="464"/>
      <c r="AZ288" s="458"/>
      <c r="BA288" s="458"/>
      <c r="BB288" s="458"/>
      <c r="BC288" s="458"/>
      <c r="BD288" s="458"/>
      <c r="BE288" s="458"/>
      <c r="BF288" s="458"/>
      <c r="BG288" s="463"/>
      <c r="BH288" s="458"/>
      <c r="BI288" s="458"/>
      <c r="BJ288" s="458"/>
      <c r="BK288" s="458"/>
      <c r="BL288" s="458"/>
      <c r="BM288" s="468"/>
      <c r="BN288" s="477"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c r="A296" s="46" t="s">
        <v>4070</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4071</v>
      </c>
    </row>
    <row r="310" spans="1:2" ht="15" customHeight="1">
      <c r="A310" s="24" t="s">
        <v>168</v>
      </c>
      <c r="B310" s="47" t="s">
        <v>4072</v>
      </c>
    </row>
    <row r="311" spans="1:2" ht="15" customHeight="1">
      <c r="A311" s="292"/>
      <c r="B311" s="393" t="s">
        <v>4073</v>
      </c>
    </row>
  </sheetData>
  <autoFilter ref="A1:CL288" xr:uid="{00000000-0001-0000-0200-000000000000}">
    <filterColumn colId="6">
      <filters>
        <filter val="11"/>
      </filters>
    </filterColumn>
    <filterColumn colId="8">
      <filters>
        <filter val="Somali National University"/>
      </filters>
    </filterColumn>
    <filterColumn colId="65">
      <filters>
        <filter val="In progress"/>
      </filters>
    </filterColumn>
  </autoFilter>
  <sortState xmlns:xlrd2="http://schemas.microsoft.com/office/spreadsheetml/2017/richdata2" ref="A2:CL246">
    <sortCondition ref="F2:F246"/>
  </sortState>
  <hyperlinks>
    <hyperlink ref="R84" r:id="rId1" xr:uid="{00000000-0004-0000-0200-000000000000}"/>
    <hyperlink ref="S145" r:id="rId2" xr:uid="{00000000-0004-0000-0200-000001000000}"/>
    <hyperlink ref="S171" r:id="rId3" xr:uid="{00000000-0004-0000-0200-000002000000}"/>
    <hyperlink ref="S37" r:id="rId4" xr:uid="{00000000-0004-0000-0200-000003000000}"/>
    <hyperlink ref="S79" r:id="rId5" xr:uid="{00000000-0004-0000-0200-000004000000}"/>
    <hyperlink ref="R88" r:id="rId6" xr:uid="{00000000-0004-0000-0200-000005000000}"/>
    <hyperlink ref="S87" r:id="rId7" xr:uid="{00000000-0004-0000-0200-000006000000}"/>
    <hyperlink ref="S89" r:id="rId8" xr:uid="{00000000-0004-0000-0200-000007000000}"/>
    <hyperlink ref="S106" r:id="rId9" xr:uid="{00000000-0004-0000-0200-000008000000}"/>
    <hyperlink ref="S92" r:id="rId10" xr:uid="{00000000-0004-0000-0200-000009000000}"/>
    <hyperlink ref="S67" r:id="rId11" xr:uid="{00000000-0004-0000-0200-00000A000000}"/>
    <hyperlink ref="S114" r:id="rId12" xr:uid="{00000000-0004-0000-0200-00000B000000}"/>
    <hyperlink ref="S98" r:id="rId13" xr:uid="{00000000-0004-0000-0200-00000C000000}"/>
    <hyperlink ref="S80" r:id="rId14" xr:uid="{00000000-0004-0000-0200-00000D000000}"/>
    <hyperlink ref="S77" r:id="rId15" xr:uid="{00000000-0004-0000-0200-00000E000000}"/>
    <hyperlink ref="S69" r:id="rId16" xr:uid="{00000000-0004-0000-0200-00000F000000}"/>
    <hyperlink ref="S131" r:id="rId17" xr:uid="{00000000-0004-0000-0200-000010000000}"/>
    <hyperlink ref="S140" r:id="rId18" xr:uid="{00000000-0004-0000-0200-000011000000}"/>
    <hyperlink ref="S167" r:id="rId19" xr:uid="{00000000-0004-0000-0200-000012000000}"/>
    <hyperlink ref="S122" r:id="rId20" xr:uid="{00000000-0004-0000-0200-000013000000}"/>
    <hyperlink ref="R157" r:id="rId21" xr:uid="{00000000-0004-0000-0200-000014000000}"/>
    <hyperlink ref="S221" r:id="rId22" xr:uid="{00000000-0004-0000-0200-000015000000}"/>
    <hyperlink ref="S157" r:id="rId23" display="musasiahjustus@yahoo.com" xr:uid="{00000000-0004-0000-0200-000016000000}"/>
    <hyperlink ref="R182" r:id="rId24" xr:uid="{00000000-0004-0000-0200-000017000000}"/>
    <hyperlink ref="S237" r:id="rId25" xr:uid="{00000000-0004-0000-0200-000018000000}"/>
    <hyperlink ref="AU145" r:id="rId26" display="http://orcid.org/0000-0002-7787-8597" xr:uid="{00000000-0004-0000-0200-000019000000}"/>
    <hyperlink ref="AU95" r:id="rId27" display="https://orcid.org/0000-0002-5726-6921" xr:uid="{00000000-0004-0000-0200-00001A000000}"/>
    <hyperlink ref="S196" r:id="rId28" xr:uid="{00000000-0004-0000-0200-00001C000000}"/>
    <hyperlink ref="R189" r:id="rId29" xr:uid="{00000000-0004-0000-0200-00001D000000}"/>
    <hyperlink ref="R151" r:id="rId30" xr:uid="{00000000-0004-0000-0200-00001E000000}"/>
    <hyperlink ref="S54" r:id="rId31" xr:uid="{00000000-0004-0000-0200-00001F000000}"/>
    <hyperlink ref="R83" r:id="rId32" xr:uid="{00000000-0004-0000-0200-000020000000}"/>
    <hyperlink ref="R97" r:id="rId33" xr:uid="{00000000-0004-0000-0200-000021000000}"/>
    <hyperlink ref="R107" r:id="rId34" xr:uid="{00000000-0004-0000-0200-000022000000}"/>
    <hyperlink ref="R141" r:id="rId35" xr:uid="{00000000-0004-0000-0200-000023000000}"/>
    <hyperlink ref="R65" r:id="rId36" xr:uid="{00000000-0004-0000-0200-000024000000}"/>
    <hyperlink ref="S86" r:id="rId37" display="mutua_mike@yahoo.com;_x000a_" xr:uid="{6B09AE7E-F6A4-4A34-8852-613E8CD82C32}"/>
    <hyperlink ref="R41" r:id="rId38" xr:uid="{F01F596E-3472-428A-9126-44A1F9ED4967}"/>
    <hyperlink ref="R96" r:id="rId39" xr:uid="{BED300F1-4F06-43B8-A31D-851CC0306C88}"/>
    <hyperlink ref="S258" r:id="rId40" xr:uid="{B4864E4F-F0F7-4C6C-9B66-85A2A2344B8D}"/>
    <hyperlink ref="S152" r:id="rId41" xr:uid="{62EF75FC-17D2-4CAC-B4EF-82AA9460E74B}"/>
    <hyperlink ref="S150" r:id="rId42" xr:uid="{F6C15C21-FC5F-4C79-92C3-37E1355E31E9}"/>
    <hyperlink ref="S36" r:id="rId43" xr:uid="{FF3EDF7C-7EE0-4249-8D43-11F676368418}"/>
    <hyperlink ref="S147" r:id="rId44" xr:uid="{08B3AFEE-B755-442A-88B5-C1053F990460}"/>
    <hyperlink ref="R16" r:id="rId45" xr:uid="{0D58A5AC-77F5-4BBC-A8A1-47512EC5DE92}"/>
    <hyperlink ref="R130" r:id="rId46" xr:uid="{424A726B-8519-4F14-8906-737CFAD607BD}"/>
    <hyperlink ref="S183"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8" r:id="rId70" xr:uid="{9779C2B4-A305-4F48-B1A2-F15BAF44D1A0}"/>
    <hyperlink ref="R28" r:id="rId71" xr:uid="{B4A0050F-E40E-4A6D-A029-461D8D8EF9BA}"/>
    <hyperlink ref="R125" r:id="rId72" xr:uid="{71E5BA8F-C590-4E29-95E3-31FC957A69C4}"/>
    <hyperlink ref="R79" r:id="rId73" xr:uid="{1898C726-643E-412B-BBF7-64A9F9A5ACC1}"/>
    <hyperlink ref="R85" r:id="rId74" xr:uid="{458F9408-6DFD-4DBB-9525-3FBC171B8141}"/>
    <hyperlink ref="R99" r:id="rId75" xr:uid="{08D3999A-13D5-4BEF-98D5-FE7883F775B8}"/>
    <hyperlink ref="R11" r:id="rId76" xr:uid="{35C21B62-B668-4CE1-BEBE-9568BCF67682}"/>
    <hyperlink ref="R102" r:id="rId77" xr:uid="{B5EA70BB-6057-4777-B292-B8E6937674EA}"/>
    <hyperlink ref="R13" r:id="rId78" xr:uid="{9BA64370-F1B7-43A9-8679-B3536A42C3C3}"/>
    <hyperlink ref="R91" r:id="rId79" xr:uid="{79E4664A-DDAF-4D06-8FF3-F707011797C0}"/>
    <hyperlink ref="S160" r:id="rId80" xr:uid="{BF9A2BFC-1ADB-4B17-ADDF-9DE397F113EF}"/>
    <hyperlink ref="S125" r:id="rId81" xr:uid="{74C49840-8A7C-4F13-BA6D-2266546B5342}"/>
    <hyperlink ref="S217" r:id="rId82" xr:uid="{C4BAD285-94BE-4F89-B9E0-51F4046DD017}"/>
    <hyperlink ref="S209" r:id="rId83" xr:uid="{BD1C2116-EFCB-4F31-8456-0BF148004CFB}"/>
    <hyperlink ref="R194" r:id="rId84" xr:uid="{2390D6DE-56AD-4250-9F54-1DF5C7E51908}"/>
    <hyperlink ref="R203" r:id="rId85" xr:uid="{6D80A28E-65E9-496A-B9B2-984957020D2D}"/>
    <hyperlink ref="S146" r:id="rId86" xr:uid="{C7E369D5-60A8-48D9-810B-6718685E9252}"/>
    <hyperlink ref="R71" r:id="rId87" xr:uid="{017CF4E7-E9EE-4FA7-89AD-D92C6BC71FD5}"/>
    <hyperlink ref="S148" r:id="rId88" xr:uid="{4115AE8B-83D8-4924-82FC-2A4DE0B8D994}"/>
    <hyperlink ref="S230" r:id="rId89" xr:uid="{E5C0F08E-71B7-4C6B-985C-E71C0CACB89D}"/>
    <hyperlink ref="R144" r:id="rId90" xr:uid="{8A876F0B-D2B5-408D-AAD5-103502F5A5F8}"/>
    <hyperlink ref="R171" r:id="rId91" xr:uid="{BED36B3C-2A7F-43A6-B667-7D5CDB3BA7DB}"/>
    <hyperlink ref="R195" r:id="rId92" xr:uid="{C8B3A223-5AB9-4750-B5BE-0D94D52242AD}"/>
    <hyperlink ref="R103" r:id="rId93" xr:uid="{C669164E-12BD-41C2-9F47-0B3BB2F9CAEB}"/>
    <hyperlink ref="S103" r:id="rId94" xr:uid="{B7BC676A-B25E-4F72-A345-114ABF9E9706}"/>
    <hyperlink ref="S189"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0" r:id="rId180" xr:uid="{9A43CB39-148B-4834-A7EE-FE63EB49AB55}"/>
    <hyperlink ref="R217" r:id="rId181" xr:uid="{0E5AD8ED-B83C-4361-A4C9-5C376ABC41CD}"/>
    <hyperlink ref="R201" r:id="rId182" xr:uid="{8BCB03A9-E200-4997-B50B-991B347DF6FC}"/>
    <hyperlink ref="S201" r:id="rId183" xr:uid="{517F9C62-2C93-4578-8242-F9BD5E84561F}"/>
    <hyperlink ref="R149" r:id="rId184" xr:uid="{0A22C7F4-AD3B-44F7-8F1E-7450675ED581}"/>
    <hyperlink ref="S149" r:id="rId185" xr:uid="{63755387-BFBA-4A32-9E01-4D362EC0D380}"/>
    <hyperlink ref="R178" r:id="rId186" xr:uid="{1866841B-6C57-473C-81A4-0F7D91217B15}"/>
    <hyperlink ref="S178" r:id="rId187" xr:uid="{C33ACA53-0849-4DA9-BEA3-20AD4324F63D}"/>
    <hyperlink ref="R199" r:id="rId188" xr:uid="{0AAB5AFE-68B0-48F3-9614-B93C5B3BA709}"/>
    <hyperlink ref="S199" r:id="rId189" xr:uid="{85DD8AC0-E71E-41B2-B000-C89A5EA8C340}"/>
    <hyperlink ref="R45" r:id="rId190" xr:uid="{7468F332-6992-441F-B629-6BF93B5877D7}"/>
    <hyperlink ref="S45" r:id="rId191" xr:uid="{5721A6EE-1471-4F59-96C7-3BBCDDC0A927}"/>
    <hyperlink ref="R147" r:id="rId192" xr:uid="{6CA9FBBD-3A1A-4B84-AA31-D56C0AACA648}"/>
    <hyperlink ref="R211" r:id="rId193" xr:uid="{CB3C7732-F9D8-4A0E-B2D8-9FA79CA7FD3B}"/>
    <hyperlink ref="S211" r:id="rId194" xr:uid="{06E70407-58F6-4A96-9FA5-E872F62271FE}"/>
    <hyperlink ref="R148" r:id="rId195" xr:uid="{E4153D20-04D7-455A-8CB5-C05E7B340F57}"/>
    <hyperlink ref="S81" r:id="rId196" xr:uid="{D7CF5CAC-A60A-4987-B43F-0CF41CC22E43}"/>
    <hyperlink ref="R81" r:id="rId197" xr:uid="{35959672-08ED-4ED4-86D0-2E2668149AAC}"/>
    <hyperlink ref="R190" r:id="rId198" xr:uid="{43376102-DE41-4E7D-B580-83B0C8418E3E}"/>
    <hyperlink ref="R248" r:id="rId199" xr:uid="{16F4F0FC-CA89-4AF8-8AC8-68038AB67B20}"/>
    <hyperlink ref="S248" r:id="rId200" xr:uid="{6024899D-D426-4A0B-9ED9-2620E19CCAD2}"/>
    <hyperlink ref="R254" r:id="rId201" xr:uid="{C828694C-F10D-4DFE-BBF3-422DEC5687CB}"/>
    <hyperlink ref="R222" r:id="rId202" xr:uid="{3FD44810-3228-42E9-9C56-D858E7871232}"/>
    <hyperlink ref="R228" r:id="rId203" xr:uid="{E2C511DF-329E-4122-9D7D-662AD4896433}"/>
    <hyperlink ref="S228" r:id="rId204" xr:uid="{BB71036B-A635-466B-9AA8-8B05EE7796E2}"/>
    <hyperlink ref="S244" r:id="rId205" xr:uid="{579F0E3C-31E5-4A35-BCBE-00596C7F152E}"/>
    <hyperlink ref="S234" r:id="rId206" xr:uid="{CD435BC5-5811-437C-89C9-51F77FA126D8}"/>
    <hyperlink ref="S235" r:id="rId207" xr:uid="{0AC97D30-C339-4416-B0A2-4E3073D7726A}"/>
  </hyperlinks>
  <pageMargins left="0.7" right="0.7" top="0.75" bottom="0.75" header="0.3" footer="0.3"/>
  <pageSetup orientation="portrait" r:id="rId208"/>
  <legacyDrawing r:id="rId20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4074</v>
      </c>
      <c r="B1" s="62" t="s">
        <v>4075</v>
      </c>
      <c r="C1" s="62" t="s">
        <v>4076</v>
      </c>
      <c r="D1" s="62" t="s">
        <v>31</v>
      </c>
      <c r="E1" s="63" t="s">
        <v>15</v>
      </c>
      <c r="F1" s="63" t="s">
        <v>4077</v>
      </c>
      <c r="G1" s="64" t="s">
        <v>4078</v>
      </c>
      <c r="H1" s="64" t="s">
        <v>4079</v>
      </c>
      <c r="I1" s="65" t="s">
        <v>4080</v>
      </c>
      <c r="J1" s="66" t="s">
        <v>4081</v>
      </c>
    </row>
    <row r="2" spans="1:10" ht="24.95" customHeight="1">
      <c r="A2" s="24">
        <v>1</v>
      </c>
      <c r="B2" s="24" t="s">
        <v>4082</v>
      </c>
      <c r="C2" s="24" t="s">
        <v>4083</v>
      </c>
      <c r="D2" s="24" t="s">
        <v>27</v>
      </c>
      <c r="E2" s="67">
        <v>3</v>
      </c>
      <c r="F2" s="67"/>
      <c r="G2" s="67">
        <v>2014</v>
      </c>
      <c r="H2" s="67">
        <v>2014</v>
      </c>
      <c r="I2" s="24" t="s">
        <v>4084</v>
      </c>
      <c r="J2" s="24"/>
    </row>
    <row r="3" spans="1:10" ht="24.95" customHeight="1">
      <c r="A3" s="24">
        <v>2</v>
      </c>
      <c r="B3" s="24" t="s">
        <v>4085</v>
      </c>
      <c r="C3" s="24" t="s">
        <v>42</v>
      </c>
      <c r="D3" s="24" t="s">
        <v>27</v>
      </c>
      <c r="E3" s="67">
        <v>3</v>
      </c>
      <c r="F3" s="67"/>
      <c r="G3" s="67">
        <v>2016</v>
      </c>
      <c r="H3" s="67">
        <v>2016</v>
      </c>
      <c r="I3" s="24" t="s">
        <v>4084</v>
      </c>
      <c r="J3" s="24"/>
    </row>
    <row r="4" spans="1:10" ht="24.95" customHeight="1">
      <c r="A4" s="24">
        <v>3</v>
      </c>
      <c r="B4" s="24" t="s">
        <v>4086</v>
      </c>
      <c r="C4" s="24" t="s">
        <v>44</v>
      </c>
      <c r="D4" s="24" t="s">
        <v>27</v>
      </c>
      <c r="E4" s="67">
        <v>1</v>
      </c>
      <c r="F4" s="67" t="s">
        <v>150</v>
      </c>
      <c r="G4" s="68">
        <v>42583</v>
      </c>
      <c r="H4" s="67">
        <v>2016</v>
      </c>
      <c r="I4" s="24" t="s">
        <v>4084</v>
      </c>
      <c r="J4" s="24"/>
    </row>
    <row r="5" spans="1:10" ht="24.95" customHeight="1">
      <c r="A5" s="24">
        <v>4</v>
      </c>
      <c r="B5" s="24" t="s">
        <v>4087</v>
      </c>
      <c r="C5" s="24" t="s">
        <v>44</v>
      </c>
      <c r="D5" s="24" t="s">
        <v>26</v>
      </c>
      <c r="E5" s="67">
        <v>2</v>
      </c>
      <c r="F5" s="67" t="s">
        <v>4088</v>
      </c>
      <c r="G5" s="67" t="s">
        <v>4089</v>
      </c>
      <c r="H5" s="67">
        <v>2016</v>
      </c>
      <c r="I5" s="24" t="s">
        <v>4090</v>
      </c>
      <c r="J5" s="24"/>
    </row>
    <row r="6" spans="1:10" ht="24.95" customHeight="1">
      <c r="A6" s="24">
        <v>5</v>
      </c>
      <c r="B6" s="24" t="s">
        <v>4091</v>
      </c>
      <c r="C6" s="24" t="s">
        <v>45</v>
      </c>
      <c r="D6" s="24" t="s">
        <v>27</v>
      </c>
      <c r="E6" s="67">
        <v>7</v>
      </c>
      <c r="F6" s="67" t="s">
        <v>4092</v>
      </c>
      <c r="G6" s="67">
        <v>2017</v>
      </c>
      <c r="H6" s="67">
        <v>2017</v>
      </c>
      <c r="I6" s="24" t="s">
        <v>4084</v>
      </c>
      <c r="J6" s="24"/>
    </row>
    <row r="7" spans="1:10" ht="24.95" customHeight="1">
      <c r="A7" s="24">
        <v>6</v>
      </c>
      <c r="B7" s="24" t="s">
        <v>4093</v>
      </c>
      <c r="C7" s="24" t="s">
        <v>4094</v>
      </c>
      <c r="D7" s="24" t="s">
        <v>27</v>
      </c>
      <c r="E7" s="67">
        <v>5</v>
      </c>
      <c r="F7" s="67" t="s">
        <v>4095</v>
      </c>
      <c r="G7" s="67">
        <v>2017</v>
      </c>
      <c r="H7" s="67">
        <v>2017</v>
      </c>
      <c r="I7" s="24" t="s">
        <v>4096</v>
      </c>
      <c r="J7" s="24"/>
    </row>
    <row r="8" spans="1:10" ht="24.95" customHeight="1">
      <c r="A8" s="24">
        <v>7</v>
      </c>
      <c r="B8" s="24" t="s">
        <v>4097</v>
      </c>
      <c r="C8" s="24" t="s">
        <v>44</v>
      </c>
      <c r="D8" s="24" t="s">
        <v>26</v>
      </c>
      <c r="E8" s="67">
        <v>5</v>
      </c>
      <c r="F8" s="67" t="s">
        <v>4095</v>
      </c>
      <c r="G8" s="67">
        <v>2018</v>
      </c>
      <c r="H8" s="67">
        <v>2018</v>
      </c>
      <c r="I8" s="24" t="s">
        <v>4084</v>
      </c>
      <c r="J8" s="24"/>
    </row>
    <row r="9" spans="1:10" ht="24.95" customHeight="1">
      <c r="A9" s="24">
        <v>8</v>
      </c>
      <c r="B9" s="24" t="s">
        <v>4098</v>
      </c>
      <c r="C9" s="24" t="s">
        <v>39</v>
      </c>
      <c r="D9" s="24" t="s">
        <v>27</v>
      </c>
      <c r="E9" s="67">
        <v>6</v>
      </c>
      <c r="F9" s="67"/>
      <c r="G9" s="67">
        <v>2018</v>
      </c>
      <c r="H9" s="67">
        <v>2018</v>
      </c>
      <c r="I9" s="24" t="s">
        <v>4084</v>
      </c>
      <c r="J9" s="24"/>
    </row>
    <row r="10" spans="1:10" ht="24.95" customHeight="1">
      <c r="A10" s="24">
        <v>9</v>
      </c>
      <c r="B10" s="24" t="s">
        <v>4099</v>
      </c>
      <c r="C10" s="24" t="s">
        <v>43</v>
      </c>
      <c r="D10" s="24" t="s">
        <v>27</v>
      </c>
      <c r="E10" s="67">
        <v>5</v>
      </c>
      <c r="F10" s="67" t="s">
        <v>157</v>
      </c>
      <c r="G10" s="67">
        <v>2018</v>
      </c>
      <c r="H10" s="67">
        <v>2018</v>
      </c>
      <c r="I10" s="24" t="s">
        <v>4084</v>
      </c>
      <c r="J10" s="24"/>
    </row>
    <row r="11" spans="1:10" ht="24.95" customHeight="1">
      <c r="A11" s="24">
        <v>10</v>
      </c>
      <c r="B11" s="24" t="s">
        <v>4100</v>
      </c>
      <c r="C11" s="24" t="s">
        <v>44</v>
      </c>
      <c r="D11" s="24" t="s">
        <v>26</v>
      </c>
      <c r="E11" s="67">
        <v>1</v>
      </c>
      <c r="F11" s="67" t="s">
        <v>4101</v>
      </c>
      <c r="G11" s="67" t="s">
        <v>4102</v>
      </c>
      <c r="H11" s="67"/>
      <c r="I11" s="24" t="s">
        <v>4084</v>
      </c>
      <c r="J11" s="24"/>
    </row>
    <row r="12" spans="1:10" ht="24.95" customHeight="1">
      <c r="A12" s="24">
        <v>11</v>
      </c>
      <c r="B12" s="24" t="s">
        <v>4103</v>
      </c>
      <c r="C12" s="24" t="s">
        <v>43</v>
      </c>
      <c r="D12" s="24" t="s">
        <v>26</v>
      </c>
      <c r="E12" s="67">
        <v>1</v>
      </c>
      <c r="F12" s="67" t="s">
        <v>4104</v>
      </c>
      <c r="G12" s="67" t="s">
        <v>4102</v>
      </c>
      <c r="H12" s="67"/>
      <c r="I12" s="24" t="s">
        <v>4084</v>
      </c>
      <c r="J12" s="24"/>
    </row>
    <row r="13" spans="1:10" ht="24.95" customHeight="1">
      <c r="A13" s="24">
        <v>12</v>
      </c>
      <c r="B13" s="24" t="s">
        <v>4105</v>
      </c>
      <c r="C13" s="24" t="s">
        <v>4094</v>
      </c>
      <c r="D13" s="24" t="s">
        <v>27</v>
      </c>
      <c r="E13" s="67">
        <v>4</v>
      </c>
      <c r="F13" s="67"/>
      <c r="G13" s="69">
        <v>43867</v>
      </c>
      <c r="H13" s="67">
        <v>2020</v>
      </c>
      <c r="I13" s="24" t="s">
        <v>4084</v>
      </c>
      <c r="J13" s="24"/>
    </row>
    <row r="14" spans="1:10" ht="24.95" customHeight="1">
      <c r="A14" s="24">
        <v>13</v>
      </c>
      <c r="B14" s="24" t="s">
        <v>4106</v>
      </c>
      <c r="C14" s="24" t="s">
        <v>37</v>
      </c>
      <c r="D14" s="24" t="s">
        <v>26</v>
      </c>
      <c r="E14" s="67">
        <v>8</v>
      </c>
      <c r="F14" s="67"/>
      <c r="G14" s="69">
        <v>43867</v>
      </c>
      <c r="H14" s="67">
        <v>2020</v>
      </c>
      <c r="I14" s="24" t="s">
        <v>4107</v>
      </c>
      <c r="J14" s="70" t="s">
        <v>4108</v>
      </c>
    </row>
    <row r="15" spans="1:10" ht="24.95" customHeight="1">
      <c r="A15" s="24">
        <v>14</v>
      </c>
      <c r="B15" s="24" t="s">
        <v>4109</v>
      </c>
      <c r="C15" s="24" t="s">
        <v>37</v>
      </c>
      <c r="D15" s="24" t="s">
        <v>27</v>
      </c>
      <c r="E15" s="67">
        <v>5</v>
      </c>
      <c r="F15" s="67"/>
      <c r="G15" s="69">
        <v>43930</v>
      </c>
      <c r="H15" s="67">
        <v>2020</v>
      </c>
      <c r="I15" s="24" t="s">
        <v>4084</v>
      </c>
      <c r="J15" s="70"/>
    </row>
    <row r="16" spans="1:10" ht="24.95" customHeight="1">
      <c r="A16" s="24">
        <v>15</v>
      </c>
      <c r="B16" s="24" t="s">
        <v>4110</v>
      </c>
      <c r="C16" s="24" t="s">
        <v>40</v>
      </c>
      <c r="D16" s="24" t="s">
        <v>27</v>
      </c>
      <c r="E16" s="67">
        <v>7</v>
      </c>
      <c r="F16" s="67"/>
      <c r="G16" s="69">
        <v>43930</v>
      </c>
      <c r="H16" s="67">
        <v>2020</v>
      </c>
      <c r="I16" s="24" t="s">
        <v>4084</v>
      </c>
      <c r="J16" s="70" t="s">
        <v>4111</v>
      </c>
    </row>
    <row r="17" spans="1:10" ht="24.95" customHeight="1">
      <c r="A17" s="24">
        <v>16</v>
      </c>
      <c r="B17" s="24" t="s">
        <v>4112</v>
      </c>
      <c r="C17" s="24" t="s">
        <v>44</v>
      </c>
      <c r="D17" s="24" t="s">
        <v>26</v>
      </c>
      <c r="E17" s="67">
        <v>7</v>
      </c>
      <c r="F17" s="67"/>
      <c r="G17" s="69">
        <v>44214</v>
      </c>
      <c r="H17" s="67">
        <v>2021</v>
      </c>
      <c r="I17" s="24" t="s">
        <v>4113</v>
      </c>
      <c r="J17" s="70" t="s">
        <v>4114</v>
      </c>
    </row>
    <row r="18" spans="1:10" ht="24.95" customHeight="1">
      <c r="A18" s="24">
        <v>17</v>
      </c>
      <c r="B18" s="24" t="s">
        <v>4115</v>
      </c>
      <c r="C18" s="24" t="s">
        <v>4094</v>
      </c>
      <c r="D18" s="24" t="s">
        <v>27</v>
      </c>
      <c r="E18" s="67">
        <v>8</v>
      </c>
      <c r="F18" s="67"/>
      <c r="G18" s="69">
        <v>44400</v>
      </c>
      <c r="H18" s="67">
        <v>2021</v>
      </c>
      <c r="I18" s="24" t="s">
        <v>4084</v>
      </c>
      <c r="J18" s="70" t="s">
        <v>4116</v>
      </c>
    </row>
    <row r="19" spans="1:10" ht="24.95" customHeight="1">
      <c r="A19" s="24">
        <v>18</v>
      </c>
      <c r="B19" s="24" t="s">
        <v>4117</v>
      </c>
      <c r="C19" s="24" t="s">
        <v>37</v>
      </c>
      <c r="D19" s="24" t="s">
        <v>27</v>
      </c>
      <c r="E19" s="67">
        <v>8</v>
      </c>
      <c r="F19" s="67"/>
      <c r="G19" s="69">
        <v>44651</v>
      </c>
      <c r="H19" s="67">
        <v>2022</v>
      </c>
      <c r="I19" s="24" t="s">
        <v>4118</v>
      </c>
      <c r="J19" s="70" t="s">
        <v>4119</v>
      </c>
    </row>
    <row r="20" spans="1:10" ht="24.95" customHeight="1">
      <c r="A20" s="24">
        <v>19</v>
      </c>
      <c r="B20" s="24" t="s">
        <v>4120</v>
      </c>
      <c r="C20" s="24" t="s">
        <v>44</v>
      </c>
      <c r="D20" s="24" t="s">
        <v>26</v>
      </c>
      <c r="E20" s="67">
        <v>9</v>
      </c>
      <c r="F20" s="67"/>
      <c r="G20" s="69">
        <v>44818</v>
      </c>
      <c r="H20" s="67">
        <v>2022</v>
      </c>
      <c r="I20" s="24" t="s">
        <v>4113</v>
      </c>
      <c r="J20" s="70" t="s">
        <v>4121</v>
      </c>
    </row>
    <row r="21" spans="1:10" ht="24.95" customHeight="1">
      <c r="A21" s="24">
        <v>20</v>
      </c>
      <c r="B21" s="24" t="s">
        <v>4122</v>
      </c>
      <c r="C21" s="24" t="s">
        <v>37</v>
      </c>
      <c r="D21" s="24" t="s">
        <v>26</v>
      </c>
      <c r="E21" s="67">
        <v>9</v>
      </c>
      <c r="F21" s="67"/>
      <c r="G21" s="69">
        <v>44818</v>
      </c>
      <c r="H21" s="67">
        <v>2022</v>
      </c>
      <c r="I21" s="24" t="s">
        <v>4084</v>
      </c>
      <c r="J21" s="70" t="s">
        <v>4123</v>
      </c>
    </row>
    <row r="22" spans="1:10" ht="24.95" customHeight="1">
      <c r="A22" s="24">
        <v>21</v>
      </c>
      <c r="B22" s="24" t="s">
        <v>4124</v>
      </c>
      <c r="C22" s="24" t="s">
        <v>37</v>
      </c>
      <c r="D22" s="24" t="s">
        <v>27</v>
      </c>
      <c r="E22" s="67">
        <v>10</v>
      </c>
      <c r="F22" s="67"/>
      <c r="G22" s="69">
        <v>45107</v>
      </c>
      <c r="H22" s="67">
        <v>2023</v>
      </c>
      <c r="I22" s="24" t="s">
        <v>4084</v>
      </c>
      <c r="J22" s="70" t="s">
        <v>4125</v>
      </c>
    </row>
    <row r="23" spans="1:10" ht="24.95" customHeight="1">
      <c r="A23" s="24">
        <v>22</v>
      </c>
      <c r="B23" s="24" t="s">
        <v>4126</v>
      </c>
      <c r="C23" s="24" t="s">
        <v>4083</v>
      </c>
      <c r="D23" s="24"/>
      <c r="E23" s="67">
        <v>2</v>
      </c>
      <c r="F23" s="67"/>
      <c r="G23" s="69">
        <v>45741</v>
      </c>
      <c r="H23" s="67">
        <v>2025</v>
      </c>
      <c r="I23" s="70" t="s">
        <v>4127</v>
      </c>
      <c r="J23" s="70"/>
    </row>
    <row r="24" spans="1:10" ht="24.95" customHeight="1">
      <c r="A24" s="24">
        <v>23</v>
      </c>
      <c r="B24" s="24" t="s">
        <v>4128</v>
      </c>
      <c r="C24" s="24" t="s">
        <v>4083</v>
      </c>
      <c r="D24" s="24"/>
      <c r="E24" s="67">
        <v>2</v>
      </c>
      <c r="F24" s="67"/>
      <c r="G24" s="69">
        <v>45741</v>
      </c>
      <c r="H24" s="67">
        <v>2025</v>
      </c>
      <c r="I24" s="70" t="s">
        <v>4129</v>
      </c>
      <c r="J24" s="70"/>
    </row>
    <row r="25" spans="1:10" ht="24.95" customHeight="1">
      <c r="A25" s="24">
        <v>24</v>
      </c>
      <c r="B25" s="24" t="s">
        <v>4130</v>
      </c>
      <c r="C25" s="24" t="s">
        <v>4083</v>
      </c>
      <c r="D25" s="24"/>
      <c r="E25" s="67">
        <v>3</v>
      </c>
      <c r="F25" s="67"/>
      <c r="G25" s="69">
        <v>45741</v>
      </c>
      <c r="H25" s="67">
        <v>2025</v>
      </c>
      <c r="I25" s="70" t="s">
        <v>4131</v>
      </c>
      <c r="J25" s="70"/>
    </row>
    <row r="26" spans="1:10" ht="24.95" customHeight="1">
      <c r="A26" s="24">
        <v>25</v>
      </c>
      <c r="B26" s="24" t="s">
        <v>4132</v>
      </c>
      <c r="C26" s="24" t="s">
        <v>4083</v>
      </c>
      <c r="D26" s="24"/>
      <c r="E26" s="67">
        <v>5</v>
      </c>
      <c r="F26" s="67"/>
      <c r="G26" s="69">
        <v>45741</v>
      </c>
      <c r="H26" s="67">
        <v>2025</v>
      </c>
      <c r="I26" s="70" t="s">
        <v>4133</v>
      </c>
      <c r="J26" s="70"/>
    </row>
    <row r="27" spans="1:10">
      <c r="A27" s="24">
        <v>26</v>
      </c>
      <c r="B27" s="24" t="s">
        <v>4134</v>
      </c>
      <c r="C27" s="24" t="s">
        <v>45</v>
      </c>
      <c r="D27" s="24" t="s">
        <v>27</v>
      </c>
      <c r="E27" s="67">
        <v>11</v>
      </c>
      <c r="F27" s="67"/>
      <c r="G27" s="69" t="s">
        <v>3819</v>
      </c>
      <c r="H27" s="67">
        <v>2025</v>
      </c>
      <c r="I27" s="24" t="s">
        <v>4135</v>
      </c>
      <c r="J27" s="24" t="s">
        <v>4136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K27" workbookViewId="0">
      <selection activeCell="W29" sqref="W29"/>
    </sheetView>
  </sheetViews>
  <sheetFormatPr defaultRowHeight="14.45"/>
  <cols>
    <col min="5" max="5" width="41.85546875" bestFit="1" customWidth="1"/>
    <col min="6" max="6" width="10.85546875" bestFit="1" customWidth="1"/>
    <col min="7" max="7" width="8.140625" bestFit="1" customWidth="1"/>
    <col min="8" max="8" width="11.7109375" bestFit="1" customWidth="1"/>
    <col min="9" max="9" width="9.28515625" bestFit="1" customWidth="1"/>
    <col min="10" max="10" width="10.7109375" bestFit="1" customWidth="1"/>
  </cols>
  <sheetData>
    <row r="2" spans="5:8">
      <c r="E2" s="54" t="s">
        <v>120</v>
      </c>
      <c r="F2" t="s">
        <v>4137</v>
      </c>
    </row>
    <row r="4" spans="5:8">
      <c r="E4" s="54" t="s">
        <v>13</v>
      </c>
      <c r="F4" s="54" t="s">
        <v>31</v>
      </c>
      <c r="G4" s="54" t="s">
        <v>14</v>
      </c>
    </row>
    <row r="5" spans="5:8">
      <c r="F5" t="s">
        <v>25</v>
      </c>
      <c r="G5" t="s">
        <v>4138</v>
      </c>
      <c r="H5" t="s">
        <v>19</v>
      </c>
    </row>
    <row r="6" spans="5:8">
      <c r="E6" s="54" t="s">
        <v>36</v>
      </c>
      <c r="F6" t="s">
        <v>16</v>
      </c>
    </row>
    <row r="7" spans="5:8">
      <c r="E7" t="s">
        <v>39</v>
      </c>
      <c r="F7">
        <v>1</v>
      </c>
      <c r="G7">
        <v>1</v>
      </c>
      <c r="H7">
        <v>1</v>
      </c>
    </row>
    <row r="8" spans="5:8">
      <c r="E8" t="s">
        <v>41</v>
      </c>
      <c r="F8">
        <v>1</v>
      </c>
      <c r="G8">
        <v>1</v>
      </c>
      <c r="H8">
        <v>1</v>
      </c>
    </row>
    <row r="9" spans="5:8">
      <c r="E9" t="s">
        <v>33</v>
      </c>
      <c r="F9">
        <v>1</v>
      </c>
      <c r="G9">
        <v>1</v>
      </c>
      <c r="H9">
        <v>1</v>
      </c>
    </row>
    <row r="10" spans="5:8">
      <c r="E10" t="s">
        <v>44</v>
      </c>
      <c r="F10">
        <v>1</v>
      </c>
      <c r="G10">
        <v>1</v>
      </c>
      <c r="H10">
        <v>1</v>
      </c>
    </row>
    <row r="11" spans="5:8">
      <c r="E11" t="s">
        <v>46</v>
      </c>
      <c r="F11">
        <v>2</v>
      </c>
      <c r="G11">
        <v>2</v>
      </c>
      <c r="H11">
        <v>2</v>
      </c>
    </row>
    <row r="12" spans="5:8">
      <c r="E12" t="s">
        <v>19</v>
      </c>
      <c r="F12">
        <v>6</v>
      </c>
      <c r="G12">
        <v>6</v>
      </c>
      <c r="H12">
        <v>6</v>
      </c>
    </row>
    <row r="24" spans="5:8">
      <c r="E24" s="54" t="s">
        <v>14</v>
      </c>
      <c r="F24" t="s">
        <v>32</v>
      </c>
    </row>
    <row r="26" spans="5:8">
      <c r="E26" s="54" t="s">
        <v>21</v>
      </c>
      <c r="F26" s="54" t="s">
        <v>31</v>
      </c>
    </row>
    <row r="27" spans="5:8">
      <c r="E27" s="54" t="s">
        <v>36</v>
      </c>
      <c r="F27" t="s">
        <v>24</v>
      </c>
      <c r="G27" t="s">
        <v>25</v>
      </c>
      <c r="H27" t="s">
        <v>19</v>
      </c>
    </row>
    <row r="28" spans="5:8">
      <c r="E28" t="s">
        <v>38</v>
      </c>
      <c r="F28">
        <v>3</v>
      </c>
      <c r="H28">
        <v>3</v>
      </c>
    </row>
    <row r="29" spans="5:8">
      <c r="E29" t="s">
        <v>40</v>
      </c>
      <c r="F29">
        <v>5</v>
      </c>
      <c r="G29">
        <v>1</v>
      </c>
      <c r="H29">
        <v>6</v>
      </c>
    </row>
    <row r="30" spans="5:8">
      <c r="E30" t="s">
        <v>42</v>
      </c>
      <c r="F30">
        <v>4</v>
      </c>
      <c r="G30">
        <v>6</v>
      </c>
      <c r="H30">
        <v>10</v>
      </c>
    </row>
    <row r="31" spans="5:8">
      <c r="E31" t="s">
        <v>37</v>
      </c>
      <c r="F31">
        <v>17</v>
      </c>
      <c r="G31">
        <v>14</v>
      </c>
      <c r="H31">
        <v>31</v>
      </c>
    </row>
    <row r="32" spans="5:8">
      <c r="E32" t="s">
        <v>39</v>
      </c>
      <c r="F32">
        <v>5</v>
      </c>
      <c r="G32">
        <v>17</v>
      </c>
      <c r="H32">
        <v>22</v>
      </c>
    </row>
    <row r="33" spans="5:8">
      <c r="E33" t="s">
        <v>41</v>
      </c>
      <c r="F33">
        <v>15</v>
      </c>
      <c r="G33">
        <v>18</v>
      </c>
      <c r="H33">
        <v>33</v>
      </c>
    </row>
    <row r="34" spans="5:8">
      <c r="E34" t="s">
        <v>43</v>
      </c>
      <c r="F34">
        <v>3</v>
      </c>
      <c r="G34">
        <v>3</v>
      </c>
      <c r="H34">
        <v>6</v>
      </c>
    </row>
    <row r="35" spans="5:8">
      <c r="E35" t="s">
        <v>33</v>
      </c>
      <c r="F35">
        <v>20</v>
      </c>
      <c r="G35">
        <v>23</v>
      </c>
      <c r="H35">
        <v>43</v>
      </c>
    </row>
    <row r="36" spans="5:8">
      <c r="E36" t="s">
        <v>44</v>
      </c>
      <c r="F36">
        <v>7</v>
      </c>
      <c r="G36">
        <v>24</v>
      </c>
      <c r="H36">
        <v>31</v>
      </c>
    </row>
    <row r="37" spans="5:8">
      <c r="E37" t="s">
        <v>45</v>
      </c>
      <c r="F37">
        <v>19</v>
      </c>
      <c r="G37">
        <v>12</v>
      </c>
      <c r="H37">
        <v>31</v>
      </c>
    </row>
    <row r="38" spans="5:8">
      <c r="E38" t="s">
        <v>46</v>
      </c>
      <c r="F38">
        <v>9</v>
      </c>
      <c r="G38">
        <v>23</v>
      </c>
      <c r="H38">
        <v>32</v>
      </c>
    </row>
    <row r="39" spans="5:8">
      <c r="E39" t="s">
        <v>48</v>
      </c>
      <c r="F39">
        <v>1</v>
      </c>
      <c r="G39">
        <v>1</v>
      </c>
      <c r="H39">
        <v>2</v>
      </c>
    </row>
    <row r="40" spans="5:8">
      <c r="E40" t="s">
        <v>47</v>
      </c>
      <c r="F40">
        <v>22</v>
      </c>
      <c r="G40">
        <v>15</v>
      </c>
      <c r="H40">
        <v>37</v>
      </c>
    </row>
    <row r="41" spans="5:8">
      <c r="E41" t="s">
        <v>19</v>
      </c>
      <c r="F41">
        <v>130</v>
      </c>
      <c r="G41">
        <v>157</v>
      </c>
      <c r="H41">
        <v>287</v>
      </c>
    </row>
    <row r="46" spans="5:8">
      <c r="E46" s="54" t="s">
        <v>99</v>
      </c>
      <c r="F46" t="s">
        <v>32</v>
      </c>
    </row>
    <row r="48" spans="5:8">
      <c r="E48" s="54" t="s">
        <v>21</v>
      </c>
      <c r="F48" s="54" t="s">
        <v>31</v>
      </c>
    </row>
    <row r="49" spans="5:8">
      <c r="E49" s="54" t="s">
        <v>36</v>
      </c>
      <c r="F49" t="s">
        <v>24</v>
      </c>
      <c r="G49" t="s">
        <v>25</v>
      </c>
      <c r="H49" t="s">
        <v>19</v>
      </c>
    </row>
    <row r="50" spans="5:8">
      <c r="E50" t="s">
        <v>38</v>
      </c>
      <c r="F50">
        <v>2</v>
      </c>
      <c r="H50">
        <v>2</v>
      </c>
    </row>
    <row r="51" spans="5:8">
      <c r="E51" t="s">
        <v>40</v>
      </c>
      <c r="F51">
        <v>4</v>
      </c>
      <c r="G51">
        <v>1</v>
      </c>
      <c r="H51">
        <v>5</v>
      </c>
    </row>
    <row r="52" spans="5:8">
      <c r="E52" t="s">
        <v>42</v>
      </c>
      <c r="F52">
        <v>3</v>
      </c>
      <c r="G52">
        <v>6</v>
      </c>
      <c r="H52">
        <v>9</v>
      </c>
    </row>
    <row r="53" spans="5:8">
      <c r="E53" t="s">
        <v>37</v>
      </c>
      <c r="F53">
        <v>16</v>
      </c>
      <c r="G53">
        <v>11</v>
      </c>
      <c r="H53">
        <v>27</v>
      </c>
    </row>
    <row r="54" spans="5:8">
      <c r="E54" t="s">
        <v>39</v>
      </c>
      <c r="F54">
        <v>5</v>
      </c>
      <c r="G54">
        <v>16</v>
      </c>
      <c r="H54">
        <v>21</v>
      </c>
    </row>
    <row r="55" spans="5:8">
      <c r="E55" t="s">
        <v>41</v>
      </c>
      <c r="F55">
        <v>15</v>
      </c>
      <c r="G55">
        <v>18</v>
      </c>
      <c r="H55">
        <v>33</v>
      </c>
    </row>
    <row r="56" spans="5:8">
      <c r="E56" t="s">
        <v>48</v>
      </c>
      <c r="F56">
        <v>1</v>
      </c>
      <c r="G56">
        <v>1</v>
      </c>
      <c r="H56">
        <v>2</v>
      </c>
    </row>
    <row r="57" spans="5:8">
      <c r="E57" t="s">
        <v>43</v>
      </c>
      <c r="F57">
        <v>3</v>
      </c>
      <c r="G57">
        <v>3</v>
      </c>
      <c r="H57">
        <v>6</v>
      </c>
    </row>
    <row r="58" spans="5:8">
      <c r="E58" t="s">
        <v>33</v>
      </c>
      <c r="F58">
        <v>16</v>
      </c>
      <c r="G58">
        <v>23</v>
      </c>
      <c r="H58">
        <v>39</v>
      </c>
    </row>
    <row r="59" spans="5:8">
      <c r="E59" t="s">
        <v>44</v>
      </c>
      <c r="F59">
        <v>7</v>
      </c>
      <c r="G59">
        <v>23</v>
      </c>
      <c r="H59">
        <v>30</v>
      </c>
    </row>
    <row r="60" spans="5:8">
      <c r="E60" t="s">
        <v>45</v>
      </c>
      <c r="F60">
        <v>16</v>
      </c>
      <c r="G60">
        <v>11</v>
      </c>
      <c r="H60">
        <v>27</v>
      </c>
    </row>
    <row r="61" spans="5:8">
      <c r="E61" t="s">
        <v>46</v>
      </c>
      <c r="F61">
        <v>9</v>
      </c>
      <c r="G61">
        <v>22</v>
      </c>
      <c r="H61">
        <v>31</v>
      </c>
    </row>
    <row r="62" spans="5:8">
      <c r="E62" t="s">
        <v>47</v>
      </c>
      <c r="F62">
        <v>21</v>
      </c>
      <c r="G62">
        <v>12</v>
      </c>
      <c r="H62">
        <v>33</v>
      </c>
    </row>
    <row r="63" spans="5:8">
      <c r="E63" t="s">
        <v>19</v>
      </c>
      <c r="F63">
        <v>118</v>
      </c>
      <c r="G63">
        <v>147</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32</v>
      </c>
    </row>
    <row r="3" spans="1:2">
      <c r="A3" s="54" t="s">
        <v>14</v>
      </c>
      <c r="B3" t="s">
        <v>21</v>
      </c>
    </row>
    <row r="4" spans="1:2">
      <c r="A4" t="s">
        <v>16</v>
      </c>
      <c r="B4">
        <v>197</v>
      </c>
    </row>
    <row r="5" spans="1:2">
      <c r="A5" t="s">
        <v>17</v>
      </c>
      <c r="B5">
        <v>42</v>
      </c>
    </row>
    <row r="6" spans="1:2">
      <c r="A6" t="s">
        <v>18</v>
      </c>
      <c r="B6">
        <v>26</v>
      </c>
    </row>
    <row r="7" spans="1:2">
      <c r="A7" t="s">
        <v>19</v>
      </c>
      <c r="B7">
        <v>265</v>
      </c>
    </row>
    <row r="14" spans="1:2">
      <c r="A14" s="54" t="s">
        <v>120</v>
      </c>
      <c r="B14" t="s">
        <v>32</v>
      </c>
    </row>
    <row r="15" spans="1:2">
      <c r="A15" s="54" t="s">
        <v>15</v>
      </c>
      <c r="B15" t="s">
        <v>32</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2026-10-13T11:42:48Z</dcterms:modified>
  <cp:category/>
  <cp:contentStatus/>
</cp:coreProperties>
</file>
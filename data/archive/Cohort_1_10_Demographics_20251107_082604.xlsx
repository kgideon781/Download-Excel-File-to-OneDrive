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368" documentId="13_ncr:1_{4D0E5611-347A-4675-B69B-D50AC6A875FD}" xr6:coauthVersionLast="47" xr6:coauthVersionMax="47" xr10:uidLastSave="{304B2C5D-BCAD-40B7-8ED3-663E09D34287}"/>
  <bookViews>
    <workbookView xWindow="-90" yWindow="0" windowWidth="9780" windowHeight="10170" firstSheet="3" activeTab="3" xr2:uid="{00000000-000D-0000-FFFF-FFFF00000000}"/>
  </bookViews>
  <sheets>
    <sheet name="Dashboard" sheetId="16" r:id="rId1"/>
    <sheet name="Pivot Analysis" sheetId="4" r:id="rId2"/>
    <sheet name="Sheet2" sheetId="21" state="hidden" r:id="rId3"/>
    <sheet name="Fellows" sheetId="1" r:id="rId4"/>
    <sheet name="Terminations" sheetId="19" r:id="rId5"/>
    <sheet name="Promotions" sheetId="22" r:id="rId6"/>
  </sheets>
  <definedNames>
    <definedName name="_xlnm._FilterDatabase" localSheetId="3" hidden="1">Fellows!$A$1:$XCB$266</definedName>
  </definedNames>
  <calcPr calcId="191028"/>
  <pivotCaches>
    <pivotCache cacheId="1143" r:id="rId7"/>
    <pivotCache cacheId="1149"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245" i="1" l="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F40" i="19"/>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<sst xmlns="http://schemas.openxmlformats.org/spreadsheetml/2006/main" count="10145" uniqueCount="3850">
  <si>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</si>
  <si>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</si>
  <si>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</si>
  <si>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</si>
  <si>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</si>
  <si>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</si>
  <si>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</si>
  <si>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</si>
  <si>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</si>
  <si>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</si>
  <si>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</si>
  <si>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</si>
  <si>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</si>
  <si>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</si>
  <si>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</si>
  <si>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</si>
  <si>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</si>
  <si>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</si>
  <si>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</si>
  <si>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</si>
  <si>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</si>
  <si>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Active fellows by institution of registration</t>
  </si>
  <si>
    <t>Active fellows by institution of employment</t>
  </si>
  <si>
    <t>Male</t>
  </si>
  <si>
    <t>Female</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</si>
  <si>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</si>
  <si>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</si>
  <si>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</si>
  <si>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</si>
  <si>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</si>
  <si>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</si>
  <si>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</si>
  <si>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</si>
  <si>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</si>
  <si>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</si>
  <si>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</si>
  <si>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</si>
  <si>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</si>
  <si>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</si>
  <si>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</si>
  <si>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</si>
  <si>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</si>
  <si>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</si>
  <si>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</si>
  <si>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</si>
  <si>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</si>
  <si>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</si>
  <si>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</si>
  <si>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</si>
  <si>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</si>
  <si>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</si>
  <si>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</si>
  <si>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</si>
  <si>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</si>
  <si>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</si>
  <si>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</si>
  <si>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</si>
  <si>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</si>
  <si>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Count of S.No.</t>
  </si>
  <si>
    <t>Column Labels</t>
  </si>
  <si>
    <t>Row Labels</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</si>
  <si>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</si>
  <si>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</si>
  <si>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</si>
  <si>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</si>
  <si>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</si>
  <si>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</si>
  <si>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</si>
  <si>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</si>
  <si>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</si>
  <si>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</si>
  <si>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</si>
  <si>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</si>
  <si>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</si>
  <si>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</si>
  <si>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</si>
  <si>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</si>
  <si>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</si>
  <si>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</si>
  <si>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</si>
  <si>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</si>
  <si>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</si>
  <si>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</si>
  <si>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</si>
  <si>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</si>
  <si>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</si>
  <si>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</si>
  <si>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</si>
  <si>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</si>
  <si>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</si>
  <si>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</si>
  <si>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</si>
  <si>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</si>
  <si>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</si>
  <si>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</si>
  <si>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</si>
  <si>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</si>
  <si>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</si>
  <si>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</si>
  <si>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</si>
  <si>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</si>
  <si>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</si>
  <si>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</si>
  <si>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</si>
  <si>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</si>
  <si>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</si>
  <si>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</si>
  <si>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</si>
  <si>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</si>
  <si>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</si>
  <si>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</si>
  <si>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</si>
  <si>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</si>
  <si>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</si>
  <si>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</si>
  <si>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</si>
  <si>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</si>
  <si>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</si>
  <si>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</si>
  <si>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</si>
  <si>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</si>
  <si>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</si>
  <si>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</si>
  <si>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</si>
  <si>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</si>
  <si>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</si>
  <si>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</si>
  <si>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</si>
  <si>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</si>
  <si>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</si>
  <si>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</si>
  <si>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</si>
  <si>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</si>
  <si>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</si>
  <si>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</si>
  <si>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</si>
  <si>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</si>
  <si>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</si>
  <si>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</si>
  <si>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</si>
  <si>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</si>
  <si>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</si>
  <si>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</si>
  <si>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</si>
  <si>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</si>
  <si>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</si>
  <si>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</si>
  <si>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</si>
  <si>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</si>
  <si>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</si>
  <si>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</si>
  <si>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</si>
  <si>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</si>
  <si>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</si>
  <si>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</si>
  <si>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</si>
  <si>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</si>
  <si>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</si>
  <si>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</si>
  <si>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</si>
  <si>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</si>
  <si>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</si>
  <si>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</si>
  <si>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</si>
  <si>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</si>
  <si>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</si>
  <si>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</si>
  <si>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</si>
  <si>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</si>
  <si>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</si>
  <si>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</si>
  <si>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</si>
  <si>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</si>
  <si>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</si>
  <si>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</si>
  <si>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</si>
  <si>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</si>
  <si>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</si>
  <si>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</si>
  <si>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</si>
  <si>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</si>
  <si>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</si>
  <si>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</si>
  <si>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</si>
  <si>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</si>
  <si>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</si>
  <si>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</si>
  <si>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</si>
  <si>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</si>
  <si>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</si>
  <si>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</si>
  <si>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</si>
  <si>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</si>
  <si>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</si>
  <si>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</si>
  <si>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</si>
  <si>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</si>
  <si>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</si>
  <si>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</si>
  <si>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</si>
  <si>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</si>
  <si>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</si>
  <si>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</si>
  <si>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</si>
  <si>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</si>
  <si>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</si>
  <si>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</si>
  <si>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</si>
  <si>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</si>
  <si>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</si>
  <si>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</si>
  <si>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</si>
  <si>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</si>
  <si>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</si>
  <si>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</si>
  <si>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</si>
  <si>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</si>
  <si>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</si>
  <si>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</si>
  <si>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</si>
  <si>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</si>
  <si>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</si>
  <si>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</si>
  <si>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</si>
  <si>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</si>
  <si>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</si>
  <si>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</si>
  <si>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</si>
  <si>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</si>
  <si>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</si>
  <si>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</si>
  <si>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</si>
  <si>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</si>
  <si>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</si>
  <si>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</si>
  <si>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</si>
  <si>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</si>
  <si>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</si>
  <si>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</si>
  <si>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</si>
  <si>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</si>
  <si>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</si>
  <si>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</si>
  <si>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</si>
  <si>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</si>
  <si>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</si>
  <si>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</si>
  <si>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</si>
  <si>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</si>
  <si>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</si>
  <si>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</si>
  <si>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</si>
  <si>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</si>
  <si>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</si>
  <si>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</si>
  <si>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</si>
  <si>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</si>
  <si>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</si>
  <si>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</si>
  <si>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</si>
  <si>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</si>
  <si>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</si>
  <si>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</si>
  <si>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</si>
  <si>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</si>
  <si>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</si>
  <si>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</si>
  <si>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</si>
  <si>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</si>
  <si>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</si>
  <si>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</si>
  <si>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</si>
  <si>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</si>
  <si>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</si>
  <si>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</si>
  <si>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</si>
  <si>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</si>
  <si>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</si>
  <si>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</si>
  <si>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</si>
  <si>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</si>
  <si>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</si>
  <si>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</si>
  <si>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</si>
  <si>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</si>
  <si>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</si>
  <si>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</si>
  <si>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</si>
  <si>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</si>
  <si>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</si>
  <si>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</si>
  <si>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</si>
  <si>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</si>
  <si>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</si>
  <si>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</si>
  <si>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</si>
  <si>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</si>
  <si>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</si>
  <si>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</si>
  <si>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</si>
  <si>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</si>
  <si>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</si>
  <si>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</si>
  <si>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</si>
  <si>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</si>
  <si>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</si>
  <si>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</si>
  <si>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</si>
  <si>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</si>
  <si>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</si>
  <si>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</si>
  <si>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</si>
  <si>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</si>
  <si>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</si>
  <si>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</si>
  <si>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</si>
  <si>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</si>
  <si>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</si>
  <si>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</si>
  <si>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</si>
  <si>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</si>
  <si>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</si>
  <si>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</si>
  <si>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</si>
  <si>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</si>
  <si>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</si>
  <si>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</si>
  <si>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</si>
  <si>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</si>
  <si>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</si>
  <si>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</si>
  <si>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</si>
  <si>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</si>
  <si>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</si>
  <si>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</si>
  <si>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</si>
  <si>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</si>
  <si>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</si>
  <si>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</si>
  <si>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</si>
  <si>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</si>
  <si>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</si>
  <si>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</si>
  <si>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</si>
  <si>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</si>
  <si>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</si>
  <si>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</si>
  <si>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</si>
  <si>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</si>
  <si>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</si>
  <si>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</si>
  <si>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</si>
  <si>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</si>
  <si>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</si>
  <si>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</si>
  <si>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</si>
  <si>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</si>
  <si>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</si>
  <si>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</si>
  <si>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</si>
  <si>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</si>
  <si>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</si>
  <si>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</si>
  <si>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</si>
  <si>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</si>
  <si>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</si>
  <si>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</si>
  <si>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</si>
  <si>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</si>
  <si>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</si>
  <si>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</si>
  <si>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</si>
  <si>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</si>
  <si>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</si>
  <si>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</si>
  <si>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</si>
  <si>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</si>
  <si>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</si>
  <si>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</si>
  <si>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</si>
  <si>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</si>
  <si>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</si>
  <si>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</si>
  <si>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</si>
  <si>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</si>
  <si>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</si>
  <si>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</si>
  <si>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</si>
  <si>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</si>
  <si>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</si>
  <si>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</si>
  <si>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</si>
  <si>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</si>
  <si>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</si>
  <si>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</si>
  <si>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</si>
  <si>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</si>
  <si>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</si>
  <si>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</si>
  <si>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</si>
  <si>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</si>
  <si>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</si>
  <si>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</si>
  <si>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</si>
  <si>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</si>
  <si>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</si>
  <si>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</si>
  <si>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</si>
  <si>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</si>
  <si>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</si>
  <si>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</si>
  <si>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</si>
  <si>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</si>
  <si>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</si>
  <si>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</si>
  <si>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</si>
  <si>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</si>
  <si>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</si>
  <si>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</si>
  <si>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</si>
  <si>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</si>
  <si>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</si>
  <si>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</si>
  <si>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</si>
  <si>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</si>
  <si>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</si>
  <si>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</si>
  <si>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</si>
  <si>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</si>
  <si>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</si>
  <si>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</si>
  <si>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</si>
  <si>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</si>
  <si>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</si>
  <si>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</si>
  <si>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</si>
  <si>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</si>
  <si>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</si>
  <si>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</si>
  <si>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</si>
  <si>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</si>
  <si>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</si>
  <si>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</si>
  <si>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</si>
  <si>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</si>
  <si>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</si>
  <si>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</si>
  <si>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</si>
  <si>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</si>
  <si>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</si>
  <si>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</si>
  <si>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</si>
  <si>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</si>
  <si>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</si>
  <si>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</si>
  <si>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</si>
  <si>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</si>
  <si>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</si>
  <si>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</si>
  <si>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</si>
  <si>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</si>
  <si>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</si>
  <si>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</si>
  <si>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</si>
  <si>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</si>
  <si>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</si>
  <si>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</si>
  <si>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</si>
  <si>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</si>
  <si>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</si>
  <si>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</si>
  <si>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</si>
  <si>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</si>
  <si>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</si>
  <si>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</si>
  <si>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</si>
  <si>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</si>
  <si>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</si>
  <si>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</si>
  <si>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</si>
  <si>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</si>
  <si>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</si>
  <si>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</si>
  <si>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</si>
  <si>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</si>
  <si>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</si>
  <si>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</si>
  <si>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</si>
  <si>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</si>
  <si>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</si>
  <si>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</si>
  <si>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</si>
  <si>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</si>
  <si>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</si>
  <si>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</si>
  <si>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</si>
  <si>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</si>
  <si>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</si>
  <si>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</si>
  <si>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</si>
  <si>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</si>
  <si>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</si>
  <si>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</si>
  <si>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</si>
  <si>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</si>
  <si>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</si>
  <si>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</si>
  <si>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</si>
  <si>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</si>
  <si>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</si>
  <si>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</si>
  <si>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</si>
  <si>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</si>
  <si>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</si>
  <si>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</si>
  <si>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</si>
  <si>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</si>
  <si>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</si>
  <si>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</si>
  <si>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</si>
  <si>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</si>
  <si>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</si>
  <si>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</si>
  <si>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</si>
  <si>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</si>
  <si>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</si>
  <si>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</si>
  <si>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</si>
  <si>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</si>
  <si>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</si>
  <si>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</si>
  <si>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</si>
  <si>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</si>
  <si>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</si>
  <si>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</si>
  <si>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</si>
  <si>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</si>
  <si>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</si>
  <si>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</si>
  <si>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</si>
  <si>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</si>
  <si>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</si>
  <si>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</si>
  <si>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</si>
  <si>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</si>
  <si>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</si>
  <si>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</si>
  <si>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</si>
  <si>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</si>
  <si>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</si>
  <si>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</si>
  <si>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</si>
  <si>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</si>
  <si>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</si>
  <si>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</si>
  <si>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</si>
  <si>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</si>
  <si>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</si>
  <si>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</si>
  <si>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</si>
  <si>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</si>
  <si>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</si>
  <si>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</si>
  <si>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</si>
  <si>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</si>
  <si>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</si>
  <si>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</si>
  <si>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</si>
  <si>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</si>
  <si>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</si>
  <si>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</si>
  <si>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</si>
  <si>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</si>
  <si>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</si>
  <si>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</si>
  <si>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</si>
  <si>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</si>
  <si>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</si>
  <si>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</si>
  <si>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</si>
  <si>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</si>
  <si>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</si>
  <si>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</si>
  <si>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</si>
  <si>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</si>
  <si>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</si>
  <si>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</si>
  <si>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</si>
  <si>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</si>
  <si>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</si>
  <si>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</si>
  <si>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</si>
  <si>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</si>
  <si>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</si>
  <si>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</si>
  <si>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</si>
  <si>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</si>
  <si>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</si>
  <si>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</si>
  <si>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</si>
  <si>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</si>
  <si>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</si>
  <si>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</si>
  <si>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</si>
  <si>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</si>
  <si>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</si>
  <si>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</si>
  <si>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</si>
  <si>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</si>
  <si>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</si>
  <si>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</si>
  <si>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</si>
  <si>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</si>
  <si>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</si>
  <si>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</si>
  <si>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</si>
  <si>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</si>
  <si>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</si>
  <si>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</si>
  <si>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</si>
  <si>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</si>
  <si>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</si>
  <si>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</si>
  <si>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</si>
  <si>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</si>
  <si>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</si>
  <si>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</si>
  <si>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</si>
  <si>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</si>
  <si>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</si>
  <si>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</si>
  <si>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</si>
  <si>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</si>
  <si>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</si>
  <si>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</si>
  <si>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</si>
  <si>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</si>
  <si>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</si>
  <si>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</si>
  <si>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</si>
  <si>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</si>
  <si>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</si>
  <si>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</si>
  <si>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</si>
  <si>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</si>
  <si>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</si>
  <si>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</si>
  <si>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</si>
  <si>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</si>
  <si>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</si>
  <si>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</si>
  <si>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</si>
  <si>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</si>
  <si>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</si>
  <si>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</si>
  <si>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</si>
  <si>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</si>
  <si>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</si>
  <si>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</si>
  <si>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</si>
  <si>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</si>
  <si>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</si>
  <si>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</si>
  <si>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</si>
  <si>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</si>
  <si>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</si>
  <si>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</si>
  <si>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</si>
  <si>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</si>
  <si>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</si>
  <si>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</si>
  <si>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</si>
  <si>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</si>
  <si>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</si>
  <si>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</si>
  <si>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</si>
  <si>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</si>
  <si>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</si>
  <si>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</si>
  <si>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</si>
  <si>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</si>
  <si>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</si>
  <si>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</si>
  <si>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</si>
  <si>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</si>
  <si>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</si>
  <si>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</si>
  <si>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</si>
  <si>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</si>
  <si>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</si>
  <si>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</si>
  <si>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</si>
  <si>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</si>
  <si>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</si>
  <si>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</si>
  <si>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</si>
  <si>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</si>
  <si>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</si>
  <si>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</si>
  <si>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</si>
  <si>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</si>
  <si>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</si>
  <si>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</si>
  <si>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</si>
  <si>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</si>
  <si>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</si>
  <si>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</si>
  <si>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</si>
  <si>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</si>
  <si>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</si>
  <si>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</si>
  <si>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</si>
  <si>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</si>
  <si>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</si>
  <si>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</si>
  <si>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</si>
  <si>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</si>
  <si>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</si>
  <si>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</si>
  <si>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</si>
  <si>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</si>
  <si>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</si>
  <si>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</si>
  <si>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</si>
  <si>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</si>
  <si>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</si>
  <si>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</si>
  <si>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</si>
  <si>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</si>
  <si>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</si>
  <si>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</si>
  <si>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</si>
  <si>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</si>
  <si>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</si>
  <si>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</si>
  <si>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</si>
  <si>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</si>
  <si>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</si>
  <si>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</si>
  <si>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</si>
  <si>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</si>
  <si>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</si>
  <si>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</si>
  <si>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</si>
  <si>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</si>
  <si>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</si>
  <si>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</si>
  <si>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</si>
  <si>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</si>
  <si>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</si>
  <si>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</si>
  <si>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</si>
  <si>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</si>
  <si>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</si>
  <si>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</si>
  <si>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</si>
  <si>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</si>
  <si>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</si>
  <si>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</si>
  <si>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</si>
  <si>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</si>
  <si>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</si>
  <si>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</si>
  <si>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</si>
  <si>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</si>
  <si>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</si>
  <si>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</si>
  <si>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</si>
  <si>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</si>
  <si>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</si>
  <si>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</si>
  <si>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</si>
  <si>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</si>
  <si>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</si>
  <si>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</si>
  <si>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</si>
  <si>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</si>
  <si>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</si>
  <si>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</si>
  <si>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</si>
  <si>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</si>
  <si>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</si>
  <si>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</si>
  <si>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</si>
  <si>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</si>
  <si>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</si>
  <si>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</si>
  <si>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</si>
  <si>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</si>
  <si>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</si>
  <si>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</si>
  <si>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</si>
  <si>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</si>
  <si>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</si>
  <si>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</si>
  <si>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</si>
  <si>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</si>
  <si>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</si>
  <si>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</si>
  <si>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</si>
  <si>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</si>
  <si>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</si>
  <si>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</si>
  <si>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</si>
  <si>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</si>
  <si>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</si>
  <si>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</si>
  <si>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</si>
  <si>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</si>
  <si>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</si>
  <si>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</si>
  <si>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</si>
  <si>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</si>
  <si>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</si>
  <si>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</si>
  <si>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</si>
  <si>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</si>
  <si>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</si>
  <si>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</si>
  <si>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</si>
  <si>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</si>
  <si>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</si>
  <si>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</si>
  <si>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</si>
  <si>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</si>
  <si>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</si>
  <si>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</si>
  <si>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</si>
  <si>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</si>
  <si>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</si>
  <si>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</si>
  <si>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</si>
  <si>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</si>
  <si>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</si>
  <si>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</si>
  <si>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</si>
  <si>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</si>
  <si>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</si>
  <si>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</si>
  <si>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</si>
  <si>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</si>
  <si>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</si>
  <si>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</si>
  <si>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</si>
  <si>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</si>
  <si>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</si>
  <si>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</si>
  <si>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</si>
  <si>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</si>
  <si>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</si>
  <si>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</si>
  <si>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</si>
  <si>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</si>
  <si>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</si>
  <si>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</si>
  <si>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</si>
  <si>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</si>
  <si>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</si>
  <si>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</si>
  <si>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</si>
  <si>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</si>
  <si>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</si>
  <si>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</si>
  <si>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</si>
  <si>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</si>
  <si>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</si>
  <si>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</si>
  <si>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</si>
  <si>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</si>
  <si>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</si>
  <si>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</si>
  <si>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</si>
  <si>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</si>
  <si>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</si>
  <si>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</si>
  <si>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</si>
  <si>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</si>
  <si>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</si>
  <si>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</si>
  <si>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</si>
  <si>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</si>
  <si>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</si>
  <si>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</si>
  <si>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</si>
  <si>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</si>
  <si>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</si>
  <si>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</si>
  <si>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</si>
  <si>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</si>
  <si>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</si>
  <si>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</si>
  <si>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</si>
  <si>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</si>
  <si>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</si>
  <si>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</si>
  <si>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</si>
  <si>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</si>
  <si>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</si>
  <si>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</si>
  <si>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</si>
  <si>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</si>
  <si>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</si>
  <si>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</si>
  <si>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</si>
  <si>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</si>
  <si>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</si>
  <si>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</si>
  <si>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</si>
  <si>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</si>
  <si>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</si>
  <si>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</si>
  <si>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</si>
  <si>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</si>
  <si>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</si>
  <si>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</si>
  <si>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</si>
  <si>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</si>
  <si>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</si>
  <si>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</si>
  <si>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</si>
  <si>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</si>
  <si>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</si>
  <si>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</si>
  <si>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</si>
  <si>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</si>
  <si>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</si>
  <si>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</si>
  <si>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</si>
  <si>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</si>
  <si>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</si>
  <si>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</si>
  <si>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</si>
  <si>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</si>
  <si>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</si>
  <si>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</si>
  <si>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</si>
  <si>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</si>
  <si>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</si>
  <si>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</si>
  <si>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</si>
  <si>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</si>
  <si>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</si>
  <si>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</si>
  <si>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</si>
  <si>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</si>
  <si>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</si>
  <si>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</si>
  <si>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</si>
  <si>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</si>
  <si>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</si>
  <si>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</si>
  <si>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</si>
  <si>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</si>
  <si>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</si>
  <si>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</si>
  <si>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</si>
  <si>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</si>
  <si>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</si>
  <si>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</si>
  <si>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</si>
  <si>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</si>
  <si>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</si>
  <si>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</si>
  <si>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</si>
  <si>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</si>
  <si>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</si>
  <si>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</si>
  <si>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</si>
  <si>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</si>
  <si>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</si>
  <si>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</si>
  <si>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</si>
  <si>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</si>
  <si>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</si>
  <si>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</si>
  <si>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</si>
  <si>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</si>
  <si>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</si>
  <si>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</si>
  <si>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</si>
  <si>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</si>
  <si>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</si>
  <si>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</si>
  <si>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</si>
  <si>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</si>
  <si>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</si>
  <si>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</si>
  <si>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</si>
  <si>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</si>
  <si>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</si>
  <si>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</si>
  <si>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</si>
  <si>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</si>
  <si>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</si>
  <si>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</si>
  <si>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</si>
  <si>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</si>
  <si>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</si>
  <si>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</si>
  <si>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</si>
  <si>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</si>
  <si>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</si>
  <si>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</si>
  <si>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</si>
  <si>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</si>
  <si>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</si>
  <si>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</si>
  <si>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</si>
  <si>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</si>
  <si>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</si>
  <si>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</si>
  <si>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</si>
  <si>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</si>
  <si>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</si>
  <si>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</si>
  <si>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</si>
  <si>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</si>
  <si>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</si>
  <si>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</si>
  <si>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</si>
  <si>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</si>
  <si>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</si>
  <si>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</si>
  <si>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</si>
  <si>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</si>
  <si>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</si>
  <si>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</si>
  <si>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</si>
  <si>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</si>
  <si>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</si>
  <si>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</si>
  <si>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</si>
  <si>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</si>
  <si>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</si>
  <si>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</si>
  <si>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</si>
  <si>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</si>
  <si>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</si>
  <si>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</si>
  <si>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</si>
  <si>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</si>
  <si>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</si>
  <si>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</si>
  <si>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</si>
  <si>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</si>
  <si>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</si>
  <si>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</si>
  <si>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</si>
  <si>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</si>
  <si>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</si>
  <si>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</si>
  <si>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</si>
  <si>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</si>
  <si>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</si>
  <si>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</si>
  <si>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</si>
  <si>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</si>
  <si>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</si>
  <si>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</si>
  <si>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</si>
  <si>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</si>
  <si>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</si>
  <si>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</si>
  <si>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</si>
  <si>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</si>
  <si>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</si>
  <si>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</si>
  <si>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</si>
  <si>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</si>
  <si>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</si>
  <si>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</si>
  <si>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</si>
  <si>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</si>
  <si>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</si>
  <si>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</si>
  <si>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</si>
  <si>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</si>
  <si>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</si>
  <si>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</si>
  <si>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</si>
  <si>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</si>
  <si>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</si>
  <si>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</si>
  <si>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</si>
  <si>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</si>
  <si>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</si>
  <si>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</si>
  <si>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</si>
  <si>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</si>
  <si>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</si>
  <si>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</si>
  <si>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</si>
  <si>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</si>
  <si>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</si>
  <si>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</si>
  <si>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</si>
  <si>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</si>
  <si>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</si>
  <si>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</si>
  <si>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</si>
  <si>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</si>
  <si>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</si>
  <si>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</si>
  <si>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</si>
  <si>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</si>
  <si>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</si>
  <si>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</si>
  <si>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</si>
  <si>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</si>
  <si>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</si>
  <si>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</si>
  <si>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</si>
  <si>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</si>
  <si>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</si>
  <si>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</si>
  <si>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</si>
  <si>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</si>
  <si>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</si>
  <si>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</si>
  <si>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</si>
  <si>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</si>
  <si>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</si>
  <si>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</si>
  <si>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</si>
  <si>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</si>
  <si>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</si>
  <si>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</si>
  <si>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</si>
  <si>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</si>
  <si>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</si>
  <si>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</si>
  <si>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</si>
  <si>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</si>
  <si>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</si>
  <si>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</si>
  <si>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</si>
  <si>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</si>
  <si>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</si>
  <si>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</si>
  <si>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</si>
  <si>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</si>
  <si>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</si>
  <si>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</si>
  <si>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</si>
  <si>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</si>
  <si>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</si>
  <si>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</si>
  <si>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</si>
  <si>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</si>
  <si>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</si>
  <si>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</si>
  <si>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</si>
  <si>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</si>
  <si>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</si>
  <si>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</si>
  <si>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</si>
  <si>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</si>
  <si>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</si>
  <si>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</si>
  <si>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</si>
  <si>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</si>
  <si>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</si>
  <si>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</si>
  <si>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</si>
  <si>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</si>
  <si>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</si>
  <si>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</si>
  <si>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</si>
  <si>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</si>
  <si>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</si>
  <si>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</si>
  <si>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</si>
  <si>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</si>
  <si>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</si>
  <si>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</si>
  <si>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</si>
  <si>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</si>
  <si>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</si>
  <si>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</si>
  <si>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</si>
  <si>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</si>
  <si>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</si>
  <si>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</si>
  <si>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</si>
  <si>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</si>
  <si>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</si>
  <si>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</si>
  <si>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</si>
  <si>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</si>
  <si>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</si>
  <si>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</si>
  <si>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</si>
  <si>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</si>
  <si>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</si>
  <si>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</si>
  <si>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</si>
  <si>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</si>
  <si>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</si>
  <si>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</si>
  <si>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</si>
  <si>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</si>
  <si>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</si>
  <si>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</si>
  <si>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</si>
  <si>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</si>
  <si>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</si>
  <si>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</si>
  <si>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</si>
  <si>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</si>
  <si>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</si>
  <si>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</si>
  <si>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</si>
  <si>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</si>
  <si>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</si>
  <si>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</si>
  <si>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</si>
  <si>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</si>
  <si>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</si>
  <si>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</si>
  <si>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</si>
  <si>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</si>
  <si>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</si>
  <si>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</si>
  <si>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</si>
  <si>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</si>
  <si>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</si>
  <si>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</si>
  <si>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</si>
  <si>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</si>
  <si>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</si>
  <si>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</si>
  <si>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</si>
  <si>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</si>
  <si>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</si>
  <si>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</si>
  <si>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</si>
  <si>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</si>
  <si>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</si>
  <si>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</si>
  <si>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</si>
  <si>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</si>
  <si>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</si>
  <si>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</si>
  <si>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</si>
  <si>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</si>
  <si>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</si>
  <si>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</si>
  <si>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</si>
  <si>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</si>
  <si>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</si>
  <si>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</si>
  <si>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</si>
  <si>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</si>
  <si>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</si>
  <si>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</si>
  <si>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</si>
  <si>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</si>
  <si>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</si>
  <si>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</si>
  <si>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</si>
  <si>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</si>
  <si>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</si>
  <si>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</si>
  <si>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</si>
  <si>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</si>
  <si>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</si>
  <si>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</si>
  <si>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</si>
  <si>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</si>
  <si>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</si>
  <si>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</si>
  <si>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</si>
  <si>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</si>
  <si>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</si>
  <si>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</si>
  <si>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</si>
  <si>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</si>
  <si>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</si>
  <si>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</si>
  <si>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</si>
  <si>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</si>
  <si>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</si>
  <si>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</si>
  <si>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</si>
  <si>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</si>
  <si>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</si>
  <si>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</si>
  <si>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</si>
  <si>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</si>
  <si>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</si>
  <si>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</si>
  <si>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</si>
  <si>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</si>
  <si>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</si>
  <si>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</si>
  <si>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</si>
  <si>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</si>
  <si>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</si>
  <si>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</si>
  <si>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</si>
  <si>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</si>
  <si>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</si>
  <si>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</si>
  <si>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</si>
  <si>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</si>
  <si>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</si>
  <si>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</si>
  <si>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</si>
  <si>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</si>
  <si>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</si>
  <si>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</si>
  <si>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</si>
  <si>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</si>
  <si>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</si>
  <si>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</si>
  <si>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</si>
  <si>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</si>
  <si>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</si>
  <si>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</si>
  <si>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</si>
  <si>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</si>
  <si>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</si>
  <si>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</si>
  <si>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</si>
  <si>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</si>
  <si>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</si>
  <si>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</si>
  <si>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</si>
  <si>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</si>
  <si>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</si>
  <si>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</si>
  <si>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</si>
  <si>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</si>
  <si>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</si>
  <si>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</si>
  <si>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</si>
  <si>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</si>
  <si>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</si>
  <si>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</si>
  <si>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</si>
  <si>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</si>
  <si>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</si>
  <si>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</si>
  <si>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</si>
  <si>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</si>
  <si>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</si>
  <si>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</si>
  <si>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</si>
  <si>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</si>
  <si>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</si>
  <si>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</si>
  <si>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</si>
  <si>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</si>
  <si>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</si>
  <si>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</si>
  <si>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</si>
  <si>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</si>
  <si>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</si>
  <si>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</si>
  <si>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</si>
  <si>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</si>
  <si>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</si>
  <si>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</si>
  <si>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</si>
  <si>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</si>
  <si>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</si>
  <si>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</si>
  <si>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</si>
  <si>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</si>
  <si>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</si>
  <si>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</si>
  <si>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</si>
  <si>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</si>
  <si>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</si>
  <si>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</si>
  <si>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</si>
  <si>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</si>
  <si>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</si>
  <si>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</si>
  <si>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</si>
  <si>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</si>
  <si>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</si>
  <si>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</si>
  <si>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</si>
  <si>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</si>
  <si>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</si>
  <si>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</si>
  <si>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</si>
  <si>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</si>
  <si>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</si>
  <si>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</si>
  <si>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</si>
  <si>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</si>
  <si>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</si>
  <si>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</si>
  <si>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</si>
  <si>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</si>
  <si>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</si>
  <si>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</si>
  <si>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</si>
  <si>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</si>
  <si>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</si>
  <si>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</si>
  <si>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</si>
  <si>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</si>
  <si>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</si>
  <si>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</si>
  <si>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</si>
  <si>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</si>
  <si>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</si>
  <si>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</si>
  <si>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</si>
  <si>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</si>
  <si>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</si>
  <si>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</si>
  <si>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</si>
  <si>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</si>
  <si>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</si>
  <si>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</si>
  <si>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</si>
  <si>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</si>
  <si>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</si>
  <si>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</si>
  <si>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</si>
  <si>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</si>
  <si>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</si>
  <si>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</si>
  <si>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</si>
  <si>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</si>
  <si>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</si>
  <si>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</si>
  <si>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</si>
  <si>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</si>
  <si>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</si>
  <si>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</si>
  <si>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</si>
  <si>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</si>
  <si>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</si>
  <si>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</si>
  <si>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</si>
  <si>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</si>
  <si>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</si>
  <si>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</si>
  <si>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</si>
  <si>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</si>
  <si>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</si>
  <si>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</si>
  <si>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</si>
  <si>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</si>
  <si>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</si>
  <si>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</si>
  <si>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</si>
  <si>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</si>
  <si>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</si>
  <si>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</si>
  <si>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</si>
  <si>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</si>
  <si>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</si>
  <si>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</si>
  <si>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</si>
  <si>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</si>
  <si>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</si>
  <si>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</si>
  <si>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</si>
  <si>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</si>
  <si>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</si>
  <si>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</si>
  <si>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</si>
  <si>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</si>
  <si>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</si>
  <si>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</si>
  <si>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</si>
  <si>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</si>
  <si>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</si>
  <si>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</si>
  <si>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</si>
  <si>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</si>
  <si>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</si>
  <si>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</si>
  <si>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</si>
  <si>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</si>
  <si>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</si>
  <si>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</si>
  <si>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</si>
  <si>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</si>
  <si>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</si>
  <si>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</si>
  <si>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</si>
  <si>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</si>
  <si>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</si>
  <si>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</si>
  <si>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</si>
  <si>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</si>
  <si>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</si>
  <si>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</si>
  <si>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</si>
  <si>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</si>
  <si>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</si>
  <si>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</si>
  <si>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</si>
  <si>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</si>
  <si>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</si>
  <si>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</si>
  <si>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</si>
  <si>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</si>
  <si>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</si>
  <si>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</si>
  <si>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</si>
  <si>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</si>
  <si>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</si>
  <si>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</si>
  <si>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</si>
  <si>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</si>
  <si>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</si>
  <si>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</si>
  <si>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</si>
  <si>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</si>
  <si>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</si>
  <si>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</si>
  <si>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</si>
  <si>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</si>
  <si>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</si>
  <si>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</si>
  <si>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</si>
  <si>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</si>
  <si>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</si>
  <si>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</si>
  <si>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</si>
  <si>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</si>
  <si>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</si>
  <si>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</si>
  <si>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</si>
  <si>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</si>
  <si>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</si>
  <si>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</si>
  <si>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</si>
  <si>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</si>
  <si>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</si>
  <si>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</si>
  <si>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</si>
  <si>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</si>
  <si>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</si>
  <si>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</si>
  <si>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</si>
  <si>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</si>
  <si>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</si>
  <si>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</si>
  <si>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</si>
  <si>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</si>
  <si>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</si>
  <si>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</si>
  <si>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</si>
  <si>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</si>
  <si>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</si>
  <si>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</si>
  <si>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</si>
  <si>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</si>
  <si>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</si>
  <si>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</si>
  <si>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</si>
  <si>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</si>
  <si>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</si>
  <si>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</si>
  <si>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</si>
  <si>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</si>
  <si>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</si>
  <si>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</si>
  <si>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</si>
  <si>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</si>
  <si>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</si>
  <si>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</si>
  <si>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</si>
  <si>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</si>
  <si>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</si>
  <si>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</si>
  <si>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</si>
  <si>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</si>
  <si>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</si>
  <si>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</si>
  <si>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</si>
  <si>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</si>
  <si>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</si>
  <si>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</si>
  <si>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</si>
  <si>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</si>
  <si>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</si>
  <si>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</si>
  <si>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</si>
  <si>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</si>
  <si>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</si>
  <si>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</si>
  <si>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</si>
  <si>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</si>
  <si>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</si>
  <si>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</si>
  <si>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</si>
  <si>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</si>
  <si>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</si>
  <si>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</si>
  <si>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</si>
  <si>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</si>
  <si>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</si>
  <si>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</si>
  <si>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</si>
  <si>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</si>
  <si>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</si>
  <si>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</si>
  <si>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</si>
  <si>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</si>
  <si>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</si>
  <si>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</si>
  <si>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</si>
  <si>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</si>
  <si>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</si>
  <si>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</si>
  <si>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</si>
  <si>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</si>
  <si>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</si>
  <si>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</si>
  <si>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</si>
  <si>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</si>
  <si>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</si>
  <si>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</si>
  <si>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</si>
  <si>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</si>
  <si>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</si>
  <si>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</si>
  <si>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</si>
  <si>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</si>
  <si>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</si>
  <si>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</si>
  <si>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</si>
  <si>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</si>
  <si>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</si>
  <si>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</si>
  <si>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</si>
  <si>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</si>
  <si>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</si>
  <si>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</si>
  <si>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</si>
  <si>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</si>
  <si>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</si>
  <si>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</si>
  <si>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</si>
  <si>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</si>
  <si>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</si>
  <si>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</si>
  <si>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</si>
  <si>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</si>
  <si>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</si>
  <si>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</si>
  <si>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</si>
  <si>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</si>
  <si>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</si>
  <si>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</si>
  <si>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</si>
  <si>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</si>
  <si>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</si>
  <si>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</si>
  <si>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</si>
  <si>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</si>
  <si>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</si>
  <si>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</si>
  <si>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</si>
  <si>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</si>
  <si>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</si>
  <si>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</si>
  <si>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</si>
  <si>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</si>
  <si>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</si>
  <si>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</si>
  <si>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</si>
  <si>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</si>
  <si>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</si>
  <si>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</si>
  <si>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</si>
  <si>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</si>
  <si>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</si>
  <si>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</si>
  <si>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</si>
  <si>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</si>
  <si>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</si>
  <si>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</si>
  <si>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</si>
  <si>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</si>
  <si>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</si>
  <si>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</si>
  <si>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</si>
  <si>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</si>
  <si>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</si>
  <si>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</si>
  <si>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</si>
  <si>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</si>
  <si>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</si>
  <si>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</si>
  <si>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</si>
  <si>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</si>
  <si>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</si>
  <si>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</si>
  <si>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</si>
  <si>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</si>
  <si>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</si>
  <si>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</si>
  <si>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</si>
  <si>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</si>
  <si>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</si>
  <si>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</si>
  <si>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</si>
  <si>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</si>
  <si>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</si>
  <si>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</si>
  <si>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</si>
  <si>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</si>
  <si>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</si>
  <si>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</si>
  <si>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</si>
  <si>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</si>
  <si>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</si>
  <si>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</si>
  <si>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</si>
  <si>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</si>
  <si>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</si>
  <si>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</si>
  <si>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</si>
  <si>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</si>
  <si>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</si>
  <si>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</si>
  <si>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</si>
  <si>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</si>
  <si>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</si>
  <si>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</si>
  <si>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</si>
  <si>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</si>
  <si>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</si>
  <si>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</si>
  <si>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</si>
  <si>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</si>
  <si>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</si>
  <si>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</si>
  <si>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</si>
  <si>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</si>
  <si>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</si>
  <si>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</si>
  <si>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</si>
  <si>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</si>
  <si>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</si>
  <si>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</si>
  <si>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</si>
  <si>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</si>
  <si>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</si>
  <si>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</si>
  <si>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</si>
  <si>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</si>
  <si>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</si>
  <si>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</si>
  <si>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</si>
  <si>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</si>
  <si>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</si>
  <si>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</si>
  <si>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</si>
  <si>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</si>
  <si>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</si>
  <si>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</si>
  <si>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</si>
  <si>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</si>
  <si>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</si>
  <si>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</si>
  <si>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</si>
  <si>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</si>
  <si>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</si>
  <si>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</si>
  <si>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</si>
  <si>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</si>
  <si>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</si>
  <si>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</si>
  <si>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</si>
  <si>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</si>
  <si>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</si>
  <si>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</si>
  <si>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</si>
  <si>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</si>
  <si>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</si>
  <si>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</si>
  <si>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</si>
  <si>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</si>
  <si>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</si>
  <si>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</si>
  <si>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</si>
  <si>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</si>
  <si>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</si>
  <si>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</si>
  <si>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</si>
  <si>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</si>
  <si>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</si>
  <si>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</si>
  <si>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</si>
  <si>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</si>
  <si>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</si>
  <si>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</si>
  <si>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</si>
  <si>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</si>
  <si>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</si>
  <si>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</si>
  <si>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</si>
  <si>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</si>
  <si>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</si>
  <si>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</si>
  <si>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</si>
  <si>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</si>
  <si>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</si>
  <si>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</si>
  <si>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</si>
  <si>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</si>
  <si>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</si>
  <si>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</si>
  <si>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</si>
  <si>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</si>
  <si>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</si>
  <si>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</si>
  <si>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</si>
  <si>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</si>
  <si>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</si>
  <si>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</si>
  <si>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</si>
  <si>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</si>
  <si>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</si>
  <si>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</si>
  <si>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</si>
  <si>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</si>
  <si>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</si>
  <si>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</si>
  <si>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</si>
  <si>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</si>
  <si>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</si>
  <si>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</si>
  <si>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</si>
  <si>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</si>
  <si>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</si>
  <si>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</si>
  <si>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</si>
  <si>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</si>
  <si>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</si>
  <si>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</si>
  <si>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</si>
  <si>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</si>
  <si>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</si>
  <si>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</si>
  <si>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</si>
  <si>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</si>
  <si>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</si>
  <si>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</si>
  <si>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</si>
  <si>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</si>
  <si>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</si>
  <si>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</si>
  <si>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</si>
  <si>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</si>
  <si>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</si>
  <si>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</si>
  <si>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</si>
  <si>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</si>
  <si>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</si>
  <si>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</si>
  <si>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</si>
  <si>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</si>
  <si>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</si>
  <si>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</si>
  <si>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</si>
  <si>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</si>
  <si>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</si>
  <si>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</si>
  <si>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</si>
  <si>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</si>
  <si>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</si>
  <si>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</si>
  <si>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</si>
  <si>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</si>
  <si>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</si>
  <si>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</si>
  <si>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</si>
  <si>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</si>
  <si>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</si>
  <si>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</si>
  <si>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</si>
  <si>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</si>
  <si>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</si>
  <si>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</si>
  <si>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</si>
  <si>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</si>
  <si>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</si>
  <si>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</si>
  <si>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</si>
  <si>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</si>
  <si>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</si>
  <si>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</si>
  <si>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</si>
  <si>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</si>
  <si>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</si>
  <si>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</si>
  <si>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</si>
  <si>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</si>
  <si>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</si>
  <si>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</si>
  <si>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</si>
  <si>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</si>
  <si>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</si>
  <si>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</si>
  <si>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</si>
  <si>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</si>
  <si>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</si>
  <si>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</si>
  <si>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</si>
  <si>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</si>
  <si>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</si>
  <si>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</si>
  <si>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</si>
  <si>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</si>
  <si>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</si>
  <si>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</si>
  <si>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</si>
  <si>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</si>
  <si>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</si>
  <si>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</si>
  <si>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</si>
  <si>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</si>
  <si>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</si>
  <si>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</si>
  <si>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</si>
  <si>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</si>
  <si>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</si>
  <si>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</si>
  <si>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</si>
  <si>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</si>
  <si>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</si>
  <si>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</si>
  <si>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</si>
  <si>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</si>
  <si>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</si>
  <si>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</si>
  <si>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</si>
  <si>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</si>
  <si>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</si>
  <si>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</si>
  <si>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</si>
  <si>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</si>
  <si>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</si>
  <si>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</si>
  <si>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</si>
  <si>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</si>
  <si>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</si>
  <si>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</si>
  <si>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</si>
  <si>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</si>
  <si>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</si>
  <si>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</si>
  <si>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</si>
  <si>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</si>
  <si>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</si>
  <si>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</si>
  <si>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</si>
  <si>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</si>
  <si>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</si>
  <si>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</si>
  <si>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</si>
  <si>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</si>
  <si>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</si>
  <si>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</si>
  <si>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</si>
  <si>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</si>
  <si>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</si>
  <si>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</si>
  <si>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</si>
  <si>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</si>
  <si>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</si>
  <si>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</si>
  <si>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</si>
  <si>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</si>
  <si>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</si>
  <si>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</si>
  <si>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</si>
  <si>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</si>
  <si>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</si>
  <si>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</si>
  <si>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</si>
  <si>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</si>
  <si>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</si>
  <si>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</si>
  <si>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</si>
  <si>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</si>
  <si>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</si>
  <si>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</si>
  <si>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</si>
  <si>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</si>
  <si>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</si>
  <si>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</si>
  <si>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</si>
  <si>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</si>
  <si>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</si>
  <si>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</si>
  <si>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</si>
  <si>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</si>
  <si>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</si>
  <si>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</si>
  <si>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</si>
  <si>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</si>
  <si>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</si>
  <si>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</si>
  <si>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</si>
  <si>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</si>
  <si>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</si>
  <si>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</si>
  <si>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</si>
  <si>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</si>
  <si>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</si>
  <si>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</si>
  <si>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</si>
  <si>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</si>
  <si>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</si>
  <si>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</si>
  <si>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</si>
  <si>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</si>
  <si>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</si>
  <si>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</si>
  <si>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</si>
  <si>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</si>
  <si>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</si>
  <si>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</si>
  <si>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</si>
  <si>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</si>
  <si>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</si>
  <si>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</si>
  <si>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</si>
  <si>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</si>
  <si>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</si>
  <si>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</si>
  <si>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</si>
  <si>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</si>
  <si>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</si>
  <si>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</si>
  <si>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</si>
  <si>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</si>
  <si>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</si>
  <si>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</si>
  <si>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</si>
  <si>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</si>
  <si>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</si>
  <si>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</si>
  <si>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</si>
  <si>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</si>
  <si>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</si>
  <si>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</si>
  <si>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</si>
  <si>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</si>
  <si>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</si>
  <si>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</si>
  <si>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</si>
  <si>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</si>
  <si>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</si>
  <si>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</si>
  <si>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</si>
  <si>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</si>
  <si>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</si>
  <si>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</si>
  <si>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</si>
  <si>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</si>
  <si>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</si>
  <si>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</si>
  <si>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</si>
  <si>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</si>
  <si>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</si>
  <si>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</si>
  <si>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</si>
  <si>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</si>
  <si>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</si>
  <si>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</si>
  <si>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</si>
  <si>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</si>
  <si>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</si>
  <si>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</si>
  <si>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</si>
  <si>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</si>
  <si>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</si>
  <si>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</si>
  <si>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</si>
  <si>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</si>
  <si>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</si>
  <si>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</si>
  <si>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</si>
  <si>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</si>
  <si>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</si>
  <si>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</si>
  <si>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</si>
  <si>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</si>
  <si>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</si>
  <si>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</si>
  <si>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</si>
  <si>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</si>
  <si>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</si>
  <si>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</si>
  <si>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</si>
  <si>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</si>
  <si>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</si>
  <si>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</si>
  <si>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</si>
  <si>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</si>
  <si>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</si>
  <si>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</si>
  <si>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</si>
  <si>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</si>
  <si>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</si>
  <si>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</si>
  <si>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</si>
  <si>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</si>
  <si>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</si>
  <si>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</si>
  <si>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</si>
  <si>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</si>
  <si>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</si>
  <si>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</si>
  <si>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</si>
  <si>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</si>
  <si>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</si>
  <si>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</si>
  <si>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</si>
  <si>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</si>
  <si>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</si>
  <si>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</si>
  <si>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</si>
  <si>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</si>
  <si>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</si>
  <si>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</si>
  <si>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</si>
  <si>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</si>
  <si>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</si>
  <si>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</si>
  <si>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</si>
  <si>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</si>
  <si>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</si>
  <si>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</si>
  <si>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</si>
  <si>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</si>
  <si>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</si>
  <si>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</si>
  <si>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</si>
  <si>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</si>
  <si>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</si>
  <si>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</si>
  <si>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</si>
  <si>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</si>
  <si>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</si>
  <si>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</si>
  <si>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</si>
  <si>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</si>
  <si>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</si>
  <si>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</si>
  <si>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</si>
  <si>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</si>
  <si>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</si>
  <si>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</si>
  <si>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</si>
  <si>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</si>
  <si>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</si>
  <si>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</si>
  <si>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</si>
  <si>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</si>
  <si>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</si>
  <si>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</si>
  <si>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</si>
  <si>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</si>
  <si>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</si>
  <si>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</si>
  <si>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</si>
  <si>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</si>
  <si>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</si>
  <si>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</si>
  <si>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</si>
  <si>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</si>
  <si>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</si>
  <si>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</si>
  <si>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</si>
  <si>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</si>
  <si>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</si>
  <si>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</si>
  <si>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</si>
  <si>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</si>
  <si>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</si>
  <si>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</si>
  <si>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</si>
  <si>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</si>
  <si>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</si>
  <si>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</si>
  <si>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</si>
  <si>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</si>
  <si>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</si>
  <si>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</si>
  <si>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</si>
  <si>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</si>
  <si>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</si>
  <si>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</si>
  <si>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</si>
  <si>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</si>
  <si>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</si>
  <si>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</si>
  <si>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</si>
  <si>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</si>
  <si>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</si>
  <si>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</si>
  <si>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</si>
  <si>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</si>
  <si>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</si>
  <si>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</si>
  <si>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</si>
  <si>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</si>
  <si>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</si>
  <si>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</si>
  <si>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</si>
  <si>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</si>
  <si>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</si>
  <si>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</si>
  <si>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</si>
  <si>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</si>
  <si>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</si>
  <si>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</si>
  <si>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</si>
  <si>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</si>
  <si>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</si>
  <si>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</si>
  <si>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</si>
  <si>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</si>
  <si>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</si>
  <si>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</si>
  <si>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</si>
  <si>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</si>
  <si>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</si>
  <si>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</si>
  <si>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</si>
  <si>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</si>
  <si>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</si>
  <si>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</si>
  <si>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</si>
  <si>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</si>
  <si>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</si>
  <si>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</si>
  <si>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</si>
  <si>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</si>
  <si>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</si>
  <si>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</si>
  <si>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</si>
  <si>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</si>
  <si>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</si>
  <si>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</si>
  <si>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</si>
  <si>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</si>
  <si>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</si>
  <si>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</si>
  <si>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</si>
  <si>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</si>
  <si>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</si>
  <si>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</si>
  <si>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</si>
  <si>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</si>
  <si>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</si>
  <si>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</si>
  <si>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</si>
  <si>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</si>
  <si>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</si>
  <si>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</si>
  <si>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</si>
  <si>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</si>
  <si>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</si>
  <si>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</si>
  <si>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</si>
  <si>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</si>
  <si>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</si>
  <si>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</si>
  <si>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</si>
  <si>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</si>
  <si>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</si>
  <si>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</si>
  <si>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</si>
  <si>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</si>
  <si>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</si>
  <si>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</si>
  <si>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</si>
  <si>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</si>
  <si>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</si>
  <si>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</si>
  <si>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</si>
  <si>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</si>
  <si>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</si>
  <si>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</si>
  <si>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</si>
  <si>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</si>
  <si>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</si>
  <si>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</si>
  <si>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</si>
  <si>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</si>
  <si>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</si>
  <si>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</si>
  <si>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</si>
  <si>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</si>
  <si>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</si>
  <si>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</si>
  <si>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</si>
  <si>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</si>
  <si>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</si>
  <si>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</si>
  <si>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</si>
  <si>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</si>
  <si>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</si>
  <si>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</si>
  <si>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</si>
  <si>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</si>
  <si>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</si>
  <si>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</si>
  <si>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</si>
  <si>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</si>
  <si>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</si>
  <si>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</si>
  <si>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</si>
  <si>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</si>
  <si>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</si>
  <si>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</si>
  <si>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</si>
  <si>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</si>
  <si>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</si>
  <si>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</si>
  <si>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</si>
  <si>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</si>
  <si>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</si>
  <si>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</si>
  <si>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</si>
  <si>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</si>
  <si>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</si>
  <si>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</si>
  <si>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</si>
  <si>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</si>
  <si>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</si>
  <si>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</si>
  <si>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</si>
  <si>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</si>
  <si>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</si>
  <si>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</si>
  <si>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</si>
  <si>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</si>
  <si>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</si>
  <si>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</si>
  <si>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</si>
  <si>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</si>
  <si>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</si>
  <si>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</si>
  <si>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</si>
  <si>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</si>
  <si>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</si>
  <si>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</si>
  <si>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</si>
  <si>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</si>
  <si>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</si>
  <si>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</si>
  <si>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</si>
  <si>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</si>
  <si>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</si>
  <si>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</si>
  <si>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</si>
  <si>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</si>
  <si>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</si>
  <si>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</si>
  <si>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</si>
  <si>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</si>
  <si>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</si>
  <si>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</si>
  <si>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</si>
  <si>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</si>
  <si>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</si>
  <si>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</si>
  <si>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</si>
  <si>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</si>
  <si>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</si>
  <si>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</si>
  <si>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</si>
  <si>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</si>
  <si>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</si>
  <si>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</si>
  <si>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</si>
  <si>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</si>
  <si>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</si>
  <si>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</si>
  <si>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</si>
  <si>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</si>
  <si>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</si>
  <si>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</si>
  <si>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</si>
  <si>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</si>
  <si>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</si>
  <si>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</si>
  <si>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</si>
  <si>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</si>
  <si>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</si>
  <si>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</si>
  <si>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</si>
  <si>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</si>
  <si>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</si>
  <si>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</si>
  <si>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</si>
  <si>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</si>
  <si>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</si>
  <si>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</si>
  <si>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</si>
  <si>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</si>
  <si>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</si>
  <si>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</si>
  <si>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</si>
  <si>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</si>
  <si>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</si>
  <si>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</si>
  <si>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</si>
  <si>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</si>
  <si>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</si>
  <si>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</si>
  <si>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</si>
  <si>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</si>
  <si>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</si>
  <si>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</si>
  <si>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</si>
  <si>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</si>
  <si>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</si>
  <si>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</si>
  <si>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</si>
  <si>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</si>
  <si>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</si>
  <si>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</si>
  <si>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</si>
  <si>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</si>
  <si>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</si>
  <si>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</si>
  <si>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</si>
  <si>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</si>
  <si>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</si>
  <si>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</si>
  <si>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</si>
  <si>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</si>
  <si>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</si>
  <si>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</si>
  <si>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</si>
  <si>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</si>
  <si>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</si>
  <si>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</si>
  <si>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</si>
  <si>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</si>
  <si>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</si>
  <si>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</si>
  <si>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</si>
  <si>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</si>
  <si>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</si>
  <si>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</si>
  <si>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</si>
  <si>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</si>
  <si>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</si>
  <si>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</si>
  <si>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</si>
  <si>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</si>
  <si>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</si>
  <si>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</si>
  <si>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</si>
  <si>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</si>
  <si>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</si>
  <si>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</si>
  <si>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</si>
  <si>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</si>
  <si>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</si>
  <si>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</si>
  <si>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</si>
  <si>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</si>
  <si>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</si>
  <si>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</si>
  <si>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</si>
  <si>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</si>
  <si>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</si>
  <si>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</si>
  <si>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</si>
  <si>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</si>
  <si>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</si>
  <si>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</si>
  <si>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</si>
  <si>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</si>
  <si>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</si>
  <si>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</si>
  <si>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</si>
  <si>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</si>
  <si>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</si>
  <si>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</si>
  <si>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</si>
  <si>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</si>
  <si>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</si>
  <si>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</si>
  <si>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</si>
  <si>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</si>
  <si>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</si>
  <si>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</si>
  <si>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</si>
  <si>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</si>
  <si>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</si>
  <si>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</si>
  <si>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</si>
  <si>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</si>
  <si>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</si>
  <si>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</si>
  <si>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</si>
  <si>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</si>
  <si>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</si>
  <si>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</si>
  <si>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</si>
  <si>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</si>
  <si>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</si>
  <si>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</si>
  <si>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</si>
  <si>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</si>
  <si>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</si>
  <si>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</si>
  <si>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</si>
  <si>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</si>
  <si>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</si>
  <si>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</si>
  <si>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</si>
  <si>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</si>
  <si>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</si>
  <si>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</si>
  <si>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</si>
  <si>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</si>
  <si>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</si>
  <si>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</si>
  <si>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</si>
  <si>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</si>
  <si>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</si>
  <si>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</si>
  <si>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</si>
  <si>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</si>
  <si>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</si>
  <si>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</si>
  <si>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</si>
  <si>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</si>
  <si>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</si>
  <si>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</si>
  <si>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</si>
  <si>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</si>
  <si>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</si>
  <si>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</si>
  <si>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</si>
  <si>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</si>
  <si>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</si>
  <si>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</si>
  <si>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</si>
  <si>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</si>
  <si>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</si>
  <si>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</si>
  <si>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</si>
  <si>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</si>
  <si>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</si>
  <si>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</si>
  <si>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</si>
  <si>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</si>
  <si>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</si>
  <si>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</si>
  <si>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</si>
  <si>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</si>
  <si>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</si>
  <si>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</si>
  <si>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</si>
  <si>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</si>
  <si>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</si>
  <si>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</si>
  <si>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</si>
  <si>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</si>
  <si>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</si>
  <si>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</si>
  <si>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</si>
  <si>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</si>
  <si>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</si>
  <si>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</si>
  <si>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</si>
  <si>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</si>
  <si>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</si>
  <si>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</si>
  <si>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</si>
  <si>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</si>
  <si>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</si>
  <si>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</si>
  <si>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</si>
  <si>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</si>
  <si>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</si>
  <si>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</si>
  <si>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</si>
  <si>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</si>
  <si>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</si>
  <si>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</si>
  <si>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</si>
  <si>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</si>
  <si>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</si>
  <si>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</si>
  <si>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</si>
  <si>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</si>
  <si>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</si>
  <si>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</si>
  <si>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</si>
  <si>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</si>
  <si>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</si>
  <si>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</si>
  <si>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</si>
  <si>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</si>
  <si>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</si>
  <si>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</si>
  <si>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</si>
  <si>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</si>
  <si>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</si>
  <si>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</si>
  <si>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</si>
  <si>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</si>
  <si>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</si>
  <si>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</si>
  <si>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</si>
  <si>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</si>
  <si>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</si>
  <si>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</si>
  <si>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</si>
  <si>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</si>
  <si>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</si>
  <si>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</si>
  <si>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</si>
  <si>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</si>
  <si>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</si>
  <si>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</si>
  <si>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</si>
  <si>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</si>
  <si>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</si>
  <si>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</si>
  <si>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</si>
  <si>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</si>
  <si>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</si>
  <si>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</si>
  <si>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</si>
  <si>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</si>
  <si>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</si>
  <si>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</si>
  <si>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</si>
  <si>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</si>
  <si>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</si>
  <si>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</si>
  <si>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</si>
  <si>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</si>
  <si>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</si>
  <si>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</si>
  <si>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</si>
  <si>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</si>
  <si>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</si>
  <si>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</si>
  <si>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</si>
  <si>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</si>
  <si>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</si>
  <si>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</si>
  <si>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</si>
  <si>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</si>
  <si>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</si>
  <si>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</si>
  <si>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</si>
  <si>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</si>
  <si>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</si>
  <si>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</si>
  <si>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</si>
  <si>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</si>
  <si>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</si>
  <si>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</si>
  <si>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</si>
  <si>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</si>
  <si>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</si>
  <si>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</si>
  <si>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</si>
  <si>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</si>
  <si>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</si>
  <si>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</si>
  <si>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</si>
  <si>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</si>
  <si>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</si>
  <si>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</si>
  <si>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</si>
  <si>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</si>
  <si>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</si>
  <si>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</si>
  <si>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</si>
  <si>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</si>
  <si>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</si>
  <si>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</si>
  <si>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</si>
  <si>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</si>
  <si>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</si>
  <si>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</si>
  <si>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</si>
  <si>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</si>
  <si>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</si>
  <si>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</si>
  <si>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</si>
  <si>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</si>
  <si>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</si>
  <si>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</si>
  <si>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</si>
  <si>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</si>
  <si>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</si>
  <si>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</si>
  <si>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</si>
  <si>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</si>
  <si>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</si>
  <si>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</si>
  <si>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</si>
  <si>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</si>
  <si>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</si>
  <si>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</si>
  <si>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</si>
  <si>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</si>
  <si>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</si>
  <si>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</si>
  <si>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</si>
  <si>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</si>
  <si>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</si>
  <si>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</si>
  <si>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</si>
  <si>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</si>
  <si>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</si>
  <si>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</si>
  <si>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</si>
  <si>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</si>
  <si>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</si>
  <si>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</si>
  <si>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</si>
  <si>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</si>
  <si>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</si>
  <si>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</si>
  <si>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</si>
  <si>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</si>
  <si>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</si>
  <si>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</si>
  <si>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</si>
  <si>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</si>
  <si>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</si>
  <si>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</si>
  <si>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</si>
  <si>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</si>
  <si>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</si>
  <si>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</si>
  <si>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</si>
  <si>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</si>
  <si>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</si>
  <si>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</si>
  <si>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</si>
  <si>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</si>
  <si>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</si>
  <si>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</si>
  <si>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</si>
  <si>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</si>
  <si>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</si>
  <si>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</si>
  <si>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</si>
  <si>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</si>
  <si>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</si>
  <si>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</si>
  <si>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</si>
  <si>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</si>
  <si>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</si>
  <si>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</si>
  <si>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</si>
  <si>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</si>
  <si>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</si>
  <si>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</si>
  <si>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</si>
  <si>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</si>
  <si>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</si>
  <si>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</si>
  <si>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</si>
  <si>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yemilad13@gmail.com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</si>
  <si>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</si>
  <si>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</si>
  <si>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</si>
  <si>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</si>
  <si>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</si>
  <si>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</si>
  <si>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</si>
  <si>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</si>
  <si>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</si>
  <si>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</si>
  <si>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</si>
  <si>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</si>
  <si>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</si>
  <si>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</si>
  <si>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</si>
  <si>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</si>
  <si>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</si>
  <si>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</si>
  <si>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</si>
  <si>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</si>
  <si>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</si>
  <si>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</si>
  <si>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</si>
  <si>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</si>
  <si>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</si>
  <si>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</si>
  <si>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</si>
  <si>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</si>
  <si>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</si>
  <si>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</si>
  <si>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</si>
  <si>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</si>
  <si>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</si>
  <si>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</si>
  <si>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</si>
  <si>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</si>
  <si>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</si>
  <si>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</si>
  <si>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</si>
  <si>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</si>
  <si>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</si>
  <si>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</si>
  <si>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</si>
  <si>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</si>
  <si>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</si>
  <si>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</si>
  <si>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</si>
  <si>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</si>
  <si>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</si>
  <si>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</si>
  <si>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</si>
  <si>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</si>
  <si>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</si>
  <si>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</si>
  <si>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</si>
  <si>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</si>
  <si>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</si>
  <si>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</si>
  <si>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</si>
  <si>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</si>
  <si>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</si>
  <si>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</si>
  <si>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</si>
  <si>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</si>
  <si>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</si>
  <si>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</si>
  <si>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</si>
  <si>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</si>
  <si>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</si>
  <si>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</si>
  <si>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</si>
  <si>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</si>
  <si>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</si>
  <si>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</si>
  <si>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</si>
  <si>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</si>
  <si>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</si>
  <si>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</si>
  <si>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</si>
  <si>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</si>
  <si>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</si>
  <si>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</si>
  <si>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</si>
  <si>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</si>
  <si>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</si>
  <si>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</si>
  <si>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</si>
  <si>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</si>
  <si>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</si>
  <si>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</si>
  <si>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</si>
  <si>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</si>
  <si>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</si>
  <si>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</si>
  <si>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</si>
  <si>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</si>
  <si>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</si>
  <si>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</si>
  <si>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</si>
  <si>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</si>
  <si>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</si>
  <si>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</si>
  <si>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</si>
  <si>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</si>
  <si>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</si>
  <si>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</si>
  <si>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</si>
  <si>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</si>
  <si>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</si>
  <si>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</si>
  <si>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</si>
  <si>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</si>
  <si>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</si>
  <si>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</si>
  <si>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</si>
  <si>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</si>
  <si>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</si>
  <si>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</si>
  <si>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</si>
  <si>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</si>
  <si>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</si>
  <si>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</si>
  <si>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</si>
  <si>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</si>
  <si>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</si>
  <si>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</si>
  <si>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</si>
  <si>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</si>
  <si>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</si>
  <si>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</si>
  <si>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</si>
  <si>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</si>
  <si>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</si>
  <si>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</si>
  <si>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</si>
  <si>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</si>
  <si>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</si>
  <si>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</si>
  <si>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</si>
  <si>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</si>
  <si>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</si>
  <si>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</si>
  <si>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</si>
  <si>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</si>
  <si>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</si>
  <si>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</si>
  <si>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</si>
  <si>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</si>
  <si>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</si>
  <si>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</si>
  <si>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</si>
  <si>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</si>
  <si>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</si>
  <si>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</si>
  <si>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</si>
  <si>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</si>
  <si>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</si>
  <si>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</si>
  <si>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</si>
  <si>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</si>
  <si>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</si>
  <si>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</si>
  <si>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</si>
  <si>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</si>
  <si>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</si>
  <si>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</si>
  <si>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</si>
  <si>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</si>
  <si>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</si>
  <si>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</si>
  <si>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</si>
  <si>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</si>
  <si>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</si>
  <si>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</si>
  <si>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</si>
  <si>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</si>
  <si>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</si>
  <si>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</si>
  <si>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</si>
  <si>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</si>
  <si>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</si>
  <si>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</si>
  <si>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</si>
  <si>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</si>
  <si>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</si>
  <si>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</si>
  <si>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</si>
  <si>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</si>
  <si>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</si>
  <si>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</si>
  <si>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</si>
  <si>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</si>
  <si>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</si>
  <si>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</si>
  <si>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</si>
  <si>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</si>
  <si>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</si>
  <si>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</si>
  <si>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</si>
  <si>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</si>
  <si>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</si>
  <si>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</si>
  <si>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</si>
  <si>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</si>
  <si>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</si>
  <si>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</si>
  <si>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</si>
  <si>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</si>
  <si>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</si>
  <si>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</si>
  <si>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</si>
  <si>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</si>
  <si>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</si>
  <si>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</si>
  <si>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</si>
  <si>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</si>
  <si>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</si>
  <si>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</si>
  <si>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</si>
  <si>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</si>
  <si>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</si>
  <si>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</si>
  <si>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</si>
  <si>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</si>
  <si>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</si>
  <si>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</si>
  <si>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</si>
  <si>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</si>
  <si>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</si>
  <si>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</si>
  <si>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</si>
  <si>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</si>
  <si>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</si>
  <si>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</si>
  <si>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</si>
  <si>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</si>
  <si>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</si>
  <si>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</si>
  <si>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</si>
  <si>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</si>
  <si>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</si>
  <si>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</si>
  <si>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</si>
  <si>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</si>
  <si>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</si>
  <si>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</si>
  <si>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</si>
  <si>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</si>
  <si>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</si>
  <si>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</si>
  <si>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</si>
  <si>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</si>
  <si>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</si>
  <si>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</si>
  <si>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</si>
  <si>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</si>
  <si>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</si>
  <si>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</si>
  <si>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</si>
  <si>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</si>
  <si>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</si>
  <si>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</si>
  <si>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</si>
  <si>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</si>
  <si>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</si>
  <si>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</si>
  <si>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</si>
  <si>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</si>
  <si>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</si>
  <si>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</si>
  <si>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</si>
  <si>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</si>
  <si>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</si>
  <si>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</si>
  <si>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</si>
  <si>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</si>
  <si>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</si>
  <si>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</si>
  <si>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</si>
  <si>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</si>
  <si>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</si>
  <si>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</si>
  <si>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</si>
  <si>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</si>
  <si>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</si>
  <si>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</si>
  <si>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</si>
  <si>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</si>
  <si>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</si>
  <si>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</si>
  <si>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</si>
  <si>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</si>
  <si>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</si>
  <si>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</si>
  <si>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</si>
  <si>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</si>
  <si>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</si>
  <si>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</si>
  <si>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</si>
  <si>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</si>
  <si>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</si>
  <si>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</si>
  <si>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</si>
  <si>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</si>
  <si>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</si>
  <si>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</si>
  <si>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</si>
  <si>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</si>
  <si>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</si>
  <si>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</si>
  <si>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</si>
  <si>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</si>
  <si>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</si>
  <si>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</si>
  <si>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</si>
  <si>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</si>
  <si>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</si>
  <si>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</si>
  <si>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</si>
  <si>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</si>
  <si>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</si>
  <si>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</si>
  <si>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</si>
  <si>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</si>
  <si>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</si>
  <si>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</si>
  <si>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</si>
  <si>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</si>
  <si>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</si>
  <si>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</si>
  <si>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</si>
  <si>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</si>
  <si>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</si>
  <si>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</si>
  <si>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</si>
  <si>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</si>
  <si>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</si>
  <si>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</si>
  <si>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</si>
  <si>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</si>
  <si>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</si>
  <si>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</si>
  <si>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</si>
  <si>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</si>
  <si>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</si>
  <si>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</si>
  <si>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</si>
  <si>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</si>
  <si>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</si>
  <si>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</si>
  <si>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</si>
  <si>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</si>
  <si>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</si>
  <si>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</si>
  <si>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</si>
  <si>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</si>
  <si>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</si>
  <si>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</si>
  <si>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</si>
  <si>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</si>
  <si>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</si>
  <si>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</si>
  <si>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</si>
  <si>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</si>
  <si>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</si>
  <si>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</si>
  <si>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</si>
  <si>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</si>
  <si>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</si>
  <si>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</si>
  <si>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</si>
  <si>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</si>
  <si>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</si>
  <si>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</si>
  <si>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</si>
  <si>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</si>
  <si>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</si>
  <si>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</si>
  <si>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</si>
  <si>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</si>
  <si>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</si>
  <si>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</si>
  <si>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</si>
  <si>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</si>
  <si>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</si>
  <si>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</si>
  <si>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</si>
  <si>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</si>
  <si>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</si>
  <si>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</si>
  <si>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</si>
  <si>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</si>
  <si>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</si>
  <si>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</si>
  <si>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</si>
  <si>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</si>
  <si>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</si>
  <si>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</si>
  <si>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</si>
  <si>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</si>
  <si>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</si>
  <si>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</si>
  <si>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</si>
  <si>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</si>
  <si>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</si>
  <si>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</si>
  <si>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</si>
  <si>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</si>
  <si>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</si>
  <si>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</si>
  <si>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</si>
  <si>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</si>
  <si>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</si>
  <si>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</si>
  <si>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</si>
  <si>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</si>
  <si>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</si>
  <si>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</si>
  <si>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</si>
  <si>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</si>
  <si>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</si>
  <si>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</si>
  <si>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</si>
  <si>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</si>
  <si>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</si>
  <si>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</si>
  <si>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</si>
  <si>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</si>
  <si>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</si>
  <si>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</si>
  <si>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</si>
  <si>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</si>
  <si>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</si>
  <si>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</si>
  <si>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</si>
  <si>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</si>
  <si>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</si>
  <si>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</si>
  <si>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</si>
  <si>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</si>
  <si>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</si>
  <si>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</si>
  <si>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</si>
  <si>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</si>
  <si>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</si>
  <si>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</si>
  <si>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</si>
  <si>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</si>
  <si>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</si>
  <si>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</si>
  <si>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</si>
  <si>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</si>
  <si>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</si>
  <si>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</si>
  <si>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</si>
  <si>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</si>
  <si>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</si>
  <si>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</si>
  <si>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</si>
  <si>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</si>
  <si>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</si>
  <si>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</si>
  <si>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</si>
  <si>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</si>
  <si>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</si>
  <si>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</si>
  <si>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</si>
  <si>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</si>
  <si>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</si>
  <si>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</si>
  <si>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</si>
  <si>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</si>
  <si>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</si>
  <si>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</si>
  <si>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</si>
  <si>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</si>
  <si>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</si>
  <si>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</si>
  <si>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</si>
  <si>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</si>
  <si>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</si>
  <si>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</si>
  <si>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</si>
  <si>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</si>
  <si>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</si>
  <si>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</si>
  <si>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</si>
  <si>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</si>
  <si>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29/11/2025</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</si>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</sst>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34">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0" fillId="0" borderId="2" xfId="0" applyBorder="1"/>
    <xf numFmtId="0" fontId="0" fillId="0" borderId="2" xfId="0" applyBorder="1" applyAlignment="1">
      <alignment horizontal="center"/>
    </xf>
    <xf numFmtId="14" fontId="0" fillId="0" borderId="2" xfId="0" applyNumberFormat="1" applyBorder="1" applyAlignment="1">
      <alignment horizontal="center"/>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17</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7</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73</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9</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24</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2</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17</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7</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108</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6</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108</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16</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554567</xdr:colOff>
      <xdr:row>1</xdr:row>
      <xdr:rowOff>177800</xdr:rowOff>
    </xdr:from>
    <xdr:to>
      <xdr:col>20</xdr:col>
      <xdr:colOff>38100</xdr:colOff>
      <xdr:row>22</xdr:row>
      <xdr:rowOff>177800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7.610229861108"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6">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5967.728162268519"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9"/>
    <x v="2"/>
    <m/>
    <m/>
    <m/>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8"/>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59"/>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0"/>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1"/>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2"/>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3"/>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4"/>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Senior Lecture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s v="29/11/2025"/>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m/>
    <x v="2"/>
    <m/>
    <m/>
    <m/>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114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114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114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114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114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114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114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114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114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1149"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114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114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114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114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114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7">
        <item h="1" m="1" x="165"/>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8"/>
        <item h="1" x="144"/>
        <item h="1" x="142"/>
        <item h="1" x="139"/>
        <item h="1" x="156"/>
        <item h="1" x="133"/>
        <item h="1" x="107"/>
        <item h="1" x="157"/>
        <item h="1" x="147"/>
        <item h="1" x="104"/>
        <item h="1" x="149"/>
        <item h="1" x="136"/>
        <item h="1" x="125"/>
        <item h="1" x="146"/>
        <item h="1" x="101"/>
        <item h="1" x="143"/>
        <item h="1" x="134"/>
        <item h="1" x="150"/>
        <item h="1" x="159"/>
        <item h="1" x="160"/>
        <item h="1" x="84"/>
        <item h="1" x="115"/>
        <item h="1" x="163"/>
        <item h="1" x="89"/>
        <item h="1" x="162"/>
        <item x="135"/>
        <item x="140"/>
        <item x="153"/>
        <item x="155"/>
        <item x="123"/>
        <item x="102"/>
        <item h="1" x="19"/>
        <item h="1" x="82"/>
        <item h="1" x="151"/>
        <item h="1" x="138"/>
        <item h="1" x="152"/>
        <item h="1" x="161"/>
        <item h="1" x="164"/>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printerSettings" Target="../printerSettings/printerSettings1.bin"/><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chisati@medcol.mw" TargetMode="External"/><Relationship Id="rId47" Type="http://schemas.openxmlformats.org/officeDocument/2006/relationships/hyperlink" Target="mailto:kadebayo@cartafrica.org" TargetMode="External"/><Relationship Id="rId63" Type="http://schemas.openxmlformats.org/officeDocument/2006/relationships/hyperlink" Target="mailto:magunbiade@cartafrica.org" TargetMode="External"/><Relationship Id="rId68" Type="http://schemas.openxmlformats.org/officeDocument/2006/relationships/hyperlink" Target="mailto:ropiyo@cartafrica.org" TargetMode="External"/><Relationship Id="rId84" Type="http://schemas.openxmlformats.org/officeDocument/2006/relationships/hyperlink" Target="mailto:funmitoabioye@yahoo.com" TargetMode="External"/><Relationship Id="rId89" Type="http://schemas.openxmlformats.org/officeDocument/2006/relationships/hyperlink" Target="mailto:banacele@yahoo.fr"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slallaedward@ezintsha.org;" TargetMode="External"/><Relationship Id="rId37" Type="http://schemas.openxmlformats.org/officeDocument/2006/relationships/hyperlink" Target="mailto:skumwenda@cartafrica.org" TargetMode="External"/><Relationship Id="rId53" Type="http://schemas.openxmlformats.org/officeDocument/2006/relationships/hyperlink" Target="mailto:tnyirenda@cartafrica.org" TargetMode="External"/><Relationship Id="rId58" Type="http://schemas.openxmlformats.org/officeDocument/2006/relationships/hyperlink" Target="mailto:swandera@cartafrica.org" TargetMode="External"/><Relationship Id="rId74" Type="http://schemas.openxmlformats.org/officeDocument/2006/relationships/hyperlink" Target="mailto:hzakumpa@cartafrica.org" TargetMode="External"/><Relationship Id="rId79" Type="http://schemas.openxmlformats.org/officeDocument/2006/relationships/hyperlink" Target="mailto:mkamndaya@cartafrica.org" TargetMode="External"/><Relationship Id="rId5" Type="http://schemas.openxmlformats.org/officeDocument/2006/relationships/hyperlink" Target="mailto:zakumumpa@yahoo.com" TargetMode="External"/><Relationship Id="rId90" Type="http://schemas.openxmlformats.org/officeDocument/2006/relationships/hyperlink" Target="mailto:tosinolorunmoteni@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eniyolacadmus@gmail.com" TargetMode="External"/><Relationship Id="rId48" Type="http://schemas.openxmlformats.org/officeDocument/2006/relationships/hyperlink" Target="mailto:shepelog@gmail.com" TargetMode="External"/><Relationship Id="rId64" Type="http://schemas.openxmlformats.org/officeDocument/2006/relationships/hyperlink" Target="mailto:akhisa@cartafrica.org" TargetMode="External"/><Relationship Id="rId69" Type="http://schemas.openxmlformats.org/officeDocument/2006/relationships/hyperlink" Target="mailto:asangowaw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sadedokun@cartafrica.org" TargetMode="External"/><Relationship Id="rId72" Type="http://schemas.openxmlformats.org/officeDocument/2006/relationships/hyperlink" Target="mailto:dmenya@cartafrica.org" TargetMode="External"/><Relationship Id="rId80" Type="http://schemas.openxmlformats.org/officeDocument/2006/relationships/hyperlink" Target="mailto:sayamolowo@cartafrica.org" TargetMode="External"/><Relationship Id="rId85" Type="http://schemas.openxmlformats.org/officeDocument/2006/relationships/hyperlink" Target="mailto:opopoola@cartafrica.org" TargetMode="External"/><Relationship Id="rId93" Type="http://schemas.openxmlformats.org/officeDocument/2006/relationships/hyperlink" Target="mailto:ckafu@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kmukara@cartafrica.org" TargetMode="External"/><Relationship Id="rId38" Type="http://schemas.openxmlformats.org/officeDocument/2006/relationships/hyperlink" Target="mailto:mutua_mike@yahoo.com;" TargetMode="External"/><Relationship Id="rId46" Type="http://schemas.openxmlformats.org/officeDocument/2006/relationships/hyperlink" Target="mailto:otwombek@phru.co.za" TargetMode="External"/><Relationship Id="rId59" Type="http://schemas.openxmlformats.org/officeDocument/2006/relationships/hyperlink" Target="mailto:stakuva@cartafrica.org" TargetMode="External"/><Relationship Id="rId67" Type="http://schemas.openxmlformats.org/officeDocument/2006/relationships/hyperlink" Target="mailto:ndewet@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mben.olufsen@gmail.com" TargetMode="External"/><Relationship Id="rId54" Type="http://schemas.openxmlformats.org/officeDocument/2006/relationships/hyperlink" Target="mailto:fadeniyi@cartafrica.org" TargetMode="External"/><Relationship Id="rId62" Type="http://schemas.openxmlformats.org/officeDocument/2006/relationships/hyperlink" Target="mailto:jfaronbi@cartafrica.org" TargetMode="External"/><Relationship Id="rId70" Type="http://schemas.openxmlformats.org/officeDocument/2006/relationships/hyperlink" Target="mailto:smbalinda@cartafrica.org" TargetMode="External"/><Relationship Id="rId75" Type="http://schemas.openxmlformats.org/officeDocument/2006/relationships/hyperlink" Target="mailto:mkassim@cartafrica.org" TargetMode="External"/><Relationship Id="rId83" Type="http://schemas.openxmlformats.org/officeDocument/2006/relationships/hyperlink" Target="mailto:ajntamatungiro@gmail.com" TargetMode="External"/><Relationship Id="rId88" Type="http://schemas.openxmlformats.org/officeDocument/2006/relationships/hyperlink" Target="mailto:bolusanya@cartafrica.org" TargetMode="External"/><Relationship Id="rId91" Type="http://schemas.openxmlformats.org/officeDocument/2006/relationships/hyperlink" Target="mailto:adreyer@cartafrica.org" TargetMode="Externa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yemilad13@gmail.com" TargetMode="External"/><Relationship Id="rId36" Type="http://schemas.openxmlformats.org/officeDocument/2006/relationships/hyperlink" Target="mailto:pmpho@cartafrica.org" TargetMode="External"/><Relationship Id="rId49" Type="http://schemas.openxmlformats.org/officeDocument/2006/relationships/hyperlink" Target="mailto:obanjo@cartafrica.org" TargetMode="External"/><Relationship Id="rId57" Type="http://schemas.openxmlformats.org/officeDocument/2006/relationships/hyperlink" Target="mailto:ckat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wmanda@cartafrica.org" TargetMode="External"/><Relationship Id="rId44" Type="http://schemas.openxmlformats.org/officeDocument/2006/relationships/hyperlink" Target="mailto:maryobiyan@gmail.com" TargetMode="External"/><Relationship Id="rId52" Type="http://schemas.openxmlformats.org/officeDocument/2006/relationships/hyperlink" Target="mailto:jakinyemi@cartafrica.org" TargetMode="External"/><Relationship Id="rId60" Type="http://schemas.openxmlformats.org/officeDocument/2006/relationships/hyperlink" Target="mailto:tawotidebe@cartafrica.org" TargetMode="External"/><Relationship Id="rId65" Type="http://schemas.openxmlformats.org/officeDocument/2006/relationships/hyperlink" Target="mailto:duwizeye@cartafrica.org" TargetMode="External"/><Relationship Id="rId73" Type="http://schemas.openxmlformats.org/officeDocument/2006/relationships/hyperlink" Target="mailto:fmoroe@cartafrica.org" TargetMode="External"/><Relationship Id="rId78" Type="http://schemas.openxmlformats.org/officeDocument/2006/relationships/hyperlink" Target="mailto:fkhuluza@cartafrica.org" TargetMode="External"/><Relationship Id="rId81" Type="http://schemas.openxmlformats.org/officeDocument/2006/relationships/hyperlink" Target="mailto:marcelinefinda@gmail.com" TargetMode="External"/><Relationship Id="rId86" Type="http://schemas.openxmlformats.org/officeDocument/2006/relationships/hyperlink" Target="mailto:lbanamwana@cartafrica.org" TargetMode="External"/><Relationship Id="rId94" Type="http://schemas.openxmlformats.org/officeDocument/2006/relationships/printerSettings" Target="../printerSettings/printerSettings2.bin"/><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snakubulwa@cartafrica.org" TargetMode="External"/><Relationship Id="rId34" Type="http://schemas.openxmlformats.org/officeDocument/2006/relationships/hyperlink" Target="mailto:ykolisa@cartafrica.org" TargetMode="External"/><Relationship Id="rId50" Type="http://schemas.openxmlformats.org/officeDocument/2006/relationships/hyperlink" Target="mailto:alinda@cartafrica.org" TargetMode="External"/><Relationship Id="rId55" Type="http://schemas.openxmlformats.org/officeDocument/2006/relationships/hyperlink" Target="mailto:csambai@cartafrica.org" TargetMode="External"/><Relationship Id="rId76" Type="http://schemas.openxmlformats.org/officeDocument/2006/relationships/hyperlink" Target="mailto:ekaindoa@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gmbuthia@cartafrica.org" TargetMode="External"/><Relationship Id="rId92" Type="http://schemas.openxmlformats.org/officeDocument/2006/relationships/hyperlink" Target="mailto:lfarlane@cartafrica.org" TargetMode="External"/><Relationship Id="rId2" Type="http://schemas.openxmlformats.org/officeDocument/2006/relationships/hyperlink" Target="mailto:akagaha@gmail.com" TargetMode="External"/><Relationship Id="rId29" Type="http://schemas.openxmlformats.org/officeDocument/2006/relationships/hyperlink" Target="mailto:maleyoagnes@gmail.com" TargetMode="External"/><Relationship Id="rId24" Type="http://schemas.openxmlformats.org/officeDocument/2006/relationships/hyperlink" Target="mailto:rrutayisire@cartafrica.org" TargetMode="External"/><Relationship Id="rId40" Type="http://schemas.openxmlformats.org/officeDocument/2006/relationships/hyperlink" Target="mailto:eafolabi@cartafrica.org" TargetMode="External"/><Relationship Id="rId45" Type="http://schemas.openxmlformats.org/officeDocument/2006/relationships/hyperlink" Target="mailto:b.n.kaunda@gmail.com" TargetMode="External"/><Relationship Id="rId66" Type="http://schemas.openxmlformats.org/officeDocument/2006/relationships/hyperlink" Target="mailto:tolusegun@cartafrica.org" TargetMode="External"/><Relationship Id="rId87" Type="http://schemas.openxmlformats.org/officeDocument/2006/relationships/hyperlink" Target="mailto:abiolakomolafe2016@gmail.com" TargetMode="External"/><Relationship Id="rId61" Type="http://schemas.openxmlformats.org/officeDocument/2006/relationships/hyperlink" Target="mailto:jmangeni@cartafrica.org" TargetMode="External"/><Relationship Id="rId82" Type="http://schemas.openxmlformats.org/officeDocument/2006/relationships/hyperlink" Target="mailto:nomfundo.moroe7@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ooyelade@cartafrica.org" TargetMode="External"/><Relationship Id="rId35" Type="http://schemas.openxmlformats.org/officeDocument/2006/relationships/hyperlink" Target="mailto:jbukenya@cartafrica.org" TargetMode="External"/><Relationship Id="rId56" Type="http://schemas.openxmlformats.org/officeDocument/2006/relationships/hyperlink" Target="mailto:mobiyan@cartafrica.org" TargetMode="External"/><Relationship Id="rId77" Type="http://schemas.openxmlformats.org/officeDocument/2006/relationships/hyperlink" Target="mailto:fniragire@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35" zoomScale="88" zoomScaleNormal="88" workbookViewId="0">
      <selection activeCell="W18" sqref="W18"/>
    </sheetView>
  </sheetViews>
  <sheetFormatPr defaultColWidth="8.7109375" defaultRowHeight="14.45"/>
  <cols>
    <col min="1" max="1" width="0" style="302" hidden="1" customWidth="1"/>
    <col min="2" max="2" width="10.5703125" style="302" bestFit="1" customWidth="1"/>
    <col min="3" max="3" width="15.28515625" style="302" customWidth="1"/>
    <col min="4" max="4" width="16.5703125" style="302" customWidth="1"/>
    <col min="5" max="5" width="13" style="302" customWidth="1"/>
    <col min="6" max="6" width="11.85546875" style="302" customWidth="1"/>
    <col min="7" max="7" width="8.7109375" style="302"/>
    <col min="8" max="8" width="13.7109375" style="302" customWidth="1"/>
    <col min="9" max="18" width="8.7109375" style="302"/>
    <col min="19" max="19" width="19.42578125" style="302" customWidth="1"/>
    <col min="20" max="20" width="13.140625" style="302" customWidth="1"/>
    <col min="21" max="16384" width="8.7109375" style="302"/>
  </cols>
  <sheetData>
    <row r="2" spans="19:20">
      <c r="S2" s="303" t="s">
        <v>0</v>
      </c>
      <c r="T2" s="304">
        <f>'Pivot Analysis'!F41</f>
        <v>0.90566037735849059</v>
      </c>
    </row>
    <row r="3" spans="19:20">
      <c r="S3" s="303" t="s">
        <v>1</v>
      </c>
      <c r="T3" s="432">
        <f>'Pivot Analysis'!F41</f>
        <v>0.90566037735849059</v>
      </c>
    </row>
    <row r="4" spans="19:20">
      <c r="S4" s="303" t="s">
        <v>2</v>
      </c>
      <c r="T4" s="305">
        <f>'Pivot Analysis'!F30</f>
        <v>0.86956521739130432</v>
      </c>
    </row>
    <row r="5" spans="19:20">
      <c r="S5" s="303" t="s">
        <v>3</v>
      </c>
      <c r="T5" s="305">
        <f>'Pivot Analysis'!F31</f>
        <v>0.8</v>
      </c>
    </row>
    <row r="6" spans="19:20">
      <c r="S6" s="303" t="s">
        <v>4</v>
      </c>
      <c r="T6" s="305">
        <f>'Pivot Analysis'!F32</f>
        <v>0.91304347826086951</v>
      </c>
    </row>
    <row r="7" spans="19:20">
      <c r="S7" s="303" t="s">
        <v>5</v>
      </c>
      <c r="T7" s="305">
        <f>'Pivot Analysis'!F33</f>
        <v>0.96296296296296291</v>
      </c>
    </row>
    <row r="8" spans="19:20">
      <c r="S8" s="303" t="s">
        <v>6</v>
      </c>
      <c r="T8" s="305">
        <f>'Pivot Analysis'!F34</f>
        <v>0.8</v>
      </c>
    </row>
    <row r="9" spans="19:20">
      <c r="S9" s="303" t="s">
        <v>7</v>
      </c>
      <c r="T9" s="305">
        <f>'Pivot Analysis'!F35</f>
        <v>0.96</v>
      </c>
    </row>
    <row r="10" spans="19:20">
      <c r="S10" s="303" t="s">
        <v>8</v>
      </c>
      <c r="T10" s="305">
        <f>'Pivot Analysis'!F36</f>
        <v>0.88888888888888884</v>
      </c>
    </row>
    <row r="11" spans="19:20">
      <c r="S11" s="303" t="s">
        <v>9</v>
      </c>
      <c r="T11" s="305">
        <f>'Pivot Analysis'!F37</f>
        <v>0.88461538461538458</v>
      </c>
    </row>
    <row r="12" spans="19:20">
      <c r="S12" s="303" t="s">
        <v>10</v>
      </c>
      <c r="T12" s="305">
        <f>'Pivot Analysis'!F38</f>
        <v>0.91666666666666663</v>
      </c>
    </row>
    <row r="13" spans="19:20">
      <c r="S13" s="303" t="s">
        <v>11</v>
      </c>
      <c r="T13" s="305">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10" t="s">
        <v>1</v>
      </c>
      <c r="S43" s="302">
        <f>2</f>
        <v>2</v>
      </c>
    </row>
    <row r="44" spans="2:19">
      <c r="B44">
        <v>1</v>
      </c>
      <c r="C44">
        <v>20</v>
      </c>
      <c r="D44"/>
      <c r="E44">
        <v>3</v>
      </c>
      <c r="F44">
        <v>23</v>
      </c>
      <c r="G44" s="311"/>
    </row>
    <row r="45" spans="2:19">
      <c r="B45">
        <v>2</v>
      </c>
      <c r="C45">
        <v>15</v>
      </c>
      <c r="D45">
        <v>1</v>
      </c>
      <c r="E45">
        <v>4</v>
      </c>
      <c r="F45">
        <v>20</v>
      </c>
      <c r="G45" s="311"/>
    </row>
    <row r="46" spans="2:19">
      <c r="B46">
        <v>3</v>
      </c>
      <c r="C46">
        <v>18</v>
      </c>
      <c r="D46">
        <v>3</v>
      </c>
      <c r="E46">
        <v>2</v>
      </c>
      <c r="F46">
        <v>23</v>
      </c>
      <c r="G46" s="311"/>
    </row>
    <row r="47" spans="2:19">
      <c r="B47">
        <v>4</v>
      </c>
      <c r="C47">
        <v>25</v>
      </c>
      <c r="D47">
        <v>1</v>
      </c>
      <c r="E47">
        <v>1</v>
      </c>
      <c r="F47">
        <v>27</v>
      </c>
      <c r="G47" s="311"/>
    </row>
    <row r="48" spans="2:19">
      <c r="B48">
        <v>5</v>
      </c>
      <c r="C48">
        <v>18</v>
      </c>
      <c r="D48">
        <v>2</v>
      </c>
      <c r="E48">
        <v>5</v>
      </c>
      <c r="F48">
        <v>25</v>
      </c>
      <c r="G48" s="311"/>
    </row>
    <row r="49" spans="2:8">
      <c r="B49">
        <v>6</v>
      </c>
      <c r="C49">
        <v>24</v>
      </c>
      <c r="D49"/>
      <c r="E49">
        <v>1</v>
      </c>
      <c r="F49">
        <v>25</v>
      </c>
      <c r="G49" s="311"/>
    </row>
    <row r="50" spans="2:8">
      <c r="B50">
        <v>7</v>
      </c>
      <c r="C50">
        <v>24</v>
      </c>
      <c r="D50"/>
      <c r="E50">
        <v>3</v>
      </c>
      <c r="F50">
        <v>27</v>
      </c>
      <c r="G50" s="311"/>
      <c r="H50" s="302" t="s">
        <v>20</v>
      </c>
    </row>
    <row r="51" spans="2:8">
      <c r="B51">
        <v>8</v>
      </c>
      <c r="C51">
        <v>17</v>
      </c>
      <c r="D51">
        <v>6</v>
      </c>
      <c r="E51">
        <v>3</v>
      </c>
      <c r="F51">
        <v>26</v>
      </c>
      <c r="G51" s="311"/>
    </row>
    <row r="52" spans="2:8">
      <c r="B52">
        <v>9</v>
      </c>
      <c r="C52">
        <v>16</v>
      </c>
      <c r="D52">
        <v>6</v>
      </c>
      <c r="E52">
        <v>2</v>
      </c>
      <c r="F52">
        <v>24</v>
      </c>
      <c r="G52" s="311"/>
    </row>
    <row r="53" spans="2:8">
      <c r="B53">
        <v>10</v>
      </c>
      <c r="C53">
        <v>17</v>
      </c>
      <c r="D53">
        <v>7</v>
      </c>
      <c r="E53">
        <v>1</v>
      </c>
      <c r="F53">
        <v>25</v>
      </c>
      <c r="G53" s="311"/>
    </row>
    <row r="54" spans="2:8">
      <c r="B54">
        <v>11</v>
      </c>
      <c r="C54"/>
      <c r="D54">
        <v>20</v>
      </c>
      <c r="E54"/>
      <c r="F54">
        <v>20</v>
      </c>
      <c r="G54" s="311"/>
    </row>
    <row r="55" spans="2:8">
      <c r="B55" t="s">
        <v>19</v>
      </c>
      <c r="C55">
        <v>194</v>
      </c>
      <c r="D55">
        <v>46</v>
      </c>
      <c r="E55">
        <v>25</v>
      </c>
      <c r="F55">
        <v>265</v>
      </c>
      <c r="G55" s="311"/>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B10" sqref="B10"/>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21</v>
      </c>
      <c r="H1" s="59" t="s">
        <v>22</v>
      </c>
      <c r="S1" s="58" t="s">
        <v>15</v>
      </c>
      <c r="T1" s="58" t="s">
        <v>23</v>
      </c>
      <c r="U1" s="58" t="s">
        <v>24</v>
      </c>
      <c r="V1" s="58" t="s">
        <v>25</v>
      </c>
    </row>
    <row r="2" spans="1:22">
      <c r="A2" s="54" t="s">
        <v>26</v>
      </c>
      <c r="B2" t="s">
        <v>27</v>
      </c>
      <c r="H2" s="54" t="s">
        <v>26</v>
      </c>
      <c r="I2" t="s">
        <v>27</v>
      </c>
      <c r="N2" s="54" t="s">
        <v>14</v>
      </c>
      <c r="O2" t="s">
        <v>27</v>
      </c>
      <c r="P2" s="54" t="s">
        <v>14</v>
      </c>
      <c r="Q2" t="s">
        <v>16</v>
      </c>
      <c r="S2" s="56" t="s">
        <v>28</v>
      </c>
      <c r="T2" s="24"/>
      <c r="U2" s="24"/>
      <c r="V2" s="24"/>
    </row>
    <row r="3" spans="1:22">
      <c r="N3" s="60" t="s">
        <v>12</v>
      </c>
      <c r="P3" s="60" t="s">
        <v>12</v>
      </c>
    </row>
    <row r="4" spans="1:22">
      <c r="A4" s="54" t="s">
        <v>13</v>
      </c>
      <c r="B4" s="54" t="s">
        <v>14</v>
      </c>
      <c r="H4" s="54" t="s">
        <v>13</v>
      </c>
      <c r="I4" s="54" t="s">
        <v>14</v>
      </c>
      <c r="N4" s="54" t="s">
        <v>26</v>
      </c>
      <c r="O4" t="s">
        <v>13</v>
      </c>
      <c r="P4" s="54" t="s">
        <v>26</v>
      </c>
      <c r="Q4" t="s">
        <v>13</v>
      </c>
    </row>
    <row r="5" spans="1:22">
      <c r="A5" s="54" t="s">
        <v>29</v>
      </c>
      <c r="B5" t="s">
        <v>16</v>
      </c>
      <c r="C5" t="s">
        <v>17</v>
      </c>
      <c r="D5" t="s">
        <v>18</v>
      </c>
      <c r="E5" t="s">
        <v>19</v>
      </c>
      <c r="H5" s="54" t="s">
        <v>30</v>
      </c>
      <c r="I5" t="s">
        <v>16</v>
      </c>
      <c r="J5" t="s">
        <v>17</v>
      </c>
      <c r="K5" t="s">
        <v>18</v>
      </c>
      <c r="L5" t="s">
        <v>19</v>
      </c>
      <c r="N5" t="s">
        <v>24</v>
      </c>
      <c r="O5">
        <v>147</v>
      </c>
      <c r="P5" t="s">
        <v>24</v>
      </c>
      <c r="Q5">
        <v>108</v>
      </c>
    </row>
    <row r="6" spans="1:22">
      <c r="A6" t="s">
        <v>31</v>
      </c>
      <c r="B6">
        <v>17</v>
      </c>
      <c r="C6">
        <v>3</v>
      </c>
      <c r="D6">
        <v>3</v>
      </c>
      <c r="E6">
        <v>23</v>
      </c>
      <c r="H6" t="s">
        <v>32</v>
      </c>
      <c r="I6">
        <v>1</v>
      </c>
      <c r="J6">
        <v>1</v>
      </c>
      <c r="L6">
        <v>2</v>
      </c>
      <c r="N6" t="s">
        <v>23</v>
      </c>
      <c r="O6">
        <v>118</v>
      </c>
      <c r="P6" t="s">
        <v>23</v>
      </c>
      <c r="Q6">
        <v>86</v>
      </c>
    </row>
    <row r="7" spans="1:22">
      <c r="A7" t="s">
        <v>33</v>
      </c>
      <c r="B7">
        <v>7</v>
      </c>
      <c r="C7">
        <v>5</v>
      </c>
      <c r="E7">
        <v>12</v>
      </c>
      <c r="H7" t="s">
        <v>34</v>
      </c>
      <c r="I7">
        <v>4</v>
      </c>
      <c r="K7">
        <v>1</v>
      </c>
      <c r="L7">
        <v>5</v>
      </c>
      <c r="N7" t="s">
        <v>19</v>
      </c>
      <c r="O7">
        <v>265</v>
      </c>
      <c r="P7" t="s">
        <v>19</v>
      </c>
      <c r="Q7">
        <v>194</v>
      </c>
    </row>
    <row r="8" spans="1:22">
      <c r="A8" t="s">
        <v>35</v>
      </c>
      <c r="B8">
        <v>19</v>
      </c>
      <c r="C8">
        <v>1</v>
      </c>
      <c r="E8">
        <v>20</v>
      </c>
      <c r="H8" t="s">
        <v>36</v>
      </c>
      <c r="I8">
        <v>7</v>
      </c>
      <c r="J8">
        <v>1</v>
      </c>
      <c r="K8">
        <v>1</v>
      </c>
      <c r="L8">
        <v>9</v>
      </c>
    </row>
    <row r="9" spans="1:22">
      <c r="A9" t="s">
        <v>37</v>
      </c>
      <c r="B9">
        <v>6</v>
      </c>
      <c r="D9">
        <v>2</v>
      </c>
      <c r="E9">
        <v>8</v>
      </c>
      <c r="H9" t="s">
        <v>31</v>
      </c>
      <c r="I9">
        <v>19</v>
      </c>
      <c r="J9">
        <v>4</v>
      </c>
      <c r="K9">
        <v>4</v>
      </c>
      <c r="L9">
        <v>27</v>
      </c>
    </row>
    <row r="10" spans="1:22">
      <c r="A10" t="s">
        <v>28</v>
      </c>
      <c r="B10">
        <v>28</v>
      </c>
      <c r="C10">
        <v>7</v>
      </c>
      <c r="E10">
        <v>35</v>
      </c>
      <c r="H10" t="s">
        <v>33</v>
      </c>
      <c r="I10">
        <v>13</v>
      </c>
      <c r="J10">
        <v>7</v>
      </c>
      <c r="K10">
        <v>1</v>
      </c>
      <c r="L10">
        <v>21</v>
      </c>
    </row>
    <row r="11" spans="1:22">
      <c r="A11" t="s">
        <v>38</v>
      </c>
      <c r="B11">
        <v>22</v>
      </c>
      <c r="C11">
        <v>8</v>
      </c>
      <c r="D11">
        <v>5</v>
      </c>
      <c r="E11">
        <v>35</v>
      </c>
      <c r="H11" t="s">
        <v>35</v>
      </c>
      <c r="I11">
        <v>29</v>
      </c>
      <c r="J11">
        <v>4</v>
      </c>
      <c r="L11">
        <v>33</v>
      </c>
    </row>
    <row r="12" spans="1:22">
      <c r="A12" t="s">
        <v>39</v>
      </c>
      <c r="B12">
        <v>6</v>
      </c>
      <c r="C12">
        <v>2</v>
      </c>
      <c r="E12">
        <v>8</v>
      </c>
      <c r="H12" t="s">
        <v>37</v>
      </c>
      <c r="I12">
        <v>4</v>
      </c>
      <c r="K12">
        <v>2</v>
      </c>
      <c r="L12">
        <v>6</v>
      </c>
    </row>
    <row r="13" spans="1:22">
      <c r="A13" t="s">
        <v>40</v>
      </c>
      <c r="B13">
        <v>16</v>
      </c>
      <c r="C13">
        <v>2</v>
      </c>
      <c r="D13">
        <v>3</v>
      </c>
      <c r="E13">
        <v>21</v>
      </c>
      <c r="H13" t="s">
        <v>28</v>
      </c>
      <c r="I13">
        <v>32</v>
      </c>
      <c r="J13">
        <v>7</v>
      </c>
      <c r="L13">
        <v>39</v>
      </c>
    </row>
    <row r="14" spans="1:22">
      <c r="A14" t="s">
        <v>41</v>
      </c>
      <c r="B14">
        <v>73</v>
      </c>
      <c r="C14">
        <v>9</v>
      </c>
      <c r="D14">
        <v>8</v>
      </c>
      <c r="E14">
        <v>90</v>
      </c>
      <c r="H14" t="s">
        <v>42</v>
      </c>
      <c r="I14">
        <v>24</v>
      </c>
      <c r="J14">
        <v>6</v>
      </c>
      <c r="K14">
        <v>3</v>
      </c>
      <c r="L14">
        <v>33</v>
      </c>
    </row>
    <row r="15" spans="1:22">
      <c r="A15" t="s">
        <v>43</v>
      </c>
      <c r="C15">
        <v>9</v>
      </c>
      <c r="D15">
        <v>4</v>
      </c>
      <c r="E15">
        <v>13</v>
      </c>
      <c r="H15" t="s">
        <v>38</v>
      </c>
      <c r="I15">
        <v>17</v>
      </c>
      <c r="J15">
        <v>6</v>
      </c>
      <c r="K15">
        <v>7</v>
      </c>
      <c r="L15">
        <v>30</v>
      </c>
    </row>
    <row r="16" spans="1:22">
      <c r="A16" t="s">
        <v>19</v>
      </c>
      <c r="B16">
        <v>194</v>
      </c>
      <c r="C16">
        <v>46</v>
      </c>
      <c r="D16">
        <v>25</v>
      </c>
      <c r="E16">
        <v>265</v>
      </c>
      <c r="H16" t="s">
        <v>39</v>
      </c>
      <c r="I16">
        <v>20</v>
      </c>
      <c r="J16">
        <v>6</v>
      </c>
      <c r="K16">
        <v>1</v>
      </c>
      <c r="L16">
        <v>27</v>
      </c>
    </row>
    <row r="17" spans="1:14">
      <c r="H17" t="s">
        <v>41</v>
      </c>
      <c r="I17">
        <v>24</v>
      </c>
      <c r="J17">
        <v>2</v>
      </c>
      <c r="K17">
        <v>5</v>
      </c>
      <c r="L17">
        <v>31</v>
      </c>
    </row>
    <row r="18" spans="1:14">
      <c r="H18" t="s">
        <v>44</v>
      </c>
      <c r="J18">
        <v>2</v>
      </c>
      <c r="L18">
        <v>2</v>
      </c>
    </row>
    <row r="19" spans="1:14">
      <c r="H19" t="s">
        <v>19</v>
      </c>
      <c r="I19">
        <v>194</v>
      </c>
      <c r="J19">
        <v>46</v>
      </c>
      <c r="K19">
        <v>25</v>
      </c>
      <c r="L19">
        <v>265</v>
      </c>
    </row>
    <row r="20" spans="1:14"/>
    <row r="21" spans="1:14"/>
    <row r="22" spans="1:14"/>
    <row r="23" spans="1:14"/>
    <row r="24" spans="1:14"/>
    <row r="27" spans="1:14">
      <c r="A27" s="60" t="s">
        <v>12</v>
      </c>
      <c r="H27" s="54" t="s">
        <v>14</v>
      </c>
      <c r="I27" t="s">
        <v>27</v>
      </c>
    </row>
    <row r="28" spans="1:14">
      <c r="A28" s="54" t="s">
        <v>13</v>
      </c>
      <c r="B28" s="54" t="s">
        <v>14</v>
      </c>
    </row>
    <row r="29" spans="1:14">
      <c r="A29" s="54" t="s">
        <v>15</v>
      </c>
      <c r="B29" t="s">
        <v>16</v>
      </c>
      <c r="C29" t="s">
        <v>17</v>
      </c>
      <c r="D29" t="s">
        <v>18</v>
      </c>
      <c r="E29" t="s">
        <v>19</v>
      </c>
      <c r="F29" t="s">
        <v>45</v>
      </c>
      <c r="H29" s="54" t="s">
        <v>13</v>
      </c>
      <c r="I29" s="54" t="s">
        <v>26</v>
      </c>
    </row>
    <row r="30" spans="1:14">
      <c r="A30">
        <v>1</v>
      </c>
      <c r="B30">
        <v>20</v>
      </c>
      <c r="D30">
        <v>3</v>
      </c>
      <c r="E30">
        <v>23</v>
      </c>
      <c r="F30" s="396">
        <f>SUM(B30:C30)/E30</f>
        <v>0.86956521739130432</v>
      </c>
      <c r="G30" s="396"/>
      <c r="H30" s="54" t="s">
        <v>46</v>
      </c>
      <c r="I30" t="s">
        <v>24</v>
      </c>
      <c r="J30" t="s">
        <v>23</v>
      </c>
      <c r="K30" t="s">
        <v>19</v>
      </c>
      <c r="N30" s="431" t="s">
        <v>47</v>
      </c>
    </row>
    <row r="31" spans="1:14">
      <c r="A31">
        <v>2</v>
      </c>
      <c r="B31">
        <v>15</v>
      </c>
      <c r="C31">
        <v>1</v>
      </c>
      <c r="D31">
        <v>4</v>
      </c>
      <c r="E31">
        <v>20</v>
      </c>
      <c r="F31" s="396">
        <f t="shared" ref="F31:F40" si="0">SUM(B31:C31)/E31</f>
        <v>0.8</v>
      </c>
      <c r="G31" s="396"/>
      <c r="H31" t="s">
        <v>48</v>
      </c>
      <c r="I31">
        <v>40</v>
      </c>
      <c r="J31">
        <v>15</v>
      </c>
      <c r="K31">
        <v>55</v>
      </c>
    </row>
    <row r="32" spans="1:14">
      <c r="A32">
        <v>3</v>
      </c>
      <c r="B32">
        <v>18</v>
      </c>
      <c r="C32">
        <v>3</v>
      </c>
      <c r="D32">
        <v>2</v>
      </c>
      <c r="E32">
        <v>23</v>
      </c>
      <c r="F32" s="396">
        <f t="shared" si="0"/>
        <v>0.91304347826086951</v>
      </c>
      <c r="G32" s="396"/>
      <c r="H32" t="s">
        <v>49</v>
      </c>
      <c r="I32">
        <v>12</v>
      </c>
      <c r="J32">
        <v>22</v>
      </c>
      <c r="K32">
        <v>34</v>
      </c>
    </row>
    <row r="33" spans="1:11">
      <c r="A33">
        <v>4</v>
      </c>
      <c r="B33">
        <v>25</v>
      </c>
      <c r="C33">
        <v>1</v>
      </c>
      <c r="D33">
        <v>1</v>
      </c>
      <c r="E33">
        <v>27</v>
      </c>
      <c r="F33" s="396">
        <f t="shared" si="0"/>
        <v>0.96296296296296291</v>
      </c>
      <c r="G33" s="396"/>
      <c r="H33" t="s">
        <v>50</v>
      </c>
      <c r="I33">
        <v>42</v>
      </c>
      <c r="J33">
        <v>32</v>
      </c>
      <c r="K33">
        <v>74</v>
      </c>
    </row>
    <row r="34" spans="1:11">
      <c r="A34">
        <v>5</v>
      </c>
      <c r="B34">
        <v>18</v>
      </c>
      <c r="C34">
        <v>2</v>
      </c>
      <c r="D34">
        <v>5</v>
      </c>
      <c r="E34">
        <v>25</v>
      </c>
      <c r="F34" s="396">
        <f t="shared" si="0"/>
        <v>0.8</v>
      </c>
      <c r="G34" s="396"/>
      <c r="H34" t="s">
        <v>51</v>
      </c>
      <c r="I34">
        <v>11</v>
      </c>
      <c r="J34">
        <v>16</v>
      </c>
      <c r="K34">
        <v>27</v>
      </c>
    </row>
    <row r="35" spans="1:11">
      <c r="A35">
        <v>6</v>
      </c>
      <c r="B35">
        <v>24</v>
      </c>
      <c r="D35">
        <v>1</v>
      </c>
      <c r="E35">
        <v>25</v>
      </c>
      <c r="F35" s="396">
        <f t="shared" si="0"/>
        <v>0.96</v>
      </c>
      <c r="G35" s="396"/>
      <c r="H35" t="s">
        <v>52</v>
      </c>
      <c r="J35">
        <v>1</v>
      </c>
      <c r="K35">
        <v>1</v>
      </c>
    </row>
    <row r="36" spans="1:11">
      <c r="A36">
        <v>7</v>
      </c>
      <c r="B36">
        <v>24</v>
      </c>
      <c r="D36">
        <v>3</v>
      </c>
      <c r="E36">
        <v>27</v>
      </c>
      <c r="F36" s="396">
        <f t="shared" si="0"/>
        <v>0.88888888888888884</v>
      </c>
      <c r="G36" s="396"/>
      <c r="H36" t="s">
        <v>53</v>
      </c>
      <c r="I36">
        <v>1</v>
      </c>
      <c r="J36">
        <v>1</v>
      </c>
      <c r="K36">
        <v>2</v>
      </c>
    </row>
    <row r="37" spans="1:11">
      <c r="A37">
        <v>8</v>
      </c>
      <c r="B37">
        <v>17</v>
      </c>
      <c r="C37">
        <v>6</v>
      </c>
      <c r="D37">
        <v>3</v>
      </c>
      <c r="E37">
        <v>26</v>
      </c>
      <c r="F37" s="396">
        <f t="shared" si="0"/>
        <v>0.88461538461538458</v>
      </c>
      <c r="G37" s="396"/>
      <c r="H37" t="s">
        <v>54</v>
      </c>
      <c r="I37">
        <v>19</v>
      </c>
      <c r="J37">
        <v>8</v>
      </c>
      <c r="K37">
        <v>27</v>
      </c>
    </row>
    <row r="38" spans="1:11">
      <c r="A38">
        <v>9</v>
      </c>
      <c r="B38">
        <v>16</v>
      </c>
      <c r="C38">
        <v>6</v>
      </c>
      <c r="D38">
        <v>2</v>
      </c>
      <c r="E38">
        <v>24</v>
      </c>
      <c r="F38" s="396">
        <f t="shared" si="0"/>
        <v>0.91666666666666663</v>
      </c>
      <c r="G38" s="396"/>
      <c r="H38" t="s">
        <v>55</v>
      </c>
      <c r="I38">
        <v>9</v>
      </c>
      <c r="J38">
        <v>6</v>
      </c>
      <c r="K38">
        <v>15</v>
      </c>
    </row>
    <row r="39" spans="1:11">
      <c r="A39">
        <v>10</v>
      </c>
      <c r="B39">
        <v>17</v>
      </c>
      <c r="C39">
        <v>7</v>
      </c>
      <c r="D39">
        <v>1</v>
      </c>
      <c r="E39">
        <v>25</v>
      </c>
      <c r="F39" s="396">
        <f t="shared" si="0"/>
        <v>0.96</v>
      </c>
      <c r="G39" s="396"/>
      <c r="H39" t="s">
        <v>56</v>
      </c>
      <c r="I39">
        <v>11</v>
      </c>
      <c r="J39">
        <v>16</v>
      </c>
      <c r="K39">
        <v>27</v>
      </c>
    </row>
    <row r="40" spans="1:11">
      <c r="A40">
        <v>11</v>
      </c>
      <c r="C40">
        <v>20</v>
      </c>
      <c r="E40">
        <v>20</v>
      </c>
      <c r="F40" s="396">
        <f t="shared" si="0"/>
        <v>1</v>
      </c>
      <c r="G40" s="396"/>
      <c r="H40" t="s">
        <v>57</v>
      </c>
      <c r="I40">
        <v>2</v>
      </c>
      <c r="J40">
        <v>1</v>
      </c>
      <c r="K40">
        <v>3</v>
      </c>
    </row>
    <row r="41" spans="1:11">
      <c r="A41" t="s">
        <v>19</v>
      </c>
      <c r="B41">
        <v>194</v>
      </c>
      <c r="C41">
        <v>46</v>
      </c>
      <c r="D41">
        <v>25</v>
      </c>
      <c r="E41">
        <v>265</v>
      </c>
      <c r="F41" s="396">
        <f>SUM(B41:C41)/E41</f>
        <v>0.90566037735849059</v>
      </c>
      <c r="G41" s="396"/>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26</v>
      </c>
    </row>
    <row r="65" spans="1:12">
      <c r="A65" s="54" t="s">
        <v>15</v>
      </c>
      <c r="B65" t="s">
        <v>24</v>
      </c>
      <c r="C65" t="s">
        <v>23</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6</v>
      </c>
      <c r="C72">
        <v>1</v>
      </c>
      <c r="D72">
        <v>7</v>
      </c>
      <c r="H72">
        <v>5</v>
      </c>
      <c r="I72">
        <v>18</v>
      </c>
      <c r="J72">
        <v>2</v>
      </c>
      <c r="K72">
        <v>5</v>
      </c>
      <c r="L72">
        <v>25</v>
      </c>
    </row>
    <row r="73" spans="1:12">
      <c r="A73">
        <v>11</v>
      </c>
      <c r="B73">
        <v>11</v>
      </c>
      <c r="C73">
        <v>9</v>
      </c>
      <c r="D73">
        <v>20</v>
      </c>
      <c r="H73">
        <v>6</v>
      </c>
      <c r="I73">
        <v>24</v>
      </c>
      <c r="K73">
        <v>1</v>
      </c>
      <c r="L73">
        <v>25</v>
      </c>
    </row>
    <row r="74" spans="1:12">
      <c r="A74" t="s">
        <v>19</v>
      </c>
      <c r="B74">
        <v>27</v>
      </c>
      <c r="C74">
        <v>19</v>
      </c>
      <c r="D74">
        <v>46</v>
      </c>
      <c r="H74">
        <v>7</v>
      </c>
      <c r="I74">
        <v>24</v>
      </c>
      <c r="K74">
        <v>3</v>
      </c>
      <c r="L74">
        <v>27</v>
      </c>
    </row>
    <row r="75" spans="1:12">
      <c r="H75">
        <v>8</v>
      </c>
      <c r="I75">
        <v>17</v>
      </c>
      <c r="J75">
        <v>6</v>
      </c>
      <c r="K75">
        <v>3</v>
      </c>
      <c r="L75">
        <v>26</v>
      </c>
    </row>
    <row r="76" spans="1:12">
      <c r="H76">
        <v>9</v>
      </c>
      <c r="I76">
        <v>16</v>
      </c>
      <c r="J76">
        <v>6</v>
      </c>
      <c r="K76">
        <v>2</v>
      </c>
      <c r="L76">
        <v>24</v>
      </c>
    </row>
    <row r="77" spans="1:12">
      <c r="H77">
        <v>10</v>
      </c>
      <c r="I77">
        <v>17</v>
      </c>
      <c r="J77">
        <v>7</v>
      </c>
      <c r="K77">
        <v>1</v>
      </c>
      <c r="L77">
        <v>25</v>
      </c>
    </row>
    <row r="78" spans="1:12">
      <c r="H78">
        <v>11</v>
      </c>
      <c r="J78">
        <v>20</v>
      </c>
      <c r="L78">
        <v>20</v>
      </c>
    </row>
    <row r="79" spans="1:12">
      <c r="H79" t="s">
        <v>19</v>
      </c>
      <c r="I79">
        <v>194</v>
      </c>
      <c r="J79">
        <v>46</v>
      </c>
      <c r="K79">
        <v>25</v>
      </c>
      <c r="L79">
        <v>265</v>
      </c>
    </row>
    <row r="80" spans="1:12"/>
    <row r="81" spans="1:5"/>
    <row r="82" spans="1:5"/>
    <row r="83" spans="1:5"/>
    <row r="84" spans="1:5"/>
    <row r="86" spans="1:5"/>
    <row r="87" spans="1:5"/>
    <row r="88" spans="1:5"/>
    <row r="90" spans="1:5">
      <c r="A90" s="54" t="s">
        <v>58</v>
      </c>
      <c r="B90" s="54" t="s">
        <v>59</v>
      </c>
    </row>
    <row r="91" spans="1:5">
      <c r="A91" s="54" t="s">
        <v>60</v>
      </c>
      <c r="B91" t="s">
        <v>16</v>
      </c>
      <c r="C91" t="s">
        <v>17</v>
      </c>
      <c r="D91" t="s">
        <v>18</v>
      </c>
      <c r="E91" t="s">
        <v>19</v>
      </c>
    </row>
    <row r="92" spans="1:5">
      <c r="A92" s="41" t="s">
        <v>24</v>
      </c>
      <c r="B92" s="433">
        <v>108</v>
      </c>
      <c r="C92" s="433">
        <v>16</v>
      </c>
      <c r="D92" s="433">
        <v>12</v>
      </c>
      <c r="E92" s="433">
        <v>136</v>
      </c>
    </row>
    <row r="93" spans="1:5">
      <c r="A93" s="41" t="s">
        <v>23</v>
      </c>
      <c r="B93" s="433">
        <v>86</v>
      </c>
      <c r="C93" s="433">
        <v>10</v>
      </c>
      <c r="D93" s="433">
        <v>13</v>
      </c>
      <c r="E93" s="433">
        <v>109</v>
      </c>
    </row>
    <row r="94" spans="1:5">
      <c r="A94" s="41" t="s">
        <v>19</v>
      </c>
      <c r="B94" s="433">
        <v>194</v>
      </c>
      <c r="C94" s="433">
        <v>26</v>
      </c>
      <c r="D94" s="433">
        <v>25</v>
      </c>
      <c r="E94" s="433">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58</v>
      </c>
      <c r="B3" s="54" t="s">
        <v>59</v>
      </c>
    </row>
    <row r="4" spans="1:5">
      <c r="A4" s="54" t="s">
        <v>60</v>
      </c>
      <c r="B4" t="s">
        <v>16</v>
      </c>
      <c r="C4" t="s">
        <v>17</v>
      </c>
      <c r="D4" t="s">
        <v>18</v>
      </c>
      <c r="E4" t="s">
        <v>19</v>
      </c>
    </row>
    <row r="5" spans="1:5">
      <c r="A5" s="41">
        <v>1</v>
      </c>
      <c r="B5" s="433">
        <v>20</v>
      </c>
      <c r="C5" s="433"/>
      <c r="D5" s="433">
        <v>3</v>
      </c>
      <c r="E5" s="433">
        <v>23</v>
      </c>
    </row>
    <row r="6" spans="1:5">
      <c r="A6" s="41">
        <v>2</v>
      </c>
      <c r="B6" s="433">
        <v>15</v>
      </c>
      <c r="C6" s="433">
        <v>1</v>
      </c>
      <c r="D6" s="433">
        <v>4</v>
      </c>
      <c r="E6" s="433">
        <v>20</v>
      </c>
    </row>
    <row r="7" spans="1:5">
      <c r="A7" s="41">
        <v>3</v>
      </c>
      <c r="B7" s="433">
        <v>18</v>
      </c>
      <c r="C7" s="433">
        <v>3</v>
      </c>
      <c r="D7" s="433">
        <v>2</v>
      </c>
      <c r="E7" s="433">
        <v>23</v>
      </c>
    </row>
    <row r="8" spans="1:5">
      <c r="A8" s="41">
        <v>4</v>
      </c>
      <c r="B8" s="433">
        <v>25</v>
      </c>
      <c r="C8" s="433">
        <v>1</v>
      </c>
      <c r="D8" s="433">
        <v>1</v>
      </c>
      <c r="E8" s="433">
        <v>27</v>
      </c>
    </row>
    <row r="9" spans="1:5">
      <c r="A9" s="41">
        <v>5</v>
      </c>
      <c r="B9" s="433">
        <v>18</v>
      </c>
      <c r="C9" s="433">
        <v>2</v>
      </c>
      <c r="D9" s="433">
        <v>5</v>
      </c>
      <c r="E9" s="433">
        <v>25</v>
      </c>
    </row>
    <row r="10" spans="1:5">
      <c r="A10" s="41">
        <v>6</v>
      </c>
      <c r="B10" s="433">
        <v>24</v>
      </c>
      <c r="C10" s="433"/>
      <c r="D10" s="433">
        <v>1</v>
      </c>
      <c r="E10" s="433">
        <v>25</v>
      </c>
    </row>
    <row r="11" spans="1:5">
      <c r="A11" s="41">
        <v>7</v>
      </c>
      <c r="B11" s="433">
        <v>24</v>
      </c>
      <c r="C11" s="433"/>
      <c r="D11" s="433">
        <v>3</v>
      </c>
      <c r="E11" s="433">
        <v>27</v>
      </c>
    </row>
    <row r="12" spans="1:5">
      <c r="A12" s="41">
        <v>8</v>
      </c>
      <c r="B12" s="433">
        <v>17</v>
      </c>
      <c r="C12" s="433">
        <v>6</v>
      </c>
      <c r="D12" s="433">
        <v>3</v>
      </c>
      <c r="E12" s="433">
        <v>26</v>
      </c>
    </row>
    <row r="13" spans="1:5">
      <c r="A13" s="41">
        <v>9</v>
      </c>
      <c r="B13" s="433">
        <v>16</v>
      </c>
      <c r="C13" s="433">
        <v>6</v>
      </c>
      <c r="D13" s="433">
        <v>2</v>
      </c>
      <c r="E13" s="433">
        <v>24</v>
      </c>
    </row>
    <row r="14" spans="1:5">
      <c r="A14" s="41">
        <v>10</v>
      </c>
      <c r="B14" s="433">
        <v>17</v>
      </c>
      <c r="C14" s="433">
        <v>7</v>
      </c>
      <c r="D14" s="433">
        <v>1</v>
      </c>
      <c r="E14" s="433">
        <v>25</v>
      </c>
    </row>
    <row r="15" spans="1:5">
      <c r="A15" s="41" t="s">
        <v>19</v>
      </c>
      <c r="B15" s="433">
        <v>194</v>
      </c>
      <c r="C15" s="433">
        <v>26</v>
      </c>
      <c r="D15" s="433">
        <v>25</v>
      </c>
      <c r="E15" s="433">
        <v>245</v>
      </c>
    </row>
    <row r="20" spans="1:5">
      <c r="A20" s="54" t="s">
        <v>58</v>
      </c>
      <c r="B20" s="54" t="s">
        <v>59</v>
      </c>
    </row>
    <row r="21" spans="1:5">
      <c r="A21" s="54" t="s">
        <v>60</v>
      </c>
      <c r="B21" t="s">
        <v>16</v>
      </c>
      <c r="C21" t="s">
        <v>17</v>
      </c>
      <c r="D21" t="s">
        <v>18</v>
      </c>
      <c r="E21" t="s">
        <v>19</v>
      </c>
    </row>
    <row r="22" spans="1:5">
      <c r="A22" s="41" t="s">
        <v>24</v>
      </c>
      <c r="B22" s="433">
        <v>108</v>
      </c>
      <c r="C22" s="433">
        <v>16</v>
      </c>
      <c r="D22" s="433">
        <v>12</v>
      </c>
      <c r="E22" s="433">
        <v>136</v>
      </c>
    </row>
    <row r="23" spans="1:5">
      <c r="A23" s="41" t="s">
        <v>23</v>
      </c>
      <c r="B23" s="433">
        <v>86</v>
      </c>
      <c r="C23" s="433">
        <v>10</v>
      </c>
      <c r="D23" s="433">
        <v>13</v>
      </c>
      <c r="E23" s="433">
        <v>109</v>
      </c>
    </row>
    <row r="24" spans="1:5">
      <c r="A24" s="41" t="s">
        <v>19</v>
      </c>
      <c r="B24" s="433">
        <v>194</v>
      </c>
      <c r="C24" s="433">
        <v>26</v>
      </c>
      <c r="D24" s="433">
        <v>25</v>
      </c>
      <c r="E24" s="433">
        <v>245</v>
      </c>
    </row>
    <row r="33" spans="2:5">
      <c r="C33">
        <f>65+78+32+49+12+9</f>
        <v>245</v>
      </c>
    </row>
    <row r="34" spans="2:5">
      <c r="B34" t="s">
        <v>60</v>
      </c>
      <c r="C34" t="s">
        <v>24</v>
      </c>
      <c r="D34" t="s">
        <v>23</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V284"/>
  <sheetViews>
    <sheetView tabSelected="1" topLeftCell="AE1" zoomScaleNormal="100" workbookViewId="0">
      <pane ySplit="1" topLeftCell="E2" activePane="bottomLeft" state="frozen"/>
      <selection pane="bottomLeft" activeCell="J3" sqref="J3"/>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9" t="s">
        <v>61</v>
      </c>
      <c r="B1" s="300" t="s">
        <v>62</v>
      </c>
      <c r="C1" s="300" t="s">
        <v>63</v>
      </c>
      <c r="D1" s="300" t="s">
        <v>64</v>
      </c>
      <c r="E1" s="300" t="s">
        <v>65</v>
      </c>
      <c r="F1" s="300" t="s">
        <v>26</v>
      </c>
      <c r="G1" s="300" t="s">
        <v>15</v>
      </c>
      <c r="H1" s="300" t="s">
        <v>46</v>
      </c>
      <c r="I1" s="300" t="s">
        <v>30</v>
      </c>
      <c r="J1" s="300" t="s">
        <v>66</v>
      </c>
      <c r="K1" s="300" t="s">
        <v>67</v>
      </c>
      <c r="L1" s="300" t="s">
        <v>29</v>
      </c>
      <c r="M1" s="300" t="s">
        <v>68</v>
      </c>
      <c r="N1" s="300" t="s">
        <v>69</v>
      </c>
      <c r="O1" s="300" t="s">
        <v>70</v>
      </c>
      <c r="P1" s="300" t="s">
        <v>71</v>
      </c>
      <c r="Q1" s="300" t="s">
        <v>72</v>
      </c>
      <c r="R1" s="300" t="s">
        <v>73</v>
      </c>
      <c r="S1" s="300" t="s">
        <v>74</v>
      </c>
      <c r="T1" s="301"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400"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4" t="s">
        <v>137</v>
      </c>
      <c r="CG1" s="273" t="s">
        <v>138</v>
      </c>
      <c r="CH1" s="273" t="s">
        <v>139</v>
      </c>
      <c r="CI1" s="273" t="s">
        <v>140</v>
      </c>
      <c r="CJ1" s="277"/>
    </row>
    <row r="2" spans="1:88" ht="26.1" customHeight="1">
      <c r="A2" s="75">
        <v>1</v>
      </c>
      <c r="B2" s="75" t="s">
        <v>141</v>
      </c>
      <c r="C2" s="75" t="s">
        <v>142</v>
      </c>
      <c r="D2" s="75" t="s">
        <v>143</v>
      </c>
      <c r="E2" s="75" t="s">
        <v>144</v>
      </c>
      <c r="F2" s="75" t="s">
        <v>23</v>
      </c>
      <c r="G2" s="75">
        <v>1</v>
      </c>
      <c r="H2" s="75" t="s">
        <v>50</v>
      </c>
      <c r="I2" s="75" t="s">
        <v>28</v>
      </c>
      <c r="J2" s="75" t="s">
        <v>145</v>
      </c>
      <c r="K2" s="75" t="s">
        <v>146</v>
      </c>
      <c r="L2" s="75" t="s">
        <v>28</v>
      </c>
      <c r="M2" s="75" t="s">
        <v>147</v>
      </c>
      <c r="N2" s="210"/>
      <c r="O2" s="2" t="s">
        <v>148</v>
      </c>
      <c r="P2" s="3" t="s">
        <v>148</v>
      </c>
      <c r="Q2" s="75" t="s">
        <v>148</v>
      </c>
      <c r="R2" s="75" t="s">
        <v>149</v>
      </c>
      <c r="S2" s="75" t="s">
        <v>150</v>
      </c>
      <c r="T2" s="341"/>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401"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5">
        <v>0</v>
      </c>
      <c r="CG2" s="75">
        <v>1</v>
      </c>
      <c r="CH2" s="75"/>
      <c r="CI2" s="75" t="s">
        <v>165</v>
      </c>
      <c r="CJ2" s="373"/>
    </row>
    <row r="3" spans="1:88" ht="24.95" customHeight="1">
      <c r="A3" s="75">
        <v>2</v>
      </c>
      <c r="B3" s="75" t="s">
        <v>166</v>
      </c>
      <c r="C3" s="75" t="s">
        <v>167</v>
      </c>
      <c r="D3" s="75"/>
      <c r="E3" s="75" t="s">
        <v>168</v>
      </c>
      <c r="F3" s="75" t="s">
        <v>24</v>
      </c>
      <c r="G3" s="75">
        <v>1</v>
      </c>
      <c r="H3" s="75" t="s">
        <v>51</v>
      </c>
      <c r="I3" s="75" t="s">
        <v>39</v>
      </c>
      <c r="J3" s="75" t="s">
        <v>169</v>
      </c>
      <c r="K3" s="75" t="s">
        <v>170</v>
      </c>
      <c r="L3" s="75" t="s">
        <v>37</v>
      </c>
      <c r="M3" s="75" t="s">
        <v>160</v>
      </c>
      <c r="N3" s="210"/>
      <c r="O3" s="2" t="s">
        <v>148</v>
      </c>
      <c r="P3" s="3" t="s">
        <v>148</v>
      </c>
      <c r="Q3" s="75"/>
      <c r="R3" s="75" t="s">
        <v>171</v>
      </c>
      <c r="S3" s="75" t="s">
        <v>172</v>
      </c>
      <c r="T3" s="342"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401"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5">
        <v>2</v>
      </c>
      <c r="CG3" s="75">
        <v>2</v>
      </c>
      <c r="CH3" s="75">
        <v>0</v>
      </c>
      <c r="CI3" s="75" t="s">
        <v>165</v>
      </c>
    </row>
    <row r="4" spans="1:88" ht="24.95" customHeight="1">
      <c r="A4" s="75">
        <v>3</v>
      </c>
      <c r="B4" s="75" t="s">
        <v>183</v>
      </c>
      <c r="C4" s="75" t="s">
        <v>184</v>
      </c>
      <c r="D4" s="75" t="s">
        <v>185</v>
      </c>
      <c r="E4" s="75" t="s">
        <v>186</v>
      </c>
      <c r="F4" s="75" t="s">
        <v>24</v>
      </c>
      <c r="G4" s="75">
        <v>1</v>
      </c>
      <c r="H4" s="75" t="s">
        <v>48</v>
      </c>
      <c r="I4" s="75" t="s">
        <v>33</v>
      </c>
      <c r="J4" s="75" t="s">
        <v>187</v>
      </c>
      <c r="K4" s="75" t="s">
        <v>188</v>
      </c>
      <c r="L4" s="75" t="s">
        <v>33</v>
      </c>
      <c r="M4" s="75" t="s">
        <v>147</v>
      </c>
      <c r="N4" s="210" t="s">
        <v>189</v>
      </c>
      <c r="O4" s="2" t="s">
        <v>190</v>
      </c>
      <c r="P4" s="3" t="s">
        <v>148</v>
      </c>
      <c r="Q4" s="75"/>
      <c r="R4" s="391" t="s">
        <v>191</v>
      </c>
      <c r="S4" s="75" t="s">
        <v>192</v>
      </c>
      <c r="T4" s="342"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402"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5" t="s">
        <v>165</v>
      </c>
      <c r="CG4" s="75" t="s">
        <v>165</v>
      </c>
      <c r="CH4" s="75"/>
      <c r="CI4" s="75" t="s">
        <v>165</v>
      </c>
    </row>
    <row r="5" spans="1:88" ht="24.95" customHeight="1">
      <c r="A5" s="75">
        <v>4</v>
      </c>
      <c r="B5" s="75" t="s">
        <v>204</v>
      </c>
      <c r="C5" s="75" t="s">
        <v>205</v>
      </c>
      <c r="D5" s="75"/>
      <c r="E5" s="75" t="s">
        <v>206</v>
      </c>
      <c r="F5" s="75" t="s">
        <v>23</v>
      </c>
      <c r="G5" s="75">
        <v>1</v>
      </c>
      <c r="H5" s="75" t="s">
        <v>51</v>
      </c>
      <c r="I5" s="75" t="s">
        <v>39</v>
      </c>
      <c r="J5" s="75" t="s">
        <v>169</v>
      </c>
      <c r="K5" s="75" t="s">
        <v>207</v>
      </c>
      <c r="L5" s="75" t="s">
        <v>37</v>
      </c>
      <c r="M5" s="75" t="s">
        <v>160</v>
      </c>
      <c r="N5" s="210"/>
      <c r="O5" s="2" t="s">
        <v>148</v>
      </c>
      <c r="P5" s="3" t="s">
        <v>148</v>
      </c>
      <c r="Q5" s="75" t="s">
        <v>148</v>
      </c>
      <c r="R5" s="391" t="s">
        <v>208</v>
      </c>
      <c r="S5" s="75" t="s">
        <v>209</v>
      </c>
      <c r="T5" s="341"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402"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5">
        <v>1</v>
      </c>
      <c r="CG5" s="75">
        <v>3</v>
      </c>
      <c r="CH5" s="75"/>
      <c r="CI5" s="75" t="s">
        <v>165</v>
      </c>
    </row>
    <row r="6" spans="1:88" ht="27.6" customHeight="1">
      <c r="A6" s="75">
        <v>5</v>
      </c>
      <c r="B6" s="75" t="s">
        <v>218</v>
      </c>
      <c r="C6" s="75" t="s">
        <v>219</v>
      </c>
      <c r="D6" s="75"/>
      <c r="E6" s="75" t="s">
        <v>220</v>
      </c>
      <c r="F6" s="75" t="s">
        <v>23</v>
      </c>
      <c r="G6" s="75">
        <v>1</v>
      </c>
      <c r="H6" s="75" t="s">
        <v>49</v>
      </c>
      <c r="I6" s="75" t="s">
        <v>42</v>
      </c>
      <c r="J6" s="75" t="s">
        <v>221</v>
      </c>
      <c r="K6" s="75" t="s">
        <v>222</v>
      </c>
      <c r="L6" s="75" t="s">
        <v>41</v>
      </c>
      <c r="M6" s="75" t="s">
        <v>160</v>
      </c>
      <c r="N6" s="210"/>
      <c r="O6" s="2" t="s">
        <v>148</v>
      </c>
      <c r="P6" s="3" t="s">
        <v>148</v>
      </c>
      <c r="Q6" s="75" t="s">
        <v>148</v>
      </c>
      <c r="R6" s="75" t="s">
        <v>223</v>
      </c>
      <c r="S6" s="75" t="s">
        <v>224</v>
      </c>
      <c r="T6" s="341"/>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402"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5" t="s">
        <v>165</v>
      </c>
      <c r="CG6" s="75" t="s">
        <v>165</v>
      </c>
      <c r="CH6" s="75"/>
      <c r="CI6" s="75" t="s">
        <v>165</v>
      </c>
    </row>
    <row r="7" spans="1:88" ht="24.95" customHeight="1">
      <c r="A7" s="75">
        <v>6</v>
      </c>
      <c r="B7" s="75" t="s">
        <v>232</v>
      </c>
      <c r="C7" s="75" t="s">
        <v>233</v>
      </c>
      <c r="D7" s="75" t="s">
        <v>234</v>
      </c>
      <c r="E7" s="75" t="s">
        <v>235</v>
      </c>
      <c r="F7" s="75" t="s">
        <v>24</v>
      </c>
      <c r="G7" s="75">
        <v>1</v>
      </c>
      <c r="H7" s="75" t="s">
        <v>55</v>
      </c>
      <c r="I7" s="75" t="s">
        <v>36</v>
      </c>
      <c r="J7" s="75" t="s">
        <v>236</v>
      </c>
      <c r="K7" s="75"/>
      <c r="L7" s="75" t="s">
        <v>41</v>
      </c>
      <c r="M7" s="75" t="s">
        <v>160</v>
      </c>
      <c r="N7" s="210"/>
      <c r="O7" s="2" t="s">
        <v>148</v>
      </c>
      <c r="P7" s="3" t="s">
        <v>237</v>
      </c>
      <c r="Q7" s="75" t="s">
        <v>148</v>
      </c>
      <c r="R7" s="75" t="s">
        <v>238</v>
      </c>
      <c r="S7" s="75" t="s">
        <v>239</v>
      </c>
      <c r="T7" s="342"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402"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5">
        <v>3</v>
      </c>
      <c r="CG7" s="75">
        <v>3</v>
      </c>
      <c r="CH7" s="75"/>
      <c r="CI7" s="75" t="s">
        <v>165</v>
      </c>
    </row>
    <row r="8" spans="1:88" ht="24.95" customHeight="1">
      <c r="A8" s="75">
        <v>7</v>
      </c>
      <c r="B8" s="75" t="s">
        <v>250</v>
      </c>
      <c r="C8" s="75" t="s">
        <v>251</v>
      </c>
      <c r="D8" s="75" t="s">
        <v>252</v>
      </c>
      <c r="E8" s="75" t="s">
        <v>253</v>
      </c>
      <c r="F8" s="75" t="s">
        <v>24</v>
      </c>
      <c r="G8" s="75">
        <v>1</v>
      </c>
      <c r="H8" s="75" t="s">
        <v>49</v>
      </c>
      <c r="I8" s="75" t="s">
        <v>42</v>
      </c>
      <c r="J8" s="75" t="s">
        <v>254</v>
      </c>
      <c r="K8" s="75" t="s">
        <v>255</v>
      </c>
      <c r="L8" s="75" t="s">
        <v>41</v>
      </c>
      <c r="M8" s="75" t="s">
        <v>160</v>
      </c>
      <c r="N8" s="210"/>
      <c r="O8" s="2" t="s">
        <v>148</v>
      </c>
      <c r="P8" s="3" t="s">
        <v>148</v>
      </c>
      <c r="Q8" s="75" t="s">
        <v>148</v>
      </c>
      <c r="R8" s="75" t="s">
        <v>256</v>
      </c>
      <c r="S8" s="83" t="s">
        <v>257</v>
      </c>
      <c r="T8" s="341"/>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402"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5">
        <v>2</v>
      </c>
      <c r="CG8" s="75">
        <v>2</v>
      </c>
      <c r="CH8" s="75"/>
      <c r="CI8" s="75" t="s">
        <v>165</v>
      </c>
    </row>
    <row r="9" spans="1:88" ht="24.95" customHeight="1">
      <c r="A9" s="75">
        <v>8</v>
      </c>
      <c r="B9" s="75" t="s">
        <v>266</v>
      </c>
      <c r="C9" s="75" t="s">
        <v>267</v>
      </c>
      <c r="D9" s="75" t="s">
        <v>268</v>
      </c>
      <c r="E9" s="75" t="s">
        <v>269</v>
      </c>
      <c r="F9" s="75" t="s">
        <v>23</v>
      </c>
      <c r="G9" s="75">
        <v>1</v>
      </c>
      <c r="H9" s="75" t="s">
        <v>50</v>
      </c>
      <c r="I9" s="75" t="s">
        <v>35</v>
      </c>
      <c r="J9" s="75" t="s">
        <v>270</v>
      </c>
      <c r="K9" s="75" t="s">
        <v>271</v>
      </c>
      <c r="L9" s="75" t="s">
        <v>28</v>
      </c>
      <c r="M9" s="75" t="s">
        <v>160</v>
      </c>
      <c r="N9" s="210">
        <v>125847</v>
      </c>
      <c r="O9" s="8" t="s">
        <v>148</v>
      </c>
      <c r="P9" s="9" t="s">
        <v>148</v>
      </c>
      <c r="Q9" s="75"/>
      <c r="R9" s="391" t="s">
        <v>272</v>
      </c>
      <c r="S9" s="75" t="s">
        <v>273</v>
      </c>
      <c r="T9" s="342"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401"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5" t="s">
        <v>165</v>
      </c>
      <c r="CG9" s="75" t="s">
        <v>165</v>
      </c>
      <c r="CH9" s="75"/>
      <c r="CI9" s="75" t="s">
        <v>165</v>
      </c>
    </row>
    <row r="10" spans="1:88" ht="24.95" customHeight="1">
      <c r="A10" s="75">
        <v>9</v>
      </c>
      <c r="B10" s="75" t="s">
        <v>284</v>
      </c>
      <c r="C10" s="75" t="s">
        <v>285</v>
      </c>
      <c r="D10" s="75"/>
      <c r="E10" s="75" t="s">
        <v>286</v>
      </c>
      <c r="F10" s="75" t="s">
        <v>23</v>
      </c>
      <c r="G10" s="75">
        <v>1</v>
      </c>
      <c r="H10" s="75" t="s">
        <v>49</v>
      </c>
      <c r="I10" s="75" t="s">
        <v>42</v>
      </c>
      <c r="J10" s="75" t="s">
        <v>287</v>
      </c>
      <c r="K10" s="75" t="s">
        <v>288</v>
      </c>
      <c r="L10" s="75" t="s">
        <v>40</v>
      </c>
      <c r="M10" s="75" t="s">
        <v>147</v>
      </c>
      <c r="N10" s="210"/>
      <c r="O10" s="2" t="s">
        <v>190</v>
      </c>
      <c r="P10" s="3" t="s">
        <v>165</v>
      </c>
      <c r="Q10" s="75"/>
      <c r="R10" s="75" t="s">
        <v>289</v>
      </c>
      <c r="S10" s="82" t="s">
        <v>290</v>
      </c>
      <c r="T10" s="341"/>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402"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5" t="s">
        <v>165</v>
      </c>
      <c r="CG10" s="75" t="s">
        <v>165</v>
      </c>
      <c r="CH10" s="75"/>
      <c r="CI10" s="75" t="s">
        <v>165</v>
      </c>
    </row>
    <row r="11" spans="1:88" ht="24.95" customHeight="1">
      <c r="A11" s="75">
        <v>10</v>
      </c>
      <c r="B11" s="75" t="s">
        <v>297</v>
      </c>
      <c r="C11" s="75" t="s">
        <v>298</v>
      </c>
      <c r="D11" s="75"/>
      <c r="E11" s="75" t="s">
        <v>299</v>
      </c>
      <c r="F11" s="75" t="s">
        <v>23</v>
      </c>
      <c r="G11" s="75">
        <v>1</v>
      </c>
      <c r="H11" s="75" t="s">
        <v>51</v>
      </c>
      <c r="I11" s="75" t="s">
        <v>39</v>
      </c>
      <c r="J11" s="75" t="s">
        <v>300</v>
      </c>
      <c r="K11" s="75" t="s">
        <v>170</v>
      </c>
      <c r="L11" s="75" t="s">
        <v>39</v>
      </c>
      <c r="M11" s="75" t="s">
        <v>147</v>
      </c>
      <c r="N11" s="210">
        <v>213004253</v>
      </c>
      <c r="O11" s="2" t="s">
        <v>148</v>
      </c>
      <c r="P11" s="3" t="s">
        <v>148</v>
      </c>
      <c r="Q11" s="75" t="s">
        <v>148</v>
      </c>
      <c r="R11" s="391" t="s">
        <v>301</v>
      </c>
      <c r="S11" s="75" t="s">
        <v>302</v>
      </c>
      <c r="T11" s="342"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402"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5">
        <v>3</v>
      </c>
      <c r="CG11" s="75">
        <v>4</v>
      </c>
      <c r="CH11" s="75"/>
      <c r="CI11" s="75" t="s">
        <v>165</v>
      </c>
    </row>
    <row r="12" spans="1:88" ht="32.1" customHeight="1">
      <c r="A12" s="75">
        <v>11</v>
      </c>
      <c r="B12" s="75" t="s">
        <v>314</v>
      </c>
      <c r="C12" s="75" t="s">
        <v>315</v>
      </c>
      <c r="D12" s="75" t="s">
        <v>316</v>
      </c>
      <c r="E12" s="75" t="s">
        <v>317</v>
      </c>
      <c r="F12" s="75" t="s">
        <v>23</v>
      </c>
      <c r="G12" s="75">
        <v>1</v>
      </c>
      <c r="H12" s="75" t="s">
        <v>50</v>
      </c>
      <c r="I12" s="75" t="s">
        <v>28</v>
      </c>
      <c r="J12" s="75" t="s">
        <v>318</v>
      </c>
      <c r="K12" s="75" t="s">
        <v>146</v>
      </c>
      <c r="L12" s="75" t="s">
        <v>28</v>
      </c>
      <c r="M12" s="75" t="s">
        <v>147</v>
      </c>
      <c r="N12" s="210"/>
      <c r="O12" s="2" t="s">
        <v>319</v>
      </c>
      <c r="P12" s="3" t="s">
        <v>148</v>
      </c>
      <c r="Q12" s="75" t="s">
        <v>148</v>
      </c>
      <c r="R12" s="391" t="s">
        <v>320</v>
      </c>
      <c r="S12" s="82" t="s">
        <v>321</v>
      </c>
      <c r="T12" s="342"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402"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5">
        <v>0</v>
      </c>
      <c r="CG12" s="75">
        <v>2</v>
      </c>
      <c r="CH12" s="75"/>
      <c r="CI12" s="75" t="s">
        <v>165</v>
      </c>
    </row>
    <row r="13" spans="1:88" ht="27.95" customHeight="1">
      <c r="A13" s="75">
        <v>12</v>
      </c>
      <c r="B13" s="75" t="s">
        <v>328</v>
      </c>
      <c r="C13" s="75" t="s">
        <v>329</v>
      </c>
      <c r="D13" s="75" t="s">
        <v>330</v>
      </c>
      <c r="E13" s="75" t="s">
        <v>331</v>
      </c>
      <c r="F13" s="75" t="s">
        <v>23</v>
      </c>
      <c r="G13" s="75">
        <v>1</v>
      </c>
      <c r="H13" s="75" t="s">
        <v>49</v>
      </c>
      <c r="I13" s="75" t="s">
        <v>42</v>
      </c>
      <c r="J13" s="75" t="s">
        <v>332</v>
      </c>
      <c r="K13" s="75"/>
      <c r="L13" s="75" t="s">
        <v>41</v>
      </c>
      <c r="M13" s="75" t="s">
        <v>160</v>
      </c>
      <c r="N13" s="210"/>
      <c r="O13" s="2" t="s">
        <v>148</v>
      </c>
      <c r="P13" s="3" t="s">
        <v>148</v>
      </c>
      <c r="Q13" s="75" t="s">
        <v>148</v>
      </c>
      <c r="R13" s="391" t="s">
        <v>333</v>
      </c>
      <c r="S13" s="75" t="s">
        <v>334</v>
      </c>
      <c r="T13" s="342"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3"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5">
        <v>1</v>
      </c>
      <c r="CG13" s="75">
        <v>2</v>
      </c>
      <c r="CH13" s="75"/>
      <c r="CI13" s="75" t="s">
        <v>165</v>
      </c>
    </row>
    <row r="14" spans="1:88" ht="24.95" customHeight="1">
      <c r="A14" s="75">
        <v>13</v>
      </c>
      <c r="B14" s="75" t="s">
        <v>343</v>
      </c>
      <c r="C14" s="75" t="s">
        <v>344</v>
      </c>
      <c r="D14" s="75" t="s">
        <v>345</v>
      </c>
      <c r="E14" s="75" t="s">
        <v>346</v>
      </c>
      <c r="F14" s="75" t="s">
        <v>24</v>
      </c>
      <c r="G14" s="75">
        <v>1</v>
      </c>
      <c r="H14" s="75" t="s">
        <v>48</v>
      </c>
      <c r="I14" s="75" t="s">
        <v>33</v>
      </c>
      <c r="J14" s="75" t="s">
        <v>347</v>
      </c>
      <c r="K14" s="75"/>
      <c r="L14" s="75" t="s">
        <v>33</v>
      </c>
      <c r="M14" s="75" t="s">
        <v>147</v>
      </c>
      <c r="N14" s="210"/>
      <c r="O14" s="2" t="s">
        <v>319</v>
      </c>
      <c r="P14" s="3" t="s">
        <v>319</v>
      </c>
      <c r="Q14" s="75" t="s">
        <v>319</v>
      </c>
      <c r="R14" s="75" t="s">
        <v>348</v>
      </c>
      <c r="S14" s="82" t="s">
        <v>349</v>
      </c>
      <c r="T14" s="341"/>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3"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5">
        <v>3</v>
      </c>
      <c r="CG14" s="75">
        <v>3</v>
      </c>
      <c r="CH14" s="75"/>
      <c r="CI14" s="75" t="s">
        <v>165</v>
      </c>
    </row>
    <row r="15" spans="1:88" ht="24.95" customHeight="1">
      <c r="A15" s="75">
        <v>14</v>
      </c>
      <c r="B15" s="75" t="s">
        <v>356</v>
      </c>
      <c r="C15" s="75" t="s">
        <v>357</v>
      </c>
      <c r="D15" s="75"/>
      <c r="E15" s="75" t="s">
        <v>358</v>
      </c>
      <c r="F15" s="75" t="s">
        <v>24</v>
      </c>
      <c r="G15" s="75">
        <v>1</v>
      </c>
      <c r="H15" s="75" t="s">
        <v>54</v>
      </c>
      <c r="I15" s="84" t="s">
        <v>41</v>
      </c>
      <c r="J15" s="75" t="s">
        <v>359</v>
      </c>
      <c r="K15" s="75" t="s">
        <v>360</v>
      </c>
      <c r="L15" s="75" t="s">
        <v>41</v>
      </c>
      <c r="M15" s="75" t="s">
        <v>147</v>
      </c>
      <c r="N15" s="210" t="s">
        <v>361</v>
      </c>
      <c r="O15" s="2" t="s">
        <v>319</v>
      </c>
      <c r="P15" s="3" t="s">
        <v>148</v>
      </c>
      <c r="Q15" s="75" t="s">
        <v>319</v>
      </c>
      <c r="R15" s="391" t="s">
        <v>362</v>
      </c>
      <c r="S15" s="82" t="s">
        <v>363</v>
      </c>
      <c r="T15" s="341"/>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4"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5">
        <v>0</v>
      </c>
      <c r="CG15" s="75">
        <v>0</v>
      </c>
      <c r="CH15" s="75"/>
      <c r="CI15" s="75" t="s">
        <v>165</v>
      </c>
    </row>
    <row r="16" spans="1:88" ht="24.95" customHeight="1">
      <c r="A16" s="75">
        <v>15</v>
      </c>
      <c r="B16" s="75" t="s">
        <v>371</v>
      </c>
      <c r="C16" s="75" t="s">
        <v>372</v>
      </c>
      <c r="D16" s="75" t="s">
        <v>373</v>
      </c>
      <c r="E16" s="75" t="s">
        <v>374</v>
      </c>
      <c r="F16" s="75" t="s">
        <v>23</v>
      </c>
      <c r="G16" s="75">
        <v>1</v>
      </c>
      <c r="H16" s="75" t="s">
        <v>54</v>
      </c>
      <c r="I16" s="75" t="s">
        <v>41</v>
      </c>
      <c r="J16" s="75" t="s">
        <v>375</v>
      </c>
      <c r="K16" s="75" t="s">
        <v>376</v>
      </c>
      <c r="L16" s="75" t="s">
        <v>41</v>
      </c>
      <c r="M16" s="75" t="s">
        <v>147</v>
      </c>
      <c r="N16" s="210"/>
      <c r="O16" s="2" t="s">
        <v>148</v>
      </c>
      <c r="P16" s="9" t="s">
        <v>148</v>
      </c>
      <c r="Q16" s="75" t="s">
        <v>148</v>
      </c>
      <c r="R16" s="391" t="s">
        <v>377</v>
      </c>
      <c r="S16" s="75" t="s">
        <v>377</v>
      </c>
      <c r="T16" s="341"/>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4"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5">
        <v>2</v>
      </c>
      <c r="CG16" s="75">
        <v>2</v>
      </c>
      <c r="CH16" s="75"/>
      <c r="CI16" s="75" t="s">
        <v>165</v>
      </c>
    </row>
    <row r="17" spans="1:88" ht="24.95" customHeight="1">
      <c r="A17" s="75">
        <v>16</v>
      </c>
      <c r="B17" s="75" t="s">
        <v>384</v>
      </c>
      <c r="C17" s="75" t="s">
        <v>385</v>
      </c>
      <c r="D17" s="75" t="s">
        <v>386</v>
      </c>
      <c r="E17" s="75" t="s">
        <v>387</v>
      </c>
      <c r="F17" s="75" t="s">
        <v>23</v>
      </c>
      <c r="G17" s="75">
        <v>1</v>
      </c>
      <c r="H17" s="75" t="s">
        <v>49</v>
      </c>
      <c r="I17" s="75" t="s">
        <v>41</v>
      </c>
      <c r="J17" s="75" t="s">
        <v>375</v>
      </c>
      <c r="K17" s="75" t="s">
        <v>388</v>
      </c>
      <c r="L17" s="75" t="s">
        <v>41</v>
      </c>
      <c r="M17" s="75" t="s">
        <v>147</v>
      </c>
      <c r="N17" s="210"/>
      <c r="O17" s="2" t="s">
        <v>190</v>
      </c>
      <c r="P17" s="9" t="s">
        <v>148</v>
      </c>
      <c r="Q17" s="75"/>
      <c r="R17" s="75" t="s">
        <v>389</v>
      </c>
      <c r="S17" s="75" t="s">
        <v>390</v>
      </c>
      <c r="T17" s="341"/>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401"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5" t="s">
        <v>165</v>
      </c>
      <c r="CG17" s="75" t="s">
        <v>165</v>
      </c>
      <c r="CH17" s="75"/>
      <c r="CI17" s="75" t="s">
        <v>165</v>
      </c>
    </row>
    <row r="18" spans="1:88" ht="24.95" customHeight="1">
      <c r="A18" s="75">
        <v>17</v>
      </c>
      <c r="B18" s="75" t="s">
        <v>399</v>
      </c>
      <c r="C18" s="75" t="s">
        <v>400</v>
      </c>
      <c r="D18" s="75" t="s">
        <v>401</v>
      </c>
      <c r="E18" s="75" t="s">
        <v>402</v>
      </c>
      <c r="F18" s="75" t="s">
        <v>24</v>
      </c>
      <c r="G18" s="75">
        <v>1</v>
      </c>
      <c r="H18" s="75" t="s">
        <v>48</v>
      </c>
      <c r="I18" s="75" t="s">
        <v>38</v>
      </c>
      <c r="J18" s="75" t="s">
        <v>403</v>
      </c>
      <c r="K18" s="75" t="s">
        <v>404</v>
      </c>
      <c r="L18" s="75" t="s">
        <v>38</v>
      </c>
      <c r="M18" s="75" t="s">
        <v>147</v>
      </c>
      <c r="N18" s="210" t="s">
        <v>405</v>
      </c>
      <c r="O18" s="2" t="s">
        <v>148</v>
      </c>
      <c r="P18" s="9" t="s">
        <v>148</v>
      </c>
      <c r="Q18" s="75" t="s">
        <v>148</v>
      </c>
      <c r="R18" s="391" t="s">
        <v>406</v>
      </c>
      <c r="S18" s="82" t="s">
        <v>407</v>
      </c>
      <c r="T18" s="341"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401"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5">
        <v>2</v>
      </c>
      <c r="CG18" s="75">
        <v>2</v>
      </c>
      <c r="CH18" s="75"/>
      <c r="CI18" s="75" t="s">
        <v>165</v>
      </c>
    </row>
    <row r="19" spans="1:88" ht="24.95" customHeight="1">
      <c r="A19" s="75">
        <v>18</v>
      </c>
      <c r="B19" s="75" t="s">
        <v>420</v>
      </c>
      <c r="C19" s="75" t="s">
        <v>421</v>
      </c>
      <c r="D19" s="75" t="s">
        <v>422</v>
      </c>
      <c r="E19" s="75" t="s">
        <v>423</v>
      </c>
      <c r="F19" s="75" t="s">
        <v>23</v>
      </c>
      <c r="G19" s="75">
        <v>1</v>
      </c>
      <c r="H19" s="75" t="s">
        <v>50</v>
      </c>
      <c r="I19" s="75" t="s">
        <v>35</v>
      </c>
      <c r="J19" s="75" t="s">
        <v>360</v>
      </c>
      <c r="K19" s="75" t="s">
        <v>360</v>
      </c>
      <c r="L19" s="75" t="s">
        <v>41</v>
      </c>
      <c r="M19" s="75" t="s">
        <v>160</v>
      </c>
      <c r="N19" s="210">
        <v>560454</v>
      </c>
      <c r="O19" s="2" t="s">
        <v>148</v>
      </c>
      <c r="P19" s="9" t="s">
        <v>148</v>
      </c>
      <c r="Q19" s="75" t="s">
        <v>148</v>
      </c>
      <c r="R19" s="75" t="s">
        <v>424</v>
      </c>
      <c r="S19" s="82" t="s">
        <v>425</v>
      </c>
      <c r="T19" s="341"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4"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5">
        <v>3</v>
      </c>
      <c r="CG19" s="75">
        <v>3</v>
      </c>
      <c r="CH19" s="75"/>
      <c r="CI19" s="75" t="s">
        <v>165</v>
      </c>
    </row>
    <row r="20" spans="1:88" ht="24.95" customHeight="1">
      <c r="A20" s="75">
        <v>19</v>
      </c>
      <c r="B20" s="75" t="s">
        <v>433</v>
      </c>
      <c r="C20" s="75" t="s">
        <v>434</v>
      </c>
      <c r="D20" s="75" t="s">
        <v>435</v>
      </c>
      <c r="E20" s="75" t="s">
        <v>144</v>
      </c>
      <c r="F20" s="75" t="s">
        <v>23</v>
      </c>
      <c r="G20" s="75">
        <v>1</v>
      </c>
      <c r="H20" s="75" t="s">
        <v>50</v>
      </c>
      <c r="I20" s="75" t="s">
        <v>35</v>
      </c>
      <c r="J20" s="75" t="s">
        <v>436</v>
      </c>
      <c r="K20" s="75" t="s">
        <v>436</v>
      </c>
      <c r="L20" s="75" t="s">
        <v>35</v>
      </c>
      <c r="M20" s="75" t="s">
        <v>147</v>
      </c>
      <c r="N20" s="210"/>
      <c r="O20" s="2" t="s">
        <v>148</v>
      </c>
      <c r="P20" s="9" t="s">
        <v>148</v>
      </c>
      <c r="Q20" s="75" t="s">
        <v>148</v>
      </c>
      <c r="R20" s="391" t="s">
        <v>437</v>
      </c>
      <c r="S20" s="75" t="s">
        <v>438</v>
      </c>
      <c r="T20" s="342"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401"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5">
        <v>3</v>
      </c>
      <c r="CG20" s="75">
        <v>5</v>
      </c>
      <c r="CH20" s="75"/>
      <c r="CI20" s="75" t="s">
        <v>165</v>
      </c>
    </row>
    <row r="21" spans="1:88" ht="24.95" customHeight="1">
      <c r="A21" s="85">
        <v>20</v>
      </c>
      <c r="B21" s="85" t="s">
        <v>445</v>
      </c>
      <c r="C21" s="85" t="s">
        <v>434</v>
      </c>
      <c r="D21" s="85" t="s">
        <v>446</v>
      </c>
      <c r="E21" s="85" t="s">
        <v>447</v>
      </c>
      <c r="F21" s="85" t="s">
        <v>23</v>
      </c>
      <c r="G21" s="85">
        <v>1</v>
      </c>
      <c r="H21" s="85" t="s">
        <v>50</v>
      </c>
      <c r="I21" s="85" t="s">
        <v>32</v>
      </c>
      <c r="J21" s="85" t="s">
        <v>169</v>
      </c>
      <c r="K21" s="85" t="s">
        <v>169</v>
      </c>
      <c r="L21" s="85" t="s">
        <v>41</v>
      </c>
      <c r="M21" s="85" t="s">
        <v>160</v>
      </c>
      <c r="N21" s="213" t="s">
        <v>448</v>
      </c>
      <c r="O21" s="71" t="s">
        <v>190</v>
      </c>
      <c r="P21" s="72" t="s">
        <v>148</v>
      </c>
      <c r="Q21" s="85"/>
      <c r="R21" s="85" t="s">
        <v>449</v>
      </c>
      <c r="S21" s="85" t="s">
        <v>450</v>
      </c>
      <c r="T21" s="343"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5"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6" t="s">
        <v>165</v>
      </c>
      <c r="CG21" s="85" t="s">
        <v>165</v>
      </c>
      <c r="CH21" s="85"/>
      <c r="CI21" s="85" t="s">
        <v>165</v>
      </c>
      <c r="CJ21" s="387" t="s">
        <v>458</v>
      </c>
    </row>
    <row r="22" spans="1:88" ht="24.95" customHeight="1">
      <c r="A22" s="91">
        <v>22</v>
      </c>
      <c r="B22" s="91" t="s">
        <v>459</v>
      </c>
      <c r="C22" s="91" t="s">
        <v>460</v>
      </c>
      <c r="D22" s="91" t="s">
        <v>461</v>
      </c>
      <c r="E22" s="91" t="s">
        <v>462</v>
      </c>
      <c r="F22" s="91" t="s">
        <v>24</v>
      </c>
      <c r="G22" s="91">
        <v>1</v>
      </c>
      <c r="H22" s="91" t="s">
        <v>48</v>
      </c>
      <c r="I22" s="91" t="s">
        <v>38</v>
      </c>
      <c r="J22" s="91"/>
      <c r="K22" s="91"/>
      <c r="L22" s="91"/>
      <c r="M22" s="91"/>
      <c r="N22" s="91" t="s">
        <v>165</v>
      </c>
      <c r="O22" s="91" t="s">
        <v>165</v>
      </c>
      <c r="P22" s="91" t="s">
        <v>165</v>
      </c>
      <c r="Q22" s="91" t="s">
        <v>165</v>
      </c>
      <c r="R22" s="91"/>
      <c r="S22" s="91"/>
      <c r="T22" s="344"/>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6"/>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customHeight="1">
      <c r="A23" s="91">
        <v>23</v>
      </c>
      <c r="B23" s="91" t="s">
        <v>463</v>
      </c>
      <c r="C23" s="91" t="s">
        <v>464</v>
      </c>
      <c r="D23" s="91" t="s">
        <v>465</v>
      </c>
      <c r="E23" s="91" t="s">
        <v>466</v>
      </c>
      <c r="F23" s="91" t="s">
        <v>23</v>
      </c>
      <c r="G23" s="91">
        <v>1</v>
      </c>
      <c r="H23" s="91" t="s">
        <v>48</v>
      </c>
      <c r="I23" s="91" t="s">
        <v>38</v>
      </c>
      <c r="J23" s="91"/>
      <c r="K23" s="91"/>
      <c r="L23" s="91" t="s">
        <v>38</v>
      </c>
      <c r="M23" s="91" t="s">
        <v>147</v>
      </c>
      <c r="N23" s="91" t="s">
        <v>165</v>
      </c>
      <c r="O23" s="91" t="s">
        <v>165</v>
      </c>
      <c r="P23" s="91" t="s">
        <v>165</v>
      </c>
      <c r="Q23" s="91" t="s">
        <v>165</v>
      </c>
      <c r="R23" s="91"/>
      <c r="S23" s="91"/>
      <c r="T23" s="344"/>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6"/>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customHeight="1">
      <c r="A24" s="91">
        <v>24</v>
      </c>
      <c r="B24" s="91" t="s">
        <v>467</v>
      </c>
      <c r="C24" s="91" t="s">
        <v>468</v>
      </c>
      <c r="D24" s="91" t="s">
        <v>469</v>
      </c>
      <c r="E24" s="91" t="s">
        <v>470</v>
      </c>
      <c r="F24" s="91" t="s">
        <v>24</v>
      </c>
      <c r="G24" s="91">
        <v>1</v>
      </c>
      <c r="H24" s="91" t="s">
        <v>55</v>
      </c>
      <c r="I24" s="91" t="s">
        <v>37</v>
      </c>
      <c r="J24" s="91"/>
      <c r="K24" s="91"/>
      <c r="L24" s="91"/>
      <c r="M24" s="91"/>
      <c r="N24" s="91" t="s">
        <v>165</v>
      </c>
      <c r="O24" s="91" t="s">
        <v>165</v>
      </c>
      <c r="P24" s="91" t="s">
        <v>165</v>
      </c>
      <c r="Q24" s="91" t="s">
        <v>165</v>
      </c>
      <c r="R24" s="91"/>
      <c r="S24" s="91"/>
      <c r="T24" s="344"/>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6"/>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customHeight="1">
      <c r="A25" s="96">
        <v>26</v>
      </c>
      <c r="B25" s="96" t="s">
        <v>471</v>
      </c>
      <c r="C25" s="96" t="s">
        <v>472</v>
      </c>
      <c r="D25" s="96"/>
      <c r="E25" s="96" t="s">
        <v>473</v>
      </c>
      <c r="F25" s="96" t="s">
        <v>23</v>
      </c>
      <c r="G25" s="96">
        <v>2</v>
      </c>
      <c r="H25" s="96" t="s">
        <v>50</v>
      </c>
      <c r="I25" s="96" t="s">
        <v>28</v>
      </c>
      <c r="J25" s="96" t="s">
        <v>474</v>
      </c>
      <c r="K25" s="96"/>
      <c r="L25" s="96" t="s">
        <v>28</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7"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7">
        <v>2</v>
      </c>
      <c r="CG25" s="96" t="s">
        <v>165</v>
      </c>
      <c r="CH25" s="96"/>
      <c r="CI25" s="96" t="s">
        <v>165</v>
      </c>
    </row>
    <row r="26" spans="1:88" ht="24.95" customHeight="1">
      <c r="A26" s="96">
        <v>27</v>
      </c>
      <c r="B26" s="96" t="s">
        <v>483</v>
      </c>
      <c r="C26" s="96" t="s">
        <v>484</v>
      </c>
      <c r="D26" s="96"/>
      <c r="E26" s="96" t="s">
        <v>485</v>
      </c>
      <c r="F26" s="96" t="s">
        <v>24</v>
      </c>
      <c r="G26" s="96">
        <v>2</v>
      </c>
      <c r="H26" s="96" t="s">
        <v>49</v>
      </c>
      <c r="I26" s="96" t="s">
        <v>42</v>
      </c>
      <c r="J26" s="96" t="s">
        <v>486</v>
      </c>
      <c r="K26" s="96" t="s">
        <v>486</v>
      </c>
      <c r="L26" s="96" t="s">
        <v>40</v>
      </c>
      <c r="M26" s="96" t="s">
        <v>147</v>
      </c>
      <c r="N26" s="221" t="s">
        <v>20</v>
      </c>
      <c r="O26" s="12" t="s">
        <v>148</v>
      </c>
      <c r="P26" s="13" t="s">
        <v>148</v>
      </c>
      <c r="Q26" s="96" t="s">
        <v>148</v>
      </c>
      <c r="R26" s="321"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8"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7">
        <v>2</v>
      </c>
      <c r="CG26" s="96">
        <v>2</v>
      </c>
      <c r="CH26" s="96"/>
      <c r="CI26" s="96" t="s">
        <v>497</v>
      </c>
    </row>
    <row r="27" spans="1:88" ht="24.95" customHeight="1">
      <c r="A27" s="96">
        <v>28</v>
      </c>
      <c r="B27" s="96" t="s">
        <v>498</v>
      </c>
      <c r="C27" s="96" t="s">
        <v>499</v>
      </c>
      <c r="D27" s="96" t="s">
        <v>500</v>
      </c>
      <c r="E27" s="96" t="s">
        <v>501</v>
      </c>
      <c r="F27" s="96" t="s">
        <v>23</v>
      </c>
      <c r="G27" s="96">
        <v>2</v>
      </c>
      <c r="H27" s="96" t="s">
        <v>49</v>
      </c>
      <c r="I27" s="96" t="s">
        <v>42</v>
      </c>
      <c r="J27" s="96" t="s">
        <v>221</v>
      </c>
      <c r="K27" s="96"/>
      <c r="L27" s="96" t="s">
        <v>40</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7"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7" t="s">
        <v>165</v>
      </c>
      <c r="CG27" s="96" t="s">
        <v>165</v>
      </c>
      <c r="CH27" s="96"/>
      <c r="CI27" s="96" t="s">
        <v>509</v>
      </c>
    </row>
    <row r="28" spans="1:88" ht="24.95" customHeight="1">
      <c r="A28" s="96">
        <v>29</v>
      </c>
      <c r="B28" s="96" t="s">
        <v>510</v>
      </c>
      <c r="C28" s="96" t="s">
        <v>511</v>
      </c>
      <c r="D28" s="96" t="s">
        <v>20</v>
      </c>
      <c r="E28" s="96" t="s">
        <v>512</v>
      </c>
      <c r="F28" s="96" t="s">
        <v>24</v>
      </c>
      <c r="G28" s="96">
        <v>2</v>
      </c>
      <c r="H28" s="96" t="s">
        <v>48</v>
      </c>
      <c r="I28" s="96" t="s">
        <v>33</v>
      </c>
      <c r="J28" s="96" t="s">
        <v>513</v>
      </c>
      <c r="K28" s="96" t="s">
        <v>514</v>
      </c>
      <c r="L28" s="96" t="s">
        <v>33</v>
      </c>
      <c r="M28" s="96" t="s">
        <v>147</v>
      </c>
      <c r="N28" s="221"/>
      <c r="O28" s="12" t="s">
        <v>148</v>
      </c>
      <c r="P28" s="14" t="s">
        <v>148</v>
      </c>
      <c r="Q28" s="96"/>
      <c r="R28" s="321"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7">
        <v>2</v>
      </c>
      <c r="CG28" s="96">
        <v>2</v>
      </c>
      <c r="CH28" s="96">
        <v>2</v>
      </c>
      <c r="CI28" s="96" t="s">
        <v>165</v>
      </c>
    </row>
    <row r="29" spans="1:88" ht="24.95" customHeight="1">
      <c r="A29" s="96">
        <v>30</v>
      </c>
      <c r="B29" s="96" t="s">
        <v>524</v>
      </c>
      <c r="C29" s="96" t="s">
        <v>525</v>
      </c>
      <c r="D29" s="96"/>
      <c r="E29" s="96" t="s">
        <v>526</v>
      </c>
      <c r="F29" s="96" t="s">
        <v>24</v>
      </c>
      <c r="G29" s="96">
        <v>2</v>
      </c>
      <c r="H29" s="96" t="s">
        <v>55</v>
      </c>
      <c r="I29" s="96" t="s">
        <v>37</v>
      </c>
      <c r="J29" s="96" t="s">
        <v>474</v>
      </c>
      <c r="K29" s="96" t="s">
        <v>527</v>
      </c>
      <c r="L29" s="96" t="s">
        <v>38</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7"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7" t="s">
        <v>165</v>
      </c>
      <c r="CG29" s="96" t="s">
        <v>165</v>
      </c>
      <c r="CH29" s="96"/>
      <c r="CI29" s="96" t="s">
        <v>535</v>
      </c>
    </row>
    <row r="30" spans="1:88" ht="24.95" customHeight="1">
      <c r="A30" s="96">
        <v>31</v>
      </c>
      <c r="B30" s="96" t="s">
        <v>536</v>
      </c>
      <c r="C30" s="96" t="s">
        <v>537</v>
      </c>
      <c r="D30" s="96" t="s">
        <v>538</v>
      </c>
      <c r="E30" s="96" t="s">
        <v>539</v>
      </c>
      <c r="F30" s="96" t="s">
        <v>23</v>
      </c>
      <c r="G30" s="96">
        <v>2</v>
      </c>
      <c r="H30" s="96" t="s">
        <v>56</v>
      </c>
      <c r="I30" s="96" t="s">
        <v>31</v>
      </c>
      <c r="J30" s="96" t="s">
        <v>474</v>
      </c>
      <c r="K30" s="96" t="s">
        <v>540</v>
      </c>
      <c r="L30" s="96" t="s">
        <v>31</v>
      </c>
      <c r="M30" s="96" t="s">
        <v>147</v>
      </c>
      <c r="N30" s="221"/>
      <c r="O30" s="12" t="s">
        <v>148</v>
      </c>
      <c r="P30" s="13" t="s">
        <v>237</v>
      </c>
      <c r="Q30" s="96" t="s">
        <v>148</v>
      </c>
      <c r="R30" s="321"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7"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7">
        <v>2</v>
      </c>
      <c r="CG30" s="96">
        <v>3</v>
      </c>
      <c r="CH30" s="96"/>
      <c r="CI30" s="96" t="s">
        <v>535</v>
      </c>
    </row>
    <row r="31" spans="1:88" ht="24.95" customHeight="1">
      <c r="A31" s="96">
        <v>32</v>
      </c>
      <c r="B31" s="96" t="s">
        <v>552</v>
      </c>
      <c r="C31" s="96" t="s">
        <v>553</v>
      </c>
      <c r="D31" s="96" t="s">
        <v>554</v>
      </c>
      <c r="E31" s="96" t="s">
        <v>555</v>
      </c>
      <c r="F31" s="96" t="s">
        <v>23</v>
      </c>
      <c r="G31" s="96">
        <v>2</v>
      </c>
      <c r="H31" s="96" t="s">
        <v>50</v>
      </c>
      <c r="I31" s="96" t="s">
        <v>28</v>
      </c>
      <c r="J31" s="96" t="s">
        <v>556</v>
      </c>
      <c r="K31" s="96" t="s">
        <v>557</v>
      </c>
      <c r="L31" s="96" t="s">
        <v>28</v>
      </c>
      <c r="M31" s="96" t="s">
        <v>147</v>
      </c>
      <c r="N31" s="221">
        <v>152419</v>
      </c>
      <c r="O31" s="12"/>
      <c r="P31" s="15" t="s">
        <v>148</v>
      </c>
      <c r="Q31" s="96"/>
      <c r="R31" s="321"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7"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7" t="s">
        <v>165</v>
      </c>
      <c r="CG31" s="96">
        <v>2</v>
      </c>
      <c r="CH31" s="96"/>
      <c r="CI31" s="96" t="s">
        <v>565</v>
      </c>
    </row>
    <row r="32" spans="1:88" ht="24.95" customHeight="1">
      <c r="A32" s="96">
        <v>33</v>
      </c>
      <c r="B32" s="96" t="s">
        <v>566</v>
      </c>
      <c r="C32" s="96" t="s">
        <v>567</v>
      </c>
      <c r="D32" s="96"/>
      <c r="E32" s="96" t="s">
        <v>568</v>
      </c>
      <c r="F32" s="96" t="s">
        <v>23</v>
      </c>
      <c r="G32" s="96">
        <v>2</v>
      </c>
      <c r="H32" s="96" t="s">
        <v>56</v>
      </c>
      <c r="I32" s="96" t="s">
        <v>31</v>
      </c>
      <c r="J32" s="96" t="s">
        <v>474</v>
      </c>
      <c r="K32" s="96"/>
      <c r="L32" s="96" t="s">
        <v>31</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7"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7">
        <v>3</v>
      </c>
      <c r="CG32" s="96" t="s">
        <v>165</v>
      </c>
      <c r="CH32" s="96"/>
      <c r="CI32" s="96" t="s">
        <v>509</v>
      </c>
    </row>
    <row r="33" spans="1:100" ht="24.95" customHeight="1">
      <c r="A33" s="96">
        <v>34</v>
      </c>
      <c r="B33" s="96" t="s">
        <v>579</v>
      </c>
      <c r="C33" s="96" t="s">
        <v>580</v>
      </c>
      <c r="D33" s="96" t="s">
        <v>581</v>
      </c>
      <c r="E33" s="96" t="s">
        <v>582</v>
      </c>
      <c r="F33" s="96" t="s">
        <v>23</v>
      </c>
      <c r="G33" s="96">
        <v>2</v>
      </c>
      <c r="H33" s="96" t="s">
        <v>49</v>
      </c>
      <c r="I33" s="96" t="s">
        <v>42</v>
      </c>
      <c r="J33" s="96" t="s">
        <v>474</v>
      </c>
      <c r="K33" s="96" t="s">
        <v>540</v>
      </c>
      <c r="L33" s="96" t="s">
        <v>40</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7"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7">
        <v>1</v>
      </c>
      <c r="CG33" s="96">
        <v>2</v>
      </c>
      <c r="CH33" s="96"/>
      <c r="CI33" s="96" t="s">
        <v>165</v>
      </c>
    </row>
    <row r="34" spans="1:100" ht="24.95" customHeight="1">
      <c r="A34" s="96">
        <v>35</v>
      </c>
      <c r="B34" s="96" t="s">
        <v>595</v>
      </c>
      <c r="C34" s="96" t="s">
        <v>596</v>
      </c>
      <c r="D34" s="96" t="s">
        <v>597</v>
      </c>
      <c r="E34" s="96" t="s">
        <v>598</v>
      </c>
      <c r="F34" s="96" t="s">
        <v>23</v>
      </c>
      <c r="G34" s="96">
        <v>2</v>
      </c>
      <c r="H34" s="96" t="s">
        <v>48</v>
      </c>
      <c r="I34" s="96" t="s">
        <v>34</v>
      </c>
      <c r="J34" s="96" t="s">
        <v>599</v>
      </c>
      <c r="K34" s="96" t="s">
        <v>600</v>
      </c>
      <c r="L34" s="96" t="s">
        <v>41</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8"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7">
        <v>1</v>
      </c>
      <c r="CG34" s="96">
        <v>3</v>
      </c>
      <c r="CH34" s="96"/>
      <c r="CI34" s="96" t="s">
        <v>509</v>
      </c>
    </row>
    <row r="35" spans="1:100" ht="24.95" customHeight="1">
      <c r="A35" s="96">
        <v>36</v>
      </c>
      <c r="B35" s="96" t="s">
        <v>614</v>
      </c>
      <c r="C35" s="96" t="s">
        <v>615</v>
      </c>
      <c r="D35" s="96" t="s">
        <v>616</v>
      </c>
      <c r="E35" s="96" t="s">
        <v>617</v>
      </c>
      <c r="F35" s="96" t="s">
        <v>23</v>
      </c>
      <c r="G35" s="96">
        <v>2</v>
      </c>
      <c r="H35" s="96" t="s">
        <v>48</v>
      </c>
      <c r="I35" s="96" t="s">
        <v>38</v>
      </c>
      <c r="J35" s="96" t="s">
        <v>618</v>
      </c>
      <c r="K35" s="96" t="s">
        <v>619</v>
      </c>
      <c r="L35" s="96" t="s">
        <v>38</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7"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7" t="s">
        <v>165</v>
      </c>
      <c r="CG35" s="96" t="s">
        <v>165</v>
      </c>
      <c r="CH35" s="96"/>
      <c r="CI35" s="96" t="s">
        <v>535</v>
      </c>
    </row>
    <row r="36" spans="1:100" ht="24.95" customHeight="1">
      <c r="A36" s="96">
        <v>37</v>
      </c>
      <c r="B36" s="96" t="s">
        <v>625</v>
      </c>
      <c r="C36" s="96" t="s">
        <v>626</v>
      </c>
      <c r="D36" s="96" t="s">
        <v>627</v>
      </c>
      <c r="E36" s="96" t="s">
        <v>628</v>
      </c>
      <c r="F36" s="96" t="s">
        <v>24</v>
      </c>
      <c r="G36" s="96">
        <v>2</v>
      </c>
      <c r="H36" s="96" t="s">
        <v>50</v>
      </c>
      <c r="I36" s="96" t="s">
        <v>35</v>
      </c>
      <c r="J36" s="96" t="s">
        <v>359</v>
      </c>
      <c r="K36" s="96" t="s">
        <v>436</v>
      </c>
      <c r="L36" s="96" t="s">
        <v>35</v>
      </c>
      <c r="M36" s="96" t="s">
        <v>147</v>
      </c>
      <c r="N36" s="221"/>
      <c r="O36" s="12" t="s">
        <v>148</v>
      </c>
      <c r="P36" s="15" t="s">
        <v>148</v>
      </c>
      <c r="Q36" s="96" t="s">
        <v>148</v>
      </c>
      <c r="R36" s="321" t="s">
        <v>629</v>
      </c>
      <c r="S36" s="321"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7"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7">
        <v>2</v>
      </c>
      <c r="CG36" s="96">
        <v>3</v>
      </c>
      <c r="CH36" s="96"/>
      <c r="CI36" s="96" t="s">
        <v>535</v>
      </c>
    </row>
    <row r="37" spans="1:100" ht="24.95" customHeight="1">
      <c r="A37" s="85">
        <v>38</v>
      </c>
      <c r="B37" s="85" t="s">
        <v>637</v>
      </c>
      <c r="C37" s="85" t="s">
        <v>638</v>
      </c>
      <c r="D37" s="85" t="s">
        <v>639</v>
      </c>
      <c r="E37" s="85" t="s">
        <v>640</v>
      </c>
      <c r="F37" s="85" t="s">
        <v>24</v>
      </c>
      <c r="G37" s="85">
        <v>2</v>
      </c>
      <c r="H37" s="85" t="s">
        <v>50</v>
      </c>
      <c r="I37" s="85" t="s">
        <v>28</v>
      </c>
      <c r="J37" s="85" t="s">
        <v>221</v>
      </c>
      <c r="K37" s="85"/>
      <c r="L37" s="85" t="s">
        <v>28</v>
      </c>
      <c r="M37" s="85" t="s">
        <v>147</v>
      </c>
      <c r="N37" s="85"/>
      <c r="O37" s="290"/>
      <c r="P37" s="85" t="s">
        <v>148</v>
      </c>
      <c r="Q37" s="85" t="s">
        <v>148</v>
      </c>
      <c r="R37" s="85" t="s">
        <v>641</v>
      </c>
      <c r="S37" s="291" t="s">
        <v>642</v>
      </c>
      <c r="T37" s="343"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9" t="s">
        <v>28</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6">
        <v>3</v>
      </c>
      <c r="CG37" s="85">
        <v>3</v>
      </c>
      <c r="CH37" s="85"/>
      <c r="CI37" s="85" t="s">
        <v>165</v>
      </c>
      <c r="CJ37" s="292" t="s">
        <v>648</v>
      </c>
    </row>
    <row r="38" spans="1:100" ht="24.95" customHeight="1">
      <c r="A38" s="96">
        <v>39</v>
      </c>
      <c r="B38" s="96" t="s">
        <v>649</v>
      </c>
      <c r="C38" s="96" t="s">
        <v>385</v>
      </c>
      <c r="D38" s="96" t="s">
        <v>650</v>
      </c>
      <c r="E38" s="96" t="s">
        <v>651</v>
      </c>
      <c r="F38" s="96" t="s">
        <v>23</v>
      </c>
      <c r="G38" s="96">
        <v>2</v>
      </c>
      <c r="H38" s="96" t="s">
        <v>49</v>
      </c>
      <c r="I38" s="96" t="s">
        <v>42</v>
      </c>
      <c r="J38" s="96" t="s">
        <v>652</v>
      </c>
      <c r="K38" s="96" t="s">
        <v>653</v>
      </c>
      <c r="L38" s="96" t="s">
        <v>40</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7"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7">
        <v>5</v>
      </c>
      <c r="CG38" s="96">
        <v>6</v>
      </c>
      <c r="CH38" s="96"/>
      <c r="CI38" s="96" t="s">
        <v>165</v>
      </c>
    </row>
    <row r="39" spans="1:100" s="114" customFormat="1" ht="24.95" customHeight="1">
      <c r="A39" s="91">
        <v>40</v>
      </c>
      <c r="B39" s="91" t="s">
        <v>664</v>
      </c>
      <c r="C39" s="91" t="s">
        <v>665</v>
      </c>
      <c r="D39" s="91" t="s">
        <v>666</v>
      </c>
      <c r="E39" s="91" t="s">
        <v>667</v>
      </c>
      <c r="F39" s="91" t="s">
        <v>24</v>
      </c>
      <c r="G39" s="91">
        <v>2</v>
      </c>
      <c r="H39" s="91" t="s">
        <v>54</v>
      </c>
      <c r="I39" s="91" t="s">
        <v>41</v>
      </c>
      <c r="J39" s="91" t="s">
        <v>668</v>
      </c>
      <c r="K39" s="91" t="s">
        <v>669</v>
      </c>
      <c r="L39" s="91" t="s">
        <v>41</v>
      </c>
      <c r="M39" s="91" t="s">
        <v>147</v>
      </c>
      <c r="N39" s="91"/>
      <c r="O39" s="249"/>
      <c r="P39" s="250" t="s">
        <v>165</v>
      </c>
      <c r="Q39" s="91"/>
      <c r="R39" s="91" t="s">
        <v>670</v>
      </c>
      <c r="S39" s="91" t="s">
        <v>671</v>
      </c>
      <c r="T39" s="344"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6"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70"/>
      <c r="CR39" s="370"/>
      <c r="CS39" s="370"/>
      <c r="CU39" s="370"/>
      <c r="CV39" s="370"/>
    </row>
    <row r="40" spans="1:100" ht="24.95" customHeight="1">
      <c r="A40" s="96">
        <v>41</v>
      </c>
      <c r="B40" s="96" t="s">
        <v>680</v>
      </c>
      <c r="C40" s="96" t="s">
        <v>681</v>
      </c>
      <c r="D40" s="96" t="s">
        <v>682</v>
      </c>
      <c r="E40" s="96" t="s">
        <v>683</v>
      </c>
      <c r="F40" s="96" t="s">
        <v>24</v>
      </c>
      <c r="G40" s="96">
        <v>2</v>
      </c>
      <c r="H40" s="96" t="s">
        <v>56</v>
      </c>
      <c r="I40" s="96" t="s">
        <v>31</v>
      </c>
      <c r="J40" s="96" t="s">
        <v>474</v>
      </c>
      <c r="K40" s="96" t="s">
        <v>684</v>
      </c>
      <c r="L40" s="96" t="s">
        <v>31</v>
      </c>
      <c r="M40" s="96" t="s">
        <v>147</v>
      </c>
      <c r="N40" s="221"/>
      <c r="O40" s="12" t="s">
        <v>148</v>
      </c>
      <c r="P40" s="16" t="s">
        <v>148</v>
      </c>
      <c r="Q40" s="96" t="s">
        <v>148</v>
      </c>
      <c r="R40" s="321"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7"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7">
        <v>3</v>
      </c>
      <c r="CG40" s="96">
        <v>3</v>
      </c>
      <c r="CH40" s="96"/>
      <c r="CI40" s="96" t="s">
        <v>165</v>
      </c>
    </row>
    <row r="41" spans="1:100" ht="24.95" customHeight="1">
      <c r="A41" s="96">
        <v>42</v>
      </c>
      <c r="B41" s="96" t="s">
        <v>696</v>
      </c>
      <c r="C41" s="96" t="s">
        <v>697</v>
      </c>
      <c r="D41" s="96"/>
      <c r="E41" s="96" t="s">
        <v>698</v>
      </c>
      <c r="F41" s="96" t="s">
        <v>24</v>
      </c>
      <c r="G41" s="96">
        <v>2</v>
      </c>
      <c r="H41" s="96" t="s">
        <v>56</v>
      </c>
      <c r="I41" s="96" t="s">
        <v>31</v>
      </c>
      <c r="J41" s="96" t="s">
        <v>699</v>
      </c>
      <c r="K41" s="96"/>
      <c r="L41" s="96" t="s">
        <v>31</v>
      </c>
      <c r="M41" s="96" t="s">
        <v>147</v>
      </c>
      <c r="N41" s="221"/>
      <c r="O41" s="12"/>
      <c r="P41" s="16" t="s">
        <v>165</v>
      </c>
      <c r="Q41" s="96"/>
      <c r="R41" s="321"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7"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7" t="s">
        <v>165</v>
      </c>
      <c r="CG41" s="96" t="s">
        <v>165</v>
      </c>
      <c r="CH41" s="96"/>
      <c r="CI41" s="96" t="s">
        <v>165</v>
      </c>
    </row>
    <row r="42" spans="1:100" s="114" customFormat="1" ht="24.95" customHeight="1">
      <c r="A42" s="91">
        <v>43</v>
      </c>
      <c r="B42" s="91" t="s">
        <v>708</v>
      </c>
      <c r="C42" s="91" t="s">
        <v>709</v>
      </c>
      <c r="D42" s="91"/>
      <c r="E42" s="91" t="s">
        <v>710</v>
      </c>
      <c r="F42" s="91" t="s">
        <v>23</v>
      </c>
      <c r="G42" s="91">
        <v>2</v>
      </c>
      <c r="H42" s="91" t="s">
        <v>54</v>
      </c>
      <c r="I42" s="91" t="s">
        <v>41</v>
      </c>
      <c r="J42" s="91" t="s">
        <v>474</v>
      </c>
      <c r="K42" s="91"/>
      <c r="L42" s="91" t="s">
        <v>41</v>
      </c>
      <c r="M42" s="91" t="s">
        <v>147</v>
      </c>
      <c r="N42" s="91"/>
      <c r="O42" s="249"/>
      <c r="P42" s="250" t="s">
        <v>165</v>
      </c>
      <c r="Q42" s="91"/>
      <c r="R42" s="395" t="s">
        <v>711</v>
      </c>
      <c r="S42" s="91"/>
      <c r="T42" s="344"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6"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70"/>
      <c r="CR42" s="370"/>
      <c r="CS42" s="370"/>
      <c r="CU42" s="370"/>
      <c r="CV42" s="370"/>
    </row>
    <row r="43" spans="1:100" ht="24.95" customHeight="1">
      <c r="A43" s="91">
        <v>44</v>
      </c>
      <c r="B43" s="91" t="s">
        <v>720</v>
      </c>
      <c r="C43" s="91" t="s">
        <v>721</v>
      </c>
      <c r="D43" s="91" t="s">
        <v>722</v>
      </c>
      <c r="E43" s="91" t="s">
        <v>723</v>
      </c>
      <c r="F43" s="91" t="s">
        <v>24</v>
      </c>
      <c r="G43" s="91">
        <v>2</v>
      </c>
      <c r="H43" s="108" t="s">
        <v>48</v>
      </c>
      <c r="I43" s="91" t="s">
        <v>38</v>
      </c>
      <c r="J43" s="91"/>
      <c r="K43" s="91"/>
      <c r="L43" s="91" t="s">
        <v>41</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6"/>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customHeight="1">
      <c r="A44" s="91">
        <v>45</v>
      </c>
      <c r="B44" s="91" t="s">
        <v>724</v>
      </c>
      <c r="C44" s="91" t="s">
        <v>725</v>
      </c>
      <c r="D44" s="91" t="s">
        <v>726</v>
      </c>
      <c r="E44" s="91" t="s">
        <v>727</v>
      </c>
      <c r="F44" s="91" t="s">
        <v>23</v>
      </c>
      <c r="G44" s="91">
        <v>2</v>
      </c>
      <c r="H44" s="108" t="s">
        <v>55</v>
      </c>
      <c r="I44" s="91" t="s">
        <v>36</v>
      </c>
      <c r="J44" s="91"/>
      <c r="K44" s="91" t="s">
        <v>728</v>
      </c>
      <c r="L44" s="91" t="s">
        <v>37</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10"/>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customHeight="1">
      <c r="A45" s="116">
        <v>47</v>
      </c>
      <c r="B45" s="116" t="s">
        <v>731</v>
      </c>
      <c r="C45" s="116" t="s">
        <v>732</v>
      </c>
      <c r="D45" s="116" t="s">
        <v>733</v>
      </c>
      <c r="E45" s="116" t="s">
        <v>734</v>
      </c>
      <c r="F45" s="116" t="s">
        <v>24</v>
      </c>
      <c r="G45" s="116">
        <v>3</v>
      </c>
      <c r="H45" s="116" t="s">
        <v>50</v>
      </c>
      <c r="I45" s="116" t="s">
        <v>28</v>
      </c>
      <c r="J45" s="116" t="s">
        <v>735</v>
      </c>
      <c r="K45" s="116" t="s">
        <v>736</v>
      </c>
      <c r="L45" s="116" t="s">
        <v>28</v>
      </c>
      <c r="M45" s="116" t="s">
        <v>147</v>
      </c>
      <c r="N45" s="223" t="s">
        <v>737</v>
      </c>
      <c r="O45" s="18" t="s">
        <v>319</v>
      </c>
      <c r="P45" s="19" t="s">
        <v>319</v>
      </c>
      <c r="Q45" s="116" t="s">
        <v>319</v>
      </c>
      <c r="R45" s="116" t="s">
        <v>738</v>
      </c>
      <c r="S45" s="116" t="s">
        <v>739</v>
      </c>
      <c r="T45" s="345"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11"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8">
        <v>1</v>
      </c>
      <c r="CG45" s="116">
        <v>1</v>
      </c>
      <c r="CH45" s="116"/>
      <c r="CI45" s="116" t="s">
        <v>535</v>
      </c>
    </row>
    <row r="46" spans="1:100" ht="24.95" customHeight="1">
      <c r="A46" s="116">
        <v>48</v>
      </c>
      <c r="B46" s="116" t="s">
        <v>749</v>
      </c>
      <c r="C46" s="116" t="s">
        <v>750</v>
      </c>
      <c r="D46" s="116"/>
      <c r="E46" s="116" t="s">
        <v>751</v>
      </c>
      <c r="F46" s="116" t="s">
        <v>24</v>
      </c>
      <c r="G46" s="116">
        <v>3</v>
      </c>
      <c r="H46" s="116" t="s">
        <v>48</v>
      </c>
      <c r="I46" s="116" t="s">
        <v>38</v>
      </c>
      <c r="J46" s="116" t="s">
        <v>474</v>
      </c>
      <c r="K46" s="116"/>
      <c r="L46" s="116" t="s">
        <v>38</v>
      </c>
      <c r="M46" s="116" t="s">
        <v>147</v>
      </c>
      <c r="N46" s="116"/>
      <c r="O46" s="225" t="s">
        <v>148</v>
      </c>
      <c r="P46" s="226" t="s">
        <v>237</v>
      </c>
      <c r="Q46" s="116" t="s">
        <v>148</v>
      </c>
      <c r="R46" s="116" t="s">
        <v>752</v>
      </c>
      <c r="S46" s="123" t="s">
        <v>753</v>
      </c>
      <c r="T46" s="345"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8">
        <v>1</v>
      </c>
      <c r="CG46" s="116">
        <v>4</v>
      </c>
      <c r="CH46" s="116"/>
      <c r="CI46" s="116" t="s">
        <v>535</v>
      </c>
    </row>
    <row r="47" spans="1:100" ht="24.95" customHeight="1">
      <c r="A47" s="116">
        <v>49</v>
      </c>
      <c r="B47" s="116" t="s">
        <v>759</v>
      </c>
      <c r="C47" s="116" t="s">
        <v>760</v>
      </c>
      <c r="D47" s="116" t="s">
        <v>761</v>
      </c>
      <c r="E47" s="116" t="s">
        <v>762</v>
      </c>
      <c r="F47" s="116" t="s">
        <v>24</v>
      </c>
      <c r="G47" s="116">
        <v>3</v>
      </c>
      <c r="H47" s="116" t="s">
        <v>48</v>
      </c>
      <c r="I47" s="116" t="s">
        <v>38</v>
      </c>
      <c r="J47" s="116" t="s">
        <v>699</v>
      </c>
      <c r="K47" s="116" t="s">
        <v>763</v>
      </c>
      <c r="L47" s="116" t="s">
        <v>38</v>
      </c>
      <c r="M47" s="116" t="s">
        <v>147</v>
      </c>
      <c r="N47" s="223" t="s">
        <v>764</v>
      </c>
      <c r="O47" s="227" t="s">
        <v>319</v>
      </c>
      <c r="P47" s="22" t="s">
        <v>319</v>
      </c>
      <c r="Q47" s="116"/>
      <c r="R47" s="394" t="s">
        <v>765</v>
      </c>
      <c r="S47" s="116" t="s">
        <v>766</v>
      </c>
      <c r="T47" s="346"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12"/>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8">
        <v>0</v>
      </c>
      <c r="CG47" s="116">
        <v>0</v>
      </c>
      <c r="CH47" s="116"/>
      <c r="CI47" s="116" t="s">
        <v>535</v>
      </c>
    </row>
    <row r="48" spans="1:100" ht="24.95" customHeight="1">
      <c r="A48" s="116">
        <v>50</v>
      </c>
      <c r="B48" s="116" t="s">
        <v>777</v>
      </c>
      <c r="C48" s="116" t="s">
        <v>778</v>
      </c>
      <c r="D48" s="116" t="s">
        <v>779</v>
      </c>
      <c r="E48" s="116" t="s">
        <v>780</v>
      </c>
      <c r="F48" s="116" t="s">
        <v>24</v>
      </c>
      <c r="G48" s="116">
        <v>3</v>
      </c>
      <c r="H48" s="116" t="s">
        <v>50</v>
      </c>
      <c r="I48" s="116" t="s">
        <v>28</v>
      </c>
      <c r="J48" s="116" t="s">
        <v>781</v>
      </c>
      <c r="K48" s="116" t="s">
        <v>782</v>
      </c>
      <c r="L48" s="116" t="s">
        <v>28</v>
      </c>
      <c r="M48" s="116" t="s">
        <v>147</v>
      </c>
      <c r="N48" s="223"/>
      <c r="O48" s="227" t="s">
        <v>319</v>
      </c>
      <c r="P48" s="22" t="s">
        <v>319</v>
      </c>
      <c r="Q48" s="116"/>
      <c r="R48" s="394" t="s">
        <v>783</v>
      </c>
      <c r="S48" s="116" t="s">
        <v>784</v>
      </c>
      <c r="T48" s="345"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11"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8">
        <v>0</v>
      </c>
      <c r="CG48" s="116">
        <v>0</v>
      </c>
      <c r="CH48" s="116"/>
      <c r="CI48" s="116" t="s">
        <v>565</v>
      </c>
    </row>
    <row r="49" spans="1:100" ht="24.95" customHeight="1">
      <c r="A49" s="116">
        <v>51</v>
      </c>
      <c r="B49" s="116" t="s">
        <v>792</v>
      </c>
      <c r="C49" s="116" t="s">
        <v>793</v>
      </c>
      <c r="D49" s="116" t="s">
        <v>794</v>
      </c>
      <c r="E49" s="116" t="s">
        <v>795</v>
      </c>
      <c r="F49" s="116" t="s">
        <v>23</v>
      </c>
      <c r="G49" s="116">
        <v>3</v>
      </c>
      <c r="H49" s="116" t="s">
        <v>56</v>
      </c>
      <c r="I49" s="116" t="s">
        <v>31</v>
      </c>
      <c r="J49" s="116" t="s">
        <v>796</v>
      </c>
      <c r="K49" s="116"/>
      <c r="L49" s="116" t="s">
        <v>31</v>
      </c>
      <c r="M49" s="116" t="s">
        <v>147</v>
      </c>
      <c r="N49" s="223"/>
      <c r="O49" s="228" t="s">
        <v>148</v>
      </c>
      <c r="P49" s="22" t="s">
        <v>148</v>
      </c>
      <c r="Q49" s="116" t="s">
        <v>148</v>
      </c>
      <c r="R49" s="394" t="s">
        <v>797</v>
      </c>
      <c r="S49" s="116" t="s">
        <v>798</v>
      </c>
      <c r="T49" s="345"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11"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8">
        <v>1</v>
      </c>
      <c r="CG49" s="116">
        <v>2</v>
      </c>
      <c r="CH49" s="116"/>
      <c r="CI49" s="116" t="s">
        <v>806</v>
      </c>
    </row>
    <row r="50" spans="1:100" ht="24.95" customHeight="1">
      <c r="A50" s="116">
        <v>52</v>
      </c>
      <c r="B50" s="116" t="s">
        <v>807</v>
      </c>
      <c r="C50" s="116" t="s">
        <v>808</v>
      </c>
      <c r="D50" s="116" t="s">
        <v>809</v>
      </c>
      <c r="E50" s="116" t="s">
        <v>810</v>
      </c>
      <c r="F50" s="116" t="s">
        <v>23</v>
      </c>
      <c r="G50" s="116">
        <v>3</v>
      </c>
      <c r="H50" s="116" t="s">
        <v>51</v>
      </c>
      <c r="I50" s="116" t="s">
        <v>39</v>
      </c>
      <c r="J50" s="116" t="s">
        <v>599</v>
      </c>
      <c r="K50" s="116"/>
      <c r="L50" s="116" t="s">
        <v>39</v>
      </c>
      <c r="M50" s="116" t="s">
        <v>147</v>
      </c>
      <c r="N50" s="223"/>
      <c r="O50" s="228"/>
      <c r="P50" s="22" t="s">
        <v>165</v>
      </c>
      <c r="Q50" s="116"/>
      <c r="R50" s="116" t="s">
        <v>811</v>
      </c>
      <c r="S50" s="116" t="s">
        <v>812</v>
      </c>
      <c r="T50" s="345"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11"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8" t="s">
        <v>165</v>
      </c>
      <c r="CG50" s="116" t="s">
        <v>165</v>
      </c>
      <c r="CH50" s="116"/>
      <c r="CI50" s="116" t="s">
        <v>535</v>
      </c>
    </row>
    <row r="51" spans="1:100" ht="24.95" customHeight="1">
      <c r="A51" s="116">
        <v>53</v>
      </c>
      <c r="B51" s="116" t="s">
        <v>820</v>
      </c>
      <c r="C51" s="116" t="s">
        <v>821</v>
      </c>
      <c r="D51" s="116" t="s">
        <v>822</v>
      </c>
      <c r="E51" s="116" t="s">
        <v>823</v>
      </c>
      <c r="F51" s="116" t="s">
        <v>23</v>
      </c>
      <c r="G51" s="116">
        <v>3</v>
      </c>
      <c r="H51" s="116" t="s">
        <v>50</v>
      </c>
      <c r="I51" s="116" t="s">
        <v>28</v>
      </c>
      <c r="J51" s="116" t="s">
        <v>824</v>
      </c>
      <c r="K51" s="116" t="s">
        <v>825</v>
      </c>
      <c r="L51" s="116" t="s">
        <v>28</v>
      </c>
      <c r="M51" s="116" t="s">
        <v>147</v>
      </c>
      <c r="N51" s="223">
        <v>95534</v>
      </c>
      <c r="O51" s="228" t="s">
        <v>148</v>
      </c>
      <c r="P51" s="22" t="s">
        <v>148</v>
      </c>
      <c r="Q51" s="116" t="s">
        <v>148</v>
      </c>
      <c r="R51" s="394" t="s">
        <v>826</v>
      </c>
      <c r="S51" s="116" t="s">
        <v>827</v>
      </c>
      <c r="T51" s="345"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3"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8"/>
      <c r="CG51" s="116">
        <v>1</v>
      </c>
      <c r="CH51" s="116"/>
      <c r="CI51" s="116" t="s">
        <v>565</v>
      </c>
    </row>
    <row r="52" spans="1:100" ht="24.95" customHeight="1">
      <c r="A52" s="116">
        <v>54</v>
      </c>
      <c r="B52" s="116" t="s">
        <v>833</v>
      </c>
      <c r="C52" s="116" t="s">
        <v>834</v>
      </c>
      <c r="D52" s="116" t="s">
        <v>835</v>
      </c>
      <c r="E52" s="116" t="s">
        <v>836</v>
      </c>
      <c r="F52" s="116" t="s">
        <v>23</v>
      </c>
      <c r="G52" s="116">
        <v>3</v>
      </c>
      <c r="H52" s="116" t="s">
        <v>49</v>
      </c>
      <c r="I52" s="116" t="s">
        <v>42</v>
      </c>
      <c r="J52" s="116" t="s">
        <v>796</v>
      </c>
      <c r="K52" s="116" t="s">
        <v>837</v>
      </c>
      <c r="L52" s="116" t="s">
        <v>40</v>
      </c>
      <c r="M52" s="116" t="s">
        <v>147</v>
      </c>
      <c r="N52" s="223"/>
      <c r="O52" s="228"/>
      <c r="P52" s="22" t="s">
        <v>148</v>
      </c>
      <c r="Q52" s="116"/>
      <c r="R52" s="394" t="s">
        <v>838</v>
      </c>
      <c r="S52" s="116" t="s">
        <v>839</v>
      </c>
      <c r="T52" s="345"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3"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8" t="s">
        <v>165</v>
      </c>
      <c r="CG52" s="116" t="s">
        <v>165</v>
      </c>
      <c r="CH52" s="116"/>
      <c r="CI52" s="116" t="s">
        <v>806</v>
      </c>
    </row>
    <row r="53" spans="1:100" ht="24.95" customHeight="1">
      <c r="A53" s="116">
        <v>55</v>
      </c>
      <c r="B53" s="116" t="s">
        <v>845</v>
      </c>
      <c r="C53" s="116" t="s">
        <v>846</v>
      </c>
      <c r="D53" s="116" t="s">
        <v>847</v>
      </c>
      <c r="E53" s="116" t="s">
        <v>848</v>
      </c>
      <c r="F53" s="116" t="s">
        <v>24</v>
      </c>
      <c r="G53" s="116">
        <v>3</v>
      </c>
      <c r="H53" s="116" t="s">
        <v>48</v>
      </c>
      <c r="I53" s="116" t="s">
        <v>33</v>
      </c>
      <c r="J53" s="116" t="s">
        <v>849</v>
      </c>
      <c r="K53" s="116" t="s">
        <v>850</v>
      </c>
      <c r="L53" s="116" t="s">
        <v>33</v>
      </c>
      <c r="M53" s="116" t="s">
        <v>147</v>
      </c>
      <c r="N53" s="116" t="s">
        <v>851</v>
      </c>
      <c r="O53" s="225" t="s">
        <v>148</v>
      </c>
      <c r="P53" s="226" t="s">
        <v>852</v>
      </c>
      <c r="Q53" s="116"/>
      <c r="R53" s="116" t="s">
        <v>853</v>
      </c>
      <c r="S53" s="116" t="s">
        <v>854</v>
      </c>
      <c r="T53" s="345"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8">
        <v>3</v>
      </c>
      <c r="CG53" s="116" t="s">
        <v>165</v>
      </c>
      <c r="CH53" s="116"/>
      <c r="CI53" s="116" t="s">
        <v>806</v>
      </c>
    </row>
    <row r="54" spans="1:100" ht="24.95" customHeight="1">
      <c r="A54" s="116">
        <v>56</v>
      </c>
      <c r="B54" s="116" t="s">
        <v>861</v>
      </c>
      <c r="C54" s="116" t="s">
        <v>862</v>
      </c>
      <c r="D54" s="116" t="s">
        <v>863</v>
      </c>
      <c r="E54" s="116" t="s">
        <v>864</v>
      </c>
      <c r="F54" s="116" t="s">
        <v>24</v>
      </c>
      <c r="G54" s="116">
        <v>3</v>
      </c>
      <c r="H54" s="116" t="s">
        <v>54</v>
      </c>
      <c r="I54" s="116" t="s">
        <v>41</v>
      </c>
      <c r="J54" s="116" t="s">
        <v>599</v>
      </c>
      <c r="K54" s="116" t="s">
        <v>865</v>
      </c>
      <c r="L54" s="116" t="s">
        <v>41</v>
      </c>
      <c r="M54" s="116" t="s">
        <v>147</v>
      </c>
      <c r="N54" s="223">
        <v>705854</v>
      </c>
      <c r="O54" s="228"/>
      <c r="P54" s="22" t="s">
        <v>148</v>
      </c>
      <c r="Q54" s="116"/>
      <c r="R54" s="116" t="s">
        <v>866</v>
      </c>
      <c r="S54" s="126" t="s">
        <v>867</v>
      </c>
      <c r="T54" s="346">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3"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8">
        <v>1</v>
      </c>
      <c r="CG54" s="116">
        <v>2</v>
      </c>
      <c r="CH54" s="116"/>
      <c r="CI54" s="116" t="s">
        <v>497</v>
      </c>
    </row>
    <row r="55" spans="1:100" ht="24.95" customHeight="1">
      <c r="A55" s="116">
        <v>57</v>
      </c>
      <c r="B55" s="116" t="s">
        <v>876</v>
      </c>
      <c r="C55" s="116" t="s">
        <v>822</v>
      </c>
      <c r="D55" s="116"/>
      <c r="E55" s="116" t="s">
        <v>877</v>
      </c>
      <c r="F55" s="116" t="s">
        <v>23</v>
      </c>
      <c r="G55" s="116">
        <v>3</v>
      </c>
      <c r="H55" s="116" t="s">
        <v>51</v>
      </c>
      <c r="I55" s="116" t="s">
        <v>39</v>
      </c>
      <c r="J55" s="116" t="s">
        <v>359</v>
      </c>
      <c r="K55" s="116"/>
      <c r="L55" s="116" t="s">
        <v>33</v>
      </c>
      <c r="M55" s="116" t="s">
        <v>160</v>
      </c>
      <c r="N55" s="116" t="s">
        <v>878</v>
      </c>
      <c r="O55" s="225" t="s">
        <v>148</v>
      </c>
      <c r="P55" s="226" t="s">
        <v>148</v>
      </c>
      <c r="Q55" s="116"/>
      <c r="R55" s="116" t="s">
        <v>879</v>
      </c>
      <c r="S55" s="121" t="s">
        <v>880</v>
      </c>
      <c r="T55" s="345"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8">
        <v>4</v>
      </c>
      <c r="CG55" s="116">
        <v>5</v>
      </c>
      <c r="CH55" s="116"/>
      <c r="CI55" s="116" t="s">
        <v>497</v>
      </c>
    </row>
    <row r="56" spans="1:100" ht="24.95" customHeight="1">
      <c r="A56" s="116">
        <v>58</v>
      </c>
      <c r="B56" s="116" t="s">
        <v>887</v>
      </c>
      <c r="C56" s="116" t="s">
        <v>888</v>
      </c>
      <c r="D56" s="116" t="s">
        <v>889</v>
      </c>
      <c r="E56" s="116" t="s">
        <v>890</v>
      </c>
      <c r="F56" s="116" t="s">
        <v>23</v>
      </c>
      <c r="G56" s="116">
        <v>3</v>
      </c>
      <c r="H56" s="116" t="s">
        <v>48</v>
      </c>
      <c r="I56" s="116" t="s">
        <v>33</v>
      </c>
      <c r="J56" s="116" t="s">
        <v>891</v>
      </c>
      <c r="K56" s="116" t="s">
        <v>527</v>
      </c>
      <c r="L56" s="116" t="s">
        <v>33</v>
      </c>
      <c r="M56" s="116" t="s">
        <v>147</v>
      </c>
      <c r="N56" s="223" t="s">
        <v>892</v>
      </c>
      <c r="O56" s="228" t="s">
        <v>148</v>
      </c>
      <c r="P56" s="22" t="s">
        <v>148</v>
      </c>
      <c r="Q56" s="116" t="s">
        <v>148</v>
      </c>
      <c r="R56" s="116" t="s">
        <v>893</v>
      </c>
      <c r="S56" s="121" t="s">
        <v>894</v>
      </c>
      <c r="T56" s="346"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4"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8">
        <v>3</v>
      </c>
      <c r="CG56" s="116">
        <v>3</v>
      </c>
      <c r="CH56" s="116"/>
      <c r="CI56" s="116" t="s">
        <v>535</v>
      </c>
    </row>
    <row r="57" spans="1:100" ht="24.95" customHeight="1">
      <c r="A57" s="116">
        <v>59</v>
      </c>
      <c r="B57" s="116" t="s">
        <v>902</v>
      </c>
      <c r="C57" s="116" t="s">
        <v>903</v>
      </c>
      <c r="D57" s="116" t="s">
        <v>904</v>
      </c>
      <c r="E57" s="116" t="s">
        <v>905</v>
      </c>
      <c r="F57" s="116" t="s">
        <v>23</v>
      </c>
      <c r="G57" s="116">
        <v>3</v>
      </c>
      <c r="H57" s="116" t="s">
        <v>50</v>
      </c>
      <c r="I57" s="116" t="s">
        <v>35</v>
      </c>
      <c r="J57" s="116" t="s">
        <v>474</v>
      </c>
      <c r="K57" s="116"/>
      <c r="L57" s="116" t="s">
        <v>35</v>
      </c>
      <c r="M57" s="116" t="s">
        <v>147</v>
      </c>
      <c r="N57" s="223"/>
      <c r="O57" s="228" t="s">
        <v>148</v>
      </c>
      <c r="P57" s="22" t="s">
        <v>148</v>
      </c>
      <c r="Q57" s="116" t="s">
        <v>148</v>
      </c>
      <c r="R57" s="394" t="s">
        <v>906</v>
      </c>
      <c r="S57" s="116" t="s">
        <v>907</v>
      </c>
      <c r="T57" s="345"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3"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8">
        <v>2</v>
      </c>
      <c r="CG57" s="116">
        <v>3</v>
      </c>
      <c r="CH57" s="116"/>
      <c r="CI57" s="116" t="s">
        <v>535</v>
      </c>
    </row>
    <row r="58" spans="1:100" ht="24.95" customHeight="1">
      <c r="A58" s="116">
        <v>60</v>
      </c>
      <c r="B58" s="116" t="s">
        <v>915</v>
      </c>
      <c r="C58" s="116" t="s">
        <v>916</v>
      </c>
      <c r="D58" s="116" t="s">
        <v>917</v>
      </c>
      <c r="E58" s="116" t="s">
        <v>918</v>
      </c>
      <c r="F58" s="116" t="s">
        <v>24</v>
      </c>
      <c r="G58" s="116">
        <v>3</v>
      </c>
      <c r="H58" s="116" t="s">
        <v>48</v>
      </c>
      <c r="I58" s="116" t="s">
        <v>33</v>
      </c>
      <c r="J58" s="116" t="s">
        <v>474</v>
      </c>
      <c r="K58" s="116" t="s">
        <v>919</v>
      </c>
      <c r="L58" s="116" t="s">
        <v>38</v>
      </c>
      <c r="M58" s="116" t="s">
        <v>160</v>
      </c>
      <c r="N58" s="223" t="s">
        <v>920</v>
      </c>
      <c r="O58" s="228" t="s">
        <v>148</v>
      </c>
      <c r="P58" s="22" t="s">
        <v>148</v>
      </c>
      <c r="Q58" s="116" t="s">
        <v>148</v>
      </c>
      <c r="R58" s="394" t="s">
        <v>921</v>
      </c>
      <c r="S58" s="116" t="s">
        <v>922</v>
      </c>
      <c r="T58" s="345"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3"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8">
        <v>3</v>
      </c>
      <c r="CG58" s="116">
        <v>3</v>
      </c>
      <c r="CH58" s="116"/>
      <c r="CI58" s="116" t="s">
        <v>806</v>
      </c>
    </row>
    <row r="59" spans="1:100" ht="24.95" customHeight="1">
      <c r="A59" s="116">
        <v>61</v>
      </c>
      <c r="B59" s="116" t="s">
        <v>929</v>
      </c>
      <c r="C59" s="116" t="s">
        <v>930</v>
      </c>
      <c r="D59" s="116" t="s">
        <v>931</v>
      </c>
      <c r="E59" s="116" t="s">
        <v>932</v>
      </c>
      <c r="F59" s="116" t="s">
        <v>23</v>
      </c>
      <c r="G59" s="116">
        <v>3</v>
      </c>
      <c r="H59" s="116" t="s">
        <v>50</v>
      </c>
      <c r="I59" s="116" t="s">
        <v>35</v>
      </c>
      <c r="J59" s="116" t="s">
        <v>933</v>
      </c>
      <c r="K59" s="116" t="s">
        <v>933</v>
      </c>
      <c r="L59" s="116" t="s">
        <v>41</v>
      </c>
      <c r="M59" s="116" t="s">
        <v>160</v>
      </c>
      <c r="N59" s="223">
        <v>671975</v>
      </c>
      <c r="O59" s="228" t="s">
        <v>148</v>
      </c>
      <c r="P59" s="22" t="s">
        <v>148</v>
      </c>
      <c r="Q59" s="116" t="s">
        <v>148</v>
      </c>
      <c r="R59" s="394" t="s">
        <v>934</v>
      </c>
      <c r="S59" s="121" t="s">
        <v>935</v>
      </c>
      <c r="T59" s="345"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4"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8">
        <v>1</v>
      </c>
      <c r="CG59" s="116">
        <v>3</v>
      </c>
      <c r="CH59" s="116"/>
      <c r="CI59" s="116" t="s">
        <v>497</v>
      </c>
    </row>
    <row r="60" spans="1:100" ht="24.95" customHeight="1">
      <c r="A60" s="116">
        <v>62</v>
      </c>
      <c r="B60" s="116" t="s">
        <v>944</v>
      </c>
      <c r="C60" s="116" t="s">
        <v>945</v>
      </c>
      <c r="D60" s="116" t="s">
        <v>946</v>
      </c>
      <c r="E60" s="116" t="s">
        <v>947</v>
      </c>
      <c r="F60" s="116" t="s">
        <v>24</v>
      </c>
      <c r="G60" s="116">
        <v>3</v>
      </c>
      <c r="H60" s="116" t="s">
        <v>56</v>
      </c>
      <c r="I60" s="116" t="s">
        <v>31</v>
      </c>
      <c r="J60" s="116" t="s">
        <v>599</v>
      </c>
      <c r="K60" s="116" t="s">
        <v>948</v>
      </c>
      <c r="L60" s="116" t="s">
        <v>31</v>
      </c>
      <c r="M60" s="116" t="s">
        <v>147</v>
      </c>
      <c r="N60" s="116"/>
      <c r="O60" s="225" t="s">
        <v>148</v>
      </c>
      <c r="P60" s="226" t="s">
        <v>148</v>
      </c>
      <c r="Q60" s="116" t="s">
        <v>148</v>
      </c>
      <c r="R60" s="116" t="s">
        <v>949</v>
      </c>
      <c r="S60" s="121" t="s">
        <v>950</v>
      </c>
      <c r="T60" s="345"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8">
        <v>2</v>
      </c>
      <c r="CG60" s="116">
        <v>2</v>
      </c>
      <c r="CH60" s="116"/>
      <c r="CI60" s="116" t="s">
        <v>535</v>
      </c>
    </row>
    <row r="61" spans="1:100" s="114" customFormat="1" ht="24.95" customHeight="1">
      <c r="A61" s="91">
        <v>63</v>
      </c>
      <c r="B61" s="91" t="s">
        <v>958</v>
      </c>
      <c r="C61" s="91" t="s">
        <v>959</v>
      </c>
      <c r="D61" s="91" t="s">
        <v>960</v>
      </c>
      <c r="E61" s="91" t="s">
        <v>961</v>
      </c>
      <c r="F61" s="91" t="s">
        <v>24</v>
      </c>
      <c r="G61" s="91">
        <v>3</v>
      </c>
      <c r="H61" s="91" t="s">
        <v>54</v>
      </c>
      <c r="I61" s="91" t="s">
        <v>41</v>
      </c>
      <c r="J61" s="91" t="s">
        <v>599</v>
      </c>
      <c r="K61" s="91"/>
      <c r="L61" s="91" t="s">
        <v>41</v>
      </c>
      <c r="M61" s="91" t="s">
        <v>147</v>
      </c>
      <c r="N61" s="91"/>
      <c r="O61" s="249"/>
      <c r="P61" s="250" t="s">
        <v>165</v>
      </c>
      <c r="Q61" s="91"/>
      <c r="R61" s="91" t="s">
        <v>962</v>
      </c>
      <c r="S61" s="91" t="s">
        <v>963</v>
      </c>
      <c r="T61" s="344" t="s">
        <v>964</v>
      </c>
      <c r="U61" s="92" t="s">
        <v>965</v>
      </c>
      <c r="V61" s="92">
        <v>29865</v>
      </c>
      <c r="W61" s="164" t="s">
        <v>966</v>
      </c>
      <c r="X61" s="164" t="s">
        <v>176</v>
      </c>
      <c r="Y61" s="164" t="s">
        <v>160</v>
      </c>
      <c r="Z61" s="164" t="s">
        <v>155</v>
      </c>
      <c r="AA61" s="91">
        <v>4</v>
      </c>
      <c r="AB61" s="92">
        <v>41345</v>
      </c>
      <c r="AC61" s="281">
        <v>41334</v>
      </c>
      <c r="AD61" s="92">
        <v>45741</v>
      </c>
      <c r="AE61" s="371" t="s">
        <v>967</v>
      </c>
      <c r="AF61" s="50" t="s">
        <v>968</v>
      </c>
      <c r="AG61" s="91"/>
      <c r="AH61" s="91">
        <f t="shared" si="5"/>
        <v>2</v>
      </c>
      <c r="AI61" s="372"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70"/>
      <c r="CR61" s="370"/>
      <c r="CS61" s="370"/>
      <c r="CU61" s="370"/>
      <c r="CV61" s="370"/>
    </row>
    <row r="62" spans="1:100" ht="24.95" customHeight="1">
      <c r="A62" s="116">
        <v>64</v>
      </c>
      <c r="B62" s="116" t="s">
        <v>970</v>
      </c>
      <c r="C62" s="116" t="s">
        <v>971</v>
      </c>
      <c r="D62" s="116" t="s">
        <v>972</v>
      </c>
      <c r="E62" s="116" t="s">
        <v>973</v>
      </c>
      <c r="F62" s="116" t="s">
        <v>24</v>
      </c>
      <c r="G62" s="116">
        <v>3</v>
      </c>
      <c r="H62" s="116" t="s">
        <v>50</v>
      </c>
      <c r="I62" s="116" t="s">
        <v>35</v>
      </c>
      <c r="J62" s="116" t="s">
        <v>359</v>
      </c>
      <c r="K62" s="116" t="s">
        <v>974</v>
      </c>
      <c r="L62" s="116" t="s">
        <v>35</v>
      </c>
      <c r="M62" s="116" t="s">
        <v>147</v>
      </c>
      <c r="N62" s="223" t="s">
        <v>975</v>
      </c>
      <c r="O62" s="228" t="s">
        <v>148</v>
      </c>
      <c r="P62" s="22" t="s">
        <v>148</v>
      </c>
      <c r="Q62" s="116" t="s">
        <v>148</v>
      </c>
      <c r="R62" s="394" t="s">
        <v>976</v>
      </c>
      <c r="S62" s="116" t="s">
        <v>977</v>
      </c>
      <c r="T62" s="345"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3"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8">
        <v>5</v>
      </c>
      <c r="CG62" s="116">
        <v>5</v>
      </c>
      <c r="CH62" s="116"/>
      <c r="CI62" s="116" t="s">
        <v>535</v>
      </c>
    </row>
    <row r="63" spans="1:100" ht="24.95" customHeight="1">
      <c r="A63" s="116">
        <v>65</v>
      </c>
      <c r="B63" s="116" t="s">
        <v>986</v>
      </c>
      <c r="C63" s="116" t="s">
        <v>987</v>
      </c>
      <c r="D63" s="116" t="s">
        <v>988</v>
      </c>
      <c r="E63" s="116" t="s">
        <v>989</v>
      </c>
      <c r="F63" s="116" t="s">
        <v>24</v>
      </c>
      <c r="G63" s="116">
        <v>3</v>
      </c>
      <c r="H63" s="116" t="s">
        <v>50</v>
      </c>
      <c r="I63" s="116" t="s">
        <v>28</v>
      </c>
      <c r="J63" s="116" t="s">
        <v>599</v>
      </c>
      <c r="K63" s="116"/>
      <c r="L63" s="116" t="s">
        <v>28</v>
      </c>
      <c r="M63" s="116" t="s">
        <v>147</v>
      </c>
      <c r="N63" s="223"/>
      <c r="O63" s="228" t="s">
        <v>148</v>
      </c>
      <c r="P63" s="22" t="s">
        <v>148</v>
      </c>
      <c r="Q63" s="116" t="s">
        <v>148</v>
      </c>
      <c r="R63" s="116" t="s">
        <v>990</v>
      </c>
      <c r="S63" s="116" t="s">
        <v>991</v>
      </c>
      <c r="T63" s="345"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5"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8">
        <v>3</v>
      </c>
      <c r="CG63" s="116">
        <v>3</v>
      </c>
      <c r="CH63" s="116"/>
      <c r="CI63" s="116" t="s">
        <v>806</v>
      </c>
    </row>
    <row r="64" spans="1:100" ht="24.95" customHeight="1">
      <c r="A64" s="116">
        <v>66</v>
      </c>
      <c r="B64" s="116" t="s">
        <v>1002</v>
      </c>
      <c r="C64" s="116" t="s">
        <v>1003</v>
      </c>
      <c r="D64" s="116" t="s">
        <v>20</v>
      </c>
      <c r="E64" s="116" t="s">
        <v>1004</v>
      </c>
      <c r="F64" s="116" t="s">
        <v>24</v>
      </c>
      <c r="G64" s="116">
        <v>3</v>
      </c>
      <c r="H64" s="116" t="s">
        <v>55</v>
      </c>
      <c r="I64" s="116" t="s">
        <v>37</v>
      </c>
      <c r="J64" s="116" t="s">
        <v>1005</v>
      </c>
      <c r="K64" s="116" t="s">
        <v>1006</v>
      </c>
      <c r="L64" s="116" t="s">
        <v>37</v>
      </c>
      <c r="M64" s="116" t="s">
        <v>147</v>
      </c>
      <c r="N64" s="223" t="s">
        <v>1007</v>
      </c>
      <c r="O64" s="228" t="s">
        <v>148</v>
      </c>
      <c r="P64" s="22" t="s">
        <v>148</v>
      </c>
      <c r="Q64" s="116" t="s">
        <v>148</v>
      </c>
      <c r="R64" s="116" t="s">
        <v>1008</v>
      </c>
      <c r="S64" s="116" t="s">
        <v>1009</v>
      </c>
      <c r="T64" s="345"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3"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8">
        <v>2</v>
      </c>
      <c r="CG64" s="116">
        <v>2</v>
      </c>
      <c r="CH64" s="116" t="s">
        <v>1017</v>
      </c>
      <c r="CI64" s="116" t="s">
        <v>535</v>
      </c>
    </row>
    <row r="65" spans="1:87" ht="24.95" customHeight="1">
      <c r="A65" s="116">
        <v>67</v>
      </c>
      <c r="B65" s="116" t="s">
        <v>1018</v>
      </c>
      <c r="C65" s="116" t="s">
        <v>1019</v>
      </c>
      <c r="D65" s="116" t="s">
        <v>1020</v>
      </c>
      <c r="E65" s="116" t="s">
        <v>1021</v>
      </c>
      <c r="F65" s="116" t="s">
        <v>24</v>
      </c>
      <c r="G65" s="116">
        <v>3</v>
      </c>
      <c r="H65" s="116" t="s">
        <v>48</v>
      </c>
      <c r="I65" s="116" t="s">
        <v>33</v>
      </c>
      <c r="J65" s="116" t="s">
        <v>1022</v>
      </c>
      <c r="K65" s="116" t="s">
        <v>1023</v>
      </c>
      <c r="L65" s="116" t="s">
        <v>33</v>
      </c>
      <c r="M65" s="116" t="s">
        <v>147</v>
      </c>
      <c r="N65" s="116" t="s">
        <v>1024</v>
      </c>
      <c r="O65" s="225"/>
      <c r="P65" s="226" t="s">
        <v>148</v>
      </c>
      <c r="Q65" s="116"/>
      <c r="R65" s="116" t="s">
        <v>1025</v>
      </c>
      <c r="S65" s="116" t="s">
        <v>1026</v>
      </c>
      <c r="T65" s="345"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8" t="s">
        <v>165</v>
      </c>
      <c r="CG65" s="116" t="s">
        <v>165</v>
      </c>
      <c r="CH65" s="116"/>
      <c r="CI65" s="116" t="s">
        <v>806</v>
      </c>
    </row>
    <row r="66" spans="1:87" ht="24.95" customHeight="1">
      <c r="A66" s="116">
        <v>68</v>
      </c>
      <c r="B66" s="116" t="s">
        <v>1034</v>
      </c>
      <c r="C66" s="116" t="s">
        <v>1035</v>
      </c>
      <c r="D66" s="116"/>
      <c r="E66" s="116" t="s">
        <v>1036</v>
      </c>
      <c r="F66" s="116" t="s">
        <v>23</v>
      </c>
      <c r="G66" s="116">
        <v>3</v>
      </c>
      <c r="H66" s="116" t="s">
        <v>49</v>
      </c>
      <c r="I66" s="116" t="s">
        <v>42</v>
      </c>
      <c r="J66" s="116" t="s">
        <v>599</v>
      </c>
      <c r="K66" s="116" t="s">
        <v>599</v>
      </c>
      <c r="L66" s="116" t="s">
        <v>40</v>
      </c>
      <c r="M66" s="116" t="s">
        <v>147</v>
      </c>
      <c r="N66" s="231" t="s">
        <v>1037</v>
      </c>
      <c r="O66" s="228"/>
      <c r="P66" s="22" t="s">
        <v>148</v>
      </c>
      <c r="Q66" s="116" t="s">
        <v>148</v>
      </c>
      <c r="R66" s="126" t="s">
        <v>1038</v>
      </c>
      <c r="S66" s="116" t="s">
        <v>1039</v>
      </c>
      <c r="T66" s="345"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11"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8">
        <v>1</v>
      </c>
      <c r="CG66" s="116">
        <v>3</v>
      </c>
      <c r="CH66" s="116"/>
      <c r="CI66" s="116" t="s">
        <v>806</v>
      </c>
    </row>
    <row r="67" spans="1:87" ht="24.95" customHeight="1">
      <c r="A67" s="91">
        <v>70</v>
      </c>
      <c r="B67" s="91" t="s">
        <v>1046</v>
      </c>
      <c r="C67" s="91" t="s">
        <v>1047</v>
      </c>
      <c r="D67" s="91"/>
      <c r="E67" s="91" t="s">
        <v>1048</v>
      </c>
      <c r="F67" s="91" t="s">
        <v>23</v>
      </c>
      <c r="G67" s="91">
        <v>3</v>
      </c>
      <c r="H67" s="91" t="s">
        <v>54</v>
      </c>
      <c r="I67" s="91" t="s">
        <v>41</v>
      </c>
      <c r="J67" s="91"/>
      <c r="K67" s="91"/>
      <c r="L67" s="91" t="s">
        <v>41</v>
      </c>
      <c r="M67" s="91" t="s">
        <v>160</v>
      </c>
      <c r="N67" s="91" t="s">
        <v>165</v>
      </c>
      <c r="O67" s="91" t="s">
        <v>165</v>
      </c>
      <c r="P67" s="91" t="s">
        <v>165</v>
      </c>
      <c r="Q67" s="91" t="s">
        <v>165</v>
      </c>
      <c r="R67" s="91"/>
      <c r="S67" s="91"/>
      <c r="T67" s="344"/>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6"/>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customHeight="1">
      <c r="A68" s="129">
        <v>71</v>
      </c>
      <c r="B68" s="129" t="s">
        <v>1049</v>
      </c>
      <c r="C68" s="129" t="s">
        <v>1050</v>
      </c>
      <c r="D68" s="129" t="s">
        <v>616</v>
      </c>
      <c r="E68" s="129" t="s">
        <v>1051</v>
      </c>
      <c r="F68" s="129" t="s">
        <v>23</v>
      </c>
      <c r="G68" s="129">
        <v>4</v>
      </c>
      <c r="H68" s="129" t="s">
        <v>50</v>
      </c>
      <c r="I68" s="129" t="s">
        <v>28</v>
      </c>
      <c r="J68" s="129" t="s">
        <v>1052</v>
      </c>
      <c r="K68" s="129" t="s">
        <v>1053</v>
      </c>
      <c r="L68" s="129" t="s">
        <v>38</v>
      </c>
      <c r="M68" s="129" t="s">
        <v>160</v>
      </c>
      <c r="N68" s="232" t="s">
        <v>1054</v>
      </c>
      <c r="O68" s="48" t="s">
        <v>148</v>
      </c>
      <c r="P68" s="48" t="s">
        <v>148</v>
      </c>
      <c r="Q68" s="129"/>
      <c r="R68" s="129" t="s">
        <v>1055</v>
      </c>
      <c r="S68" s="130" t="s">
        <v>1056</v>
      </c>
      <c r="T68" s="347"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6"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9">
        <v>2</v>
      </c>
      <c r="CG68" s="136">
        <v>3</v>
      </c>
      <c r="CH68" s="136">
        <v>2</v>
      </c>
      <c r="CI68" s="136" t="s">
        <v>497</v>
      </c>
    </row>
    <row r="69" spans="1:87" ht="24.95" customHeight="1">
      <c r="A69" s="136">
        <v>72</v>
      </c>
      <c r="B69" s="136" t="s">
        <v>1064</v>
      </c>
      <c r="C69" s="136" t="s">
        <v>1065</v>
      </c>
      <c r="D69" s="136" t="s">
        <v>1066</v>
      </c>
      <c r="E69" s="136" t="s">
        <v>1067</v>
      </c>
      <c r="F69" s="136" t="s">
        <v>23</v>
      </c>
      <c r="G69" s="136">
        <v>4</v>
      </c>
      <c r="H69" s="129" t="s">
        <v>54</v>
      </c>
      <c r="I69" s="129" t="s">
        <v>41</v>
      </c>
      <c r="J69" s="129" t="s">
        <v>1068</v>
      </c>
      <c r="K69" s="129" t="s">
        <v>1069</v>
      </c>
      <c r="L69" s="129" t="s">
        <v>41</v>
      </c>
      <c r="M69" s="129" t="s">
        <v>147</v>
      </c>
      <c r="N69" s="136">
        <v>769258</v>
      </c>
      <c r="O69" s="236" t="s">
        <v>148</v>
      </c>
      <c r="P69" s="237" t="s">
        <v>148</v>
      </c>
      <c r="Q69" s="136" t="s">
        <v>148</v>
      </c>
      <c r="R69" s="136" t="s">
        <v>1070</v>
      </c>
      <c r="S69" s="136" t="s">
        <v>1071</v>
      </c>
      <c r="T69" s="348"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80">
        <v>1</v>
      </c>
      <c r="CG69" s="136" t="s">
        <v>165</v>
      </c>
      <c r="CH69" s="136"/>
      <c r="CI69" s="136" t="s">
        <v>806</v>
      </c>
    </row>
    <row r="70" spans="1:87" ht="24.95" customHeight="1">
      <c r="A70" s="136">
        <v>73</v>
      </c>
      <c r="B70" s="136" t="s">
        <v>1078</v>
      </c>
      <c r="C70" s="136" t="s">
        <v>1079</v>
      </c>
      <c r="D70" s="136" t="s">
        <v>20</v>
      </c>
      <c r="E70" s="136" t="s">
        <v>1080</v>
      </c>
      <c r="F70" s="136" t="s">
        <v>23</v>
      </c>
      <c r="G70" s="136">
        <v>4</v>
      </c>
      <c r="H70" s="129" t="s">
        <v>56</v>
      </c>
      <c r="I70" s="129" t="s">
        <v>31</v>
      </c>
      <c r="J70" s="129" t="s">
        <v>599</v>
      </c>
      <c r="K70" s="129" t="s">
        <v>1081</v>
      </c>
      <c r="L70" s="129" t="s">
        <v>31</v>
      </c>
      <c r="M70" s="129" t="s">
        <v>147</v>
      </c>
      <c r="N70" s="195" t="s">
        <v>1082</v>
      </c>
      <c r="O70" s="239" t="s">
        <v>148</v>
      </c>
      <c r="P70" s="25" t="s">
        <v>148</v>
      </c>
      <c r="Q70" s="136" t="s">
        <v>148</v>
      </c>
      <c r="R70" s="136" t="s">
        <v>1083</v>
      </c>
      <c r="S70" s="145" t="s">
        <v>1084</v>
      </c>
      <c r="T70" s="348"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7"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80">
        <v>3</v>
      </c>
      <c r="CG70" s="136">
        <v>4</v>
      </c>
      <c r="CH70" s="136"/>
      <c r="CI70" s="136" t="s">
        <v>806</v>
      </c>
    </row>
    <row r="71" spans="1:87" ht="24.95" customHeight="1">
      <c r="A71" s="136">
        <v>74</v>
      </c>
      <c r="B71" s="136" t="s">
        <v>1091</v>
      </c>
      <c r="C71" s="136" t="s">
        <v>1092</v>
      </c>
      <c r="D71" s="136" t="s">
        <v>1093</v>
      </c>
      <c r="E71" s="136" t="s">
        <v>1094</v>
      </c>
      <c r="F71" s="136" t="s">
        <v>24</v>
      </c>
      <c r="G71" s="136">
        <v>4</v>
      </c>
      <c r="H71" s="129" t="s">
        <v>50</v>
      </c>
      <c r="I71" s="129" t="s">
        <v>35</v>
      </c>
      <c r="J71" s="129" t="s">
        <v>1095</v>
      </c>
      <c r="K71" s="129" t="s">
        <v>1096</v>
      </c>
      <c r="L71" s="129" t="s">
        <v>35</v>
      </c>
      <c r="M71" s="129" t="s">
        <v>147</v>
      </c>
      <c r="N71" s="195" t="s">
        <v>1097</v>
      </c>
      <c r="O71" s="239" t="s">
        <v>148</v>
      </c>
      <c r="P71" s="25" t="s">
        <v>148</v>
      </c>
      <c r="Q71" s="136" t="s">
        <v>148</v>
      </c>
      <c r="R71" s="136" t="s">
        <v>1098</v>
      </c>
      <c r="S71" s="136" t="s">
        <v>1099</v>
      </c>
      <c r="T71" s="348"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7"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80">
        <v>3</v>
      </c>
      <c r="CG71" s="136">
        <v>3</v>
      </c>
      <c r="CH71" s="136"/>
      <c r="CI71" s="136" t="s">
        <v>806</v>
      </c>
    </row>
    <row r="72" spans="1:87" ht="24.95" customHeight="1">
      <c r="A72" s="136">
        <v>75</v>
      </c>
      <c r="B72" s="136" t="s">
        <v>1108</v>
      </c>
      <c r="C72" s="136" t="s">
        <v>1109</v>
      </c>
      <c r="D72" s="136" t="s">
        <v>1110</v>
      </c>
      <c r="E72" s="136" t="s">
        <v>1111</v>
      </c>
      <c r="F72" s="136" t="s">
        <v>23</v>
      </c>
      <c r="G72" s="136">
        <v>4</v>
      </c>
      <c r="H72" s="129" t="s">
        <v>50</v>
      </c>
      <c r="I72" s="129" t="s">
        <v>28</v>
      </c>
      <c r="J72" s="129" t="s">
        <v>1112</v>
      </c>
      <c r="K72" s="129" t="s">
        <v>146</v>
      </c>
      <c r="L72" s="129" t="s">
        <v>28</v>
      </c>
      <c r="M72" s="129" t="s">
        <v>147</v>
      </c>
      <c r="N72" s="136">
        <v>65466</v>
      </c>
      <c r="O72" s="236" t="s">
        <v>148</v>
      </c>
      <c r="P72" s="237" t="s">
        <v>148</v>
      </c>
      <c r="Q72" s="136" t="s">
        <v>148</v>
      </c>
      <c r="R72" s="393" t="s">
        <v>1113</v>
      </c>
      <c r="S72" s="136" t="s">
        <v>1114</v>
      </c>
      <c r="T72" s="348"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80">
        <v>2</v>
      </c>
      <c r="CG72" s="136">
        <v>2</v>
      </c>
      <c r="CH72" s="136"/>
      <c r="CI72" s="136" t="s">
        <v>535</v>
      </c>
    </row>
    <row r="73" spans="1:87" ht="24.95" customHeight="1">
      <c r="A73" s="136">
        <v>76</v>
      </c>
      <c r="B73" s="136" t="s">
        <v>1122</v>
      </c>
      <c r="C73" s="136" t="s">
        <v>1123</v>
      </c>
      <c r="D73" s="136" t="s">
        <v>20</v>
      </c>
      <c r="E73" s="136" t="s">
        <v>1124</v>
      </c>
      <c r="F73" s="136" t="s">
        <v>23</v>
      </c>
      <c r="G73" s="136">
        <v>4</v>
      </c>
      <c r="H73" s="129" t="s">
        <v>56</v>
      </c>
      <c r="I73" s="129" t="s">
        <v>31</v>
      </c>
      <c r="J73" s="129" t="s">
        <v>1125</v>
      </c>
      <c r="K73" s="129" t="s">
        <v>1126</v>
      </c>
      <c r="L73" s="129" t="s">
        <v>41</v>
      </c>
      <c r="M73" s="129" t="s">
        <v>160</v>
      </c>
      <c r="N73" s="136">
        <v>1018550</v>
      </c>
      <c r="O73" s="236" t="s">
        <v>148</v>
      </c>
      <c r="P73" s="237" t="s">
        <v>148</v>
      </c>
      <c r="Q73" s="136" t="s">
        <v>148</v>
      </c>
      <c r="R73" s="136" t="s">
        <v>1127</v>
      </c>
      <c r="S73" s="136" t="s">
        <v>1128</v>
      </c>
      <c r="T73" s="348"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80">
        <v>1</v>
      </c>
      <c r="CG73" s="136">
        <v>2</v>
      </c>
      <c r="CH73" s="136"/>
      <c r="CI73" s="136" t="s">
        <v>806</v>
      </c>
    </row>
    <row r="74" spans="1:87" ht="24.95" customHeight="1">
      <c r="A74" s="136">
        <v>77</v>
      </c>
      <c r="B74" s="136" t="s">
        <v>1137</v>
      </c>
      <c r="C74" s="136" t="s">
        <v>184</v>
      </c>
      <c r="D74" s="136" t="s">
        <v>1138</v>
      </c>
      <c r="E74" s="136" t="s">
        <v>1139</v>
      </c>
      <c r="F74" s="136" t="s">
        <v>24</v>
      </c>
      <c r="G74" s="136">
        <v>4</v>
      </c>
      <c r="H74" s="129" t="s">
        <v>48</v>
      </c>
      <c r="I74" s="129" t="s">
        <v>33</v>
      </c>
      <c r="J74" s="129" t="s">
        <v>1140</v>
      </c>
      <c r="K74" s="129" t="s">
        <v>1141</v>
      </c>
      <c r="L74" s="129" t="s">
        <v>38</v>
      </c>
      <c r="M74" s="129" t="s">
        <v>160</v>
      </c>
      <c r="N74" s="136" t="s">
        <v>1142</v>
      </c>
      <c r="O74" s="236" t="s">
        <v>148</v>
      </c>
      <c r="P74" s="237" t="s">
        <v>148</v>
      </c>
      <c r="Q74" s="237"/>
      <c r="R74" s="136" t="s">
        <v>1143</v>
      </c>
      <c r="S74" s="136" t="s">
        <v>1144</v>
      </c>
      <c r="T74" s="348"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80">
        <v>1</v>
      </c>
      <c r="CG74" s="136">
        <v>2</v>
      </c>
      <c r="CH74" s="136"/>
      <c r="CI74" s="136" t="s">
        <v>806</v>
      </c>
    </row>
    <row r="75" spans="1:87" ht="24.95" customHeight="1">
      <c r="A75" s="136">
        <v>78</v>
      </c>
      <c r="B75" s="136" t="s">
        <v>1154</v>
      </c>
      <c r="C75" s="136" t="s">
        <v>1155</v>
      </c>
      <c r="D75" s="136"/>
      <c r="E75" s="136" t="s">
        <v>1156</v>
      </c>
      <c r="F75" s="136" t="s">
        <v>23</v>
      </c>
      <c r="G75" s="136">
        <v>4</v>
      </c>
      <c r="H75" s="129" t="s">
        <v>54</v>
      </c>
      <c r="I75" s="129" t="s">
        <v>41</v>
      </c>
      <c r="J75" s="129" t="s">
        <v>1157</v>
      </c>
      <c r="K75" s="129" t="s">
        <v>1158</v>
      </c>
      <c r="L75" s="129" t="s">
        <v>41</v>
      </c>
      <c r="M75" s="129" t="s">
        <v>147</v>
      </c>
      <c r="N75" s="136"/>
      <c r="O75" s="236" t="s">
        <v>148</v>
      </c>
      <c r="P75" s="236" t="s">
        <v>148</v>
      </c>
      <c r="Q75" s="136" t="s">
        <v>148</v>
      </c>
      <c r="R75" s="136" t="s">
        <v>1159</v>
      </c>
      <c r="S75" s="136" t="s">
        <v>1160</v>
      </c>
      <c r="T75" s="349">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80">
        <v>0</v>
      </c>
      <c r="CG75" s="136">
        <v>1</v>
      </c>
      <c r="CH75" s="136"/>
      <c r="CI75" s="136" t="s">
        <v>806</v>
      </c>
    </row>
    <row r="76" spans="1:87" ht="24.95" customHeight="1">
      <c r="A76" s="136">
        <v>79</v>
      </c>
      <c r="B76" s="136" t="s">
        <v>1167</v>
      </c>
      <c r="C76" s="136" t="s">
        <v>1168</v>
      </c>
      <c r="D76" s="136" t="s">
        <v>1169</v>
      </c>
      <c r="E76" s="136" t="s">
        <v>1170</v>
      </c>
      <c r="F76" s="136" t="s">
        <v>24</v>
      </c>
      <c r="G76" s="136">
        <v>4</v>
      </c>
      <c r="H76" s="129" t="s">
        <v>48</v>
      </c>
      <c r="I76" s="129" t="s">
        <v>38</v>
      </c>
      <c r="J76" s="129" t="s">
        <v>1171</v>
      </c>
      <c r="K76" s="129" t="s">
        <v>1172</v>
      </c>
      <c r="L76" s="129" t="s">
        <v>38</v>
      </c>
      <c r="M76" s="129" t="s">
        <v>147</v>
      </c>
      <c r="N76" s="136" t="s">
        <v>1173</v>
      </c>
      <c r="O76" s="236" t="s">
        <v>148</v>
      </c>
      <c r="P76" s="237" t="s">
        <v>852</v>
      </c>
      <c r="Q76" s="136" t="s">
        <v>852</v>
      </c>
      <c r="R76" s="136" t="s">
        <v>1174</v>
      </c>
      <c r="S76" s="136" t="s">
        <v>1175</v>
      </c>
      <c r="T76" s="348"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80">
        <v>1</v>
      </c>
      <c r="CG76" s="136">
        <v>3</v>
      </c>
      <c r="CH76" s="136"/>
      <c r="CI76" s="136" t="s">
        <v>806</v>
      </c>
    </row>
    <row r="77" spans="1:87" ht="24.95" customHeight="1">
      <c r="A77" s="136">
        <v>80</v>
      </c>
      <c r="B77" s="136" t="s">
        <v>1183</v>
      </c>
      <c r="C77" s="136" t="s">
        <v>1184</v>
      </c>
      <c r="D77" s="136" t="s">
        <v>1185</v>
      </c>
      <c r="E77" s="136" t="s">
        <v>1186</v>
      </c>
      <c r="F77" s="136" t="s">
        <v>24</v>
      </c>
      <c r="G77" s="136">
        <v>4</v>
      </c>
      <c r="H77" s="129" t="s">
        <v>49</v>
      </c>
      <c r="I77" s="129" t="s">
        <v>42</v>
      </c>
      <c r="J77" s="129" t="s">
        <v>1187</v>
      </c>
      <c r="K77" s="129" t="s">
        <v>1188</v>
      </c>
      <c r="L77" s="129" t="s">
        <v>40</v>
      </c>
      <c r="M77" s="129" t="s">
        <v>147</v>
      </c>
      <c r="N77" s="138" t="s">
        <v>1189</v>
      </c>
      <c r="O77" s="236" t="s">
        <v>319</v>
      </c>
      <c r="P77" s="237" t="s">
        <v>148</v>
      </c>
      <c r="Q77" s="136" t="s">
        <v>148</v>
      </c>
      <c r="R77" s="136" t="s">
        <v>1190</v>
      </c>
      <c r="S77" s="136" t="s">
        <v>1191</v>
      </c>
      <c r="T77" s="348"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80">
        <v>0</v>
      </c>
      <c r="CG77" s="136">
        <v>1</v>
      </c>
      <c r="CH77" s="136"/>
      <c r="CI77" s="136" t="s">
        <v>497</v>
      </c>
    </row>
    <row r="78" spans="1:87" ht="24.95" customHeight="1">
      <c r="A78" s="136">
        <v>81</v>
      </c>
      <c r="B78" s="136" t="s">
        <v>1202</v>
      </c>
      <c r="C78" s="136" t="s">
        <v>1203</v>
      </c>
      <c r="D78" s="136" t="s">
        <v>1204</v>
      </c>
      <c r="E78" s="136" t="s">
        <v>1205</v>
      </c>
      <c r="F78" s="136" t="s">
        <v>24</v>
      </c>
      <c r="G78" s="136">
        <v>4</v>
      </c>
      <c r="H78" s="129" t="s">
        <v>56</v>
      </c>
      <c r="I78" s="129" t="s">
        <v>31</v>
      </c>
      <c r="J78" s="129" t="s">
        <v>1206</v>
      </c>
      <c r="K78" s="129" t="s">
        <v>1206</v>
      </c>
      <c r="L78" s="129" t="s">
        <v>41</v>
      </c>
      <c r="M78" s="129" t="s">
        <v>160</v>
      </c>
      <c r="N78" s="136">
        <v>1060654</v>
      </c>
      <c r="O78" s="236" t="s">
        <v>148</v>
      </c>
      <c r="P78" s="237" t="s">
        <v>148</v>
      </c>
      <c r="Q78" s="136" t="s">
        <v>148</v>
      </c>
      <c r="R78" s="136" t="s">
        <v>1207</v>
      </c>
      <c r="S78" s="145" t="s">
        <v>1208</v>
      </c>
      <c r="T78" s="348"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80" t="s">
        <v>165</v>
      </c>
      <c r="CG78" s="136" t="s">
        <v>165</v>
      </c>
      <c r="CH78" s="136"/>
      <c r="CI78" s="136" t="s">
        <v>535</v>
      </c>
    </row>
    <row r="79" spans="1:87" ht="24.95" customHeight="1">
      <c r="A79" s="136">
        <v>82</v>
      </c>
      <c r="B79" s="136" t="s">
        <v>1216</v>
      </c>
      <c r="C79" s="136" t="s">
        <v>1217</v>
      </c>
      <c r="D79" s="136" t="s">
        <v>1218</v>
      </c>
      <c r="E79" s="136" t="s">
        <v>1219</v>
      </c>
      <c r="F79" s="136" t="s">
        <v>24</v>
      </c>
      <c r="G79" s="136">
        <v>4</v>
      </c>
      <c r="H79" s="129" t="s">
        <v>48</v>
      </c>
      <c r="I79" s="129" t="s">
        <v>33</v>
      </c>
      <c r="J79" s="129" t="s">
        <v>1220</v>
      </c>
      <c r="K79" s="129" t="s">
        <v>1221</v>
      </c>
      <c r="L79" s="129" t="s">
        <v>38</v>
      </c>
      <c r="M79" s="129" t="s">
        <v>160</v>
      </c>
      <c r="N79" s="195" t="s">
        <v>1222</v>
      </c>
      <c r="O79" s="239" t="s">
        <v>148</v>
      </c>
      <c r="P79" s="25" t="s">
        <v>148</v>
      </c>
      <c r="Q79" s="136" t="s">
        <v>148</v>
      </c>
      <c r="R79" s="393" t="s">
        <v>1223</v>
      </c>
      <c r="S79" s="136" t="s">
        <v>1224</v>
      </c>
      <c r="T79" s="349"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7"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80">
        <v>2</v>
      </c>
      <c r="CG79" s="136">
        <v>3</v>
      </c>
      <c r="CH79" s="136"/>
      <c r="CI79" s="136" t="s">
        <v>535</v>
      </c>
    </row>
    <row r="80" spans="1:87" ht="24.95" customHeight="1">
      <c r="A80" s="136">
        <v>83</v>
      </c>
      <c r="B80" s="136" t="s">
        <v>1234</v>
      </c>
      <c r="C80" s="136" t="s">
        <v>1235</v>
      </c>
      <c r="D80" s="136"/>
      <c r="E80" s="136" t="s">
        <v>1236</v>
      </c>
      <c r="F80" s="136" t="s">
        <v>23</v>
      </c>
      <c r="G80" s="136">
        <v>4</v>
      </c>
      <c r="H80" s="129" t="s">
        <v>56</v>
      </c>
      <c r="I80" s="129" t="s">
        <v>31</v>
      </c>
      <c r="J80" s="129" t="s">
        <v>599</v>
      </c>
      <c r="K80" s="129" t="s">
        <v>1237</v>
      </c>
      <c r="L80" s="129" t="s">
        <v>31</v>
      </c>
      <c r="M80" s="129" t="s">
        <v>147</v>
      </c>
      <c r="N80" s="195"/>
      <c r="O80" s="239" t="s">
        <v>148</v>
      </c>
      <c r="P80" s="25" t="s">
        <v>148</v>
      </c>
      <c r="Q80" s="136" t="s">
        <v>148</v>
      </c>
      <c r="R80" s="393" t="s">
        <v>1238</v>
      </c>
      <c r="S80" s="149" t="s">
        <v>1239</v>
      </c>
      <c r="T80" s="349"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7"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customHeight="1">
      <c r="A81" s="136">
        <v>84</v>
      </c>
      <c r="B81" s="136" t="s">
        <v>1248</v>
      </c>
      <c r="C81" s="136" t="s">
        <v>1249</v>
      </c>
      <c r="D81" s="136" t="s">
        <v>1250</v>
      </c>
      <c r="E81" s="136" t="s">
        <v>1251</v>
      </c>
      <c r="F81" s="136" t="s">
        <v>24</v>
      </c>
      <c r="G81" s="136">
        <v>4</v>
      </c>
      <c r="H81" s="129" t="s">
        <v>55</v>
      </c>
      <c r="I81" s="129" t="s">
        <v>36</v>
      </c>
      <c r="J81" s="129" t="s">
        <v>1252</v>
      </c>
      <c r="K81" s="129" t="s">
        <v>1253</v>
      </c>
      <c r="L81" s="129" t="s">
        <v>41</v>
      </c>
      <c r="M81" s="129" t="s">
        <v>160</v>
      </c>
      <c r="N81" s="136">
        <v>1197596</v>
      </c>
      <c r="O81" s="236"/>
      <c r="P81" s="237" t="s">
        <v>148</v>
      </c>
      <c r="Q81" s="136" t="s">
        <v>148</v>
      </c>
      <c r="R81" s="136" t="s">
        <v>1254</v>
      </c>
      <c r="S81" s="145" t="s">
        <v>1255</v>
      </c>
      <c r="T81" s="349"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80">
        <v>1</v>
      </c>
      <c r="CG81" s="136">
        <v>2</v>
      </c>
      <c r="CH81" s="136"/>
      <c r="CI81" s="136" t="s">
        <v>806</v>
      </c>
    </row>
    <row r="82" spans="1:87" ht="24.95" customHeight="1">
      <c r="A82" s="136">
        <v>85</v>
      </c>
      <c r="B82" s="136" t="s">
        <v>1266</v>
      </c>
      <c r="C82" s="136" t="s">
        <v>1267</v>
      </c>
      <c r="D82" s="136" t="s">
        <v>903</v>
      </c>
      <c r="E82" s="136" t="s">
        <v>1268</v>
      </c>
      <c r="F82" s="136" t="s">
        <v>23</v>
      </c>
      <c r="G82" s="136">
        <v>4</v>
      </c>
      <c r="H82" s="129" t="s">
        <v>48</v>
      </c>
      <c r="I82" s="129" t="s">
        <v>33</v>
      </c>
      <c r="J82" s="129" t="s">
        <v>1269</v>
      </c>
      <c r="K82" s="129" t="s">
        <v>1269</v>
      </c>
      <c r="L82" s="129" t="s">
        <v>38</v>
      </c>
      <c r="M82" s="129" t="s">
        <v>160</v>
      </c>
      <c r="N82" s="195" t="s">
        <v>1270</v>
      </c>
      <c r="O82" s="239" t="s">
        <v>148</v>
      </c>
      <c r="P82" s="25" t="s">
        <v>148</v>
      </c>
      <c r="Q82" s="136" t="s">
        <v>148</v>
      </c>
      <c r="R82" s="136" t="s">
        <v>1271</v>
      </c>
      <c r="S82" s="136" t="s">
        <v>1272</v>
      </c>
      <c r="T82" s="348"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7"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80">
        <v>2</v>
      </c>
      <c r="CG82" s="136">
        <v>2</v>
      </c>
      <c r="CH82" s="136"/>
      <c r="CI82" s="136" t="s">
        <v>806</v>
      </c>
    </row>
    <row r="83" spans="1:87" ht="24.95" customHeight="1">
      <c r="A83" s="136">
        <v>86</v>
      </c>
      <c r="B83" s="136" t="s">
        <v>1282</v>
      </c>
      <c r="C83" s="136" t="s">
        <v>1283</v>
      </c>
      <c r="D83" s="136" t="s">
        <v>751</v>
      </c>
      <c r="E83" s="136" t="s">
        <v>1284</v>
      </c>
      <c r="F83" s="136" t="s">
        <v>24</v>
      </c>
      <c r="G83" s="136">
        <v>4</v>
      </c>
      <c r="H83" s="129" t="s">
        <v>48</v>
      </c>
      <c r="I83" s="129" t="s">
        <v>33</v>
      </c>
      <c r="J83" s="129" t="s">
        <v>599</v>
      </c>
      <c r="K83" s="129" t="s">
        <v>1285</v>
      </c>
      <c r="L83" s="129" t="s">
        <v>41</v>
      </c>
      <c r="M83" s="129" t="s">
        <v>160</v>
      </c>
      <c r="N83" s="195">
        <v>1061559</v>
      </c>
      <c r="O83" s="239"/>
      <c r="P83" s="25" t="s">
        <v>148</v>
      </c>
      <c r="Q83" s="136"/>
      <c r="R83" s="136" t="s">
        <v>1286</v>
      </c>
      <c r="S83" s="136" t="s">
        <v>1287</v>
      </c>
      <c r="T83" s="348"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80" t="s">
        <v>165</v>
      </c>
      <c r="CG83" s="136" t="s">
        <v>165</v>
      </c>
      <c r="CH83" s="136"/>
      <c r="CI83" s="136" t="s">
        <v>1293</v>
      </c>
    </row>
    <row r="84" spans="1:87" ht="24.95" customHeight="1">
      <c r="A84" s="136">
        <v>87</v>
      </c>
      <c r="B84" s="136" t="s">
        <v>1294</v>
      </c>
      <c r="C84" s="136" t="s">
        <v>1295</v>
      </c>
      <c r="D84" s="136" t="s">
        <v>1296</v>
      </c>
      <c r="E84" s="136" t="s">
        <v>1297</v>
      </c>
      <c r="F84" s="136" t="s">
        <v>24</v>
      </c>
      <c r="G84" s="136">
        <v>4</v>
      </c>
      <c r="H84" s="129" t="s">
        <v>51</v>
      </c>
      <c r="I84" s="129" t="s">
        <v>39</v>
      </c>
      <c r="J84" s="129" t="s">
        <v>599</v>
      </c>
      <c r="K84" s="129" t="s">
        <v>1298</v>
      </c>
      <c r="L84" s="129" t="s">
        <v>31</v>
      </c>
      <c r="M84" s="129" t="s">
        <v>160</v>
      </c>
      <c r="N84" s="195" t="s">
        <v>1299</v>
      </c>
      <c r="O84" s="136" t="s">
        <v>852</v>
      </c>
      <c r="P84" s="25" t="s">
        <v>1300</v>
      </c>
      <c r="Q84" s="25" t="s">
        <v>1300</v>
      </c>
      <c r="R84" s="145" t="s">
        <v>1301</v>
      </c>
      <c r="S84" s="136" t="s">
        <v>1302</v>
      </c>
      <c r="T84" s="349"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80">
        <v>2</v>
      </c>
      <c r="CG84" s="136">
        <v>2</v>
      </c>
      <c r="CH84" s="136"/>
      <c r="CI84" s="136" t="s">
        <v>1311</v>
      </c>
    </row>
    <row r="85" spans="1:87" ht="24.95" customHeight="1">
      <c r="A85" s="91">
        <v>88</v>
      </c>
      <c r="B85" s="91" t="s">
        <v>1312</v>
      </c>
      <c r="C85" s="91" t="s">
        <v>1313</v>
      </c>
      <c r="D85" s="91" t="s">
        <v>1314</v>
      </c>
      <c r="E85" s="91" t="s">
        <v>1315</v>
      </c>
      <c r="F85" s="91" t="s">
        <v>23</v>
      </c>
      <c r="G85" s="91">
        <v>4</v>
      </c>
      <c r="H85" s="91" t="s">
        <v>49</v>
      </c>
      <c r="I85" s="91" t="s">
        <v>42</v>
      </c>
      <c r="J85" s="91" t="s">
        <v>599</v>
      </c>
      <c r="K85" s="91" t="s">
        <v>1316</v>
      </c>
      <c r="L85" s="91" t="s">
        <v>40</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customHeight="1">
      <c r="A86" s="136">
        <v>89</v>
      </c>
      <c r="B86" s="136" t="s">
        <v>1324</v>
      </c>
      <c r="C86" s="136" t="s">
        <v>1325</v>
      </c>
      <c r="D86" s="136" t="s">
        <v>1326</v>
      </c>
      <c r="E86" s="136" t="s">
        <v>1327</v>
      </c>
      <c r="F86" s="136" t="s">
        <v>23</v>
      </c>
      <c r="G86" s="136">
        <v>4</v>
      </c>
      <c r="H86" s="129" t="s">
        <v>55</v>
      </c>
      <c r="I86" s="129" t="s">
        <v>37</v>
      </c>
      <c r="J86" s="129" t="s">
        <v>1328</v>
      </c>
      <c r="K86" s="129" t="s">
        <v>1329</v>
      </c>
      <c r="L86" s="129" t="s">
        <v>37</v>
      </c>
      <c r="M86" s="129" t="s">
        <v>147</v>
      </c>
      <c r="N86" s="195">
        <v>1034515</v>
      </c>
      <c r="O86" s="25" t="s">
        <v>148</v>
      </c>
      <c r="P86" s="25" t="s">
        <v>148</v>
      </c>
      <c r="Q86" s="136" t="s">
        <v>148</v>
      </c>
      <c r="R86" s="393" t="s">
        <v>1330</v>
      </c>
      <c r="S86" s="136" t="s">
        <v>1331</v>
      </c>
      <c r="T86" s="349"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7"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80">
        <v>1</v>
      </c>
      <c r="CG86" s="136">
        <v>1</v>
      </c>
      <c r="CH86" s="136"/>
      <c r="CI86" s="136" t="s">
        <v>806</v>
      </c>
    </row>
    <row r="87" spans="1:87" ht="24.95" customHeight="1">
      <c r="A87" s="136">
        <v>90</v>
      </c>
      <c r="B87" s="136" t="s">
        <v>1338</v>
      </c>
      <c r="C87" s="136" t="s">
        <v>1339</v>
      </c>
      <c r="D87" s="136" t="s">
        <v>1340</v>
      </c>
      <c r="E87" s="136" t="s">
        <v>1341</v>
      </c>
      <c r="F87" s="136" t="s">
        <v>23</v>
      </c>
      <c r="G87" s="136">
        <v>4</v>
      </c>
      <c r="H87" s="129" t="s">
        <v>48</v>
      </c>
      <c r="I87" s="129" t="s">
        <v>34</v>
      </c>
      <c r="J87" s="129" t="s">
        <v>599</v>
      </c>
      <c r="K87" s="129" t="s">
        <v>1342</v>
      </c>
      <c r="L87" s="129" t="s">
        <v>41</v>
      </c>
      <c r="M87" s="129" t="s">
        <v>160</v>
      </c>
      <c r="N87" s="195" t="s">
        <v>1343</v>
      </c>
      <c r="O87" s="239" t="s">
        <v>148</v>
      </c>
      <c r="P87" s="25" t="s">
        <v>148</v>
      </c>
      <c r="Q87" s="136" t="s">
        <v>148</v>
      </c>
      <c r="R87" s="136" t="s">
        <v>1344</v>
      </c>
      <c r="S87" s="309" t="s">
        <v>1345</v>
      </c>
      <c r="T87" s="348"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7"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80">
        <v>3</v>
      </c>
      <c r="CG87" s="136">
        <v>3</v>
      </c>
      <c r="CH87" s="136"/>
      <c r="CI87" s="136" t="s">
        <v>806</v>
      </c>
    </row>
    <row r="88" spans="1:87" ht="24.95" customHeight="1">
      <c r="A88" s="136">
        <v>91</v>
      </c>
      <c r="B88" s="136" t="s">
        <v>1357</v>
      </c>
      <c r="C88" s="136" t="s">
        <v>1358</v>
      </c>
      <c r="D88" s="136" t="s">
        <v>1359</v>
      </c>
      <c r="E88" s="136" t="s">
        <v>435</v>
      </c>
      <c r="F88" s="136" t="s">
        <v>24</v>
      </c>
      <c r="G88" s="136">
        <v>4</v>
      </c>
      <c r="H88" s="129" t="s">
        <v>50</v>
      </c>
      <c r="I88" s="129" t="s">
        <v>35</v>
      </c>
      <c r="J88" s="129" t="s">
        <v>1360</v>
      </c>
      <c r="K88" s="129" t="s">
        <v>1361</v>
      </c>
      <c r="L88" s="129" t="s">
        <v>35</v>
      </c>
      <c r="M88" s="129" t="s">
        <v>147</v>
      </c>
      <c r="N88" s="195" t="s">
        <v>1362</v>
      </c>
      <c r="O88" s="239" t="s">
        <v>148</v>
      </c>
      <c r="P88" s="25" t="s">
        <v>148</v>
      </c>
      <c r="Q88" s="136" t="s">
        <v>148</v>
      </c>
      <c r="R88" s="136" t="s">
        <v>1363</v>
      </c>
      <c r="S88" s="145" t="s">
        <v>1364</v>
      </c>
      <c r="T88" s="349"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7"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80">
        <v>1</v>
      </c>
      <c r="CG88" s="136">
        <v>1</v>
      </c>
      <c r="CH88" s="136"/>
      <c r="CI88" s="136" t="s">
        <v>806</v>
      </c>
    </row>
    <row r="89" spans="1:87" ht="24.95" customHeight="1">
      <c r="A89" s="136">
        <v>92</v>
      </c>
      <c r="B89" s="136" t="s">
        <v>1371</v>
      </c>
      <c r="C89" s="136" t="s">
        <v>1372</v>
      </c>
      <c r="D89" s="136" t="s">
        <v>20</v>
      </c>
      <c r="E89" s="136" t="s">
        <v>1373</v>
      </c>
      <c r="F89" s="136" t="s">
        <v>23</v>
      </c>
      <c r="G89" s="136">
        <v>4</v>
      </c>
      <c r="H89" s="129" t="s">
        <v>54</v>
      </c>
      <c r="I89" s="129" t="s">
        <v>41</v>
      </c>
      <c r="J89" s="129" t="s">
        <v>1374</v>
      </c>
      <c r="K89" s="129" t="s">
        <v>1375</v>
      </c>
      <c r="L89" s="129" t="s">
        <v>41</v>
      </c>
      <c r="M89" s="129" t="s">
        <v>147</v>
      </c>
      <c r="N89" s="195" t="s">
        <v>1376</v>
      </c>
      <c r="O89" s="239" t="s">
        <v>148</v>
      </c>
      <c r="P89" s="25" t="s">
        <v>148</v>
      </c>
      <c r="Q89" s="136" t="s">
        <v>148</v>
      </c>
      <c r="R89" s="145" t="s">
        <v>1377</v>
      </c>
      <c r="S89" s="136" t="s">
        <v>1378</v>
      </c>
      <c r="T89" s="348"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7"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80">
        <v>1</v>
      </c>
      <c r="CG89" s="136">
        <v>2</v>
      </c>
      <c r="CH89" s="136">
        <v>1</v>
      </c>
      <c r="CI89" s="136" t="s">
        <v>806</v>
      </c>
    </row>
    <row r="90" spans="1:87" ht="24.95" customHeight="1">
      <c r="A90" s="136">
        <v>93</v>
      </c>
      <c r="B90" s="136" t="s">
        <v>1387</v>
      </c>
      <c r="C90" s="136" t="s">
        <v>1388</v>
      </c>
      <c r="D90" s="136" t="s">
        <v>1389</v>
      </c>
      <c r="E90" s="136" t="s">
        <v>1390</v>
      </c>
      <c r="F90" s="136" t="s">
        <v>24</v>
      </c>
      <c r="G90" s="136">
        <v>4</v>
      </c>
      <c r="H90" s="129" t="s">
        <v>48</v>
      </c>
      <c r="I90" s="129" t="s">
        <v>38</v>
      </c>
      <c r="J90" s="129" t="s">
        <v>1391</v>
      </c>
      <c r="K90" s="129" t="s">
        <v>1392</v>
      </c>
      <c r="L90" s="129" t="s">
        <v>38</v>
      </c>
      <c r="M90" s="129" t="s">
        <v>147</v>
      </c>
      <c r="N90" s="136" t="s">
        <v>1393</v>
      </c>
      <c r="O90" s="236" t="s">
        <v>148</v>
      </c>
      <c r="P90" s="237" t="s">
        <v>148</v>
      </c>
      <c r="Q90" s="136" t="s">
        <v>148</v>
      </c>
      <c r="R90" s="136" t="s">
        <v>1394</v>
      </c>
      <c r="S90" s="145" t="s">
        <v>1395</v>
      </c>
      <c r="T90" s="349"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80">
        <v>2</v>
      </c>
      <c r="CG90" s="136">
        <v>3</v>
      </c>
      <c r="CH90" s="136"/>
      <c r="CI90" s="136" t="s">
        <v>806</v>
      </c>
    </row>
    <row r="91" spans="1:87" ht="24.95" customHeight="1">
      <c r="A91" s="136">
        <v>94</v>
      </c>
      <c r="B91" s="136" t="s">
        <v>1401</v>
      </c>
      <c r="C91" s="136" t="s">
        <v>1402</v>
      </c>
      <c r="D91" s="136" t="s">
        <v>1403</v>
      </c>
      <c r="E91" s="136" t="s">
        <v>1404</v>
      </c>
      <c r="F91" s="136" t="s">
        <v>23</v>
      </c>
      <c r="G91" s="136">
        <v>4</v>
      </c>
      <c r="H91" s="129" t="s">
        <v>55</v>
      </c>
      <c r="I91" s="129" t="s">
        <v>37</v>
      </c>
      <c r="J91" s="129" t="s">
        <v>1405</v>
      </c>
      <c r="K91" s="129" t="s">
        <v>1405</v>
      </c>
      <c r="L91" s="129" t="s">
        <v>37</v>
      </c>
      <c r="M91" s="129" t="s">
        <v>147</v>
      </c>
      <c r="N91" s="195" t="s">
        <v>1406</v>
      </c>
      <c r="O91" s="239" t="s">
        <v>148</v>
      </c>
      <c r="P91" s="25" t="s">
        <v>148</v>
      </c>
      <c r="Q91" s="136" t="s">
        <v>148</v>
      </c>
      <c r="R91" s="136" t="s">
        <v>1407</v>
      </c>
      <c r="S91" s="136" t="s">
        <v>1408</v>
      </c>
      <c r="T91" s="348"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8"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80">
        <v>2</v>
      </c>
      <c r="CG91" s="136">
        <v>2</v>
      </c>
      <c r="CH91" s="136"/>
      <c r="CI91" s="136" t="s">
        <v>535</v>
      </c>
    </row>
    <row r="92" spans="1:87" ht="24.95" customHeight="1">
      <c r="A92" s="136">
        <v>95</v>
      </c>
      <c r="B92" s="136" t="s">
        <v>1416</v>
      </c>
      <c r="C92" s="136" t="s">
        <v>421</v>
      </c>
      <c r="D92" s="136" t="s">
        <v>596</v>
      </c>
      <c r="E92" s="136" t="s">
        <v>1417</v>
      </c>
      <c r="F92" s="136" t="s">
        <v>23</v>
      </c>
      <c r="G92" s="136">
        <v>4</v>
      </c>
      <c r="H92" s="129" t="s">
        <v>50</v>
      </c>
      <c r="I92" s="129" t="s">
        <v>35</v>
      </c>
      <c r="J92" s="129" t="s">
        <v>1418</v>
      </c>
      <c r="K92" s="129" t="s">
        <v>1419</v>
      </c>
      <c r="L92" s="129" t="s">
        <v>35</v>
      </c>
      <c r="M92" s="129" t="s">
        <v>147</v>
      </c>
      <c r="N92" s="195"/>
      <c r="O92" s="239" t="s">
        <v>148</v>
      </c>
      <c r="P92" s="25" t="s">
        <v>148</v>
      </c>
      <c r="Q92" s="136" t="s">
        <v>148</v>
      </c>
      <c r="R92" s="393" t="s">
        <v>1420</v>
      </c>
      <c r="S92" s="136" t="s">
        <v>1421</v>
      </c>
      <c r="T92" s="348"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7"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80">
        <v>2</v>
      </c>
      <c r="CG92" s="136">
        <v>3</v>
      </c>
      <c r="CH92" s="136"/>
      <c r="CI92" s="136" t="s">
        <v>1293</v>
      </c>
    </row>
    <row r="93" spans="1:87" ht="24.95" customHeight="1">
      <c r="A93" s="136">
        <v>96</v>
      </c>
      <c r="B93" s="136" t="s">
        <v>1428</v>
      </c>
      <c r="C93" s="136" t="s">
        <v>1429</v>
      </c>
      <c r="D93" s="136" t="s">
        <v>989</v>
      </c>
      <c r="E93" s="136" t="s">
        <v>317</v>
      </c>
      <c r="F93" s="136" t="s">
        <v>23</v>
      </c>
      <c r="G93" s="136">
        <v>4</v>
      </c>
      <c r="H93" s="129" t="s">
        <v>50</v>
      </c>
      <c r="I93" s="129" t="s">
        <v>28</v>
      </c>
      <c r="J93" s="129" t="s">
        <v>599</v>
      </c>
      <c r="K93" s="129" t="s">
        <v>1430</v>
      </c>
      <c r="L93" s="129" t="s">
        <v>41</v>
      </c>
      <c r="M93" s="129" t="s">
        <v>147</v>
      </c>
      <c r="N93" s="136"/>
      <c r="O93" s="236" t="s">
        <v>148</v>
      </c>
      <c r="P93" s="236" t="s">
        <v>237</v>
      </c>
      <c r="Q93" s="136" t="s">
        <v>148</v>
      </c>
      <c r="R93" s="136" t="s">
        <v>1431</v>
      </c>
      <c r="S93" s="145" t="s">
        <v>1432</v>
      </c>
      <c r="T93" s="348"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80">
        <v>3</v>
      </c>
      <c r="CG93" s="136">
        <v>3</v>
      </c>
      <c r="CH93" s="136"/>
      <c r="CI93" s="136" t="s">
        <v>1293</v>
      </c>
    </row>
    <row r="94" spans="1:87" ht="24.95" customHeight="1">
      <c r="A94" s="136">
        <v>97</v>
      </c>
      <c r="B94" s="136" t="s">
        <v>1441</v>
      </c>
      <c r="C94" s="136" t="s">
        <v>1442</v>
      </c>
      <c r="D94" s="136" t="s">
        <v>1443</v>
      </c>
      <c r="E94" s="136" t="s">
        <v>1444</v>
      </c>
      <c r="F94" s="136" t="s">
        <v>24</v>
      </c>
      <c r="G94" s="136">
        <v>4</v>
      </c>
      <c r="H94" s="129" t="s">
        <v>54</v>
      </c>
      <c r="I94" s="129" t="s">
        <v>41</v>
      </c>
      <c r="J94" s="129" t="s">
        <v>599</v>
      </c>
      <c r="K94" s="129" t="s">
        <v>1445</v>
      </c>
      <c r="L94" s="129" t="s">
        <v>41</v>
      </c>
      <c r="M94" s="129" t="s">
        <v>147</v>
      </c>
      <c r="N94" s="195"/>
      <c r="O94" s="239" t="s">
        <v>148</v>
      </c>
      <c r="P94" s="136" t="s">
        <v>148</v>
      </c>
      <c r="Q94" s="136" t="s">
        <v>148</v>
      </c>
      <c r="R94" s="136" t="s">
        <v>1446</v>
      </c>
      <c r="S94" s="136" t="s">
        <v>1447</v>
      </c>
      <c r="T94" s="348"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7"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80">
        <v>1</v>
      </c>
      <c r="CG94" s="136">
        <v>1</v>
      </c>
      <c r="CH94" s="136"/>
      <c r="CI94" s="136" t="s">
        <v>535</v>
      </c>
    </row>
    <row r="95" spans="1:87" ht="24.95" customHeight="1">
      <c r="A95" s="152">
        <v>98</v>
      </c>
      <c r="B95" s="152" t="s">
        <v>1454</v>
      </c>
      <c r="C95" s="152" t="s">
        <v>1455</v>
      </c>
      <c r="D95" s="152"/>
      <c r="E95" s="152" t="s">
        <v>1456</v>
      </c>
      <c r="F95" s="152" t="s">
        <v>23</v>
      </c>
      <c r="G95" s="152">
        <v>5</v>
      </c>
      <c r="H95" s="152" t="s">
        <v>52</v>
      </c>
      <c r="I95" s="152" t="s">
        <v>34</v>
      </c>
      <c r="J95" s="152" t="s">
        <v>599</v>
      </c>
      <c r="K95" s="152" t="s">
        <v>1457</v>
      </c>
      <c r="L95" s="152" t="s">
        <v>41</v>
      </c>
      <c r="M95" s="152" t="s">
        <v>160</v>
      </c>
      <c r="N95" s="240">
        <v>1513579</v>
      </c>
      <c r="O95" s="31" t="s">
        <v>148</v>
      </c>
      <c r="P95" s="32" t="s">
        <v>148</v>
      </c>
      <c r="Q95" s="152" t="s">
        <v>148</v>
      </c>
      <c r="R95" s="152" t="s">
        <v>1458</v>
      </c>
      <c r="S95" s="152" t="s">
        <v>1459</v>
      </c>
      <c r="T95" s="350"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9"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81">
        <v>3</v>
      </c>
      <c r="CG95" s="152">
        <v>3</v>
      </c>
      <c r="CH95" s="152"/>
      <c r="CI95" s="152" t="s">
        <v>806</v>
      </c>
    </row>
    <row r="96" spans="1:87" ht="24.95" customHeight="1">
      <c r="A96" s="152">
        <v>99</v>
      </c>
      <c r="B96" s="152" t="s">
        <v>1471</v>
      </c>
      <c r="C96" s="152" t="s">
        <v>1472</v>
      </c>
      <c r="D96" s="152"/>
      <c r="E96" s="152" t="s">
        <v>1473</v>
      </c>
      <c r="F96" s="152" t="s">
        <v>23</v>
      </c>
      <c r="G96" s="152">
        <v>5</v>
      </c>
      <c r="H96" s="152" t="s">
        <v>51</v>
      </c>
      <c r="I96" s="152" t="s">
        <v>39</v>
      </c>
      <c r="J96" s="152" t="s">
        <v>1474</v>
      </c>
      <c r="K96" s="152" t="s">
        <v>1475</v>
      </c>
      <c r="L96" s="152" t="s">
        <v>33</v>
      </c>
      <c r="M96" s="152" t="s">
        <v>160</v>
      </c>
      <c r="N96" s="152" t="s">
        <v>1476</v>
      </c>
      <c r="O96" s="242" t="s">
        <v>148</v>
      </c>
      <c r="P96" s="243" t="s">
        <v>148</v>
      </c>
      <c r="Q96" s="152" t="s">
        <v>148</v>
      </c>
      <c r="R96" s="152" t="s">
        <v>1477</v>
      </c>
      <c r="S96" s="152" t="s">
        <v>1478</v>
      </c>
      <c r="T96" s="351"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81">
        <v>1</v>
      </c>
      <c r="CG96" s="152">
        <v>3</v>
      </c>
      <c r="CH96" s="152"/>
      <c r="CI96" s="152" t="s">
        <v>806</v>
      </c>
    </row>
    <row r="97" spans="1:87" ht="24.95" customHeight="1">
      <c r="A97" s="152">
        <v>100</v>
      </c>
      <c r="B97" s="152" t="s">
        <v>1487</v>
      </c>
      <c r="C97" s="152" t="s">
        <v>344</v>
      </c>
      <c r="D97" s="152" t="s">
        <v>1488</v>
      </c>
      <c r="E97" s="152" t="s">
        <v>447</v>
      </c>
      <c r="F97" s="152" t="s">
        <v>24</v>
      </c>
      <c r="G97" s="152">
        <v>5</v>
      </c>
      <c r="H97" s="152" t="s">
        <v>50</v>
      </c>
      <c r="I97" s="152" t="s">
        <v>35</v>
      </c>
      <c r="J97" s="152" t="s">
        <v>1418</v>
      </c>
      <c r="K97" s="152" t="s">
        <v>1489</v>
      </c>
      <c r="L97" s="152" t="s">
        <v>35</v>
      </c>
      <c r="M97" s="152" t="s">
        <v>147</v>
      </c>
      <c r="N97" s="244" t="s">
        <v>1490</v>
      </c>
      <c r="O97" s="245" t="s">
        <v>148</v>
      </c>
      <c r="P97" s="246" t="s">
        <v>148</v>
      </c>
      <c r="Q97" s="152" t="s">
        <v>148</v>
      </c>
      <c r="R97" s="322" t="s">
        <v>1491</v>
      </c>
      <c r="S97" s="152" t="s">
        <v>1492</v>
      </c>
      <c r="T97" s="351" t="s">
        <v>1493</v>
      </c>
      <c r="U97" s="154" t="s">
        <v>1494</v>
      </c>
      <c r="V97" s="154">
        <v>29998</v>
      </c>
      <c r="W97" s="161" t="s">
        <v>1495</v>
      </c>
      <c r="X97" s="161" t="s">
        <v>153</v>
      </c>
      <c r="Y97" s="161" t="s">
        <v>154</v>
      </c>
      <c r="Z97" s="161" t="s">
        <v>155</v>
      </c>
      <c r="AA97" s="152">
        <v>22</v>
      </c>
      <c r="AB97" s="154">
        <v>41748</v>
      </c>
      <c r="AC97" s="286">
        <v>42064</v>
      </c>
      <c r="AD97" s="154"/>
      <c r="AE97" s="315"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20"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81">
        <v>3</v>
      </c>
      <c r="CG97" s="152">
        <v>3</v>
      </c>
      <c r="CH97" s="152"/>
      <c r="CI97" s="152" t="s">
        <v>806</v>
      </c>
    </row>
    <row r="98" spans="1:87" ht="24.95" customHeight="1">
      <c r="A98" s="152">
        <v>101</v>
      </c>
      <c r="B98" s="152" t="s">
        <v>1500</v>
      </c>
      <c r="C98" s="152" t="s">
        <v>1501</v>
      </c>
      <c r="D98" s="152" t="s">
        <v>1502</v>
      </c>
      <c r="E98" s="152" t="s">
        <v>1503</v>
      </c>
      <c r="F98" s="152" t="s">
        <v>24</v>
      </c>
      <c r="G98" s="152">
        <v>5</v>
      </c>
      <c r="H98" s="152" t="s">
        <v>54</v>
      </c>
      <c r="I98" s="152" t="s">
        <v>41</v>
      </c>
      <c r="J98" s="152" t="s">
        <v>1504</v>
      </c>
      <c r="K98" s="152" t="s">
        <v>1504</v>
      </c>
      <c r="L98" s="152" t="s">
        <v>41</v>
      </c>
      <c r="M98" s="152" t="s">
        <v>147</v>
      </c>
      <c r="N98" s="152" t="s">
        <v>1505</v>
      </c>
      <c r="O98" s="242" t="s">
        <v>148</v>
      </c>
      <c r="P98" s="243" t="s">
        <v>148</v>
      </c>
      <c r="Q98" s="152"/>
      <c r="R98" s="160" t="s">
        <v>1506</v>
      </c>
      <c r="S98" s="152" t="s">
        <v>1507</v>
      </c>
      <c r="T98" s="350"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21"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81">
        <v>3</v>
      </c>
      <c r="CG98" s="152">
        <v>3</v>
      </c>
      <c r="CH98" s="152"/>
      <c r="CI98" s="152" t="s">
        <v>806</v>
      </c>
    </row>
    <row r="99" spans="1:87" ht="24.95" customHeight="1">
      <c r="A99" s="152">
        <v>102</v>
      </c>
      <c r="B99" s="152" t="s">
        <v>1515</v>
      </c>
      <c r="C99" s="152" t="s">
        <v>435</v>
      </c>
      <c r="D99" s="152" t="s">
        <v>1516</v>
      </c>
      <c r="E99" s="152" t="s">
        <v>1517</v>
      </c>
      <c r="F99" s="152" t="s">
        <v>23</v>
      </c>
      <c r="G99" s="152">
        <v>5</v>
      </c>
      <c r="H99" s="152" t="s">
        <v>50</v>
      </c>
      <c r="I99" s="152" t="s">
        <v>28</v>
      </c>
      <c r="J99" s="152" t="s">
        <v>599</v>
      </c>
      <c r="K99" s="152" t="s">
        <v>1298</v>
      </c>
      <c r="L99" s="152" t="s">
        <v>41</v>
      </c>
      <c r="M99" s="152" t="s">
        <v>160</v>
      </c>
      <c r="N99" s="152">
        <v>951466</v>
      </c>
      <c r="O99" s="242" t="s">
        <v>148</v>
      </c>
      <c r="P99" s="243" t="s">
        <v>148</v>
      </c>
      <c r="Q99" s="152"/>
      <c r="R99" s="152" t="s">
        <v>1518</v>
      </c>
      <c r="S99" s="160" t="s">
        <v>1519</v>
      </c>
      <c r="T99" s="350"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9"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81">
        <v>2</v>
      </c>
      <c r="CG99" s="152" t="s">
        <v>165</v>
      </c>
      <c r="CH99" s="152"/>
      <c r="CI99" s="152" t="s">
        <v>806</v>
      </c>
    </row>
    <row r="100" spans="1:87" ht="24.95" customHeight="1">
      <c r="A100" s="152">
        <v>103</v>
      </c>
      <c r="B100" s="152" t="s">
        <v>1525</v>
      </c>
      <c r="C100" s="152" t="s">
        <v>822</v>
      </c>
      <c r="D100" s="152" t="s">
        <v>1526</v>
      </c>
      <c r="E100" s="152" t="s">
        <v>1527</v>
      </c>
      <c r="F100" s="152" t="s">
        <v>23</v>
      </c>
      <c r="G100" s="152">
        <v>5</v>
      </c>
      <c r="H100" s="152" t="s">
        <v>55</v>
      </c>
      <c r="I100" s="152" t="s">
        <v>36</v>
      </c>
      <c r="J100" s="152" t="s">
        <v>1528</v>
      </c>
      <c r="K100" s="152" t="s">
        <v>1529</v>
      </c>
      <c r="L100" s="152" t="s">
        <v>41</v>
      </c>
      <c r="M100" s="152" t="s">
        <v>160</v>
      </c>
      <c r="N100" s="152">
        <v>1362999</v>
      </c>
      <c r="O100" s="242" t="s">
        <v>319</v>
      </c>
      <c r="P100" s="243" t="s">
        <v>237</v>
      </c>
      <c r="Q100" s="152" t="s">
        <v>148</v>
      </c>
      <c r="R100" s="322" t="s">
        <v>1530</v>
      </c>
      <c r="S100" s="152" t="s">
        <v>1531</v>
      </c>
      <c r="T100" s="350"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81">
        <v>0</v>
      </c>
      <c r="CG100" s="152">
        <v>1</v>
      </c>
      <c r="CH100" s="152"/>
      <c r="CI100" s="152" t="s">
        <v>806</v>
      </c>
    </row>
    <row r="101" spans="1:87" ht="24.95" customHeight="1">
      <c r="A101" s="152">
        <v>104</v>
      </c>
      <c r="B101" s="152" t="s">
        <v>1540</v>
      </c>
      <c r="C101" s="152" t="s">
        <v>344</v>
      </c>
      <c r="D101" s="152" t="s">
        <v>1541</v>
      </c>
      <c r="E101" s="152" t="s">
        <v>1542</v>
      </c>
      <c r="F101" s="152" t="s">
        <v>24</v>
      </c>
      <c r="G101" s="152">
        <v>5</v>
      </c>
      <c r="H101" s="152" t="s">
        <v>48</v>
      </c>
      <c r="I101" s="152" t="s">
        <v>38</v>
      </c>
      <c r="J101" s="152" t="s">
        <v>1543</v>
      </c>
      <c r="K101" s="152" t="s">
        <v>1392</v>
      </c>
      <c r="L101" s="152" t="s">
        <v>38</v>
      </c>
      <c r="M101" s="152" t="s">
        <v>147</v>
      </c>
      <c r="N101" s="152" t="s">
        <v>1544</v>
      </c>
      <c r="O101" s="242"/>
      <c r="P101" s="243" t="s">
        <v>319</v>
      </c>
      <c r="Q101" s="152"/>
      <c r="R101" s="152" t="s">
        <v>1545</v>
      </c>
      <c r="S101" s="152" t="s">
        <v>1546</v>
      </c>
      <c r="T101" s="350" t="s">
        <v>1547</v>
      </c>
      <c r="U101" s="154" t="s">
        <v>1397</v>
      </c>
      <c r="V101" s="154">
        <v>29277</v>
      </c>
      <c r="W101" s="161" t="s">
        <v>1548</v>
      </c>
      <c r="X101" s="161" t="s">
        <v>176</v>
      </c>
      <c r="Y101" s="161" t="s">
        <v>154</v>
      </c>
      <c r="Z101" s="161" t="s">
        <v>155</v>
      </c>
      <c r="AA101" s="152">
        <v>28.5</v>
      </c>
      <c r="AB101" s="154">
        <v>42255</v>
      </c>
      <c r="AC101" s="286">
        <v>42064</v>
      </c>
      <c r="AD101" s="154"/>
      <c r="AE101" s="34" t="s">
        <v>1549</v>
      </c>
      <c r="AF101" s="317"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81">
        <v>2</v>
      </c>
      <c r="CG101" s="152" t="s">
        <v>165</v>
      </c>
      <c r="CH101" s="152"/>
      <c r="CI101" s="152" t="s">
        <v>1311</v>
      </c>
    </row>
    <row r="102" spans="1:87" ht="24.95" customHeight="1">
      <c r="A102" s="152">
        <v>105</v>
      </c>
      <c r="B102" s="152" t="s">
        <v>1553</v>
      </c>
      <c r="C102" s="152" t="s">
        <v>1554</v>
      </c>
      <c r="D102" s="152" t="s">
        <v>1555</v>
      </c>
      <c r="E102" s="152" t="s">
        <v>1556</v>
      </c>
      <c r="F102" s="152" t="s">
        <v>24</v>
      </c>
      <c r="G102" s="152">
        <v>5</v>
      </c>
      <c r="H102" s="152" t="s">
        <v>50</v>
      </c>
      <c r="I102" s="152" t="s">
        <v>28</v>
      </c>
      <c r="J102" s="152" t="s">
        <v>1557</v>
      </c>
      <c r="K102" s="152" t="s">
        <v>1558</v>
      </c>
      <c r="L102" s="152" t="s">
        <v>28</v>
      </c>
      <c r="M102" s="152" t="s">
        <v>147</v>
      </c>
      <c r="N102" s="152">
        <v>130949</v>
      </c>
      <c r="O102" s="242" t="s">
        <v>148</v>
      </c>
      <c r="P102" s="243" t="s">
        <v>148</v>
      </c>
      <c r="Q102" s="152" t="s">
        <v>237</v>
      </c>
      <c r="R102" s="152" t="s">
        <v>1559</v>
      </c>
      <c r="S102" s="152" t="s">
        <v>1560</v>
      </c>
      <c r="T102" s="351"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81">
        <v>3</v>
      </c>
      <c r="CG102" s="152">
        <v>3</v>
      </c>
      <c r="CH102" s="152"/>
      <c r="CI102" s="152" t="s">
        <v>1311</v>
      </c>
    </row>
    <row r="103" spans="1:87" ht="24.95" customHeight="1">
      <c r="A103" s="152">
        <v>106</v>
      </c>
      <c r="B103" s="152" t="s">
        <v>1568</v>
      </c>
      <c r="C103" s="152" t="s">
        <v>1569</v>
      </c>
      <c r="D103" s="152"/>
      <c r="E103" s="152" t="s">
        <v>1570</v>
      </c>
      <c r="F103" s="152" t="s">
        <v>23</v>
      </c>
      <c r="G103" s="152">
        <v>5</v>
      </c>
      <c r="H103" s="152" t="s">
        <v>49</v>
      </c>
      <c r="I103" s="152" t="s">
        <v>42</v>
      </c>
      <c r="J103" s="152" t="s">
        <v>1571</v>
      </c>
      <c r="K103" s="152" t="s">
        <v>1543</v>
      </c>
      <c r="L103" s="152" t="s">
        <v>40</v>
      </c>
      <c r="M103" s="152" t="s">
        <v>147</v>
      </c>
      <c r="N103" s="247" t="s">
        <v>1572</v>
      </c>
      <c r="O103" s="245" t="s">
        <v>148</v>
      </c>
      <c r="P103" s="35" t="s">
        <v>148</v>
      </c>
      <c r="Q103" s="152" t="s">
        <v>148</v>
      </c>
      <c r="R103" s="322" t="s">
        <v>1573</v>
      </c>
      <c r="S103" s="152" t="s">
        <v>1574</v>
      </c>
      <c r="T103" s="351"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81">
        <v>1</v>
      </c>
      <c r="CG103" s="152">
        <v>3</v>
      </c>
      <c r="CH103" s="152">
        <v>3</v>
      </c>
      <c r="CI103" s="152" t="s">
        <v>806</v>
      </c>
    </row>
    <row r="104" spans="1:87" ht="24.95" customHeight="1">
      <c r="A104" s="152">
        <v>107</v>
      </c>
      <c r="B104" s="152" t="s">
        <v>1582</v>
      </c>
      <c r="C104" s="152" t="s">
        <v>1583</v>
      </c>
      <c r="D104" s="152"/>
      <c r="E104" s="152" t="s">
        <v>1584</v>
      </c>
      <c r="F104" s="152" t="s">
        <v>23</v>
      </c>
      <c r="G104" s="152">
        <v>5</v>
      </c>
      <c r="H104" s="152" t="s">
        <v>56</v>
      </c>
      <c r="I104" s="152" t="s">
        <v>31</v>
      </c>
      <c r="J104" s="152" t="s">
        <v>359</v>
      </c>
      <c r="K104" s="152" t="s">
        <v>1585</v>
      </c>
      <c r="L104" s="152" t="s">
        <v>31</v>
      </c>
      <c r="M104" s="152" t="s">
        <v>147</v>
      </c>
      <c r="N104" s="244" t="s">
        <v>1586</v>
      </c>
      <c r="O104" s="245" t="s">
        <v>148</v>
      </c>
      <c r="P104" s="35" t="s">
        <v>148</v>
      </c>
      <c r="Q104" s="152" t="s">
        <v>148</v>
      </c>
      <c r="R104" s="152" t="s">
        <v>1587</v>
      </c>
      <c r="S104" s="152" t="s">
        <v>1588</v>
      </c>
      <c r="T104" s="351"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81">
        <v>1</v>
      </c>
      <c r="CG104" s="152">
        <v>3</v>
      </c>
      <c r="CH104" s="152"/>
      <c r="CI104" s="152" t="s">
        <v>806</v>
      </c>
    </row>
    <row r="105" spans="1:87" ht="24.95" customHeight="1">
      <c r="A105" s="152">
        <v>108</v>
      </c>
      <c r="B105" s="152" t="s">
        <v>1595</v>
      </c>
      <c r="C105" s="152" t="s">
        <v>1596</v>
      </c>
      <c r="D105" s="152" t="s">
        <v>1597</v>
      </c>
      <c r="E105" s="152" t="s">
        <v>1597</v>
      </c>
      <c r="F105" s="152" t="s">
        <v>24</v>
      </c>
      <c r="G105" s="152">
        <v>5</v>
      </c>
      <c r="H105" s="152" t="s">
        <v>48</v>
      </c>
      <c r="I105" s="152" t="s">
        <v>33</v>
      </c>
      <c r="J105" s="152" t="s">
        <v>1598</v>
      </c>
      <c r="K105" s="152" t="s">
        <v>1598</v>
      </c>
      <c r="L105" s="152" t="s">
        <v>33</v>
      </c>
      <c r="M105" s="152" t="s">
        <v>147</v>
      </c>
      <c r="N105" s="152" t="s">
        <v>1599</v>
      </c>
      <c r="O105" s="242" t="s">
        <v>148</v>
      </c>
      <c r="P105" s="243" t="s">
        <v>148</v>
      </c>
      <c r="Q105" s="152" t="s">
        <v>148</v>
      </c>
      <c r="R105" s="152" t="s">
        <v>1600</v>
      </c>
      <c r="S105" s="152" t="s">
        <v>1601</v>
      </c>
      <c r="T105" s="350"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81">
        <v>4</v>
      </c>
      <c r="CG105" s="152">
        <v>4</v>
      </c>
      <c r="CH105" s="152"/>
      <c r="CI105" s="152" t="s">
        <v>806</v>
      </c>
    </row>
    <row r="106" spans="1:87" ht="24.95" customHeight="1">
      <c r="A106" s="152">
        <v>109</v>
      </c>
      <c r="B106" s="152" t="s">
        <v>1610</v>
      </c>
      <c r="C106" s="152" t="s">
        <v>1611</v>
      </c>
      <c r="D106" s="152" t="s">
        <v>1612</v>
      </c>
      <c r="E106" s="152" t="s">
        <v>1613</v>
      </c>
      <c r="F106" s="152" t="s">
        <v>23</v>
      </c>
      <c r="G106" s="152">
        <v>5</v>
      </c>
      <c r="H106" s="152" t="s">
        <v>48</v>
      </c>
      <c r="I106" s="152" t="s">
        <v>33</v>
      </c>
      <c r="J106" s="152" t="s">
        <v>1614</v>
      </c>
      <c r="K106" s="152" t="s">
        <v>1615</v>
      </c>
      <c r="L106" s="152" t="s">
        <v>33</v>
      </c>
      <c r="M106" s="152" t="s">
        <v>147</v>
      </c>
      <c r="N106" s="152" t="s">
        <v>1616</v>
      </c>
      <c r="O106" s="242"/>
      <c r="P106" s="243" t="s">
        <v>148</v>
      </c>
      <c r="Q106" s="152"/>
      <c r="R106" s="152" t="s">
        <v>1617</v>
      </c>
      <c r="S106" s="152" t="s">
        <v>1618</v>
      </c>
      <c r="T106" s="351"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81" t="s">
        <v>165</v>
      </c>
      <c r="CG106" s="152" t="s">
        <v>165</v>
      </c>
      <c r="CH106" s="152"/>
      <c r="CI106" s="152" t="s">
        <v>806</v>
      </c>
    </row>
    <row r="107" spans="1:87" ht="24.95" customHeight="1">
      <c r="A107" s="152">
        <v>110</v>
      </c>
      <c r="B107" s="152" t="s">
        <v>1622</v>
      </c>
      <c r="C107" s="152" t="s">
        <v>1623</v>
      </c>
      <c r="D107" s="152" t="s">
        <v>1624</v>
      </c>
      <c r="E107" s="152" t="s">
        <v>1625</v>
      </c>
      <c r="F107" s="152" t="s">
        <v>24</v>
      </c>
      <c r="G107" s="152">
        <v>5</v>
      </c>
      <c r="H107" s="152" t="s">
        <v>50</v>
      </c>
      <c r="I107" s="152" t="s">
        <v>28</v>
      </c>
      <c r="J107" s="152" t="s">
        <v>1626</v>
      </c>
      <c r="K107" s="152" t="s">
        <v>557</v>
      </c>
      <c r="L107" s="152" t="s">
        <v>28</v>
      </c>
      <c r="M107" s="152" t="s">
        <v>147</v>
      </c>
      <c r="N107" s="152">
        <v>148600</v>
      </c>
      <c r="O107" s="242" t="s">
        <v>148</v>
      </c>
      <c r="P107" s="243" t="s">
        <v>148</v>
      </c>
      <c r="Q107" s="152"/>
      <c r="R107" s="152" t="s">
        <v>1627</v>
      </c>
      <c r="S107" s="160" t="s">
        <v>1628</v>
      </c>
      <c r="T107" s="350"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81">
        <v>3</v>
      </c>
      <c r="CG107" s="152">
        <v>3</v>
      </c>
      <c r="CH107" s="152"/>
      <c r="CI107" s="152" t="s">
        <v>806</v>
      </c>
    </row>
    <row r="108" spans="1:87" ht="24.95" customHeight="1">
      <c r="A108" s="152">
        <v>111</v>
      </c>
      <c r="B108" s="152" t="s">
        <v>1635</v>
      </c>
      <c r="C108" s="152" t="s">
        <v>1636</v>
      </c>
      <c r="D108" s="152" t="s">
        <v>1637</v>
      </c>
      <c r="E108" s="152" t="s">
        <v>1638</v>
      </c>
      <c r="F108" s="152" t="s">
        <v>24</v>
      </c>
      <c r="G108" s="152">
        <v>5</v>
      </c>
      <c r="H108" s="152" t="s">
        <v>56</v>
      </c>
      <c r="I108" s="152" t="s">
        <v>31</v>
      </c>
      <c r="J108" s="152" t="s">
        <v>599</v>
      </c>
      <c r="K108" s="152" t="s">
        <v>1639</v>
      </c>
      <c r="L108" s="152" t="s">
        <v>31</v>
      </c>
      <c r="M108" s="152" t="s">
        <v>147</v>
      </c>
      <c r="N108" s="152">
        <v>216023303</v>
      </c>
      <c r="O108" s="242" t="s">
        <v>148</v>
      </c>
      <c r="P108" s="243" t="s">
        <v>148</v>
      </c>
      <c r="Q108" s="152" t="s">
        <v>148</v>
      </c>
      <c r="R108" s="160" t="s">
        <v>1640</v>
      </c>
      <c r="S108" s="152" t="s">
        <v>1641</v>
      </c>
      <c r="T108" s="350"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81">
        <v>4</v>
      </c>
      <c r="CG108" s="152">
        <v>4</v>
      </c>
      <c r="CH108" s="152"/>
      <c r="CI108" s="152" t="s">
        <v>806</v>
      </c>
    </row>
    <row r="109" spans="1:87" ht="24.95" customHeight="1">
      <c r="A109" s="152">
        <v>112</v>
      </c>
      <c r="B109" s="152" t="s">
        <v>1648</v>
      </c>
      <c r="C109" s="152" t="s">
        <v>1649</v>
      </c>
      <c r="D109" s="152"/>
      <c r="E109" s="152" t="s">
        <v>1650</v>
      </c>
      <c r="F109" s="152" t="s">
        <v>24</v>
      </c>
      <c r="G109" s="152">
        <v>5</v>
      </c>
      <c r="H109" s="152" t="s">
        <v>48</v>
      </c>
      <c r="I109" s="152" t="s">
        <v>38</v>
      </c>
      <c r="J109" s="152" t="s">
        <v>599</v>
      </c>
      <c r="K109" s="152" t="s">
        <v>1651</v>
      </c>
      <c r="L109" s="152" t="s">
        <v>38</v>
      </c>
      <c r="M109" s="152" t="s">
        <v>147</v>
      </c>
      <c r="N109" s="152" t="s">
        <v>1652</v>
      </c>
      <c r="O109" s="242" t="s">
        <v>148</v>
      </c>
      <c r="P109" s="243" t="s">
        <v>148</v>
      </c>
      <c r="Q109" s="152" t="s">
        <v>148</v>
      </c>
      <c r="R109" s="152" t="s">
        <v>1653</v>
      </c>
      <c r="S109" s="152" t="s">
        <v>1654</v>
      </c>
      <c r="T109" s="350"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81">
        <v>0</v>
      </c>
      <c r="CG109" s="152">
        <v>0</v>
      </c>
      <c r="CH109" s="152"/>
      <c r="CI109" s="152" t="s">
        <v>1664</v>
      </c>
    </row>
    <row r="110" spans="1:87" ht="24.95" customHeight="1">
      <c r="A110" s="152">
        <v>113</v>
      </c>
      <c r="B110" s="152" t="s">
        <v>1665</v>
      </c>
      <c r="C110" s="152" t="s">
        <v>1666</v>
      </c>
      <c r="D110" s="152"/>
      <c r="E110" s="152" t="s">
        <v>1667</v>
      </c>
      <c r="F110" s="152" t="s">
        <v>24</v>
      </c>
      <c r="G110" s="152">
        <v>5</v>
      </c>
      <c r="H110" s="152" t="s">
        <v>48</v>
      </c>
      <c r="I110" s="152" t="s">
        <v>33</v>
      </c>
      <c r="J110" s="152" t="s">
        <v>599</v>
      </c>
      <c r="K110" s="152" t="s">
        <v>919</v>
      </c>
      <c r="L110" s="152" t="s">
        <v>41</v>
      </c>
      <c r="M110" s="152" t="s">
        <v>160</v>
      </c>
      <c r="N110" s="152">
        <v>1317323</v>
      </c>
      <c r="O110" s="242" t="s">
        <v>148</v>
      </c>
      <c r="P110" s="243" t="s">
        <v>148</v>
      </c>
      <c r="Q110" s="152" t="s">
        <v>148</v>
      </c>
      <c r="R110" s="152" t="s">
        <v>1668</v>
      </c>
      <c r="S110" s="152" t="s">
        <v>1669</v>
      </c>
      <c r="T110" s="350"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81">
        <v>1</v>
      </c>
      <c r="CG110" s="152">
        <v>2</v>
      </c>
      <c r="CH110" s="152"/>
      <c r="CI110" s="152" t="s">
        <v>806</v>
      </c>
    </row>
    <row r="111" spans="1:87" ht="24.95" customHeight="1">
      <c r="A111" s="152">
        <v>114</v>
      </c>
      <c r="B111" s="152" t="s">
        <v>1681</v>
      </c>
      <c r="C111" s="152" t="s">
        <v>1488</v>
      </c>
      <c r="D111" s="152" t="s">
        <v>1682</v>
      </c>
      <c r="E111" s="152" t="s">
        <v>1683</v>
      </c>
      <c r="F111" s="152" t="s">
        <v>24</v>
      </c>
      <c r="G111" s="152">
        <v>5</v>
      </c>
      <c r="H111" s="152" t="s">
        <v>50</v>
      </c>
      <c r="I111" s="152" t="s">
        <v>35</v>
      </c>
      <c r="J111" s="152" t="s">
        <v>1684</v>
      </c>
      <c r="K111" s="152" t="s">
        <v>1684</v>
      </c>
      <c r="L111" s="152" t="s">
        <v>35</v>
      </c>
      <c r="M111" s="152" t="s">
        <v>147</v>
      </c>
      <c r="N111" s="244" t="s">
        <v>1685</v>
      </c>
      <c r="O111" s="245" t="s">
        <v>148</v>
      </c>
      <c r="P111" s="248" t="s">
        <v>148</v>
      </c>
      <c r="Q111" s="152" t="s">
        <v>148</v>
      </c>
      <c r="R111" s="152" t="s">
        <v>1686</v>
      </c>
      <c r="S111" s="152" t="s">
        <v>1687</v>
      </c>
      <c r="T111" s="350"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22"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81">
        <v>2</v>
      </c>
      <c r="CG111" s="152">
        <v>4</v>
      </c>
      <c r="CH111" s="152"/>
      <c r="CI111" s="152" t="s">
        <v>806</v>
      </c>
    </row>
    <row r="112" spans="1:87" ht="24.95" customHeight="1">
      <c r="A112" s="152">
        <v>115</v>
      </c>
      <c r="B112" s="152" t="s">
        <v>1694</v>
      </c>
      <c r="C112" s="152" t="s">
        <v>1695</v>
      </c>
      <c r="D112" s="152"/>
      <c r="E112" s="152" t="s">
        <v>1696</v>
      </c>
      <c r="F112" s="152" t="s">
        <v>23</v>
      </c>
      <c r="G112" s="152">
        <v>5</v>
      </c>
      <c r="H112" s="152" t="s">
        <v>49</v>
      </c>
      <c r="I112" s="152" t="s">
        <v>42</v>
      </c>
      <c r="J112" s="152" t="s">
        <v>1697</v>
      </c>
      <c r="K112" s="152" t="s">
        <v>599</v>
      </c>
      <c r="L112" s="152" t="s">
        <v>40</v>
      </c>
      <c r="M112" s="152" t="s">
        <v>147</v>
      </c>
      <c r="N112" s="153" t="s">
        <v>1698</v>
      </c>
      <c r="O112" s="242" t="s">
        <v>148</v>
      </c>
      <c r="P112" s="243" t="s">
        <v>148</v>
      </c>
      <c r="Q112" s="152" t="s">
        <v>148</v>
      </c>
      <c r="R112" s="152" t="s">
        <v>1699</v>
      </c>
      <c r="S112" s="152" t="s">
        <v>1700</v>
      </c>
      <c r="T112" s="350"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81">
        <v>2</v>
      </c>
      <c r="CG112" s="152">
        <v>2</v>
      </c>
      <c r="CH112" s="152"/>
      <c r="CI112" s="152" t="s">
        <v>806</v>
      </c>
    </row>
    <row r="113" spans="1:100" ht="24.95" customHeight="1">
      <c r="A113" s="152">
        <v>116</v>
      </c>
      <c r="B113" s="152" t="s">
        <v>1707</v>
      </c>
      <c r="C113" s="152" t="s">
        <v>1708</v>
      </c>
      <c r="D113" s="152" t="s">
        <v>1709</v>
      </c>
      <c r="E113" s="152" t="s">
        <v>1710</v>
      </c>
      <c r="F113" s="152" t="s">
        <v>24</v>
      </c>
      <c r="G113" s="152">
        <v>5</v>
      </c>
      <c r="H113" s="152" t="s">
        <v>49</v>
      </c>
      <c r="I113" s="152" t="s">
        <v>42</v>
      </c>
      <c r="J113" s="152" t="s">
        <v>1711</v>
      </c>
      <c r="K113" s="152" t="s">
        <v>599</v>
      </c>
      <c r="L113" s="152" t="s">
        <v>40</v>
      </c>
      <c r="M113" s="152" t="s">
        <v>147</v>
      </c>
      <c r="N113" s="153" t="s">
        <v>1712</v>
      </c>
      <c r="O113" s="242" t="s">
        <v>148</v>
      </c>
      <c r="P113" s="243" t="s">
        <v>148</v>
      </c>
      <c r="Q113" s="152" t="s">
        <v>148</v>
      </c>
      <c r="R113" s="152" t="s">
        <v>1713</v>
      </c>
      <c r="S113" s="152" t="s">
        <v>1714</v>
      </c>
      <c r="T113" s="350"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81" t="s">
        <v>165</v>
      </c>
      <c r="CG113" s="152" t="s">
        <v>165</v>
      </c>
      <c r="CH113" s="152"/>
      <c r="CI113" s="152" t="s">
        <v>806</v>
      </c>
    </row>
    <row r="114" spans="1:100" s="114" customFormat="1" ht="24.95" customHeight="1">
      <c r="A114" s="91">
        <v>117</v>
      </c>
      <c r="B114" s="91" t="s">
        <v>1721</v>
      </c>
      <c r="C114" s="91" t="s">
        <v>1722</v>
      </c>
      <c r="D114" s="91" t="s">
        <v>1723</v>
      </c>
      <c r="E114" s="91" t="s">
        <v>1724</v>
      </c>
      <c r="F114" s="91" t="s">
        <v>24</v>
      </c>
      <c r="G114" s="91">
        <v>5</v>
      </c>
      <c r="H114" s="91" t="s">
        <v>54</v>
      </c>
      <c r="I114" s="91" t="s">
        <v>41</v>
      </c>
      <c r="J114" s="91" t="s">
        <v>1725</v>
      </c>
      <c r="K114" s="91" t="s">
        <v>865</v>
      </c>
      <c r="L114" s="91" t="s">
        <v>41</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70"/>
      <c r="CR114" s="370"/>
      <c r="CS114" s="370"/>
      <c r="CU114" s="370"/>
      <c r="CV114" s="370"/>
    </row>
    <row r="115" spans="1:100" ht="24.95" customHeight="1">
      <c r="A115" s="152">
        <v>118</v>
      </c>
      <c r="B115" s="152" t="s">
        <v>1737</v>
      </c>
      <c r="C115" s="152" t="s">
        <v>1738</v>
      </c>
      <c r="D115" s="152" t="s">
        <v>1739</v>
      </c>
      <c r="E115" s="152" t="s">
        <v>1740</v>
      </c>
      <c r="F115" s="152" t="s">
        <v>23</v>
      </c>
      <c r="G115" s="152">
        <v>5</v>
      </c>
      <c r="H115" s="152" t="s">
        <v>50</v>
      </c>
      <c r="I115" s="152" t="s">
        <v>28</v>
      </c>
      <c r="J115" s="152" t="s">
        <v>1741</v>
      </c>
      <c r="K115" s="152" t="s">
        <v>1742</v>
      </c>
      <c r="L115" s="152" t="s">
        <v>28</v>
      </c>
      <c r="M115" s="152" t="s">
        <v>147</v>
      </c>
      <c r="N115" s="152">
        <v>12963</v>
      </c>
      <c r="O115" s="242"/>
      <c r="P115" s="243" t="s">
        <v>148</v>
      </c>
      <c r="Q115" s="152"/>
      <c r="R115" s="152" t="s">
        <v>1743</v>
      </c>
      <c r="S115" s="160" t="s">
        <v>1744</v>
      </c>
      <c r="T115" s="350"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81">
        <v>2</v>
      </c>
      <c r="CG115" s="152">
        <v>3</v>
      </c>
      <c r="CH115" s="152"/>
      <c r="CI115" s="152" t="s">
        <v>806</v>
      </c>
    </row>
    <row r="116" spans="1:100" ht="24.95" customHeight="1">
      <c r="A116" s="91">
        <v>119</v>
      </c>
      <c r="B116" s="91" t="s">
        <v>1752</v>
      </c>
      <c r="C116" s="91" t="s">
        <v>1753</v>
      </c>
      <c r="D116" s="91" t="s">
        <v>1569</v>
      </c>
      <c r="E116" s="91" t="s">
        <v>1754</v>
      </c>
      <c r="F116" s="91" t="s">
        <v>23</v>
      </c>
      <c r="G116" s="91">
        <v>5</v>
      </c>
      <c r="H116" s="91" t="s">
        <v>56</v>
      </c>
      <c r="I116" s="91" t="s">
        <v>31</v>
      </c>
      <c r="J116" s="91" t="s">
        <v>1096</v>
      </c>
      <c r="K116" s="91" t="s">
        <v>1755</v>
      </c>
      <c r="L116" s="91" t="s">
        <v>31</v>
      </c>
      <c r="M116" s="91" t="s">
        <v>147</v>
      </c>
      <c r="N116" s="91"/>
      <c r="O116" s="249" t="s">
        <v>165</v>
      </c>
      <c r="P116" s="250" t="s">
        <v>165</v>
      </c>
      <c r="Q116" s="91"/>
      <c r="R116" s="91" t="s">
        <v>1756</v>
      </c>
      <c r="S116" s="91" t="s">
        <v>1757</v>
      </c>
      <c r="T116" s="344"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3"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customHeight="1">
      <c r="A117" s="91">
        <v>120</v>
      </c>
      <c r="B117" s="91" t="s">
        <v>1763</v>
      </c>
      <c r="C117" s="91" t="s">
        <v>1764</v>
      </c>
      <c r="D117" s="91"/>
      <c r="E117" s="91" t="s">
        <v>1765</v>
      </c>
      <c r="F117" s="91" t="s">
        <v>23</v>
      </c>
      <c r="G117" s="91">
        <v>5</v>
      </c>
      <c r="H117" s="91" t="s">
        <v>49</v>
      </c>
      <c r="I117" s="91" t="s">
        <v>42</v>
      </c>
      <c r="J117" s="91"/>
      <c r="K117" s="91"/>
      <c r="L117" s="91" t="s">
        <v>40</v>
      </c>
      <c r="M117" s="91" t="s">
        <v>147</v>
      </c>
      <c r="N117" s="91" t="s">
        <v>165</v>
      </c>
      <c r="O117" s="91" t="s">
        <v>165</v>
      </c>
      <c r="P117" s="91" t="s">
        <v>165</v>
      </c>
      <c r="Q117" s="91" t="s">
        <v>165</v>
      </c>
      <c r="R117" s="91"/>
      <c r="S117" s="91"/>
      <c r="T117" s="344"/>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6"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customHeight="1">
      <c r="A118" s="91">
        <v>121</v>
      </c>
      <c r="B118" s="91" t="s">
        <v>1766</v>
      </c>
      <c r="C118" s="91" t="s">
        <v>1767</v>
      </c>
      <c r="D118" s="91" t="s">
        <v>1768</v>
      </c>
      <c r="E118" s="91" t="s">
        <v>1769</v>
      </c>
      <c r="F118" s="91" t="s">
        <v>23</v>
      </c>
      <c r="G118" s="91">
        <v>5</v>
      </c>
      <c r="H118" s="91" t="s">
        <v>55</v>
      </c>
      <c r="I118" s="91" t="s">
        <v>37</v>
      </c>
      <c r="J118" s="91"/>
      <c r="K118" s="91"/>
      <c r="L118" s="91" t="s">
        <v>37</v>
      </c>
      <c r="M118" s="91" t="s">
        <v>147</v>
      </c>
      <c r="N118" s="91" t="s">
        <v>165</v>
      </c>
      <c r="O118" s="91" t="s">
        <v>165</v>
      </c>
      <c r="P118" s="91" t="s">
        <v>165</v>
      </c>
      <c r="Q118" s="91" t="s">
        <v>165</v>
      </c>
      <c r="R118" s="91"/>
      <c r="S118" s="91"/>
      <c r="T118" s="344"/>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6"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customHeight="1">
      <c r="A119" s="91">
        <v>122</v>
      </c>
      <c r="B119" s="91" t="s">
        <v>1770</v>
      </c>
      <c r="C119" s="91" t="s">
        <v>1771</v>
      </c>
      <c r="D119" s="91" t="s">
        <v>1772</v>
      </c>
      <c r="E119" s="91" t="s">
        <v>1773</v>
      </c>
      <c r="F119" s="91" t="s">
        <v>24</v>
      </c>
      <c r="G119" s="91">
        <v>5</v>
      </c>
      <c r="H119" s="91" t="s">
        <v>48</v>
      </c>
      <c r="I119" s="91" t="s">
        <v>38</v>
      </c>
      <c r="J119" s="91"/>
      <c r="K119" s="91"/>
      <c r="L119" s="91" t="s">
        <v>38</v>
      </c>
      <c r="M119" s="91" t="s">
        <v>147</v>
      </c>
      <c r="N119" s="91" t="s">
        <v>165</v>
      </c>
      <c r="O119" s="91" t="s">
        <v>165</v>
      </c>
      <c r="P119" s="91" t="s">
        <v>165</v>
      </c>
      <c r="Q119" s="91" t="s">
        <v>165</v>
      </c>
      <c r="R119" s="91"/>
      <c r="S119" s="91"/>
      <c r="T119" s="344"/>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6"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customHeight="1">
      <c r="A120" s="165">
        <v>123</v>
      </c>
      <c r="B120" s="165" t="s">
        <v>1774</v>
      </c>
      <c r="C120" s="165" t="s">
        <v>1775</v>
      </c>
      <c r="D120" s="165" t="s">
        <v>1776</v>
      </c>
      <c r="E120" s="165" t="s">
        <v>1777</v>
      </c>
      <c r="F120" s="165" t="s">
        <v>24</v>
      </c>
      <c r="G120" s="165">
        <v>6</v>
      </c>
      <c r="H120" s="165" t="s">
        <v>48</v>
      </c>
      <c r="I120" s="165" t="s">
        <v>34</v>
      </c>
      <c r="J120" s="165" t="s">
        <v>599</v>
      </c>
      <c r="K120" s="165" t="s">
        <v>1778</v>
      </c>
      <c r="L120" s="165" t="s">
        <v>41</v>
      </c>
      <c r="M120" s="165" t="s">
        <v>160</v>
      </c>
      <c r="N120" s="165">
        <v>1617548</v>
      </c>
      <c r="O120" s="251" t="s">
        <v>319</v>
      </c>
      <c r="P120" s="252" t="s">
        <v>319</v>
      </c>
      <c r="Q120" s="165" t="s">
        <v>319</v>
      </c>
      <c r="R120" s="165" t="s">
        <v>1779</v>
      </c>
      <c r="S120" s="165" t="s">
        <v>1780</v>
      </c>
      <c r="T120" s="352"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34</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82">
        <v>0</v>
      </c>
      <c r="CG120" s="165">
        <v>0</v>
      </c>
      <c r="CH120" s="165">
        <v>2</v>
      </c>
      <c r="CI120" s="165" t="s">
        <v>806</v>
      </c>
    </row>
    <row r="121" spans="1:100" ht="24.95" customHeight="1">
      <c r="A121" s="165">
        <v>124</v>
      </c>
      <c r="B121" s="165" t="s">
        <v>1787</v>
      </c>
      <c r="C121" s="165" t="s">
        <v>1788</v>
      </c>
      <c r="D121" s="165" t="s">
        <v>1789</v>
      </c>
      <c r="E121" s="165" t="s">
        <v>1790</v>
      </c>
      <c r="F121" s="165" t="s">
        <v>24</v>
      </c>
      <c r="G121" s="165">
        <v>6</v>
      </c>
      <c r="H121" s="165" t="s">
        <v>48</v>
      </c>
      <c r="I121" s="165" t="s">
        <v>38</v>
      </c>
      <c r="J121" s="165" t="s">
        <v>1791</v>
      </c>
      <c r="K121" s="165" t="s">
        <v>1792</v>
      </c>
      <c r="L121" s="165" t="s">
        <v>38</v>
      </c>
      <c r="M121" s="165" t="s">
        <v>147</v>
      </c>
      <c r="N121" s="165" t="s">
        <v>1793</v>
      </c>
      <c r="O121" s="251" t="s">
        <v>148</v>
      </c>
      <c r="P121" s="252" t="s">
        <v>148</v>
      </c>
      <c r="Q121" s="165" t="s">
        <v>148</v>
      </c>
      <c r="R121" s="165" t="s">
        <v>1794</v>
      </c>
      <c r="S121" s="165" t="s">
        <v>1795</v>
      </c>
      <c r="T121" s="352"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82">
        <v>1</v>
      </c>
      <c r="CG121" s="165">
        <v>1</v>
      </c>
      <c r="CH121" s="165"/>
      <c r="CI121" s="165" t="s">
        <v>806</v>
      </c>
    </row>
    <row r="122" spans="1:100" ht="24.95" customHeight="1">
      <c r="A122" s="165">
        <v>125</v>
      </c>
      <c r="B122" s="165" t="s">
        <v>1804</v>
      </c>
      <c r="C122" s="165" t="s">
        <v>1805</v>
      </c>
      <c r="D122" s="165" t="s">
        <v>1806</v>
      </c>
      <c r="E122" s="165" t="s">
        <v>1807</v>
      </c>
      <c r="F122" s="165" t="s">
        <v>24</v>
      </c>
      <c r="G122" s="165">
        <v>6</v>
      </c>
      <c r="H122" s="165" t="s">
        <v>49</v>
      </c>
      <c r="I122" s="165" t="s">
        <v>42</v>
      </c>
      <c r="J122" s="165" t="s">
        <v>1418</v>
      </c>
      <c r="K122" s="165" t="s">
        <v>1808</v>
      </c>
      <c r="L122" s="165" t="s">
        <v>40</v>
      </c>
      <c r="M122" s="165" t="s">
        <v>147</v>
      </c>
      <c r="N122" s="173" t="s">
        <v>1809</v>
      </c>
      <c r="O122" s="251" t="s">
        <v>148</v>
      </c>
      <c r="P122" s="252" t="s">
        <v>148</v>
      </c>
      <c r="Q122" s="165"/>
      <c r="R122" s="165" t="s">
        <v>1810</v>
      </c>
      <c r="S122" s="165" t="s">
        <v>1811</v>
      </c>
      <c r="T122" s="353"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82"/>
      <c r="CG122" s="165"/>
      <c r="CH122" s="165"/>
      <c r="CI122" s="165" t="s">
        <v>1819</v>
      </c>
    </row>
    <row r="123" spans="1:100" ht="24.95" customHeight="1">
      <c r="A123" s="165">
        <v>126</v>
      </c>
      <c r="B123" s="165" t="s">
        <v>1820</v>
      </c>
      <c r="C123" s="165" t="s">
        <v>1821</v>
      </c>
      <c r="D123" s="165" t="s">
        <v>1822</v>
      </c>
      <c r="E123" s="165" t="s">
        <v>1823</v>
      </c>
      <c r="F123" s="165" t="s">
        <v>24</v>
      </c>
      <c r="G123" s="165">
        <v>6</v>
      </c>
      <c r="H123" s="165" t="s">
        <v>50</v>
      </c>
      <c r="I123" s="165" t="s">
        <v>41</v>
      </c>
      <c r="J123" s="165" t="s">
        <v>360</v>
      </c>
      <c r="K123" s="165" t="s">
        <v>1824</v>
      </c>
      <c r="L123" s="165" t="s">
        <v>41</v>
      </c>
      <c r="M123" s="165" t="s">
        <v>147</v>
      </c>
      <c r="N123" s="165">
        <v>6815541</v>
      </c>
      <c r="O123" s="251" t="s">
        <v>319</v>
      </c>
      <c r="P123" s="252" t="s">
        <v>319</v>
      </c>
      <c r="Q123" s="165" t="s">
        <v>1825</v>
      </c>
      <c r="R123" s="165" t="s">
        <v>1826</v>
      </c>
      <c r="S123" s="175" t="s">
        <v>1827</v>
      </c>
      <c r="T123" s="353"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82">
        <v>0</v>
      </c>
      <c r="CG123" s="165">
        <v>0</v>
      </c>
      <c r="CH123" s="165">
        <v>3</v>
      </c>
      <c r="CI123" s="165" t="s">
        <v>806</v>
      </c>
    </row>
    <row r="124" spans="1:100" ht="24.95" customHeight="1">
      <c r="A124" s="165">
        <v>127</v>
      </c>
      <c r="B124" s="165" t="s">
        <v>1836</v>
      </c>
      <c r="C124" s="165" t="s">
        <v>1837</v>
      </c>
      <c r="D124" s="165"/>
      <c r="E124" s="165" t="s">
        <v>1838</v>
      </c>
      <c r="F124" s="165" t="s">
        <v>23</v>
      </c>
      <c r="G124" s="165">
        <v>6</v>
      </c>
      <c r="H124" s="165" t="s">
        <v>51</v>
      </c>
      <c r="I124" s="165" t="s">
        <v>39</v>
      </c>
      <c r="J124" s="165" t="s">
        <v>599</v>
      </c>
      <c r="K124" s="165" t="s">
        <v>287</v>
      </c>
      <c r="L124" s="165" t="s">
        <v>41</v>
      </c>
      <c r="M124" s="165" t="s">
        <v>147</v>
      </c>
      <c r="N124" s="165">
        <v>1584607</v>
      </c>
      <c r="O124" s="251" t="s">
        <v>148</v>
      </c>
      <c r="P124" s="252" t="s">
        <v>148</v>
      </c>
      <c r="Q124" s="165"/>
      <c r="R124" s="165" t="s">
        <v>1839</v>
      </c>
      <c r="S124" s="165" t="s">
        <v>1840</v>
      </c>
      <c r="T124" s="353"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8">
        <v>44937</v>
      </c>
      <c r="BE124" s="318" t="s">
        <v>160</v>
      </c>
      <c r="BF124" s="318">
        <v>44431</v>
      </c>
      <c r="BG124" s="316"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82">
        <v>2</v>
      </c>
      <c r="CG124" s="165">
        <v>4</v>
      </c>
      <c r="CH124" s="165"/>
      <c r="CI124" s="165" t="s">
        <v>1819</v>
      </c>
    </row>
    <row r="125" spans="1:100" ht="24.95" customHeight="1">
      <c r="A125" s="165">
        <v>128</v>
      </c>
      <c r="B125" s="165" t="s">
        <v>1847</v>
      </c>
      <c r="C125" s="165" t="s">
        <v>1848</v>
      </c>
      <c r="D125" s="165"/>
      <c r="E125" s="165" t="s">
        <v>1849</v>
      </c>
      <c r="F125" s="165" t="s">
        <v>23</v>
      </c>
      <c r="G125" s="165">
        <v>6</v>
      </c>
      <c r="H125" s="165" t="s">
        <v>50</v>
      </c>
      <c r="I125" s="165" t="s">
        <v>28</v>
      </c>
      <c r="J125" s="165" t="s">
        <v>1068</v>
      </c>
      <c r="K125" s="165" t="s">
        <v>557</v>
      </c>
      <c r="L125" s="165" t="s">
        <v>28</v>
      </c>
      <c r="M125" s="165" t="s">
        <v>147</v>
      </c>
      <c r="N125" s="165">
        <v>98769</v>
      </c>
      <c r="O125" s="251" t="s">
        <v>148</v>
      </c>
      <c r="P125" s="252" t="s">
        <v>148</v>
      </c>
      <c r="Q125" s="165" t="s">
        <v>148</v>
      </c>
      <c r="R125" s="165" t="s">
        <v>1850</v>
      </c>
      <c r="S125" s="165" t="s">
        <v>1851</v>
      </c>
      <c r="T125" s="352"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82">
        <v>2</v>
      </c>
      <c r="CG125" s="165">
        <v>2</v>
      </c>
      <c r="CH125" s="165"/>
      <c r="CI125" s="165" t="s">
        <v>1859</v>
      </c>
    </row>
    <row r="126" spans="1:100" ht="24.95" customHeight="1">
      <c r="A126" s="165">
        <v>129</v>
      </c>
      <c r="B126" s="165" t="s">
        <v>1860</v>
      </c>
      <c r="C126" s="165" t="s">
        <v>1861</v>
      </c>
      <c r="D126" s="165" t="s">
        <v>1862</v>
      </c>
      <c r="E126" s="165" t="s">
        <v>1863</v>
      </c>
      <c r="F126" s="165" t="s">
        <v>24</v>
      </c>
      <c r="G126" s="165">
        <v>6</v>
      </c>
      <c r="H126" s="165" t="s">
        <v>54</v>
      </c>
      <c r="I126" s="165" t="s">
        <v>41</v>
      </c>
      <c r="J126" s="165" t="s">
        <v>1864</v>
      </c>
      <c r="K126" s="165" t="s">
        <v>1865</v>
      </c>
      <c r="L126" s="165" t="s">
        <v>41</v>
      </c>
      <c r="M126" s="165" t="s">
        <v>147</v>
      </c>
      <c r="N126" s="254" t="s">
        <v>1866</v>
      </c>
      <c r="O126" s="255"/>
      <c r="P126" s="256" t="s">
        <v>148</v>
      </c>
      <c r="Q126" s="165" t="s">
        <v>148</v>
      </c>
      <c r="R126" s="392" t="s">
        <v>1867</v>
      </c>
      <c r="S126" s="392" t="s">
        <v>1868</v>
      </c>
      <c r="T126" s="353"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4"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82">
        <v>2</v>
      </c>
      <c r="CG126" s="165">
        <v>2</v>
      </c>
      <c r="CH126" s="165"/>
      <c r="CI126" s="165" t="s">
        <v>1859</v>
      </c>
    </row>
    <row r="127" spans="1:100" ht="24.95" customHeight="1">
      <c r="A127" s="165">
        <v>130</v>
      </c>
      <c r="B127" s="165" t="s">
        <v>1876</v>
      </c>
      <c r="C127" s="165" t="s">
        <v>1877</v>
      </c>
      <c r="D127" s="165"/>
      <c r="E127" s="165" t="s">
        <v>1878</v>
      </c>
      <c r="F127" s="165" t="s">
        <v>23</v>
      </c>
      <c r="G127" s="165">
        <v>6</v>
      </c>
      <c r="H127" s="165" t="s">
        <v>56</v>
      </c>
      <c r="I127" s="165" t="s">
        <v>31</v>
      </c>
      <c r="J127" s="165" t="s">
        <v>1879</v>
      </c>
      <c r="K127" s="165" t="s">
        <v>1880</v>
      </c>
      <c r="L127" s="165" t="s">
        <v>31</v>
      </c>
      <c r="M127" s="165" t="s">
        <v>147</v>
      </c>
      <c r="N127" s="165" t="s">
        <v>1881</v>
      </c>
      <c r="O127" s="251" t="s">
        <v>148</v>
      </c>
      <c r="P127" s="252" t="s">
        <v>148</v>
      </c>
      <c r="Q127" s="165" t="s">
        <v>148</v>
      </c>
      <c r="R127" s="165" t="s">
        <v>1882</v>
      </c>
      <c r="S127" s="165" t="s">
        <v>1883</v>
      </c>
      <c r="T127" s="352"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82">
        <v>2</v>
      </c>
      <c r="CG127" s="165">
        <v>4</v>
      </c>
      <c r="CH127" s="165"/>
      <c r="CI127" s="165" t="s">
        <v>1894</v>
      </c>
    </row>
    <row r="128" spans="1:100" ht="24.95" customHeight="1">
      <c r="A128" s="165">
        <v>131</v>
      </c>
      <c r="B128" s="165" t="s">
        <v>1895</v>
      </c>
      <c r="C128" s="165" t="s">
        <v>616</v>
      </c>
      <c r="D128" s="165" t="s">
        <v>1896</v>
      </c>
      <c r="E128" s="165" t="s">
        <v>1897</v>
      </c>
      <c r="F128" s="165" t="s">
        <v>23</v>
      </c>
      <c r="G128" s="165">
        <v>6</v>
      </c>
      <c r="H128" s="165" t="s">
        <v>50</v>
      </c>
      <c r="I128" s="165" t="s">
        <v>35</v>
      </c>
      <c r="J128" s="165" t="s">
        <v>1898</v>
      </c>
      <c r="K128" s="165" t="s">
        <v>1898</v>
      </c>
      <c r="L128" s="165" t="s">
        <v>35</v>
      </c>
      <c r="M128" s="165" t="s">
        <v>147</v>
      </c>
      <c r="N128" s="171" t="s">
        <v>1899</v>
      </c>
      <c r="O128" s="259" t="s">
        <v>148</v>
      </c>
      <c r="P128" s="260" t="s">
        <v>148</v>
      </c>
      <c r="Q128" s="165" t="s">
        <v>148</v>
      </c>
      <c r="R128" s="165" t="s">
        <v>1900</v>
      </c>
      <c r="S128" s="165" t="s">
        <v>1901</v>
      </c>
      <c r="T128" s="353"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5"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82">
        <v>1</v>
      </c>
      <c r="CG128" s="165">
        <v>2</v>
      </c>
      <c r="CH128" s="165"/>
      <c r="CI128" s="165" t="s">
        <v>806</v>
      </c>
    </row>
    <row r="129" spans="1:88" ht="24.95" customHeight="1">
      <c r="A129" s="165">
        <v>132</v>
      </c>
      <c r="B129" s="165" t="s">
        <v>1910</v>
      </c>
      <c r="C129" s="165" t="s">
        <v>1911</v>
      </c>
      <c r="D129" s="165"/>
      <c r="E129" s="165" t="s">
        <v>1912</v>
      </c>
      <c r="F129" s="165" t="s">
        <v>23</v>
      </c>
      <c r="G129" s="165">
        <v>6</v>
      </c>
      <c r="H129" s="165" t="s">
        <v>49</v>
      </c>
      <c r="I129" s="165" t="s">
        <v>42</v>
      </c>
      <c r="J129" s="165" t="s">
        <v>1913</v>
      </c>
      <c r="K129" s="165" t="s">
        <v>1914</v>
      </c>
      <c r="L129" s="165" t="s">
        <v>41</v>
      </c>
      <c r="M129" s="165" t="s">
        <v>160</v>
      </c>
      <c r="N129" s="165">
        <v>1598631</v>
      </c>
      <c r="O129" s="251" t="s">
        <v>319</v>
      </c>
      <c r="P129" s="252" t="s">
        <v>148</v>
      </c>
      <c r="Q129" s="165"/>
      <c r="R129" s="165" t="s">
        <v>1915</v>
      </c>
      <c r="S129" s="165" t="s">
        <v>1916</v>
      </c>
      <c r="T129" s="353"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82">
        <v>0</v>
      </c>
      <c r="CG129" s="165" t="s">
        <v>165</v>
      </c>
      <c r="CH129" s="165"/>
      <c r="CI129" s="165" t="s">
        <v>1819</v>
      </c>
    </row>
    <row r="130" spans="1:88" ht="24.95" customHeight="1">
      <c r="A130" s="165">
        <v>133</v>
      </c>
      <c r="B130" s="165" t="s">
        <v>1925</v>
      </c>
      <c r="C130" s="165" t="s">
        <v>1926</v>
      </c>
      <c r="D130" s="165" t="s">
        <v>1927</v>
      </c>
      <c r="E130" s="165" t="s">
        <v>1928</v>
      </c>
      <c r="F130" s="165" t="s">
        <v>24</v>
      </c>
      <c r="G130" s="165">
        <v>6</v>
      </c>
      <c r="H130" s="165" t="s">
        <v>56</v>
      </c>
      <c r="I130" s="165" t="s">
        <v>31</v>
      </c>
      <c r="J130" s="165" t="s">
        <v>1206</v>
      </c>
      <c r="K130" s="165" t="s">
        <v>1929</v>
      </c>
      <c r="L130" s="165" t="s">
        <v>31</v>
      </c>
      <c r="M130" s="165" t="s">
        <v>147</v>
      </c>
      <c r="N130" s="165" t="s">
        <v>1930</v>
      </c>
      <c r="O130" s="251" t="s">
        <v>148</v>
      </c>
      <c r="P130" s="252" t="s">
        <v>148</v>
      </c>
      <c r="Q130" s="165" t="s">
        <v>148</v>
      </c>
      <c r="R130" s="165" t="s">
        <v>1931</v>
      </c>
      <c r="S130" s="165" t="s">
        <v>1932</v>
      </c>
      <c r="T130" s="352"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82">
        <v>4</v>
      </c>
      <c r="CG130" s="165">
        <v>4</v>
      </c>
      <c r="CH130" s="165"/>
      <c r="CI130" s="165" t="s">
        <v>1819</v>
      </c>
    </row>
    <row r="131" spans="1:88" ht="24.95" customHeight="1">
      <c r="A131" s="165">
        <v>134</v>
      </c>
      <c r="B131" s="165" t="s">
        <v>1941</v>
      </c>
      <c r="C131" s="165" t="s">
        <v>1942</v>
      </c>
      <c r="D131" s="165" t="s">
        <v>1943</v>
      </c>
      <c r="E131" s="165" t="s">
        <v>1944</v>
      </c>
      <c r="F131" s="165" t="s">
        <v>23</v>
      </c>
      <c r="G131" s="165">
        <v>6</v>
      </c>
      <c r="H131" s="165" t="s">
        <v>50</v>
      </c>
      <c r="I131" s="165" t="s">
        <v>28</v>
      </c>
      <c r="J131" s="165" t="s">
        <v>933</v>
      </c>
      <c r="K131" s="165" t="s">
        <v>933</v>
      </c>
      <c r="L131" s="165" t="s">
        <v>28</v>
      </c>
      <c r="M131" s="165" t="s">
        <v>147</v>
      </c>
      <c r="N131" s="165">
        <v>121147</v>
      </c>
      <c r="O131" s="251" t="s">
        <v>319</v>
      </c>
      <c r="P131" s="252" t="s">
        <v>237</v>
      </c>
      <c r="Q131" s="165" t="s">
        <v>148</v>
      </c>
      <c r="R131" s="392" t="s">
        <v>1945</v>
      </c>
      <c r="S131" s="165" t="s">
        <v>1946</v>
      </c>
      <c r="T131" s="353"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82">
        <v>0</v>
      </c>
      <c r="CG131" s="165">
        <v>0</v>
      </c>
      <c r="CH131" s="165"/>
      <c r="CI131" s="165" t="s">
        <v>806</v>
      </c>
    </row>
    <row r="132" spans="1:88" ht="24.95" customHeight="1">
      <c r="A132" s="165">
        <v>135</v>
      </c>
      <c r="B132" s="165" t="s">
        <v>1955</v>
      </c>
      <c r="C132" s="165" t="s">
        <v>267</v>
      </c>
      <c r="D132" s="165" t="s">
        <v>1956</v>
      </c>
      <c r="E132" s="165" t="s">
        <v>1957</v>
      </c>
      <c r="F132" s="165" t="s">
        <v>23</v>
      </c>
      <c r="G132" s="165">
        <v>6</v>
      </c>
      <c r="H132" s="165" t="s">
        <v>50</v>
      </c>
      <c r="I132" s="165" t="s">
        <v>35</v>
      </c>
      <c r="J132" s="165" t="s">
        <v>1958</v>
      </c>
      <c r="K132" s="165" t="s">
        <v>1958</v>
      </c>
      <c r="L132" s="165" t="s">
        <v>35</v>
      </c>
      <c r="M132" s="165" t="s">
        <v>147</v>
      </c>
      <c r="N132" s="171" t="s">
        <v>1959</v>
      </c>
      <c r="O132" s="259" t="s">
        <v>148</v>
      </c>
      <c r="P132" s="260" t="s">
        <v>148</v>
      </c>
      <c r="Q132" s="165" t="s">
        <v>148</v>
      </c>
      <c r="R132" s="165" t="s">
        <v>1960</v>
      </c>
      <c r="S132" s="175" t="s">
        <v>1961</v>
      </c>
      <c r="T132" s="353"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5"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82">
        <v>2</v>
      </c>
      <c r="CG132" s="165">
        <v>2</v>
      </c>
      <c r="CH132" s="165"/>
      <c r="CI132" s="165" t="s">
        <v>1819</v>
      </c>
    </row>
    <row r="133" spans="1:88" ht="24.95" customHeight="1">
      <c r="A133" s="165">
        <v>136</v>
      </c>
      <c r="B133" s="165" t="s">
        <v>1969</v>
      </c>
      <c r="C133" s="165" t="s">
        <v>1970</v>
      </c>
      <c r="D133" s="165" t="s">
        <v>1340</v>
      </c>
      <c r="E133" s="165" t="s">
        <v>1971</v>
      </c>
      <c r="F133" s="165" t="s">
        <v>23</v>
      </c>
      <c r="G133" s="165">
        <v>6</v>
      </c>
      <c r="H133" s="165" t="s">
        <v>49</v>
      </c>
      <c r="I133" s="165" t="s">
        <v>42</v>
      </c>
      <c r="J133" s="165" t="s">
        <v>1972</v>
      </c>
      <c r="K133" s="165" t="s">
        <v>1741</v>
      </c>
      <c r="L133" s="165" t="s">
        <v>40</v>
      </c>
      <c r="M133" s="165" t="s">
        <v>147</v>
      </c>
      <c r="N133" s="165" t="s">
        <v>1973</v>
      </c>
      <c r="O133" s="251" t="s">
        <v>148</v>
      </c>
      <c r="P133" s="252" t="s">
        <v>148</v>
      </c>
      <c r="Q133" s="165" t="s">
        <v>148</v>
      </c>
      <c r="R133" s="165" t="s">
        <v>1974</v>
      </c>
      <c r="S133" s="165" t="s">
        <v>1975</v>
      </c>
      <c r="T133" s="352"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82">
        <v>2</v>
      </c>
      <c r="CG133" s="165">
        <v>2</v>
      </c>
      <c r="CH133" s="165"/>
      <c r="CI133" s="165" t="s">
        <v>1819</v>
      </c>
    </row>
    <row r="134" spans="1:88" ht="24.95" customHeight="1">
      <c r="A134" s="165">
        <v>137</v>
      </c>
      <c r="B134" s="165" t="s">
        <v>1983</v>
      </c>
      <c r="C134" s="165" t="s">
        <v>1984</v>
      </c>
      <c r="D134" s="165"/>
      <c r="E134" s="165" t="s">
        <v>1985</v>
      </c>
      <c r="F134" s="165" t="s">
        <v>23</v>
      </c>
      <c r="G134" s="165">
        <v>6</v>
      </c>
      <c r="H134" s="165" t="s">
        <v>50</v>
      </c>
      <c r="I134" s="165" t="s">
        <v>28</v>
      </c>
      <c r="J134" s="165" t="s">
        <v>1741</v>
      </c>
      <c r="K134" s="165" t="s">
        <v>1742</v>
      </c>
      <c r="L134" s="165" t="s">
        <v>28</v>
      </c>
      <c r="M134" s="165" t="s">
        <v>147</v>
      </c>
      <c r="N134" s="165">
        <v>136414</v>
      </c>
      <c r="O134" s="251" t="s">
        <v>148</v>
      </c>
      <c r="P134" s="252" t="s">
        <v>148</v>
      </c>
      <c r="Q134" s="165" t="s">
        <v>148</v>
      </c>
      <c r="R134" s="165" t="s">
        <v>1986</v>
      </c>
      <c r="S134" s="165" t="s">
        <v>1987</v>
      </c>
      <c r="T134" s="352"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82">
        <v>1</v>
      </c>
      <c r="CG134" s="165">
        <v>2</v>
      </c>
      <c r="CH134" s="165"/>
      <c r="CI134" s="165" t="s">
        <v>1819</v>
      </c>
    </row>
    <row r="135" spans="1:88" s="53" customFormat="1" ht="24.95" customHeight="1">
      <c r="A135" s="165">
        <v>138</v>
      </c>
      <c r="B135" s="165" t="s">
        <v>1994</v>
      </c>
      <c r="C135" s="165" t="s">
        <v>1995</v>
      </c>
      <c r="D135" s="165" t="s">
        <v>1996</v>
      </c>
      <c r="E135" s="165" t="s">
        <v>1997</v>
      </c>
      <c r="F135" s="165" t="s">
        <v>24</v>
      </c>
      <c r="G135" s="165">
        <v>6</v>
      </c>
      <c r="H135" s="165" t="s">
        <v>50</v>
      </c>
      <c r="I135" s="165" t="s">
        <v>35</v>
      </c>
      <c r="J135" s="165" t="s">
        <v>599</v>
      </c>
      <c r="K135" s="165" t="s">
        <v>287</v>
      </c>
      <c r="L135" s="165" t="s">
        <v>35</v>
      </c>
      <c r="M135" s="165" t="s">
        <v>147</v>
      </c>
      <c r="N135" s="165" t="s">
        <v>1998</v>
      </c>
      <c r="O135" s="251" t="s">
        <v>148</v>
      </c>
      <c r="P135" s="252" t="s">
        <v>148</v>
      </c>
      <c r="Q135" s="165" t="s">
        <v>148</v>
      </c>
      <c r="R135" s="165" t="s">
        <v>1999</v>
      </c>
      <c r="S135" s="165" t="s">
        <v>2000</v>
      </c>
      <c r="T135" s="352"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82">
        <v>3</v>
      </c>
      <c r="CG135" s="165">
        <v>3</v>
      </c>
      <c r="CH135" s="165"/>
      <c r="CI135" s="165" t="s">
        <v>1819</v>
      </c>
      <c r="CJ135"/>
    </row>
    <row r="136" spans="1:88" s="53" customFormat="1" ht="24.95" customHeight="1">
      <c r="A136" s="165">
        <v>139</v>
      </c>
      <c r="B136" s="165" t="s">
        <v>2007</v>
      </c>
      <c r="C136" s="165" t="s">
        <v>2008</v>
      </c>
      <c r="D136" s="165"/>
      <c r="E136" s="165" t="s">
        <v>2009</v>
      </c>
      <c r="F136" s="165" t="s">
        <v>24</v>
      </c>
      <c r="G136" s="165">
        <v>6</v>
      </c>
      <c r="H136" s="165" t="s">
        <v>51</v>
      </c>
      <c r="I136" s="165" t="s">
        <v>39</v>
      </c>
      <c r="J136" s="165" t="s">
        <v>2010</v>
      </c>
      <c r="K136" s="165" t="s">
        <v>2011</v>
      </c>
      <c r="L136" s="165" t="s">
        <v>41</v>
      </c>
      <c r="M136" s="165" t="s">
        <v>160</v>
      </c>
      <c r="N136" s="165">
        <v>1586122</v>
      </c>
      <c r="O136" s="251" t="s">
        <v>148</v>
      </c>
      <c r="P136" s="252" t="s">
        <v>148</v>
      </c>
      <c r="Q136" s="165" t="s">
        <v>148</v>
      </c>
      <c r="R136" s="165" t="s">
        <v>2012</v>
      </c>
      <c r="S136" s="165" t="s">
        <v>2013</v>
      </c>
      <c r="T136" s="352"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82">
        <v>2</v>
      </c>
      <c r="CG136" s="165">
        <v>2</v>
      </c>
      <c r="CH136" s="165"/>
      <c r="CI136" s="165" t="s">
        <v>806</v>
      </c>
      <c r="CJ136"/>
    </row>
    <row r="137" spans="1:88" s="53" customFormat="1" ht="24.95" customHeight="1">
      <c r="A137" s="165">
        <v>140</v>
      </c>
      <c r="B137" s="165" t="s">
        <v>2022</v>
      </c>
      <c r="C137" s="165" t="s">
        <v>626</v>
      </c>
      <c r="D137" s="165" t="s">
        <v>2023</v>
      </c>
      <c r="E137" s="165" t="s">
        <v>2024</v>
      </c>
      <c r="F137" s="165" t="s">
        <v>24</v>
      </c>
      <c r="G137" s="165">
        <v>6</v>
      </c>
      <c r="H137" s="165" t="s">
        <v>48</v>
      </c>
      <c r="I137" s="165" t="s">
        <v>38</v>
      </c>
      <c r="J137" s="165" t="s">
        <v>2025</v>
      </c>
      <c r="K137" s="165" t="s">
        <v>2026</v>
      </c>
      <c r="L137" s="165" t="s">
        <v>38</v>
      </c>
      <c r="M137" s="165" t="s">
        <v>147</v>
      </c>
      <c r="N137" s="165" t="s">
        <v>2027</v>
      </c>
      <c r="O137" s="251" t="s">
        <v>148</v>
      </c>
      <c r="P137" s="252" t="s">
        <v>148</v>
      </c>
      <c r="Q137" s="165" t="s">
        <v>148</v>
      </c>
      <c r="R137" s="165" t="s">
        <v>2028</v>
      </c>
      <c r="S137" s="165" t="s">
        <v>2029</v>
      </c>
      <c r="T137" s="352"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82">
        <v>3</v>
      </c>
      <c r="CG137" s="165">
        <v>3</v>
      </c>
      <c r="CH137" s="165"/>
      <c r="CI137" s="165" t="s">
        <v>806</v>
      </c>
      <c r="CJ137"/>
    </row>
    <row r="138" spans="1:88" s="53" customFormat="1" ht="24.95" customHeight="1">
      <c r="A138" s="165">
        <v>141</v>
      </c>
      <c r="B138" s="165" t="s">
        <v>2037</v>
      </c>
      <c r="C138" s="165" t="s">
        <v>2038</v>
      </c>
      <c r="D138" s="165" t="s">
        <v>2039</v>
      </c>
      <c r="E138" s="165" t="s">
        <v>2040</v>
      </c>
      <c r="F138" s="165" t="s">
        <v>24</v>
      </c>
      <c r="G138" s="165">
        <v>6</v>
      </c>
      <c r="H138" s="165" t="s">
        <v>54</v>
      </c>
      <c r="I138" s="165" t="s">
        <v>41</v>
      </c>
      <c r="J138" s="165" t="s">
        <v>2041</v>
      </c>
      <c r="K138" s="165" t="s">
        <v>2042</v>
      </c>
      <c r="L138" s="165" t="s">
        <v>41</v>
      </c>
      <c r="M138" s="165" t="s">
        <v>147</v>
      </c>
      <c r="N138" s="165">
        <v>781183</v>
      </c>
      <c r="O138" s="251" t="s">
        <v>148</v>
      </c>
      <c r="P138" s="252" t="s">
        <v>148</v>
      </c>
      <c r="Q138" s="165" t="s">
        <v>148</v>
      </c>
      <c r="R138" s="165" t="s">
        <v>2043</v>
      </c>
      <c r="S138" s="165" t="s">
        <v>2044</v>
      </c>
      <c r="T138" s="353"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82">
        <v>3</v>
      </c>
      <c r="CG138" s="165">
        <v>3</v>
      </c>
      <c r="CH138" s="165"/>
      <c r="CI138" s="165" t="s">
        <v>806</v>
      </c>
      <c r="CJ138"/>
    </row>
    <row r="139" spans="1:88" s="53" customFormat="1" ht="24.95" customHeight="1">
      <c r="A139" s="165">
        <v>142</v>
      </c>
      <c r="B139" s="165" t="s">
        <v>2054</v>
      </c>
      <c r="C139" s="165" t="s">
        <v>2055</v>
      </c>
      <c r="D139" s="165" t="s">
        <v>2056</v>
      </c>
      <c r="E139" s="165" t="s">
        <v>2057</v>
      </c>
      <c r="F139" s="165" t="s">
        <v>24</v>
      </c>
      <c r="G139" s="165">
        <v>6</v>
      </c>
      <c r="H139" s="165" t="s">
        <v>50</v>
      </c>
      <c r="I139" s="165" t="s">
        <v>35</v>
      </c>
      <c r="J139" s="165" t="s">
        <v>1418</v>
      </c>
      <c r="K139" s="165" t="s">
        <v>1489</v>
      </c>
      <c r="L139" s="165" t="s">
        <v>35</v>
      </c>
      <c r="M139" s="165" t="s">
        <v>147</v>
      </c>
      <c r="N139" s="165" t="s">
        <v>2058</v>
      </c>
      <c r="O139" s="251" t="s">
        <v>148</v>
      </c>
      <c r="P139" s="252" t="s">
        <v>148</v>
      </c>
      <c r="Q139" s="165"/>
      <c r="R139" s="165" t="s">
        <v>2059</v>
      </c>
      <c r="S139" s="165" t="s">
        <v>2060</v>
      </c>
      <c r="T139" s="352" t="s">
        <v>2061</v>
      </c>
      <c r="U139" s="166" t="s">
        <v>2062</v>
      </c>
      <c r="V139" s="166">
        <v>29550</v>
      </c>
      <c r="W139" s="172" t="s">
        <v>2063</v>
      </c>
      <c r="X139" s="172" t="s">
        <v>176</v>
      </c>
      <c r="Y139" s="172" t="s">
        <v>160</v>
      </c>
      <c r="Z139" s="172" t="s">
        <v>155</v>
      </c>
      <c r="AA139" s="165">
        <v>19</v>
      </c>
      <c r="AB139" s="166">
        <v>41908</v>
      </c>
      <c r="AC139" s="287">
        <v>42430</v>
      </c>
      <c r="AD139" s="166"/>
      <c r="AE139" s="253" t="s">
        <v>2064</v>
      </c>
      <c r="AF139" s="313"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82">
        <v>1</v>
      </c>
      <c r="CG139" s="165">
        <v>1</v>
      </c>
      <c r="CH139" s="165"/>
      <c r="CI139" s="165" t="s">
        <v>806</v>
      </c>
      <c r="CJ139"/>
    </row>
    <row r="140" spans="1:88" s="53" customFormat="1" ht="24.95" customHeight="1">
      <c r="A140" s="165">
        <v>143</v>
      </c>
      <c r="B140" s="165" t="s">
        <v>2068</v>
      </c>
      <c r="C140" s="165" t="s">
        <v>2069</v>
      </c>
      <c r="D140" s="165" t="s">
        <v>2070</v>
      </c>
      <c r="E140" s="165" t="s">
        <v>2071</v>
      </c>
      <c r="F140" s="165" t="s">
        <v>24</v>
      </c>
      <c r="G140" s="165">
        <v>6</v>
      </c>
      <c r="H140" s="165" t="s">
        <v>48</v>
      </c>
      <c r="I140" s="165" t="s">
        <v>38</v>
      </c>
      <c r="J140" s="165" t="s">
        <v>2072</v>
      </c>
      <c r="K140" s="165" t="s">
        <v>2073</v>
      </c>
      <c r="L140" s="165" t="s">
        <v>38</v>
      </c>
      <c r="M140" s="165" t="s">
        <v>147</v>
      </c>
      <c r="N140" s="165" t="s">
        <v>2074</v>
      </c>
      <c r="O140" s="251" t="s">
        <v>148</v>
      </c>
      <c r="P140" s="252" t="s">
        <v>148</v>
      </c>
      <c r="Q140" s="165" t="s">
        <v>148</v>
      </c>
      <c r="R140" s="165" t="s">
        <v>2075</v>
      </c>
      <c r="S140" s="165" t="s">
        <v>2076</v>
      </c>
      <c r="T140" s="352"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82">
        <v>2</v>
      </c>
      <c r="CG140" s="165">
        <v>2</v>
      </c>
      <c r="CH140" s="165"/>
      <c r="CI140" s="165" t="s">
        <v>1311</v>
      </c>
      <c r="CJ140"/>
    </row>
    <row r="141" spans="1:88" s="53" customFormat="1" ht="24.95" customHeight="1">
      <c r="A141" s="165">
        <v>144</v>
      </c>
      <c r="B141" s="165" t="s">
        <v>2088</v>
      </c>
      <c r="C141" s="165" t="s">
        <v>2089</v>
      </c>
      <c r="D141" s="165" t="s">
        <v>2090</v>
      </c>
      <c r="E141" s="165" t="s">
        <v>2091</v>
      </c>
      <c r="F141" s="165" t="s">
        <v>24</v>
      </c>
      <c r="G141" s="165">
        <v>6</v>
      </c>
      <c r="H141" s="165" t="s">
        <v>50</v>
      </c>
      <c r="I141" s="165" t="s">
        <v>28</v>
      </c>
      <c r="J141" s="165" t="s">
        <v>599</v>
      </c>
      <c r="K141" s="165"/>
      <c r="L141" s="165" t="s">
        <v>41</v>
      </c>
      <c r="M141" s="165" t="s">
        <v>160</v>
      </c>
      <c r="N141" s="165" t="s">
        <v>2092</v>
      </c>
      <c r="O141" s="251" t="s">
        <v>148</v>
      </c>
      <c r="P141" s="252" t="s">
        <v>148</v>
      </c>
      <c r="Q141" s="165"/>
      <c r="R141" s="165" t="s">
        <v>2093</v>
      </c>
      <c r="S141" s="175" t="s">
        <v>2094</v>
      </c>
      <c r="T141" s="353"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8">
        <v>43675</v>
      </c>
      <c r="BE141" s="318" t="s">
        <v>160</v>
      </c>
      <c r="BF141" s="318"/>
      <c r="BG141" s="318"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82">
        <v>2</v>
      </c>
      <c r="CG141" s="165"/>
      <c r="CH141" s="165"/>
      <c r="CI141" s="165" t="s">
        <v>806</v>
      </c>
      <c r="CJ141"/>
    </row>
    <row r="142" spans="1:88" s="53" customFormat="1" ht="24.95" customHeight="1">
      <c r="A142" s="165">
        <v>145</v>
      </c>
      <c r="B142" s="165" t="s">
        <v>2100</v>
      </c>
      <c r="C142" s="165" t="s">
        <v>2101</v>
      </c>
      <c r="D142" s="165" t="s">
        <v>2102</v>
      </c>
      <c r="E142" s="165" t="s">
        <v>2103</v>
      </c>
      <c r="F142" s="165" t="s">
        <v>24</v>
      </c>
      <c r="G142" s="165">
        <v>6</v>
      </c>
      <c r="H142" s="165" t="s">
        <v>54</v>
      </c>
      <c r="I142" s="165" t="s">
        <v>41</v>
      </c>
      <c r="J142" s="165" t="s">
        <v>2104</v>
      </c>
      <c r="K142" s="165" t="s">
        <v>599</v>
      </c>
      <c r="L142" s="165" t="s">
        <v>41</v>
      </c>
      <c r="M142" s="165" t="s">
        <v>147</v>
      </c>
      <c r="N142" s="165" t="s">
        <v>2105</v>
      </c>
      <c r="O142" s="251" t="s">
        <v>148</v>
      </c>
      <c r="P142" s="252" t="s">
        <v>148</v>
      </c>
      <c r="Q142" s="165" t="s">
        <v>148</v>
      </c>
      <c r="R142" s="175" t="s">
        <v>2106</v>
      </c>
      <c r="S142" s="165" t="s">
        <v>2107</v>
      </c>
      <c r="T142" s="352"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82">
        <v>2</v>
      </c>
      <c r="CG142" s="165">
        <v>2</v>
      </c>
      <c r="CH142" s="165"/>
      <c r="CI142" s="165" t="s">
        <v>806</v>
      </c>
      <c r="CJ142"/>
    </row>
    <row r="143" spans="1:88" s="53" customFormat="1" ht="24.95" customHeight="1">
      <c r="A143" s="165">
        <v>146</v>
      </c>
      <c r="B143" s="165" t="s">
        <v>2117</v>
      </c>
      <c r="C143" s="165" t="s">
        <v>2118</v>
      </c>
      <c r="D143" s="165" t="s">
        <v>2119</v>
      </c>
      <c r="E143" s="165" t="s">
        <v>2120</v>
      </c>
      <c r="F143" s="165" t="s">
        <v>24</v>
      </c>
      <c r="G143" s="165">
        <v>6</v>
      </c>
      <c r="H143" s="165" t="s">
        <v>55</v>
      </c>
      <c r="I143" s="165" t="s">
        <v>36</v>
      </c>
      <c r="J143" s="165" t="s">
        <v>2121</v>
      </c>
      <c r="K143" s="165" t="s">
        <v>2122</v>
      </c>
      <c r="L143" s="165" t="s">
        <v>37</v>
      </c>
      <c r="M143" s="165" t="s">
        <v>160</v>
      </c>
      <c r="N143" s="165" t="s">
        <v>2123</v>
      </c>
      <c r="O143" s="251" t="s">
        <v>148</v>
      </c>
      <c r="P143" s="252" t="s">
        <v>148</v>
      </c>
      <c r="Q143" s="165"/>
      <c r="R143" s="165" t="s">
        <v>2124</v>
      </c>
      <c r="S143" s="165" t="s">
        <v>2125</v>
      </c>
      <c r="T143" s="353"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82"/>
      <c r="CG143" s="165"/>
      <c r="CH143" s="165"/>
      <c r="CI143" s="165" t="s">
        <v>1819</v>
      </c>
      <c r="CJ143"/>
    </row>
    <row r="144" spans="1:88" ht="24.95" customHeight="1">
      <c r="A144" s="91">
        <v>147</v>
      </c>
      <c r="B144" s="91" t="s">
        <v>2133</v>
      </c>
      <c r="C144" s="91" t="s">
        <v>2134</v>
      </c>
      <c r="D144" s="91" t="s">
        <v>2135</v>
      </c>
      <c r="E144" s="91" t="s">
        <v>2136</v>
      </c>
      <c r="F144" s="91" t="s">
        <v>23</v>
      </c>
      <c r="G144" s="91">
        <v>6</v>
      </c>
      <c r="H144" s="91" t="s">
        <v>48</v>
      </c>
      <c r="I144" s="91" t="s">
        <v>33</v>
      </c>
      <c r="J144" s="91" t="s">
        <v>2137</v>
      </c>
      <c r="K144" s="91" t="s">
        <v>2138</v>
      </c>
      <c r="L144" s="91" t="s">
        <v>41</v>
      </c>
      <c r="M144" s="91" t="s">
        <v>160</v>
      </c>
      <c r="N144" s="91" t="s">
        <v>165</v>
      </c>
      <c r="O144" s="91" t="s">
        <v>165</v>
      </c>
      <c r="P144" s="91" t="s">
        <v>165</v>
      </c>
      <c r="Q144" s="91" t="s">
        <v>165</v>
      </c>
      <c r="R144" s="91" t="s">
        <v>2139</v>
      </c>
      <c r="S144" s="91" t="s">
        <v>2140</v>
      </c>
      <c r="T144" s="344"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customHeight="1">
      <c r="A145" s="178">
        <v>148</v>
      </c>
      <c r="B145" s="178" t="s">
        <v>2142</v>
      </c>
      <c r="C145" s="178" t="s">
        <v>2143</v>
      </c>
      <c r="D145" s="178" t="s">
        <v>2144</v>
      </c>
      <c r="E145" s="178" t="s">
        <v>2145</v>
      </c>
      <c r="F145" s="178" t="s">
        <v>24</v>
      </c>
      <c r="G145" s="178">
        <v>7</v>
      </c>
      <c r="H145" s="178" t="s">
        <v>54</v>
      </c>
      <c r="I145" s="178" t="s">
        <v>41</v>
      </c>
      <c r="J145" s="178" t="s">
        <v>2146</v>
      </c>
      <c r="K145" s="178" t="s">
        <v>1778</v>
      </c>
      <c r="L145" s="178" t="s">
        <v>41</v>
      </c>
      <c r="M145" s="178" t="s">
        <v>147</v>
      </c>
      <c r="N145" s="178">
        <v>530939</v>
      </c>
      <c r="O145" s="178" t="s">
        <v>319</v>
      </c>
      <c r="P145" s="178" t="s">
        <v>319</v>
      </c>
      <c r="Q145" s="178" t="s">
        <v>319</v>
      </c>
      <c r="R145" s="390" t="s">
        <v>2147</v>
      </c>
      <c r="S145" s="178" t="s">
        <v>2148</v>
      </c>
      <c r="T145" s="354"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6"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3">
        <v>1</v>
      </c>
      <c r="CG145" s="178"/>
      <c r="CH145" s="178"/>
      <c r="CI145" s="178" t="s">
        <v>1819</v>
      </c>
      <c r="CJ145"/>
    </row>
    <row r="146" spans="1:88" s="53" customFormat="1" ht="24.95" customHeight="1">
      <c r="A146" s="178">
        <v>149</v>
      </c>
      <c r="B146" s="178" t="s">
        <v>2158</v>
      </c>
      <c r="C146" s="178" t="s">
        <v>2159</v>
      </c>
      <c r="D146" s="178" t="s">
        <v>20</v>
      </c>
      <c r="E146" s="178" t="s">
        <v>2160</v>
      </c>
      <c r="F146" s="178" t="s">
        <v>23</v>
      </c>
      <c r="G146" s="178">
        <v>7</v>
      </c>
      <c r="H146" s="178" t="s">
        <v>56</v>
      </c>
      <c r="I146" s="178" t="s">
        <v>31</v>
      </c>
      <c r="J146" s="178" t="s">
        <v>933</v>
      </c>
      <c r="K146" s="178" t="s">
        <v>2161</v>
      </c>
      <c r="L146" s="178" t="s">
        <v>41</v>
      </c>
      <c r="M146" s="178" t="s">
        <v>160</v>
      </c>
      <c r="N146" s="178">
        <v>1834444</v>
      </c>
      <c r="O146" s="178" t="s">
        <v>319</v>
      </c>
      <c r="P146" s="178" t="s">
        <v>319</v>
      </c>
      <c r="Q146" s="178" t="s">
        <v>319</v>
      </c>
      <c r="R146" s="178" t="s">
        <v>2162</v>
      </c>
      <c r="S146" s="185" t="s">
        <v>2163</v>
      </c>
      <c r="T146" s="355"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6"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3">
        <v>0</v>
      </c>
      <c r="CG146" s="178">
        <v>0</v>
      </c>
      <c r="CH146" s="178"/>
      <c r="CI146" s="178" t="s">
        <v>1819</v>
      </c>
      <c r="CJ146"/>
    </row>
    <row r="147" spans="1:88" s="53" customFormat="1" ht="24.95" customHeight="1">
      <c r="A147" s="178">
        <v>150</v>
      </c>
      <c r="B147" s="178" t="s">
        <v>2173</v>
      </c>
      <c r="C147" s="178" t="s">
        <v>2174</v>
      </c>
      <c r="D147" s="178" t="s">
        <v>2175</v>
      </c>
      <c r="E147" s="178" t="s">
        <v>2176</v>
      </c>
      <c r="F147" s="178" t="s">
        <v>24</v>
      </c>
      <c r="G147" s="178">
        <v>7</v>
      </c>
      <c r="H147" s="178" t="s">
        <v>50</v>
      </c>
      <c r="I147" s="178" t="s">
        <v>35</v>
      </c>
      <c r="J147" s="178" t="s">
        <v>1418</v>
      </c>
      <c r="K147" s="178" t="s">
        <v>2177</v>
      </c>
      <c r="L147" s="178" t="s">
        <v>35</v>
      </c>
      <c r="M147" s="178" t="s">
        <v>147</v>
      </c>
      <c r="N147" s="178" t="s">
        <v>2178</v>
      </c>
      <c r="O147" s="178" t="s">
        <v>148</v>
      </c>
      <c r="P147" s="178" t="s">
        <v>148</v>
      </c>
      <c r="Q147" s="178" t="s">
        <v>148</v>
      </c>
      <c r="R147" s="178" t="s">
        <v>2179</v>
      </c>
      <c r="S147" s="390" t="s">
        <v>2180</v>
      </c>
      <c r="T147" s="354" t="s">
        <v>2181</v>
      </c>
      <c r="U147" s="179" t="s">
        <v>2182</v>
      </c>
      <c r="V147" s="179">
        <v>26823</v>
      </c>
      <c r="W147" s="187" t="s">
        <v>2183</v>
      </c>
      <c r="X147" s="187" t="s">
        <v>176</v>
      </c>
      <c r="Y147" s="187" t="s">
        <v>160</v>
      </c>
      <c r="Z147" s="187"/>
      <c r="AA147" s="178"/>
      <c r="AB147" s="179">
        <v>42458</v>
      </c>
      <c r="AC147" s="288">
        <v>42795</v>
      </c>
      <c r="AD147" s="179"/>
      <c r="AE147" s="314"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6"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3">
        <v>3</v>
      </c>
      <c r="CG147" s="178">
        <v>3</v>
      </c>
      <c r="CH147" s="178"/>
      <c r="CI147" s="178" t="s">
        <v>1819</v>
      </c>
      <c r="CJ147"/>
    </row>
    <row r="148" spans="1:88" s="53" customFormat="1" ht="24.95" customHeight="1">
      <c r="A148" s="178">
        <v>151</v>
      </c>
      <c r="B148" s="178" t="s">
        <v>2188</v>
      </c>
      <c r="C148" s="178" t="s">
        <v>2189</v>
      </c>
      <c r="D148" s="178" t="s">
        <v>2190</v>
      </c>
      <c r="E148" s="178" t="s">
        <v>2191</v>
      </c>
      <c r="F148" s="178" t="s">
        <v>24</v>
      </c>
      <c r="G148" s="178">
        <v>7</v>
      </c>
      <c r="H148" s="178" t="s">
        <v>49</v>
      </c>
      <c r="I148" s="178" t="s">
        <v>42</v>
      </c>
      <c r="J148" s="178" t="s">
        <v>2192</v>
      </c>
      <c r="K148" s="178" t="s">
        <v>2138</v>
      </c>
      <c r="L148" s="178" t="s">
        <v>41</v>
      </c>
      <c r="M148" s="178" t="s">
        <v>160</v>
      </c>
      <c r="N148" s="178">
        <v>1487823</v>
      </c>
      <c r="O148" s="178" t="s">
        <v>148</v>
      </c>
      <c r="P148" s="178" t="s">
        <v>148</v>
      </c>
      <c r="Q148" s="178" t="s">
        <v>148</v>
      </c>
      <c r="R148" s="178" t="s">
        <v>2193</v>
      </c>
      <c r="S148" s="390" t="s">
        <v>2194</v>
      </c>
      <c r="T148" s="354" t="s">
        <v>2195</v>
      </c>
      <c r="U148" s="179" t="s">
        <v>2196</v>
      </c>
      <c r="V148" s="179">
        <v>30105</v>
      </c>
      <c r="W148" s="187" t="s">
        <v>2197</v>
      </c>
      <c r="X148" s="187" t="s">
        <v>176</v>
      </c>
      <c r="Y148" s="187" t="s">
        <v>160</v>
      </c>
      <c r="Z148" s="187"/>
      <c r="AA148" s="178">
        <v>18</v>
      </c>
      <c r="AB148" s="179">
        <v>42855</v>
      </c>
      <c r="AC148" s="288">
        <v>42795</v>
      </c>
      <c r="AD148" s="179"/>
      <c r="AE148" s="179" t="s">
        <v>2167</v>
      </c>
      <c r="AF148" s="316" t="s">
        <v>2198</v>
      </c>
      <c r="AG148" s="316" t="s">
        <v>2199</v>
      </c>
      <c r="AH148" s="178">
        <f t="shared" si="33"/>
        <v>3</v>
      </c>
      <c r="AI148" s="179" t="s">
        <v>159</v>
      </c>
      <c r="AJ148" s="179"/>
      <c r="AK148" s="179"/>
      <c r="AL148" s="179" t="s">
        <v>160</v>
      </c>
      <c r="AM148" s="179"/>
      <c r="AN148" s="179"/>
      <c r="AO148" s="179" t="s">
        <v>179</v>
      </c>
      <c r="AP148" s="178" t="s">
        <v>590</v>
      </c>
      <c r="AQ148" s="179" t="s">
        <v>2200</v>
      </c>
      <c r="AR148" s="179"/>
      <c r="AS148" s="179"/>
      <c r="AT148" s="426"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3">
        <v>2</v>
      </c>
      <c r="CG148" s="178">
        <v>2</v>
      </c>
      <c r="CH148" s="178"/>
      <c r="CI148" s="178" t="s">
        <v>1819</v>
      </c>
      <c r="CJ148"/>
    </row>
    <row r="149" spans="1:88" s="53" customFormat="1" ht="24.95" customHeight="1">
      <c r="A149" s="178">
        <v>152</v>
      </c>
      <c r="B149" s="178" t="s">
        <v>2204</v>
      </c>
      <c r="C149" s="178" t="s">
        <v>1472</v>
      </c>
      <c r="D149" s="178"/>
      <c r="E149" s="178" t="s">
        <v>2205</v>
      </c>
      <c r="F149" s="178" t="s">
        <v>23</v>
      </c>
      <c r="G149" s="178">
        <v>7</v>
      </c>
      <c r="H149" s="178" t="s">
        <v>51</v>
      </c>
      <c r="I149" s="178" t="s">
        <v>39</v>
      </c>
      <c r="J149" s="178" t="s">
        <v>221</v>
      </c>
      <c r="K149" s="178" t="s">
        <v>2206</v>
      </c>
      <c r="L149" s="178" t="s">
        <v>31</v>
      </c>
      <c r="M149" s="178" t="s">
        <v>160</v>
      </c>
      <c r="N149" s="178"/>
      <c r="O149" s="178" t="s">
        <v>148</v>
      </c>
      <c r="P149" s="178" t="s">
        <v>148</v>
      </c>
      <c r="Q149" s="178"/>
      <c r="R149" s="178" t="s">
        <v>2207</v>
      </c>
      <c r="S149" s="390" t="s">
        <v>2208</v>
      </c>
      <c r="T149" s="355" t="s">
        <v>2209</v>
      </c>
      <c r="U149" s="189" t="s">
        <v>2210</v>
      </c>
      <c r="V149" s="179">
        <v>30296</v>
      </c>
      <c r="W149" s="187" t="s">
        <v>2211</v>
      </c>
      <c r="X149" s="187" t="s">
        <v>176</v>
      </c>
      <c r="Y149" s="187"/>
      <c r="Z149" s="187"/>
      <c r="AA149" s="178"/>
      <c r="AB149" s="179">
        <v>42916</v>
      </c>
      <c r="AC149" s="288">
        <v>42795</v>
      </c>
      <c r="AD149" s="179"/>
      <c r="AE149" s="179" t="s">
        <v>2212</v>
      </c>
      <c r="AF149" s="316" t="s">
        <v>2213</v>
      </c>
      <c r="AG149" s="316"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6"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3">
        <v>3</v>
      </c>
      <c r="CG149" s="178"/>
      <c r="CH149" s="178"/>
      <c r="CI149" s="178" t="s">
        <v>2217</v>
      </c>
      <c r="CJ149"/>
    </row>
    <row r="150" spans="1:88" s="53" customFormat="1" ht="24.95" customHeight="1">
      <c r="A150" s="178">
        <v>153</v>
      </c>
      <c r="B150" s="178" t="s">
        <v>2218</v>
      </c>
      <c r="C150" s="178" t="s">
        <v>2219</v>
      </c>
      <c r="D150" s="178" t="s">
        <v>2220</v>
      </c>
      <c r="E150" s="178" t="s">
        <v>2221</v>
      </c>
      <c r="F150" s="178" t="s">
        <v>24</v>
      </c>
      <c r="G150" s="178">
        <v>7</v>
      </c>
      <c r="H150" s="178" t="s">
        <v>48</v>
      </c>
      <c r="I150" s="178" t="s">
        <v>38</v>
      </c>
      <c r="J150" s="178" t="s">
        <v>2222</v>
      </c>
      <c r="K150" s="178" t="s">
        <v>2223</v>
      </c>
      <c r="L150" s="178" t="s">
        <v>38</v>
      </c>
      <c r="M150" s="178" t="s">
        <v>147</v>
      </c>
      <c r="N150" s="178">
        <v>10127492016</v>
      </c>
      <c r="O150" s="178" t="s">
        <v>148</v>
      </c>
      <c r="P150" s="178" t="s">
        <v>148</v>
      </c>
      <c r="Q150" s="178" t="s">
        <v>148</v>
      </c>
      <c r="R150" s="178" t="s">
        <v>2224</v>
      </c>
      <c r="S150" s="178" t="s">
        <v>2225</v>
      </c>
      <c r="T150" s="354"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6"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3">
        <v>5</v>
      </c>
      <c r="CG150" s="178">
        <v>5</v>
      </c>
      <c r="CH150" s="178"/>
      <c r="CI150" s="178" t="s">
        <v>2217</v>
      </c>
      <c r="CJ150"/>
    </row>
    <row r="151" spans="1:88" s="53" customFormat="1" ht="24.95" customHeight="1">
      <c r="A151" s="178">
        <v>154</v>
      </c>
      <c r="B151" s="178" t="s">
        <v>2236</v>
      </c>
      <c r="C151" s="178" t="s">
        <v>1848</v>
      </c>
      <c r="D151" s="178" t="s">
        <v>2237</v>
      </c>
      <c r="E151" s="178" t="s">
        <v>2238</v>
      </c>
      <c r="F151" s="178" t="s">
        <v>24</v>
      </c>
      <c r="G151" s="178">
        <v>7</v>
      </c>
      <c r="H151" s="178" t="s">
        <v>50</v>
      </c>
      <c r="I151" s="178" t="s">
        <v>28</v>
      </c>
      <c r="J151" s="178" t="s">
        <v>599</v>
      </c>
      <c r="K151" s="178" t="s">
        <v>2239</v>
      </c>
      <c r="L151" s="178" t="s">
        <v>28</v>
      </c>
      <c r="M151" s="178" t="s">
        <v>147</v>
      </c>
      <c r="N151" s="178">
        <v>1706</v>
      </c>
      <c r="O151" s="178" t="s">
        <v>148</v>
      </c>
      <c r="P151" s="178" t="s">
        <v>148</v>
      </c>
      <c r="Q151" s="178" t="s">
        <v>148</v>
      </c>
      <c r="R151" s="178" t="s">
        <v>2240</v>
      </c>
      <c r="S151" s="390" t="s">
        <v>2241</v>
      </c>
      <c r="T151" s="355"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6"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3">
        <v>4</v>
      </c>
      <c r="CG151" s="178">
        <v>4</v>
      </c>
      <c r="CH151" s="178"/>
      <c r="CI151" s="178" t="s">
        <v>1819</v>
      </c>
      <c r="CJ151"/>
    </row>
    <row r="152" spans="1:88" s="53" customFormat="1" ht="24.95" customHeight="1">
      <c r="A152" s="178">
        <v>155</v>
      </c>
      <c r="B152" s="178" t="s">
        <v>2249</v>
      </c>
      <c r="C152" s="178" t="s">
        <v>2250</v>
      </c>
      <c r="D152" s="178" t="s">
        <v>2251</v>
      </c>
      <c r="E152" s="178" t="s">
        <v>2252</v>
      </c>
      <c r="F152" s="178" t="s">
        <v>24</v>
      </c>
      <c r="G152" s="178">
        <v>7</v>
      </c>
      <c r="H152" s="178" t="s">
        <v>49</v>
      </c>
      <c r="I152" s="178" t="s">
        <v>42</v>
      </c>
      <c r="J152" s="178" t="s">
        <v>599</v>
      </c>
      <c r="K152" s="178" t="s">
        <v>599</v>
      </c>
      <c r="L152" s="178" t="s">
        <v>41</v>
      </c>
      <c r="M152" s="178" t="s">
        <v>160</v>
      </c>
      <c r="N152" s="178">
        <v>1746377</v>
      </c>
      <c r="O152" s="178" t="s">
        <v>148</v>
      </c>
      <c r="P152" s="178" t="s">
        <v>148</v>
      </c>
      <c r="Q152" s="178"/>
      <c r="R152" s="185" t="s">
        <v>2253</v>
      </c>
      <c r="S152" s="178" t="s">
        <v>2254</v>
      </c>
      <c r="T152" s="355"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6"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3">
        <v>2</v>
      </c>
      <c r="CG152" s="178"/>
      <c r="CH152" s="178"/>
      <c r="CI152" s="178" t="s">
        <v>806</v>
      </c>
      <c r="CJ152"/>
    </row>
    <row r="153" spans="1:88" s="53" customFormat="1" ht="24.95" customHeight="1">
      <c r="A153" s="178">
        <v>156</v>
      </c>
      <c r="B153" s="178" t="s">
        <v>2265</v>
      </c>
      <c r="C153" s="178" t="s">
        <v>2266</v>
      </c>
      <c r="D153" s="178" t="s">
        <v>2267</v>
      </c>
      <c r="E153" s="178" t="s">
        <v>2268</v>
      </c>
      <c r="F153" s="178" t="s">
        <v>23</v>
      </c>
      <c r="G153" s="178">
        <v>7</v>
      </c>
      <c r="H153" s="178" t="s">
        <v>49</v>
      </c>
      <c r="I153" s="178" t="s">
        <v>42</v>
      </c>
      <c r="J153" s="178" t="s">
        <v>2269</v>
      </c>
      <c r="K153" s="178" t="s">
        <v>2270</v>
      </c>
      <c r="L153" s="178" t="s">
        <v>40</v>
      </c>
      <c r="M153" s="178" t="s">
        <v>147</v>
      </c>
      <c r="N153" s="186" t="s">
        <v>2271</v>
      </c>
      <c r="O153" s="178" t="s">
        <v>148</v>
      </c>
      <c r="P153" s="178" t="s">
        <v>148</v>
      </c>
      <c r="Q153" s="178" t="s">
        <v>148</v>
      </c>
      <c r="R153" s="178" t="s">
        <v>2272</v>
      </c>
      <c r="S153" s="390" t="s">
        <v>2273</v>
      </c>
      <c r="T153" s="355"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6"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3">
        <v>3</v>
      </c>
      <c r="CG153" s="178">
        <v>3</v>
      </c>
      <c r="CH153" s="178"/>
      <c r="CI153" s="178" t="s">
        <v>1819</v>
      </c>
      <c r="CJ153"/>
    </row>
    <row r="154" spans="1:88" s="53" customFormat="1" ht="24.95" customHeight="1">
      <c r="A154" s="91">
        <v>157</v>
      </c>
      <c r="B154" s="91" t="s">
        <v>2283</v>
      </c>
      <c r="C154" s="91" t="s">
        <v>2284</v>
      </c>
      <c r="D154" s="91" t="s">
        <v>2285</v>
      </c>
      <c r="E154" s="91" t="s">
        <v>2286</v>
      </c>
      <c r="F154" s="91" t="s">
        <v>24</v>
      </c>
      <c r="G154" s="91">
        <v>7</v>
      </c>
      <c r="H154" s="91" t="s">
        <v>48</v>
      </c>
      <c r="I154" s="91" t="s">
        <v>38</v>
      </c>
      <c r="J154" s="91" t="s">
        <v>2287</v>
      </c>
      <c r="K154" s="91" t="s">
        <v>2288</v>
      </c>
      <c r="L154" s="91" t="s">
        <v>38</v>
      </c>
      <c r="M154" s="91" t="s">
        <v>147</v>
      </c>
      <c r="N154" s="91"/>
      <c r="O154" s="91" t="s">
        <v>148</v>
      </c>
      <c r="P154" s="91" t="s">
        <v>148</v>
      </c>
      <c r="Q154" s="91"/>
      <c r="R154" s="91" t="s">
        <v>2289</v>
      </c>
      <c r="S154" s="91" t="s">
        <v>2290</v>
      </c>
      <c r="T154" s="344"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6"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customHeight="1">
      <c r="A155" s="178">
        <v>158</v>
      </c>
      <c r="B155" s="178" t="s">
        <v>2295</v>
      </c>
      <c r="C155" s="178" t="s">
        <v>2296</v>
      </c>
      <c r="D155" s="178" t="s">
        <v>2297</v>
      </c>
      <c r="E155" s="178" t="s">
        <v>2298</v>
      </c>
      <c r="F155" s="178" t="s">
        <v>24</v>
      </c>
      <c r="G155" s="178">
        <v>7</v>
      </c>
      <c r="H155" s="178" t="s">
        <v>48</v>
      </c>
      <c r="I155" s="178" t="s">
        <v>33</v>
      </c>
      <c r="J155" s="178" t="s">
        <v>2299</v>
      </c>
      <c r="K155" s="178" t="s">
        <v>2300</v>
      </c>
      <c r="L155" s="178" t="s">
        <v>33</v>
      </c>
      <c r="M155" s="178" t="s">
        <v>160</v>
      </c>
      <c r="N155" s="178" t="s">
        <v>2301</v>
      </c>
      <c r="O155" s="178" t="s">
        <v>319</v>
      </c>
      <c r="P155" s="178" t="s">
        <v>319</v>
      </c>
      <c r="Q155" s="178" t="s">
        <v>319</v>
      </c>
      <c r="R155" s="178" t="s">
        <v>2302</v>
      </c>
      <c r="S155" s="178" t="s">
        <v>2303</v>
      </c>
      <c r="T155" s="355" t="s">
        <v>2304</v>
      </c>
      <c r="U155" s="179" t="s">
        <v>2305</v>
      </c>
      <c r="V155" s="179">
        <v>29754</v>
      </c>
      <c r="W155" s="187" t="s">
        <v>2306</v>
      </c>
      <c r="X155" s="187" t="s">
        <v>176</v>
      </c>
      <c r="Y155" s="187" t="s">
        <v>160</v>
      </c>
      <c r="Z155" s="187"/>
      <c r="AA155" s="178"/>
      <c r="AB155" s="179">
        <v>42856</v>
      </c>
      <c r="AC155" s="288">
        <v>42795</v>
      </c>
      <c r="AD155" s="179"/>
      <c r="AE155" s="179" t="s">
        <v>2307</v>
      </c>
      <c r="AF155" s="316"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6"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3">
        <v>0</v>
      </c>
      <c r="CG155" s="178"/>
      <c r="CH155" s="178"/>
      <c r="CI155" s="178" t="s">
        <v>2217</v>
      </c>
      <c r="CJ155"/>
    </row>
    <row r="156" spans="1:88" s="53" customFormat="1" ht="24.95" customHeight="1">
      <c r="A156" s="178">
        <v>159</v>
      </c>
      <c r="B156" s="178" t="s">
        <v>2313</v>
      </c>
      <c r="C156" s="178" t="s">
        <v>2314</v>
      </c>
      <c r="D156" s="178" t="s">
        <v>2315</v>
      </c>
      <c r="E156" s="178" t="s">
        <v>2316</v>
      </c>
      <c r="F156" s="178" t="s">
        <v>24</v>
      </c>
      <c r="G156" s="178">
        <v>7</v>
      </c>
      <c r="H156" s="178" t="s">
        <v>50</v>
      </c>
      <c r="I156" s="178" t="s">
        <v>28</v>
      </c>
      <c r="J156" s="178" t="s">
        <v>2317</v>
      </c>
      <c r="K156" s="178" t="s">
        <v>2318</v>
      </c>
      <c r="L156" s="178" t="s">
        <v>28</v>
      </c>
      <c r="M156" s="178" t="s">
        <v>147</v>
      </c>
      <c r="N156" s="178"/>
      <c r="O156" s="178" t="s">
        <v>148</v>
      </c>
      <c r="P156" s="178" t="s">
        <v>148</v>
      </c>
      <c r="Q156" s="178" t="s">
        <v>148</v>
      </c>
      <c r="R156" s="178" t="s">
        <v>2319</v>
      </c>
      <c r="S156" s="178" t="s">
        <v>2320</v>
      </c>
      <c r="T156" s="355"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6"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3">
        <v>4</v>
      </c>
      <c r="CG156" s="178">
        <v>4</v>
      </c>
      <c r="CH156" s="178"/>
      <c r="CI156" s="178" t="s">
        <v>1819</v>
      </c>
      <c r="CJ156"/>
    </row>
    <row r="157" spans="1:88" s="53" customFormat="1" ht="24.95" customHeight="1">
      <c r="A157" s="178">
        <v>160</v>
      </c>
      <c r="B157" s="178" t="s">
        <v>2328</v>
      </c>
      <c r="C157" s="178" t="s">
        <v>2329</v>
      </c>
      <c r="D157" s="178" t="s">
        <v>2330</v>
      </c>
      <c r="E157" s="178" t="s">
        <v>2331</v>
      </c>
      <c r="F157" s="178" t="s">
        <v>24</v>
      </c>
      <c r="G157" s="178">
        <v>7</v>
      </c>
      <c r="H157" s="178" t="s">
        <v>50</v>
      </c>
      <c r="I157" s="178" t="s">
        <v>35</v>
      </c>
      <c r="J157" s="178" t="s">
        <v>436</v>
      </c>
      <c r="K157" s="178" t="s">
        <v>436</v>
      </c>
      <c r="L157" s="178" t="s">
        <v>35</v>
      </c>
      <c r="M157" s="178" t="s">
        <v>147</v>
      </c>
      <c r="N157" s="178" t="s">
        <v>2332</v>
      </c>
      <c r="O157" s="178" t="s">
        <v>148</v>
      </c>
      <c r="P157" s="178" t="s">
        <v>148</v>
      </c>
      <c r="Q157" s="178" t="s">
        <v>148</v>
      </c>
      <c r="R157" s="178" t="s">
        <v>2333</v>
      </c>
      <c r="S157" s="178" t="s">
        <v>2334</v>
      </c>
      <c r="T157" s="355"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6"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3">
        <v>2</v>
      </c>
      <c r="CG157" s="178">
        <v>2</v>
      </c>
      <c r="CH157" s="178"/>
      <c r="CI157" s="178" t="s">
        <v>1819</v>
      </c>
      <c r="CJ157"/>
    </row>
    <row r="158" spans="1:88" ht="24.95" customHeight="1">
      <c r="A158" s="91">
        <v>161</v>
      </c>
      <c r="B158" s="91" t="s">
        <v>2343</v>
      </c>
      <c r="C158" s="91" t="s">
        <v>2344</v>
      </c>
      <c r="D158" s="91" t="s">
        <v>2345</v>
      </c>
      <c r="E158" s="91" t="s">
        <v>2346</v>
      </c>
      <c r="F158" s="91" t="s">
        <v>23</v>
      </c>
      <c r="G158" s="91">
        <v>7</v>
      </c>
      <c r="H158" s="91" t="s">
        <v>48</v>
      </c>
      <c r="I158" s="91" t="s">
        <v>34</v>
      </c>
      <c r="J158" s="91" t="s">
        <v>2347</v>
      </c>
      <c r="K158" s="91" t="s">
        <v>2348</v>
      </c>
      <c r="L158" s="91" t="s">
        <v>41</v>
      </c>
      <c r="M158" s="91" t="s">
        <v>160</v>
      </c>
      <c r="N158" s="91"/>
      <c r="O158" s="91" t="s">
        <v>148</v>
      </c>
      <c r="P158" s="91" t="s">
        <v>148</v>
      </c>
      <c r="Q158" s="91"/>
      <c r="R158" s="194" t="s">
        <v>2349</v>
      </c>
      <c r="S158" s="194" t="s">
        <v>2350</v>
      </c>
      <c r="T158" s="344"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6"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customHeight="1">
      <c r="A159" s="178">
        <v>162</v>
      </c>
      <c r="B159" s="178" t="s">
        <v>2356</v>
      </c>
      <c r="C159" s="178" t="s">
        <v>916</v>
      </c>
      <c r="D159" s="178" t="s">
        <v>2357</v>
      </c>
      <c r="E159" s="178" t="s">
        <v>2358</v>
      </c>
      <c r="F159" s="178" t="s">
        <v>24</v>
      </c>
      <c r="G159" s="178">
        <v>7</v>
      </c>
      <c r="H159" s="178" t="s">
        <v>54</v>
      </c>
      <c r="I159" s="178" t="s">
        <v>41</v>
      </c>
      <c r="J159" s="178" t="s">
        <v>919</v>
      </c>
      <c r="K159" s="178" t="s">
        <v>599</v>
      </c>
      <c r="L159" s="178" t="s">
        <v>41</v>
      </c>
      <c r="M159" s="178" t="s">
        <v>160</v>
      </c>
      <c r="N159" s="178">
        <v>1512734</v>
      </c>
      <c r="O159" s="178" t="s">
        <v>148</v>
      </c>
      <c r="P159" s="178" t="s">
        <v>148</v>
      </c>
      <c r="Q159" s="178"/>
      <c r="R159" s="178" t="s">
        <v>2359</v>
      </c>
      <c r="S159" s="178" t="s">
        <v>2360</v>
      </c>
      <c r="T159" s="355"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6"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3">
        <v>3</v>
      </c>
      <c r="CG159" s="178"/>
      <c r="CH159" s="178"/>
      <c r="CI159" s="178" t="s">
        <v>806</v>
      </c>
      <c r="CJ159"/>
    </row>
    <row r="160" spans="1:88" s="53" customFormat="1" ht="24.95" customHeight="1">
      <c r="A160" s="178">
        <v>163</v>
      </c>
      <c r="B160" s="178" t="s">
        <v>2368</v>
      </c>
      <c r="C160" s="178" t="s">
        <v>2369</v>
      </c>
      <c r="D160" s="178" t="s">
        <v>2370</v>
      </c>
      <c r="E160" s="178" t="s">
        <v>1789</v>
      </c>
      <c r="F160" s="178" t="s">
        <v>24</v>
      </c>
      <c r="G160" s="178">
        <v>7</v>
      </c>
      <c r="H160" s="178" t="s">
        <v>48</v>
      </c>
      <c r="I160" s="178" t="s">
        <v>38</v>
      </c>
      <c r="J160" s="178" t="s">
        <v>2371</v>
      </c>
      <c r="K160" s="178" t="s">
        <v>2372</v>
      </c>
      <c r="L160" s="178" t="s">
        <v>41</v>
      </c>
      <c r="M160" s="178" t="s">
        <v>160</v>
      </c>
      <c r="N160" s="178">
        <v>2012904</v>
      </c>
      <c r="O160" s="178" t="s">
        <v>148</v>
      </c>
      <c r="P160" s="178" t="s">
        <v>148</v>
      </c>
      <c r="Q160" s="178"/>
      <c r="R160" s="178" t="s">
        <v>2373</v>
      </c>
      <c r="S160" s="178" t="s">
        <v>2374</v>
      </c>
      <c r="T160" s="354"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6"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3">
        <v>1</v>
      </c>
      <c r="CG160" s="178"/>
      <c r="CH160" s="178"/>
      <c r="CI160" s="178" t="s">
        <v>1311</v>
      </c>
      <c r="CJ160"/>
    </row>
    <row r="161" spans="1:88" s="53" customFormat="1" ht="24.95" customHeight="1">
      <c r="A161" s="178">
        <v>164</v>
      </c>
      <c r="B161" s="178" t="s">
        <v>2381</v>
      </c>
      <c r="C161" s="178" t="s">
        <v>2382</v>
      </c>
      <c r="D161" s="178" t="s">
        <v>554</v>
      </c>
      <c r="E161" s="178" t="s">
        <v>2383</v>
      </c>
      <c r="F161" s="178" t="s">
        <v>24</v>
      </c>
      <c r="G161" s="178">
        <v>7</v>
      </c>
      <c r="H161" s="178" t="s">
        <v>55</v>
      </c>
      <c r="I161" s="178" t="s">
        <v>36</v>
      </c>
      <c r="J161" s="178" t="s">
        <v>599</v>
      </c>
      <c r="K161" s="178" t="s">
        <v>599</v>
      </c>
      <c r="L161" s="178" t="s">
        <v>41</v>
      </c>
      <c r="M161" s="178" t="s">
        <v>160</v>
      </c>
      <c r="N161" s="178" t="s">
        <v>2384</v>
      </c>
      <c r="O161" s="178" t="s">
        <v>319</v>
      </c>
      <c r="P161" s="178" t="s">
        <v>319</v>
      </c>
      <c r="Q161" s="178" t="s">
        <v>319</v>
      </c>
      <c r="R161" s="178" t="s">
        <v>2385</v>
      </c>
      <c r="S161" s="390" t="s">
        <v>2386</v>
      </c>
      <c r="T161" s="355"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6"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3">
        <v>4</v>
      </c>
      <c r="CG161" s="178">
        <v>4</v>
      </c>
      <c r="CH161" s="178"/>
      <c r="CI161" s="178" t="s">
        <v>806</v>
      </c>
      <c r="CJ161"/>
    </row>
    <row r="162" spans="1:88" s="53" customFormat="1" ht="24.95" customHeight="1">
      <c r="A162" s="178">
        <v>165</v>
      </c>
      <c r="B162" s="178" t="s">
        <v>2393</v>
      </c>
      <c r="C162" s="178" t="s">
        <v>2394</v>
      </c>
      <c r="D162" s="178" t="s">
        <v>2395</v>
      </c>
      <c r="E162" s="178" t="s">
        <v>2396</v>
      </c>
      <c r="F162" s="178" t="s">
        <v>24</v>
      </c>
      <c r="G162" s="178">
        <v>7</v>
      </c>
      <c r="H162" s="178" t="s">
        <v>49</v>
      </c>
      <c r="I162" s="178" t="s">
        <v>42</v>
      </c>
      <c r="J162" s="178" t="s">
        <v>1112</v>
      </c>
      <c r="K162" s="178" t="s">
        <v>2397</v>
      </c>
      <c r="L162" s="178" t="s">
        <v>41</v>
      </c>
      <c r="M162" s="178" t="s">
        <v>160</v>
      </c>
      <c r="N162" s="178">
        <v>2083454</v>
      </c>
      <c r="O162" s="178" t="s">
        <v>148</v>
      </c>
      <c r="P162" s="178" t="s">
        <v>148</v>
      </c>
      <c r="Q162" s="178" t="s">
        <v>148</v>
      </c>
      <c r="R162" s="178" t="s">
        <v>2398</v>
      </c>
      <c r="S162" s="178" t="s">
        <v>2399</v>
      </c>
      <c r="T162" s="354"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6"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3">
        <v>2</v>
      </c>
      <c r="CG162" s="178"/>
      <c r="CH162" s="178"/>
      <c r="CI162" s="178" t="s">
        <v>806</v>
      </c>
      <c r="CJ162"/>
    </row>
    <row r="163" spans="1:88" s="53" customFormat="1" ht="24.95" customHeight="1">
      <c r="A163" s="178">
        <v>166</v>
      </c>
      <c r="B163" s="178" t="s">
        <v>2410</v>
      </c>
      <c r="C163" s="178" t="s">
        <v>2411</v>
      </c>
      <c r="D163" s="178" t="s">
        <v>20</v>
      </c>
      <c r="E163" s="178" t="s">
        <v>2412</v>
      </c>
      <c r="F163" s="178" t="s">
        <v>24</v>
      </c>
      <c r="G163" s="178">
        <v>7</v>
      </c>
      <c r="H163" s="178" t="s">
        <v>51</v>
      </c>
      <c r="I163" s="178" t="s">
        <v>39</v>
      </c>
      <c r="J163" s="178" t="s">
        <v>1418</v>
      </c>
      <c r="K163" s="178" t="s">
        <v>1418</v>
      </c>
      <c r="L163" s="178" t="s">
        <v>41</v>
      </c>
      <c r="M163" s="178" t="s">
        <v>160</v>
      </c>
      <c r="N163" s="178">
        <v>1760159</v>
      </c>
      <c r="O163" s="178" t="s">
        <v>148</v>
      </c>
      <c r="P163" s="178" t="s">
        <v>148</v>
      </c>
      <c r="Q163" s="178" t="s">
        <v>148</v>
      </c>
      <c r="R163" s="178" t="s">
        <v>2413</v>
      </c>
      <c r="S163" s="178" t="s">
        <v>2414</v>
      </c>
      <c r="T163" s="355"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6"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3">
        <v>3</v>
      </c>
      <c r="CG163" s="178">
        <v>3</v>
      </c>
      <c r="CH163" s="178"/>
      <c r="CI163" s="178" t="s">
        <v>806</v>
      </c>
      <c r="CJ163"/>
    </row>
    <row r="164" spans="1:88" s="53" customFormat="1" ht="24.95" customHeight="1">
      <c r="A164" s="178">
        <v>167</v>
      </c>
      <c r="B164" s="178" t="s">
        <v>2423</v>
      </c>
      <c r="C164" s="178" t="s">
        <v>2424</v>
      </c>
      <c r="D164" s="178" t="s">
        <v>2425</v>
      </c>
      <c r="E164" s="178" t="s">
        <v>2425</v>
      </c>
      <c r="F164" s="178" t="s">
        <v>24</v>
      </c>
      <c r="G164" s="178">
        <v>7</v>
      </c>
      <c r="H164" s="178" t="s">
        <v>51</v>
      </c>
      <c r="I164" s="178" t="s">
        <v>39</v>
      </c>
      <c r="J164" s="178" t="s">
        <v>599</v>
      </c>
      <c r="K164" s="178" t="s">
        <v>599</v>
      </c>
      <c r="L164" s="178" t="s">
        <v>41</v>
      </c>
      <c r="M164" s="178" t="s">
        <v>160</v>
      </c>
      <c r="N164" s="178">
        <v>1941393</v>
      </c>
      <c r="O164" s="178" t="s">
        <v>148</v>
      </c>
      <c r="P164" s="178" t="s">
        <v>148</v>
      </c>
      <c r="Q164" s="178" t="s">
        <v>148</v>
      </c>
      <c r="R164" s="178" t="s">
        <v>2426</v>
      </c>
      <c r="S164" s="178" t="s">
        <v>2427</v>
      </c>
      <c r="T164" s="355"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6"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3">
        <v>2</v>
      </c>
      <c r="CG164" s="178"/>
      <c r="CH164" s="178"/>
      <c r="CI164" s="178" t="s">
        <v>806</v>
      </c>
      <c r="CJ164"/>
    </row>
    <row r="165" spans="1:88" s="53" customFormat="1" ht="24.95" customHeight="1">
      <c r="A165" s="178">
        <v>168</v>
      </c>
      <c r="B165" s="178" t="s">
        <v>2437</v>
      </c>
      <c r="C165" s="178" t="s">
        <v>2438</v>
      </c>
      <c r="D165" s="178" t="s">
        <v>1739</v>
      </c>
      <c r="E165" s="178" t="s">
        <v>2439</v>
      </c>
      <c r="F165" s="178" t="s">
        <v>23</v>
      </c>
      <c r="G165" s="178">
        <v>7</v>
      </c>
      <c r="H165" s="178" t="s">
        <v>50</v>
      </c>
      <c r="I165" s="178" t="s">
        <v>35</v>
      </c>
      <c r="J165" s="178" t="s">
        <v>1898</v>
      </c>
      <c r="K165" s="178" t="s">
        <v>2440</v>
      </c>
      <c r="L165" s="178" t="s">
        <v>35</v>
      </c>
      <c r="M165" s="178" t="s">
        <v>147</v>
      </c>
      <c r="N165" s="178" t="s">
        <v>2441</v>
      </c>
      <c r="O165" s="178" t="s">
        <v>148</v>
      </c>
      <c r="P165" s="178" t="s">
        <v>148</v>
      </c>
      <c r="Q165" s="178" t="s">
        <v>148</v>
      </c>
      <c r="R165" s="178" t="s">
        <v>2442</v>
      </c>
      <c r="S165" s="178" t="s">
        <v>2443</v>
      </c>
      <c r="T165" s="355"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6"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3">
        <v>1</v>
      </c>
      <c r="CG165" s="178">
        <v>3</v>
      </c>
      <c r="CH165" s="178"/>
      <c r="CI165" s="178" t="s">
        <v>806</v>
      </c>
      <c r="CJ165"/>
    </row>
    <row r="166" spans="1:88" s="53" customFormat="1" ht="24.95" customHeight="1">
      <c r="A166" s="178">
        <v>169</v>
      </c>
      <c r="B166" s="178" t="s">
        <v>2449</v>
      </c>
      <c r="C166" s="178" t="s">
        <v>972</v>
      </c>
      <c r="D166" s="178" t="s">
        <v>2450</v>
      </c>
      <c r="E166" s="178" t="s">
        <v>2451</v>
      </c>
      <c r="F166" s="178" t="s">
        <v>24</v>
      </c>
      <c r="G166" s="178">
        <v>7</v>
      </c>
      <c r="H166" s="178" t="s">
        <v>50</v>
      </c>
      <c r="I166" s="178" t="s">
        <v>28</v>
      </c>
      <c r="J166" s="178" t="s">
        <v>2239</v>
      </c>
      <c r="K166" s="178" t="s">
        <v>1112</v>
      </c>
      <c r="L166" s="178" t="s">
        <v>28</v>
      </c>
      <c r="M166" s="178" t="s">
        <v>147</v>
      </c>
      <c r="N166" s="178" t="s">
        <v>2452</v>
      </c>
      <c r="O166" s="178" t="s">
        <v>148</v>
      </c>
      <c r="P166" s="178" t="s">
        <v>148</v>
      </c>
      <c r="Q166" s="178"/>
      <c r="R166" s="178" t="s">
        <v>2453</v>
      </c>
      <c r="S166" s="178" t="s">
        <v>2454</v>
      </c>
      <c r="T166" s="355"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6"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3">
        <v>3</v>
      </c>
      <c r="CG166" s="178">
        <v>3</v>
      </c>
      <c r="CH166" s="178"/>
      <c r="CI166" s="178" t="s">
        <v>806</v>
      </c>
      <c r="CJ166"/>
    </row>
    <row r="167" spans="1:88" s="53" customFormat="1" ht="24.95" customHeight="1">
      <c r="A167" s="178">
        <v>170</v>
      </c>
      <c r="B167" s="178" t="s">
        <v>2459</v>
      </c>
      <c r="C167" s="178" t="s">
        <v>2460</v>
      </c>
      <c r="D167" s="178" t="s">
        <v>2461</v>
      </c>
      <c r="E167" s="178" t="s">
        <v>2462</v>
      </c>
      <c r="F167" s="178" t="s">
        <v>23</v>
      </c>
      <c r="G167" s="178">
        <v>7</v>
      </c>
      <c r="H167" s="178" t="s">
        <v>50</v>
      </c>
      <c r="I167" s="178" t="s">
        <v>35</v>
      </c>
      <c r="J167" s="178" t="s">
        <v>2463</v>
      </c>
      <c r="K167" s="178" t="s">
        <v>2464</v>
      </c>
      <c r="L167" s="178" t="s">
        <v>35</v>
      </c>
      <c r="M167" s="178" t="s">
        <v>147</v>
      </c>
      <c r="N167" s="178"/>
      <c r="O167" s="178" t="s">
        <v>148</v>
      </c>
      <c r="P167" s="178" t="s">
        <v>148</v>
      </c>
      <c r="Q167" s="178"/>
      <c r="R167" s="178" t="s">
        <v>2465</v>
      </c>
      <c r="S167" s="178" t="s">
        <v>2466</v>
      </c>
      <c r="T167" s="355"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6"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3"/>
      <c r="CG167" s="178"/>
      <c r="CH167" s="178"/>
      <c r="CI167" s="178" t="s">
        <v>806</v>
      </c>
      <c r="CJ167"/>
    </row>
    <row r="168" spans="1:88" s="53" customFormat="1" ht="24.95" customHeight="1">
      <c r="A168" s="178">
        <v>171</v>
      </c>
      <c r="B168" s="178" t="s">
        <v>2473</v>
      </c>
      <c r="C168" s="178" t="s">
        <v>2474</v>
      </c>
      <c r="D168" s="178" t="s">
        <v>2475</v>
      </c>
      <c r="E168" s="178" t="s">
        <v>2476</v>
      </c>
      <c r="F168" s="178" t="s">
        <v>24</v>
      </c>
      <c r="G168" s="178">
        <v>7</v>
      </c>
      <c r="H168" s="178" t="s">
        <v>50</v>
      </c>
      <c r="I168" s="178" t="s">
        <v>28</v>
      </c>
      <c r="J168" s="178" t="s">
        <v>2477</v>
      </c>
      <c r="K168" s="178" t="s">
        <v>2478</v>
      </c>
      <c r="L168" s="178" t="s">
        <v>28</v>
      </c>
      <c r="M168" s="178" t="s">
        <v>147</v>
      </c>
      <c r="N168" s="178">
        <v>155101</v>
      </c>
      <c r="O168" s="178" t="s">
        <v>148</v>
      </c>
      <c r="P168" s="178" t="s">
        <v>148</v>
      </c>
      <c r="Q168" s="178" t="s">
        <v>148</v>
      </c>
      <c r="R168" s="178" t="s">
        <v>2479</v>
      </c>
      <c r="S168" s="185" t="s">
        <v>2480</v>
      </c>
      <c r="T168" s="355" t="s">
        <v>2481</v>
      </c>
      <c r="U168" s="179"/>
      <c r="V168" s="179">
        <v>27214</v>
      </c>
      <c r="W168" s="187" t="s">
        <v>2482</v>
      </c>
      <c r="X168" s="187" t="s">
        <v>153</v>
      </c>
      <c r="Y168" s="187"/>
      <c r="Z168" s="187"/>
      <c r="AA168" s="178"/>
      <c r="AB168" s="179">
        <v>42307</v>
      </c>
      <c r="AC168" s="288">
        <v>42795</v>
      </c>
      <c r="AD168" s="179"/>
      <c r="AE168" s="179" t="s">
        <v>2483</v>
      </c>
      <c r="AF168" s="316"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6"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3">
        <v>4</v>
      </c>
      <c r="CG168" s="178">
        <v>4</v>
      </c>
      <c r="CH168" s="178"/>
      <c r="CI168" s="178" t="s">
        <v>806</v>
      </c>
      <c r="CJ168"/>
    </row>
    <row r="169" spans="1:88" s="53" customFormat="1" ht="24.95" customHeight="1">
      <c r="A169" s="178">
        <v>172</v>
      </c>
      <c r="B169" s="178" t="s">
        <v>2487</v>
      </c>
      <c r="C169" s="178" t="s">
        <v>2488</v>
      </c>
      <c r="D169" s="178" t="s">
        <v>2489</v>
      </c>
      <c r="E169" s="178" t="s">
        <v>2490</v>
      </c>
      <c r="F169" s="178" t="s">
        <v>23</v>
      </c>
      <c r="G169" s="178">
        <v>7</v>
      </c>
      <c r="H169" s="178" t="s">
        <v>56</v>
      </c>
      <c r="I169" s="178" t="s">
        <v>31</v>
      </c>
      <c r="J169" s="178" t="s">
        <v>474</v>
      </c>
      <c r="K169" s="178" t="s">
        <v>919</v>
      </c>
      <c r="L169" s="178" t="s">
        <v>38</v>
      </c>
      <c r="M169" s="178" t="s">
        <v>160</v>
      </c>
      <c r="N169" s="178" t="s">
        <v>2491</v>
      </c>
      <c r="O169" s="178" t="s">
        <v>148</v>
      </c>
      <c r="P169" s="178" t="s">
        <v>148</v>
      </c>
      <c r="Q169" s="178" t="s">
        <v>148</v>
      </c>
      <c r="R169" s="178" t="s">
        <v>2492</v>
      </c>
      <c r="S169" s="178" t="s">
        <v>2493</v>
      </c>
      <c r="T169" s="354"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6"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3">
        <v>1</v>
      </c>
      <c r="CG169" s="178">
        <v>2</v>
      </c>
      <c r="CH169" s="178"/>
      <c r="CI169" s="178" t="s">
        <v>1311</v>
      </c>
      <c r="CJ169"/>
    </row>
    <row r="170" spans="1:88" s="53" customFormat="1" ht="24.95" customHeight="1">
      <c r="A170" s="178">
        <v>173</v>
      </c>
      <c r="B170" s="178" t="s">
        <v>2503</v>
      </c>
      <c r="C170" s="178" t="s">
        <v>2504</v>
      </c>
      <c r="D170" s="178" t="s">
        <v>2505</v>
      </c>
      <c r="E170" s="178" t="s">
        <v>2506</v>
      </c>
      <c r="F170" s="178" t="s">
        <v>24</v>
      </c>
      <c r="G170" s="178">
        <v>7</v>
      </c>
      <c r="H170" s="178" t="s">
        <v>54</v>
      </c>
      <c r="I170" s="178" t="s">
        <v>41</v>
      </c>
      <c r="J170" s="178" t="s">
        <v>2507</v>
      </c>
      <c r="K170" s="178" t="s">
        <v>2507</v>
      </c>
      <c r="L170" s="178" t="s">
        <v>41</v>
      </c>
      <c r="M170" s="178" t="s">
        <v>147</v>
      </c>
      <c r="N170" s="178" t="s">
        <v>2508</v>
      </c>
      <c r="O170" s="178" t="s">
        <v>148</v>
      </c>
      <c r="P170" s="178" t="s">
        <v>148</v>
      </c>
      <c r="Q170" s="178" t="s">
        <v>148</v>
      </c>
      <c r="R170" s="178" t="s">
        <v>2509</v>
      </c>
      <c r="S170" s="178" t="s">
        <v>2510</v>
      </c>
      <c r="T170" s="354" t="s">
        <v>2511</v>
      </c>
      <c r="U170" s="179"/>
      <c r="V170" s="179">
        <v>27576</v>
      </c>
      <c r="W170" s="187" t="s">
        <v>2512</v>
      </c>
      <c r="X170" s="187" t="s">
        <v>176</v>
      </c>
      <c r="Y170" s="187"/>
      <c r="Z170" s="187"/>
      <c r="AA170" s="178"/>
      <c r="AB170" s="179">
        <v>42769</v>
      </c>
      <c r="AC170" s="288">
        <v>42795</v>
      </c>
      <c r="AD170" s="179"/>
      <c r="AE170" s="179" t="s">
        <v>2513</v>
      </c>
      <c r="AF170" s="316" t="s">
        <v>2514</v>
      </c>
      <c r="AG170" s="179" t="s">
        <v>2514</v>
      </c>
      <c r="AH170" s="178">
        <f t="shared" si="43"/>
        <v>3</v>
      </c>
      <c r="AI170" s="179" t="s">
        <v>158</v>
      </c>
      <c r="AJ170" s="179"/>
      <c r="AK170" s="179"/>
      <c r="AL170" s="179" t="s">
        <v>160</v>
      </c>
      <c r="AM170" s="179"/>
      <c r="AN170" s="179"/>
      <c r="AO170" s="179" t="s">
        <v>161</v>
      </c>
      <c r="AP170" s="178" t="s">
        <v>200</v>
      </c>
      <c r="AQ170" s="179" t="s">
        <v>247</v>
      </c>
      <c r="AR170" s="179" t="s">
        <v>147</v>
      </c>
      <c r="AS170" s="179"/>
      <c r="AT170" s="426"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3">
        <v>3</v>
      </c>
      <c r="CG170" s="178">
        <v>3</v>
      </c>
      <c r="CH170" s="178"/>
      <c r="CI170" s="178" t="s">
        <v>806</v>
      </c>
      <c r="CJ170"/>
    </row>
    <row r="171" spans="1:88" ht="24.95" customHeight="1">
      <c r="A171" s="91">
        <v>174</v>
      </c>
      <c r="B171" s="91" t="s">
        <v>2518</v>
      </c>
      <c r="C171" s="91" t="s">
        <v>2519</v>
      </c>
      <c r="D171" s="91"/>
      <c r="E171" s="91" t="s">
        <v>2520</v>
      </c>
      <c r="F171" s="91" t="s">
        <v>23</v>
      </c>
      <c r="G171" s="91">
        <v>7</v>
      </c>
      <c r="H171" s="91" t="s">
        <v>51</v>
      </c>
      <c r="I171" s="91" t="s">
        <v>39</v>
      </c>
      <c r="J171" s="91" t="s">
        <v>2521</v>
      </c>
      <c r="K171" s="91" t="s">
        <v>2522</v>
      </c>
      <c r="L171" s="91" t="s">
        <v>31</v>
      </c>
      <c r="M171" s="91" t="s">
        <v>160</v>
      </c>
      <c r="N171" s="91" t="s">
        <v>165</v>
      </c>
      <c r="O171" s="91" t="s">
        <v>165</v>
      </c>
      <c r="P171" s="91" t="s">
        <v>165</v>
      </c>
      <c r="Q171" s="91" t="s">
        <v>165</v>
      </c>
      <c r="R171" s="91" t="s">
        <v>2523</v>
      </c>
      <c r="S171" s="91" t="s">
        <v>2524</v>
      </c>
      <c r="T171" s="344"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6"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customHeight="1">
      <c r="A172" s="136">
        <v>175</v>
      </c>
      <c r="B172" s="136" t="s">
        <v>2527</v>
      </c>
      <c r="C172" s="136" t="s">
        <v>2528</v>
      </c>
      <c r="D172" s="136"/>
      <c r="E172" s="136" t="s">
        <v>2529</v>
      </c>
      <c r="F172" s="136" t="s">
        <v>24</v>
      </c>
      <c r="G172" s="136">
        <v>8</v>
      </c>
      <c r="H172" s="136" t="s">
        <v>54</v>
      </c>
      <c r="I172" s="136" t="s">
        <v>41</v>
      </c>
      <c r="J172" s="136" t="s">
        <v>599</v>
      </c>
      <c r="K172" s="136" t="s">
        <v>2530</v>
      </c>
      <c r="L172" s="136" t="s">
        <v>41</v>
      </c>
      <c r="M172" s="136" t="s">
        <v>147</v>
      </c>
      <c r="N172" s="136"/>
      <c r="O172" s="136" t="s">
        <v>319</v>
      </c>
      <c r="P172" s="136" t="s">
        <v>319</v>
      </c>
      <c r="Q172" s="136"/>
      <c r="R172" s="393" t="s">
        <v>2531</v>
      </c>
      <c r="S172" s="145" t="s">
        <v>2532</v>
      </c>
      <c r="T172" s="348"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7"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80">
        <v>2</v>
      </c>
      <c r="CG172" s="136"/>
      <c r="CH172" s="136"/>
      <c r="CI172" s="136" t="s">
        <v>806</v>
      </c>
      <c r="CJ172"/>
    </row>
    <row r="173" spans="1:88" s="53" customFormat="1" ht="24.95" customHeight="1">
      <c r="A173" s="136">
        <v>176</v>
      </c>
      <c r="B173" s="136" t="s">
        <v>2544</v>
      </c>
      <c r="C173" s="136" t="s">
        <v>2545</v>
      </c>
      <c r="D173" s="136" t="s">
        <v>638</v>
      </c>
      <c r="E173" s="136" t="s">
        <v>2546</v>
      </c>
      <c r="F173" s="136" t="s">
        <v>23</v>
      </c>
      <c r="G173" s="136">
        <v>8</v>
      </c>
      <c r="H173" s="136" t="s">
        <v>50</v>
      </c>
      <c r="I173" s="136" t="s">
        <v>35</v>
      </c>
      <c r="J173" s="136" t="s">
        <v>599</v>
      </c>
      <c r="K173" s="136" t="s">
        <v>287</v>
      </c>
      <c r="L173" s="136" t="s">
        <v>41</v>
      </c>
      <c r="M173" s="136" t="s">
        <v>160</v>
      </c>
      <c r="N173" s="136"/>
      <c r="O173" s="136"/>
      <c r="P173" s="136" t="s">
        <v>148</v>
      </c>
      <c r="Q173" s="136" t="s">
        <v>148</v>
      </c>
      <c r="R173" s="136" t="s">
        <v>2547</v>
      </c>
      <c r="S173" s="136" t="s">
        <v>2548</v>
      </c>
      <c r="T173" s="349"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7"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80">
        <v>2</v>
      </c>
      <c r="CG173" s="136">
        <v>3</v>
      </c>
      <c r="CH173" s="136"/>
      <c r="CI173" s="136" t="s">
        <v>1819</v>
      </c>
      <c r="CJ173"/>
    </row>
    <row r="174" spans="1:88" s="53" customFormat="1" ht="24.95" customHeight="1">
      <c r="A174" s="136">
        <v>177</v>
      </c>
      <c r="B174" s="136" t="s">
        <v>2554</v>
      </c>
      <c r="C174" s="136" t="s">
        <v>2555</v>
      </c>
      <c r="D174" s="136"/>
      <c r="E174" s="136" t="s">
        <v>2556</v>
      </c>
      <c r="F174" s="136" t="s">
        <v>23</v>
      </c>
      <c r="G174" s="136">
        <v>8</v>
      </c>
      <c r="H174" s="136" t="s">
        <v>51</v>
      </c>
      <c r="I174" s="136" t="s">
        <v>39</v>
      </c>
      <c r="J174" s="136" t="s">
        <v>1140</v>
      </c>
      <c r="K174" s="136" t="s">
        <v>404</v>
      </c>
      <c r="L174" s="136" t="s">
        <v>39</v>
      </c>
      <c r="M174" s="136" t="s">
        <v>147</v>
      </c>
      <c r="N174" s="136"/>
      <c r="O174" s="136" t="s">
        <v>148</v>
      </c>
      <c r="P174" s="136" t="s">
        <v>148</v>
      </c>
      <c r="Q174" s="136"/>
      <c r="R174" s="136" t="s">
        <v>2557</v>
      </c>
      <c r="S174" s="136" t="s">
        <v>2558</v>
      </c>
      <c r="T174" s="348"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7"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80">
        <v>1</v>
      </c>
      <c r="CG174" s="136"/>
      <c r="CH174" s="136"/>
      <c r="CI174" s="136" t="s">
        <v>806</v>
      </c>
      <c r="CJ174"/>
    </row>
    <row r="175" spans="1:88" s="53" customFormat="1" ht="24.95" customHeight="1">
      <c r="A175" s="136">
        <v>178</v>
      </c>
      <c r="B175" s="136" t="s">
        <v>2567</v>
      </c>
      <c r="C175" s="136" t="s">
        <v>2568</v>
      </c>
      <c r="D175" s="136"/>
      <c r="E175" s="136" t="s">
        <v>2569</v>
      </c>
      <c r="F175" s="136" t="s">
        <v>24</v>
      </c>
      <c r="G175" s="136">
        <v>8</v>
      </c>
      <c r="H175" s="136" t="s">
        <v>51</v>
      </c>
      <c r="I175" s="136" t="s">
        <v>39</v>
      </c>
      <c r="J175" s="136" t="s">
        <v>2317</v>
      </c>
      <c r="K175" s="136" t="s">
        <v>2570</v>
      </c>
      <c r="L175" s="136" t="s">
        <v>41</v>
      </c>
      <c r="M175" s="136" t="s">
        <v>160</v>
      </c>
      <c r="N175" s="136"/>
      <c r="O175" s="136" t="s">
        <v>319</v>
      </c>
      <c r="P175" s="136" t="s">
        <v>148</v>
      </c>
      <c r="Q175" s="136"/>
      <c r="R175" s="136" t="s">
        <v>2571</v>
      </c>
      <c r="S175" s="136" t="s">
        <v>2572</v>
      </c>
      <c r="T175" s="348"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7"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80">
        <v>0</v>
      </c>
      <c r="CG175" s="136"/>
      <c r="CH175" s="136"/>
      <c r="CI175" s="136" t="s">
        <v>806</v>
      </c>
      <c r="CJ175"/>
    </row>
    <row r="176" spans="1:88" s="53" customFormat="1" ht="24.95" customHeight="1">
      <c r="A176" s="136">
        <v>179</v>
      </c>
      <c r="B176" s="136" t="s">
        <v>2580</v>
      </c>
      <c r="C176" s="136" t="s">
        <v>2581</v>
      </c>
      <c r="D176" s="136" t="s">
        <v>2582</v>
      </c>
      <c r="E176" s="136" t="s">
        <v>2583</v>
      </c>
      <c r="F176" s="136" t="s">
        <v>23</v>
      </c>
      <c r="G176" s="136">
        <v>8</v>
      </c>
      <c r="H176" s="136" t="s">
        <v>50</v>
      </c>
      <c r="I176" s="136" t="s">
        <v>35</v>
      </c>
      <c r="J176" s="136" t="s">
        <v>436</v>
      </c>
      <c r="K176" s="136" t="s">
        <v>436</v>
      </c>
      <c r="L176" s="136" t="s">
        <v>35</v>
      </c>
      <c r="M176" s="136" t="s">
        <v>147</v>
      </c>
      <c r="N176" s="136" t="s">
        <v>2584</v>
      </c>
      <c r="O176" s="136" t="s">
        <v>148</v>
      </c>
      <c r="P176" s="136" t="s">
        <v>148</v>
      </c>
      <c r="Q176" s="136" t="s">
        <v>148</v>
      </c>
      <c r="R176" s="136" t="s">
        <v>2585</v>
      </c>
      <c r="S176" s="136" t="s">
        <v>2586</v>
      </c>
      <c r="T176" s="348"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7"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80">
        <v>2</v>
      </c>
      <c r="CG176" s="136">
        <v>3</v>
      </c>
      <c r="CH176" s="136"/>
      <c r="CI176" s="136" t="s">
        <v>806</v>
      </c>
      <c r="CJ176"/>
    </row>
    <row r="177" spans="1:88" ht="24.95" customHeight="1">
      <c r="A177" s="91">
        <v>180</v>
      </c>
      <c r="B177" s="91" t="s">
        <v>2594</v>
      </c>
      <c r="C177" s="91" t="s">
        <v>2595</v>
      </c>
      <c r="D177" s="91"/>
      <c r="E177" s="91" t="s">
        <v>2596</v>
      </c>
      <c r="F177" s="91" t="s">
        <v>24</v>
      </c>
      <c r="G177" s="91">
        <v>8</v>
      </c>
      <c r="H177" s="91" t="s">
        <v>56</v>
      </c>
      <c r="I177" s="91" t="s">
        <v>31</v>
      </c>
      <c r="J177" s="91" t="s">
        <v>599</v>
      </c>
      <c r="K177" s="91" t="s">
        <v>1237</v>
      </c>
      <c r="L177" s="91" t="s">
        <v>31</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6"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customHeight="1">
      <c r="A178" s="136">
        <v>181</v>
      </c>
      <c r="B178" s="136" t="s">
        <v>2601</v>
      </c>
      <c r="C178" s="136" t="s">
        <v>2602</v>
      </c>
      <c r="D178" s="136" t="s">
        <v>2603</v>
      </c>
      <c r="E178" s="136" t="s">
        <v>2604</v>
      </c>
      <c r="F178" s="136" t="s">
        <v>23</v>
      </c>
      <c r="G178" s="136">
        <v>8</v>
      </c>
      <c r="H178" s="136" t="s">
        <v>48</v>
      </c>
      <c r="I178" s="136" t="s">
        <v>38</v>
      </c>
      <c r="J178" s="136" t="s">
        <v>1543</v>
      </c>
      <c r="K178" s="136"/>
      <c r="L178" s="136" t="s">
        <v>41</v>
      </c>
      <c r="M178" s="136" t="s">
        <v>160</v>
      </c>
      <c r="N178" s="136">
        <v>2160178</v>
      </c>
      <c r="O178" s="136" t="s">
        <v>148</v>
      </c>
      <c r="P178" s="136" t="s">
        <v>148</v>
      </c>
      <c r="Q178" s="136"/>
      <c r="R178" s="136" t="s">
        <v>2605</v>
      </c>
      <c r="S178" s="136" t="s">
        <v>2606</v>
      </c>
      <c r="T178" s="349" t="s">
        <v>2607</v>
      </c>
      <c r="U178" s="139" t="s">
        <v>2608</v>
      </c>
      <c r="V178" s="139">
        <v>30010</v>
      </c>
      <c r="W178" s="147" t="s">
        <v>2609</v>
      </c>
      <c r="X178" s="147" t="s">
        <v>2377</v>
      </c>
      <c r="Y178" s="147" t="s">
        <v>154</v>
      </c>
      <c r="Z178" s="147"/>
      <c r="AA178" s="136">
        <v>3</v>
      </c>
      <c r="AB178" s="139">
        <v>43373</v>
      </c>
      <c r="AC178" s="285">
        <v>43160</v>
      </c>
      <c r="AD178" s="139"/>
      <c r="AE178" s="139" t="s">
        <v>2610</v>
      </c>
      <c r="AF178" s="316"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7"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80">
        <v>2</v>
      </c>
      <c r="CG178" s="136"/>
      <c r="CH178" s="136"/>
      <c r="CI178" s="136" t="s">
        <v>1819</v>
      </c>
      <c r="CJ178"/>
    </row>
    <row r="179" spans="1:88" s="53" customFormat="1" ht="24.95" customHeight="1">
      <c r="A179" s="136">
        <v>182</v>
      </c>
      <c r="B179" s="136" t="s">
        <v>2618</v>
      </c>
      <c r="C179" s="136" t="s">
        <v>2619</v>
      </c>
      <c r="D179" s="136" t="s">
        <v>2620</v>
      </c>
      <c r="E179" s="136" t="s">
        <v>2621</v>
      </c>
      <c r="F179" s="136" t="s">
        <v>24</v>
      </c>
      <c r="G179" s="136">
        <v>8</v>
      </c>
      <c r="H179" s="136" t="s">
        <v>48</v>
      </c>
      <c r="I179" s="136" t="s">
        <v>38</v>
      </c>
      <c r="J179" s="136" t="s">
        <v>2622</v>
      </c>
      <c r="K179" s="136" t="s">
        <v>2623</v>
      </c>
      <c r="L179" s="136" t="s">
        <v>38</v>
      </c>
      <c r="M179" s="136" t="s">
        <v>147</v>
      </c>
      <c r="N179" s="136"/>
      <c r="O179" s="136" t="s">
        <v>319</v>
      </c>
      <c r="P179" s="136" t="s">
        <v>319</v>
      </c>
      <c r="Q179" s="136"/>
      <c r="R179" s="136" t="s">
        <v>2624</v>
      </c>
      <c r="S179" s="136" t="s">
        <v>2625</v>
      </c>
      <c r="T179" s="348"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7"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80">
        <v>2</v>
      </c>
      <c r="CG179" s="136"/>
      <c r="CH179" s="136"/>
      <c r="CI179" s="136" t="s">
        <v>1819</v>
      </c>
      <c r="CJ179"/>
    </row>
    <row r="180" spans="1:88" s="53" customFormat="1" ht="24.95" customHeight="1">
      <c r="A180" s="136">
        <v>183</v>
      </c>
      <c r="B180" s="136" t="s">
        <v>2634</v>
      </c>
      <c r="C180" s="136" t="s">
        <v>2635</v>
      </c>
      <c r="D180" s="136" t="s">
        <v>2636</v>
      </c>
      <c r="E180" s="136" t="s">
        <v>2637</v>
      </c>
      <c r="F180" s="136" t="s">
        <v>23</v>
      </c>
      <c r="G180" s="136">
        <v>8</v>
      </c>
      <c r="H180" s="136" t="s">
        <v>54</v>
      </c>
      <c r="I180" s="136" t="s">
        <v>41</v>
      </c>
      <c r="J180" s="136" t="s">
        <v>2041</v>
      </c>
      <c r="K180" s="136"/>
      <c r="L180" s="136" t="s">
        <v>41</v>
      </c>
      <c r="M180" s="136" t="s">
        <v>147</v>
      </c>
      <c r="N180" s="136"/>
      <c r="O180" s="136" t="s">
        <v>319</v>
      </c>
      <c r="P180" s="136" t="s">
        <v>319</v>
      </c>
      <c r="Q180" s="136"/>
      <c r="R180" s="136" t="s">
        <v>2638</v>
      </c>
      <c r="S180" s="136" t="s">
        <v>2639</v>
      </c>
      <c r="T180" s="349"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7"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80">
        <v>3</v>
      </c>
      <c r="CG180" s="136"/>
      <c r="CH180" s="136"/>
      <c r="CI180" s="136" t="s">
        <v>806</v>
      </c>
      <c r="CJ180"/>
    </row>
    <row r="181" spans="1:88" s="53" customFormat="1" ht="24.95" customHeight="1">
      <c r="A181" s="136">
        <v>184</v>
      </c>
      <c r="B181" s="136" t="s">
        <v>2648</v>
      </c>
      <c r="C181" s="136" t="s">
        <v>2649</v>
      </c>
      <c r="D181" s="136" t="s">
        <v>2650</v>
      </c>
      <c r="E181" s="136" t="s">
        <v>2651</v>
      </c>
      <c r="F181" s="136" t="s">
        <v>24</v>
      </c>
      <c r="G181" s="136">
        <v>8</v>
      </c>
      <c r="H181" s="136" t="s">
        <v>50</v>
      </c>
      <c r="I181" s="136" t="s">
        <v>28</v>
      </c>
      <c r="J181" s="136" t="s">
        <v>1418</v>
      </c>
      <c r="K181" s="136" t="s">
        <v>1418</v>
      </c>
      <c r="L181" s="136" t="s">
        <v>28</v>
      </c>
      <c r="M181" s="136" t="s">
        <v>147</v>
      </c>
      <c r="N181" s="136">
        <v>160413</v>
      </c>
      <c r="O181" s="136" t="s">
        <v>148</v>
      </c>
      <c r="P181" s="136" t="s">
        <v>148</v>
      </c>
      <c r="Q181" s="136" t="s">
        <v>148</v>
      </c>
      <c r="R181" s="136" t="s">
        <v>2652</v>
      </c>
      <c r="S181" s="136" t="s">
        <v>2653</v>
      </c>
      <c r="T181" s="348"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7"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80">
        <v>3</v>
      </c>
      <c r="CG181" s="136">
        <v>3</v>
      </c>
      <c r="CH181" s="136"/>
      <c r="CI181" s="136" t="s">
        <v>806</v>
      </c>
      <c r="CJ181"/>
    </row>
    <row r="182" spans="1:88" s="53" customFormat="1" ht="24.95" customHeight="1">
      <c r="A182" s="136">
        <v>185</v>
      </c>
      <c r="B182" s="136" t="s">
        <v>2660</v>
      </c>
      <c r="C182" s="136" t="s">
        <v>2661</v>
      </c>
      <c r="D182" s="136"/>
      <c r="E182" s="136" t="s">
        <v>2662</v>
      </c>
      <c r="F182" s="136" t="s">
        <v>24</v>
      </c>
      <c r="G182" s="136">
        <v>8</v>
      </c>
      <c r="H182" s="136" t="s">
        <v>56</v>
      </c>
      <c r="I182" s="136" t="s">
        <v>31</v>
      </c>
      <c r="J182" s="136" t="s">
        <v>2663</v>
      </c>
      <c r="K182" s="136" t="s">
        <v>2664</v>
      </c>
      <c r="L182" s="136" t="s">
        <v>38</v>
      </c>
      <c r="M182" s="136" t="s">
        <v>160</v>
      </c>
      <c r="N182" s="136" t="s">
        <v>2665</v>
      </c>
      <c r="O182" s="136" t="s">
        <v>148</v>
      </c>
      <c r="P182" s="136" t="s">
        <v>148</v>
      </c>
      <c r="Q182" s="136"/>
      <c r="R182" s="136" t="s">
        <v>2666</v>
      </c>
      <c r="S182" s="136" t="s">
        <v>2667</v>
      </c>
      <c r="T182" s="348"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7"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80">
        <v>0</v>
      </c>
      <c r="CG182" s="136"/>
      <c r="CH182" s="136"/>
      <c r="CI182" s="136" t="s">
        <v>806</v>
      </c>
      <c r="CJ182"/>
    </row>
    <row r="183" spans="1:88" s="53" customFormat="1" ht="24.95" customHeight="1">
      <c r="A183" s="136">
        <v>186</v>
      </c>
      <c r="B183" s="136" t="s">
        <v>2675</v>
      </c>
      <c r="C183" s="136" t="s">
        <v>2676</v>
      </c>
      <c r="D183" s="136"/>
      <c r="E183" s="136" t="s">
        <v>2520</v>
      </c>
      <c r="F183" s="136" t="s">
        <v>23</v>
      </c>
      <c r="G183" s="136">
        <v>8</v>
      </c>
      <c r="H183" s="136" t="s">
        <v>51</v>
      </c>
      <c r="I183" s="136" t="s">
        <v>39</v>
      </c>
      <c r="J183" s="136" t="s">
        <v>2677</v>
      </c>
      <c r="K183" s="136" t="s">
        <v>2678</v>
      </c>
      <c r="L183" s="136" t="s">
        <v>38</v>
      </c>
      <c r="M183" s="136" t="s">
        <v>160</v>
      </c>
      <c r="N183" s="136"/>
      <c r="O183" s="136" t="s">
        <v>148</v>
      </c>
      <c r="P183" s="136" t="s">
        <v>148</v>
      </c>
      <c r="Q183" s="136"/>
      <c r="R183" s="145" t="s">
        <v>2679</v>
      </c>
      <c r="S183" s="136" t="s">
        <v>2680</v>
      </c>
      <c r="T183" s="348"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7"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80">
        <v>1</v>
      </c>
      <c r="CG183" s="136"/>
      <c r="CH183" s="136"/>
      <c r="CI183" s="136" t="s">
        <v>806</v>
      </c>
      <c r="CJ183"/>
    </row>
    <row r="184" spans="1:88" s="53" customFormat="1" ht="24.95" customHeight="1">
      <c r="A184" s="136">
        <v>187</v>
      </c>
      <c r="B184" s="136" t="s">
        <v>2688</v>
      </c>
      <c r="C184" s="136" t="s">
        <v>2689</v>
      </c>
      <c r="D184" s="136" t="s">
        <v>2690</v>
      </c>
      <c r="E184" s="136" t="s">
        <v>385</v>
      </c>
      <c r="F184" s="136" t="s">
        <v>24</v>
      </c>
      <c r="G184" s="136">
        <v>8</v>
      </c>
      <c r="H184" s="136" t="s">
        <v>48</v>
      </c>
      <c r="I184" s="136" t="s">
        <v>38</v>
      </c>
      <c r="J184" s="136" t="s">
        <v>2691</v>
      </c>
      <c r="K184" s="136" t="s">
        <v>2692</v>
      </c>
      <c r="L184" s="136" t="s">
        <v>38</v>
      </c>
      <c r="M184" s="136" t="s">
        <v>147</v>
      </c>
      <c r="N184" s="136"/>
      <c r="O184" s="136" t="s">
        <v>148</v>
      </c>
      <c r="P184" s="136" t="s">
        <v>148</v>
      </c>
      <c r="Q184" s="136" t="s">
        <v>148</v>
      </c>
      <c r="R184" s="136" t="s">
        <v>2693</v>
      </c>
      <c r="S184" s="393" t="s">
        <v>2694</v>
      </c>
      <c r="T184" s="349"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7"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80">
        <v>1</v>
      </c>
      <c r="CG184" s="136">
        <v>2</v>
      </c>
      <c r="CH184" s="136"/>
      <c r="CI184" s="136" t="s">
        <v>2217</v>
      </c>
      <c r="CJ184"/>
    </row>
    <row r="185" spans="1:88" s="53" customFormat="1" ht="24.95" customHeight="1">
      <c r="A185" s="136">
        <v>188</v>
      </c>
      <c r="B185" s="136" t="s">
        <v>2704</v>
      </c>
      <c r="C185" s="136" t="s">
        <v>2705</v>
      </c>
      <c r="D185" s="136" t="s">
        <v>2706</v>
      </c>
      <c r="E185" s="136" t="s">
        <v>2707</v>
      </c>
      <c r="F185" s="136" t="s">
        <v>24</v>
      </c>
      <c r="G185" s="136">
        <v>8</v>
      </c>
      <c r="H185" s="136" t="s">
        <v>49</v>
      </c>
      <c r="I185" s="136" t="s">
        <v>42</v>
      </c>
      <c r="J185" s="136" t="s">
        <v>254</v>
      </c>
      <c r="K185" s="136" t="s">
        <v>332</v>
      </c>
      <c r="L185" s="136" t="s">
        <v>40</v>
      </c>
      <c r="M185" s="136" t="s">
        <v>147</v>
      </c>
      <c r="N185" s="136"/>
      <c r="O185" s="136" t="s">
        <v>148</v>
      </c>
      <c r="P185" s="136" t="s">
        <v>148</v>
      </c>
      <c r="Q185" s="136"/>
      <c r="R185" s="136" t="s">
        <v>2708</v>
      </c>
      <c r="S185" s="136" t="s">
        <v>2709</v>
      </c>
      <c r="T185" s="349"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7"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80">
        <v>2</v>
      </c>
      <c r="CG185" s="136"/>
      <c r="CH185" s="136"/>
      <c r="CI185" s="136" t="s">
        <v>806</v>
      </c>
      <c r="CJ185"/>
    </row>
    <row r="186" spans="1:88" s="53" customFormat="1" ht="24.95" customHeight="1">
      <c r="A186" s="136">
        <v>189</v>
      </c>
      <c r="B186" s="136" t="s">
        <v>2717</v>
      </c>
      <c r="C186" s="136" t="s">
        <v>989</v>
      </c>
      <c r="D186" s="136" t="s">
        <v>435</v>
      </c>
      <c r="E186" s="136" t="s">
        <v>2718</v>
      </c>
      <c r="F186" s="136" t="s">
        <v>24</v>
      </c>
      <c r="G186" s="136">
        <v>8</v>
      </c>
      <c r="H186" s="136" t="s">
        <v>50</v>
      </c>
      <c r="I186" s="136" t="s">
        <v>35</v>
      </c>
      <c r="J186" s="136" t="s">
        <v>599</v>
      </c>
      <c r="K186" s="136" t="s">
        <v>1253</v>
      </c>
      <c r="L186" s="136" t="s">
        <v>41</v>
      </c>
      <c r="M186" s="136" t="s">
        <v>160</v>
      </c>
      <c r="N186" s="136">
        <v>1928547</v>
      </c>
      <c r="O186" s="136" t="s">
        <v>148</v>
      </c>
      <c r="P186" s="136" t="s">
        <v>148</v>
      </c>
      <c r="Q186" s="136"/>
      <c r="R186" s="136" t="s">
        <v>2719</v>
      </c>
      <c r="S186" s="136" t="s">
        <v>2720</v>
      </c>
      <c r="T186" s="348"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7"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80">
        <v>3</v>
      </c>
      <c r="CG186" s="136"/>
      <c r="CH186" s="136"/>
      <c r="CI186" s="136" t="s">
        <v>1819</v>
      </c>
      <c r="CJ186"/>
    </row>
    <row r="187" spans="1:88" s="53" customFormat="1" ht="24.95" customHeight="1">
      <c r="A187" s="136">
        <v>190</v>
      </c>
      <c r="B187" s="136" t="s">
        <v>2729</v>
      </c>
      <c r="C187" s="136" t="s">
        <v>2730</v>
      </c>
      <c r="D187" s="136" t="s">
        <v>2731</v>
      </c>
      <c r="E187" s="136" t="s">
        <v>2732</v>
      </c>
      <c r="F187" s="136" t="s">
        <v>23</v>
      </c>
      <c r="G187" s="136">
        <v>8</v>
      </c>
      <c r="H187" s="136" t="s">
        <v>50</v>
      </c>
      <c r="I187" s="136" t="s">
        <v>28</v>
      </c>
      <c r="J187" s="136" t="s">
        <v>599</v>
      </c>
      <c r="K187" s="136" t="s">
        <v>2733</v>
      </c>
      <c r="L187" s="136" t="s">
        <v>41</v>
      </c>
      <c r="M187" s="136" t="s">
        <v>160</v>
      </c>
      <c r="N187" s="136"/>
      <c r="O187" s="136" t="s">
        <v>148</v>
      </c>
      <c r="P187" s="136" t="s">
        <v>148</v>
      </c>
      <c r="Q187" s="136" t="s">
        <v>148</v>
      </c>
      <c r="R187" s="136" t="s">
        <v>2734</v>
      </c>
      <c r="S187" s="136" t="s">
        <v>2735</v>
      </c>
      <c r="T187" s="348"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7"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80">
        <v>3</v>
      </c>
      <c r="CG187" s="136">
        <v>3</v>
      </c>
      <c r="CH187" s="136"/>
      <c r="CI187" s="136" t="s">
        <v>1819</v>
      </c>
      <c r="CJ187"/>
    </row>
    <row r="188" spans="1:88" s="53" customFormat="1" ht="24.95" customHeight="1">
      <c r="A188" s="136">
        <v>191</v>
      </c>
      <c r="B188" s="136" t="s">
        <v>2742</v>
      </c>
      <c r="C188" s="136" t="s">
        <v>2743</v>
      </c>
      <c r="D188" s="136" t="s">
        <v>2744</v>
      </c>
      <c r="E188" s="136" t="s">
        <v>286</v>
      </c>
      <c r="F188" s="136" t="s">
        <v>24</v>
      </c>
      <c r="G188" s="136">
        <v>8</v>
      </c>
      <c r="H188" s="136" t="s">
        <v>54</v>
      </c>
      <c r="I188" s="136" t="s">
        <v>41</v>
      </c>
      <c r="J188" s="136" t="s">
        <v>2745</v>
      </c>
      <c r="K188" s="136" t="s">
        <v>599</v>
      </c>
      <c r="L188" s="136" t="s">
        <v>41</v>
      </c>
      <c r="M188" s="136" t="s">
        <v>147</v>
      </c>
      <c r="N188" s="136" t="s">
        <v>2746</v>
      </c>
      <c r="O188" s="136" t="s">
        <v>148</v>
      </c>
      <c r="P188" s="136" t="s">
        <v>148</v>
      </c>
      <c r="Q188" s="136"/>
      <c r="R188" s="136" t="s">
        <v>2747</v>
      </c>
      <c r="S188" s="136" t="s">
        <v>2748</v>
      </c>
      <c r="T188" s="348"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7"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80">
        <v>2</v>
      </c>
      <c r="CG188" s="136"/>
      <c r="CH188" s="136"/>
      <c r="CI188" s="136" t="s">
        <v>806</v>
      </c>
      <c r="CJ188"/>
    </row>
    <row r="189" spans="1:88" s="53" customFormat="1" ht="24.95" customHeight="1">
      <c r="A189" s="136">
        <v>192</v>
      </c>
      <c r="B189" s="136" t="s">
        <v>2757</v>
      </c>
      <c r="C189" s="136" t="s">
        <v>760</v>
      </c>
      <c r="D189" s="136" t="s">
        <v>461</v>
      </c>
      <c r="E189" s="136" t="s">
        <v>1777</v>
      </c>
      <c r="F189" s="136" t="s">
        <v>24</v>
      </c>
      <c r="G189" s="136">
        <v>8</v>
      </c>
      <c r="H189" s="136" t="s">
        <v>48</v>
      </c>
      <c r="I189" s="136" t="s">
        <v>38</v>
      </c>
      <c r="J189" s="136" t="s">
        <v>1172</v>
      </c>
      <c r="K189" s="136" t="s">
        <v>1172</v>
      </c>
      <c r="L189" s="136" t="s">
        <v>38</v>
      </c>
      <c r="M189" s="136" t="s">
        <v>147</v>
      </c>
      <c r="N189" s="136" t="s">
        <v>2758</v>
      </c>
      <c r="O189" s="136" t="s">
        <v>148</v>
      </c>
      <c r="P189" s="136" t="s">
        <v>148</v>
      </c>
      <c r="Q189" s="136"/>
      <c r="R189" s="136" t="s">
        <v>2759</v>
      </c>
      <c r="S189" s="136" t="s">
        <v>2760</v>
      </c>
      <c r="T189" s="349"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7"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80">
        <v>3</v>
      </c>
      <c r="CG189" s="136"/>
      <c r="CH189" s="136"/>
      <c r="CI189" s="136" t="s">
        <v>1819</v>
      </c>
      <c r="CJ189"/>
    </row>
    <row r="190" spans="1:88" s="53" customFormat="1" ht="24.95" customHeight="1">
      <c r="A190" s="136">
        <v>193</v>
      </c>
      <c r="B190" s="136" t="s">
        <v>2770</v>
      </c>
      <c r="C190" s="136" t="s">
        <v>2771</v>
      </c>
      <c r="D190" s="136" t="s">
        <v>2772</v>
      </c>
      <c r="E190" s="136" t="s">
        <v>2773</v>
      </c>
      <c r="F190" s="136" t="s">
        <v>24</v>
      </c>
      <c r="G190" s="136">
        <v>8</v>
      </c>
      <c r="H190" s="136" t="s">
        <v>50</v>
      </c>
      <c r="I190" s="136" t="s">
        <v>35</v>
      </c>
      <c r="J190" s="136" t="s">
        <v>1418</v>
      </c>
      <c r="K190" s="136" t="s">
        <v>2774</v>
      </c>
      <c r="L190" s="136" t="s">
        <v>41</v>
      </c>
      <c r="M190" s="136" t="s">
        <v>160</v>
      </c>
      <c r="N190" s="136">
        <v>1815816</v>
      </c>
      <c r="O190" s="136"/>
      <c r="P190" s="136" t="s">
        <v>319</v>
      </c>
      <c r="Q190" s="136"/>
      <c r="R190" s="145" t="s">
        <v>2775</v>
      </c>
      <c r="S190" s="145" t="s">
        <v>2776</v>
      </c>
      <c r="T190" s="349"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7"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80">
        <v>2</v>
      </c>
      <c r="CG190" s="136"/>
      <c r="CH190" s="136"/>
      <c r="CI190" s="136" t="s">
        <v>1819</v>
      </c>
      <c r="CJ190"/>
    </row>
    <row r="191" spans="1:88" s="53" customFormat="1" ht="24.95" customHeight="1">
      <c r="A191" s="136">
        <v>194</v>
      </c>
      <c r="B191" s="136" t="s">
        <v>2783</v>
      </c>
      <c r="C191" s="136" t="s">
        <v>2784</v>
      </c>
      <c r="D191" s="136"/>
      <c r="E191" s="136" t="s">
        <v>2785</v>
      </c>
      <c r="F191" s="136" t="s">
        <v>23</v>
      </c>
      <c r="G191" s="136">
        <v>8</v>
      </c>
      <c r="H191" s="136" t="s">
        <v>51</v>
      </c>
      <c r="I191" s="136" t="s">
        <v>39</v>
      </c>
      <c r="J191" s="136" t="s">
        <v>2786</v>
      </c>
      <c r="K191" s="136" t="s">
        <v>2787</v>
      </c>
      <c r="L191" s="136" t="s">
        <v>39</v>
      </c>
      <c r="M191" s="136" t="s">
        <v>147</v>
      </c>
      <c r="N191" s="136"/>
      <c r="O191" s="136" t="s">
        <v>148</v>
      </c>
      <c r="P191" s="136" t="s">
        <v>148</v>
      </c>
      <c r="Q191" s="136"/>
      <c r="R191" s="136" t="s">
        <v>2788</v>
      </c>
      <c r="S191" s="136" t="s">
        <v>2789</v>
      </c>
      <c r="T191" s="348"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7"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80">
        <v>2</v>
      </c>
      <c r="CG191" s="136"/>
      <c r="CH191" s="136"/>
      <c r="CI191" s="136" t="s">
        <v>1819</v>
      </c>
      <c r="CJ191"/>
    </row>
    <row r="192" spans="1:88" s="53" customFormat="1" ht="24.95" customHeight="1">
      <c r="A192" s="136">
        <v>195</v>
      </c>
      <c r="B192" s="136" t="s">
        <v>2796</v>
      </c>
      <c r="C192" s="136" t="s">
        <v>2797</v>
      </c>
      <c r="D192" s="136" t="s">
        <v>2798</v>
      </c>
      <c r="E192" s="136" t="s">
        <v>2799</v>
      </c>
      <c r="F192" s="136" t="s">
        <v>24</v>
      </c>
      <c r="G192" s="136">
        <v>8</v>
      </c>
      <c r="H192" s="136" t="s">
        <v>50</v>
      </c>
      <c r="I192" s="136" t="s">
        <v>28</v>
      </c>
      <c r="J192" s="136" t="s">
        <v>2800</v>
      </c>
      <c r="K192" s="136" t="s">
        <v>2801</v>
      </c>
      <c r="L192" s="136" t="s">
        <v>41</v>
      </c>
      <c r="M192" s="136" t="s">
        <v>160</v>
      </c>
      <c r="N192" s="136">
        <v>2113374</v>
      </c>
      <c r="O192" s="136"/>
      <c r="P192" s="136" t="s">
        <v>148</v>
      </c>
      <c r="Q192" s="136"/>
      <c r="R192" s="136" t="s">
        <v>2802</v>
      </c>
      <c r="S192" s="136" t="s">
        <v>2803</v>
      </c>
      <c r="T192" s="349"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7"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80"/>
      <c r="CG192" s="136"/>
      <c r="CH192" s="136"/>
      <c r="CI192" s="136" t="s">
        <v>1819</v>
      </c>
      <c r="CJ192"/>
    </row>
    <row r="193" spans="1:88" s="53" customFormat="1" ht="24.95" customHeight="1">
      <c r="A193" s="91">
        <v>196</v>
      </c>
      <c r="B193" s="91" t="s">
        <v>2812</v>
      </c>
      <c r="C193" s="91" t="s">
        <v>2813</v>
      </c>
      <c r="D193" s="91" t="s">
        <v>2814</v>
      </c>
      <c r="E193" s="91" t="s">
        <v>2815</v>
      </c>
      <c r="F193" s="91" t="s">
        <v>23</v>
      </c>
      <c r="G193" s="91">
        <v>8</v>
      </c>
      <c r="H193" s="91" t="s">
        <v>49</v>
      </c>
      <c r="I193" s="91" t="s">
        <v>42</v>
      </c>
      <c r="J193" s="91" t="s">
        <v>2287</v>
      </c>
      <c r="K193" s="91" t="s">
        <v>2816</v>
      </c>
      <c r="L193" s="91" t="s">
        <v>40</v>
      </c>
      <c r="M193" s="91" t="s">
        <v>147</v>
      </c>
      <c r="N193" s="91"/>
      <c r="O193" s="91"/>
      <c r="P193" s="91" t="s">
        <v>148</v>
      </c>
      <c r="Q193" s="91"/>
      <c r="R193" s="91" t="s">
        <v>2817</v>
      </c>
      <c r="S193" s="91" t="s">
        <v>2818</v>
      </c>
      <c r="T193" s="344"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6"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customHeight="1">
      <c r="A194" s="91">
        <v>197</v>
      </c>
      <c r="B194" s="91" t="s">
        <v>2823</v>
      </c>
      <c r="C194" s="91" t="s">
        <v>2824</v>
      </c>
      <c r="D194" s="91" t="s">
        <v>2825</v>
      </c>
      <c r="E194" s="91" t="s">
        <v>2826</v>
      </c>
      <c r="F194" s="91" t="s">
        <v>24</v>
      </c>
      <c r="G194" s="91">
        <v>8</v>
      </c>
      <c r="H194" s="91" t="s">
        <v>56</v>
      </c>
      <c r="I194" s="91" t="s">
        <v>31</v>
      </c>
      <c r="J194" s="91" t="s">
        <v>599</v>
      </c>
      <c r="K194" s="91" t="s">
        <v>2827</v>
      </c>
      <c r="L194" s="91"/>
      <c r="M194" s="91" t="s">
        <v>160</v>
      </c>
      <c r="N194" s="91"/>
      <c r="O194" s="91"/>
      <c r="P194" s="91" t="s">
        <v>319</v>
      </c>
      <c r="Q194" s="91"/>
      <c r="R194" s="91" t="s">
        <v>2828</v>
      </c>
      <c r="S194" s="91" t="s">
        <v>2829</v>
      </c>
      <c r="T194" s="356"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6"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customHeight="1">
      <c r="A195" s="136">
        <v>198</v>
      </c>
      <c r="B195" s="136" t="s">
        <v>2834</v>
      </c>
      <c r="C195" s="136" t="s">
        <v>2835</v>
      </c>
      <c r="D195" s="136" t="s">
        <v>2836</v>
      </c>
      <c r="E195" s="136" t="s">
        <v>2837</v>
      </c>
      <c r="F195" s="136" t="s">
        <v>23</v>
      </c>
      <c r="G195" s="136">
        <v>8</v>
      </c>
      <c r="H195" s="136" t="s">
        <v>50</v>
      </c>
      <c r="I195" s="136" t="s">
        <v>28</v>
      </c>
      <c r="J195" s="136" t="s">
        <v>599</v>
      </c>
      <c r="K195" s="136" t="s">
        <v>2239</v>
      </c>
      <c r="L195" s="136" t="s">
        <v>28</v>
      </c>
      <c r="M195" s="136" t="s">
        <v>147</v>
      </c>
      <c r="N195" s="136"/>
      <c r="O195" s="136"/>
      <c r="P195" s="136" t="s">
        <v>148</v>
      </c>
      <c r="Q195" s="136"/>
      <c r="R195" s="393" t="s">
        <v>2838</v>
      </c>
      <c r="S195" s="136" t="s">
        <v>2839</v>
      </c>
      <c r="T195" s="348"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7"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80"/>
      <c r="CG195" s="136"/>
      <c r="CH195" s="136"/>
      <c r="CI195" s="136" t="s">
        <v>1819</v>
      </c>
      <c r="CJ195"/>
    </row>
    <row r="196" spans="1:88" s="53" customFormat="1" ht="24.95" customHeight="1">
      <c r="A196" s="136">
        <v>199</v>
      </c>
      <c r="B196" s="136" t="s">
        <v>2846</v>
      </c>
      <c r="C196" s="136" t="s">
        <v>2219</v>
      </c>
      <c r="D196" s="136"/>
      <c r="E196" s="136" t="s">
        <v>2847</v>
      </c>
      <c r="F196" s="136" t="s">
        <v>24</v>
      </c>
      <c r="G196" s="136">
        <v>8</v>
      </c>
      <c r="H196" s="136" t="s">
        <v>48</v>
      </c>
      <c r="I196" s="136" t="s">
        <v>33</v>
      </c>
      <c r="J196" s="136" t="s">
        <v>2848</v>
      </c>
      <c r="K196" s="136" t="s">
        <v>2849</v>
      </c>
      <c r="L196" s="136" t="s">
        <v>41</v>
      </c>
      <c r="M196" s="136" t="s">
        <v>160</v>
      </c>
      <c r="N196" s="136">
        <v>1540298</v>
      </c>
      <c r="O196" s="136" t="s">
        <v>319</v>
      </c>
      <c r="P196" s="136" t="s">
        <v>319</v>
      </c>
      <c r="Q196" s="136"/>
      <c r="R196" s="393" t="s">
        <v>2850</v>
      </c>
      <c r="S196" s="136" t="s">
        <v>2851</v>
      </c>
      <c r="T196" s="349"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7"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80">
        <v>1</v>
      </c>
      <c r="CG196" s="136"/>
      <c r="CH196" s="136"/>
      <c r="CI196" s="136" t="s">
        <v>806</v>
      </c>
      <c r="CJ196"/>
    </row>
    <row r="197" spans="1:88" s="53" customFormat="1" ht="25.5" customHeight="1">
      <c r="A197" s="136">
        <v>200</v>
      </c>
      <c r="B197" s="136" t="s">
        <v>2862</v>
      </c>
      <c r="C197" s="136" t="s">
        <v>2863</v>
      </c>
      <c r="D197" s="136" t="s">
        <v>2864</v>
      </c>
      <c r="E197" s="136" t="s">
        <v>2865</v>
      </c>
      <c r="F197" s="136" t="s">
        <v>24</v>
      </c>
      <c r="G197" s="136">
        <v>8</v>
      </c>
      <c r="H197" s="136" t="s">
        <v>48</v>
      </c>
      <c r="I197" s="136" t="s">
        <v>33</v>
      </c>
      <c r="J197" s="136" t="s">
        <v>2866</v>
      </c>
      <c r="K197" s="136" t="s">
        <v>2867</v>
      </c>
      <c r="L197" s="136" t="s">
        <v>38</v>
      </c>
      <c r="M197" s="136" t="s">
        <v>160</v>
      </c>
      <c r="N197" s="136">
        <v>10104312016</v>
      </c>
      <c r="O197" s="136"/>
      <c r="P197" s="136" t="s">
        <v>148</v>
      </c>
      <c r="Q197" s="136"/>
      <c r="R197" s="136" t="s">
        <v>2868</v>
      </c>
      <c r="S197" s="145" t="s">
        <v>2869</v>
      </c>
      <c r="T197" s="348"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7"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80"/>
      <c r="CG197" s="136"/>
      <c r="CH197" s="136"/>
      <c r="CI197" s="136" t="s">
        <v>806</v>
      </c>
      <c r="CJ197"/>
    </row>
    <row r="198" spans="1:88" s="53" customFormat="1" ht="24.95" customHeight="1">
      <c r="A198" s="96">
        <v>201</v>
      </c>
      <c r="B198" s="96" t="s">
        <v>2876</v>
      </c>
      <c r="C198" s="96" t="s">
        <v>2877</v>
      </c>
      <c r="D198" s="96" t="s">
        <v>2878</v>
      </c>
      <c r="E198" s="96" t="s">
        <v>2879</v>
      </c>
      <c r="F198" s="96" t="s">
        <v>23</v>
      </c>
      <c r="G198" s="96">
        <v>9</v>
      </c>
      <c r="H198" s="96" t="s">
        <v>49</v>
      </c>
      <c r="I198" s="96" t="s">
        <v>42</v>
      </c>
      <c r="J198" s="96" t="s">
        <v>2880</v>
      </c>
      <c r="K198" s="96" t="s">
        <v>2881</v>
      </c>
      <c r="L198" s="96" t="s">
        <v>40</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7"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7">
        <v>2</v>
      </c>
      <c r="CG198" s="96"/>
      <c r="CH198" s="96"/>
      <c r="CI198" s="96" t="s">
        <v>1819</v>
      </c>
      <c r="CJ198"/>
    </row>
    <row r="199" spans="1:88" s="53" customFormat="1" ht="24.95" customHeight="1">
      <c r="A199" s="96">
        <v>202</v>
      </c>
      <c r="B199" s="96" t="s">
        <v>2893</v>
      </c>
      <c r="C199" s="96" t="s">
        <v>2894</v>
      </c>
      <c r="D199" s="96" t="s">
        <v>2895</v>
      </c>
      <c r="E199" s="96" t="s">
        <v>2896</v>
      </c>
      <c r="F199" s="96" t="s">
        <v>23</v>
      </c>
      <c r="G199" s="96">
        <v>9</v>
      </c>
      <c r="H199" s="96" t="s">
        <v>50</v>
      </c>
      <c r="I199" s="96" t="s">
        <v>35</v>
      </c>
      <c r="J199" s="96" t="s">
        <v>599</v>
      </c>
      <c r="K199" s="96" t="s">
        <v>599</v>
      </c>
      <c r="L199" s="96" t="s">
        <v>41</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7"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7">
        <v>3</v>
      </c>
      <c r="CG199" s="96"/>
      <c r="CH199" s="96"/>
      <c r="CI199" s="96" t="s">
        <v>1819</v>
      </c>
      <c r="CJ199"/>
    </row>
    <row r="200" spans="1:88" s="53" customFormat="1" ht="24.95" customHeight="1">
      <c r="A200" s="96">
        <v>203</v>
      </c>
      <c r="B200" s="96" t="s">
        <v>2908</v>
      </c>
      <c r="C200" s="96" t="s">
        <v>2909</v>
      </c>
      <c r="D200" s="96" t="s">
        <v>2910</v>
      </c>
      <c r="E200" s="96" t="s">
        <v>2911</v>
      </c>
      <c r="F200" s="96" t="s">
        <v>24</v>
      </c>
      <c r="G200" s="96">
        <v>9</v>
      </c>
      <c r="H200" s="96" t="s">
        <v>54</v>
      </c>
      <c r="I200" s="96" t="s">
        <v>41</v>
      </c>
      <c r="J200" s="96" t="s">
        <v>2912</v>
      </c>
      <c r="K200" s="96" t="s">
        <v>2912</v>
      </c>
      <c r="L200" s="96" t="s">
        <v>41</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7"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7">
        <v>0</v>
      </c>
      <c r="CG200" s="96"/>
      <c r="CH200" s="96"/>
      <c r="CI200" s="96" t="s">
        <v>1819</v>
      </c>
      <c r="CJ200"/>
    </row>
    <row r="201" spans="1:88" s="53" customFormat="1" ht="24.95" customHeight="1">
      <c r="A201" s="96">
        <v>204</v>
      </c>
      <c r="B201" s="96" t="s">
        <v>2921</v>
      </c>
      <c r="C201" s="96" t="s">
        <v>2922</v>
      </c>
      <c r="D201" s="96"/>
      <c r="E201" s="96" t="s">
        <v>2923</v>
      </c>
      <c r="F201" s="96" t="s">
        <v>23</v>
      </c>
      <c r="G201" s="96">
        <v>9</v>
      </c>
      <c r="H201" s="96" t="s">
        <v>51</v>
      </c>
      <c r="I201" s="96" t="s">
        <v>39</v>
      </c>
      <c r="J201" s="96" t="s">
        <v>2924</v>
      </c>
      <c r="K201" s="96" t="s">
        <v>2924</v>
      </c>
      <c r="L201" s="96" t="s">
        <v>39</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7"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7">
        <v>2</v>
      </c>
      <c r="CG201" s="96"/>
      <c r="CH201" s="96"/>
      <c r="CI201" s="96" t="s">
        <v>1819</v>
      </c>
      <c r="CJ201"/>
    </row>
    <row r="202" spans="1:88" s="53" customFormat="1" ht="24.95" customHeight="1">
      <c r="A202" s="96">
        <v>205</v>
      </c>
      <c r="B202" s="96" t="s">
        <v>2935</v>
      </c>
      <c r="C202" s="96" t="s">
        <v>2936</v>
      </c>
      <c r="D202" s="96"/>
      <c r="E202" s="96" t="s">
        <v>2937</v>
      </c>
      <c r="F202" s="96" t="s">
        <v>24</v>
      </c>
      <c r="G202" s="96">
        <v>9</v>
      </c>
      <c r="H202" s="96" t="s">
        <v>51</v>
      </c>
      <c r="I202" s="96" t="s">
        <v>39</v>
      </c>
      <c r="J202" s="96" t="s">
        <v>1418</v>
      </c>
      <c r="K202" s="96" t="s">
        <v>2010</v>
      </c>
      <c r="L202" s="96" t="s">
        <v>41</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7"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7">
        <v>3</v>
      </c>
      <c r="CG202" s="96"/>
      <c r="CH202" s="96"/>
      <c r="CI202" s="96" t="s">
        <v>1819</v>
      </c>
      <c r="CJ202"/>
    </row>
    <row r="203" spans="1:88" s="53" customFormat="1" ht="24.95" customHeight="1">
      <c r="A203" s="96">
        <v>206</v>
      </c>
      <c r="B203" s="96" t="s">
        <v>2947</v>
      </c>
      <c r="C203" s="96" t="s">
        <v>2948</v>
      </c>
      <c r="D203" s="96" t="s">
        <v>2949</v>
      </c>
      <c r="E203" s="96" t="s">
        <v>2950</v>
      </c>
      <c r="F203" s="96" t="s">
        <v>24</v>
      </c>
      <c r="G203" s="96">
        <v>9</v>
      </c>
      <c r="H203" s="96" t="s">
        <v>48</v>
      </c>
      <c r="I203" s="96" t="s">
        <v>38</v>
      </c>
      <c r="J203" s="96" t="s">
        <v>2951</v>
      </c>
      <c r="K203" s="96" t="s">
        <v>2952</v>
      </c>
      <c r="L203" s="96" t="s">
        <v>38</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6" t="s">
        <v>2959</v>
      </c>
      <c r="AF203" s="97" t="s">
        <v>2960</v>
      </c>
      <c r="AG203" s="316"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7"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7">
        <v>1</v>
      </c>
      <c r="CG203" s="96"/>
      <c r="CH203" s="96"/>
      <c r="CI203" s="96" t="s">
        <v>1819</v>
      </c>
      <c r="CJ203"/>
    </row>
    <row r="204" spans="1:88" s="53" customFormat="1" ht="24.95" customHeight="1">
      <c r="A204" s="96">
        <v>207</v>
      </c>
      <c r="B204" s="96" t="s">
        <v>2968</v>
      </c>
      <c r="C204" s="96" t="s">
        <v>2969</v>
      </c>
      <c r="D204" s="96"/>
      <c r="E204" s="96" t="s">
        <v>2205</v>
      </c>
      <c r="F204" s="96" t="s">
        <v>23</v>
      </c>
      <c r="G204" s="96">
        <v>9</v>
      </c>
      <c r="H204" s="96" t="s">
        <v>51</v>
      </c>
      <c r="I204" s="96" t="s">
        <v>39</v>
      </c>
      <c r="J204" s="96" t="s">
        <v>2137</v>
      </c>
      <c r="K204" s="96" t="s">
        <v>170</v>
      </c>
      <c r="L204" s="96" t="s">
        <v>39</v>
      </c>
      <c r="M204" s="96" t="s">
        <v>147</v>
      </c>
      <c r="N204" s="96"/>
      <c r="O204" s="96" t="s">
        <v>148</v>
      </c>
      <c r="P204" s="96" t="s">
        <v>148</v>
      </c>
      <c r="Q204" s="96"/>
      <c r="R204" s="321"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7"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7">
        <v>1</v>
      </c>
      <c r="CG204" s="96"/>
      <c r="CH204" s="96"/>
      <c r="CI204" s="96" t="s">
        <v>1819</v>
      </c>
      <c r="CJ204"/>
    </row>
    <row r="205" spans="1:88" s="53" customFormat="1" ht="24.95" customHeight="1">
      <c r="A205" s="96">
        <v>208</v>
      </c>
      <c r="B205" s="96" t="s">
        <v>2978</v>
      </c>
      <c r="C205" s="96" t="s">
        <v>808</v>
      </c>
      <c r="D205" s="96"/>
      <c r="E205" s="96" t="s">
        <v>2979</v>
      </c>
      <c r="F205" s="96" t="s">
        <v>23</v>
      </c>
      <c r="G205" s="96">
        <v>9</v>
      </c>
      <c r="H205" s="96" t="s">
        <v>56</v>
      </c>
      <c r="I205" s="96" t="s">
        <v>31</v>
      </c>
      <c r="J205" s="96" t="s">
        <v>1741</v>
      </c>
      <c r="K205" s="96" t="s">
        <v>2980</v>
      </c>
      <c r="L205" s="96" t="s">
        <v>31</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7"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7"/>
      <c r="CG205" s="96"/>
      <c r="CH205" s="96"/>
      <c r="CI205" s="96" t="s">
        <v>1819</v>
      </c>
      <c r="CJ205"/>
    </row>
    <row r="206" spans="1:88" s="53" customFormat="1" ht="24.95" customHeight="1">
      <c r="A206" s="96">
        <v>209</v>
      </c>
      <c r="B206" s="96" t="s">
        <v>2993</v>
      </c>
      <c r="C206" s="96" t="s">
        <v>2994</v>
      </c>
      <c r="D206" s="96" t="s">
        <v>2995</v>
      </c>
      <c r="E206" s="96" t="s">
        <v>2996</v>
      </c>
      <c r="F206" s="96" t="s">
        <v>23</v>
      </c>
      <c r="G206" s="96">
        <v>9</v>
      </c>
      <c r="H206" s="96" t="s">
        <v>48</v>
      </c>
      <c r="I206" s="96" t="s">
        <v>38</v>
      </c>
      <c r="J206" s="96" t="s">
        <v>2317</v>
      </c>
      <c r="K206" s="96" t="s">
        <v>2997</v>
      </c>
      <c r="L206" s="96" t="s">
        <v>41</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7"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7">
        <v>3</v>
      </c>
      <c r="CG206" s="96"/>
      <c r="CH206" s="96"/>
      <c r="CI206" s="96" t="s">
        <v>1819</v>
      </c>
      <c r="CJ206"/>
    </row>
    <row r="207" spans="1:88" s="53" customFormat="1" ht="24.95" customHeight="1">
      <c r="A207" s="96">
        <v>210</v>
      </c>
      <c r="B207" s="96" t="s">
        <v>3007</v>
      </c>
      <c r="C207" s="96" t="s">
        <v>3008</v>
      </c>
      <c r="D207" s="96"/>
      <c r="E207" s="96" t="s">
        <v>3009</v>
      </c>
      <c r="F207" s="96" t="s">
        <v>24</v>
      </c>
      <c r="G207" s="96">
        <v>9</v>
      </c>
      <c r="H207" s="96" t="s">
        <v>51</v>
      </c>
      <c r="I207" s="96" t="s">
        <v>39</v>
      </c>
      <c r="J207" s="96" t="s">
        <v>3010</v>
      </c>
      <c r="K207" s="96" t="s">
        <v>3011</v>
      </c>
      <c r="L207" s="96" t="s">
        <v>39</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7"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6" t="s">
        <v>3021</v>
      </c>
      <c r="BP207" s="96">
        <v>0</v>
      </c>
      <c r="BQ207" s="96"/>
      <c r="BR207" s="96"/>
      <c r="BS207" s="96"/>
      <c r="BT207" s="96"/>
      <c r="BU207" s="96"/>
      <c r="BV207" s="96"/>
      <c r="BW207" s="96" t="s">
        <v>3022</v>
      </c>
      <c r="BX207" s="96"/>
      <c r="BY207" s="96"/>
      <c r="BZ207" s="103"/>
      <c r="CA207" s="103"/>
      <c r="CB207" s="96"/>
      <c r="CC207" s="96"/>
      <c r="CD207" s="96"/>
      <c r="CE207" s="96"/>
      <c r="CF207" s="377">
        <v>4</v>
      </c>
      <c r="CG207" s="96"/>
      <c r="CH207" s="96"/>
      <c r="CI207" s="96" t="s">
        <v>1819</v>
      </c>
      <c r="CJ207"/>
    </row>
    <row r="208" spans="1:88" s="53" customFormat="1" ht="24.95" customHeight="1">
      <c r="A208" s="96">
        <v>211</v>
      </c>
      <c r="B208" s="96" t="s">
        <v>3023</v>
      </c>
      <c r="C208" s="96" t="s">
        <v>3024</v>
      </c>
      <c r="D208" s="96"/>
      <c r="E208" s="96" t="s">
        <v>3025</v>
      </c>
      <c r="F208" s="96" t="s">
        <v>23</v>
      </c>
      <c r="G208" s="96">
        <v>9</v>
      </c>
      <c r="H208" s="96" t="s">
        <v>56</v>
      </c>
      <c r="I208" s="96" t="s">
        <v>31</v>
      </c>
      <c r="J208" s="96" t="s">
        <v>3026</v>
      </c>
      <c r="K208" s="96" t="s">
        <v>3027</v>
      </c>
      <c r="L208" s="96" t="s">
        <v>31</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7"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7">
        <v>3</v>
      </c>
      <c r="CG208" s="96"/>
      <c r="CH208" s="96"/>
      <c r="CI208" s="96" t="s">
        <v>1819</v>
      </c>
      <c r="CJ208"/>
    </row>
    <row r="209" spans="1:88" s="53" customFormat="1" ht="24.95" customHeight="1">
      <c r="A209" s="96">
        <v>212</v>
      </c>
      <c r="B209" s="96" t="s">
        <v>3037</v>
      </c>
      <c r="C209" s="96" t="s">
        <v>3038</v>
      </c>
      <c r="D209" s="96"/>
      <c r="E209" s="96" t="s">
        <v>3039</v>
      </c>
      <c r="F209" s="96" t="s">
        <v>24</v>
      </c>
      <c r="G209" s="96">
        <v>9</v>
      </c>
      <c r="H209" s="96" t="s">
        <v>54</v>
      </c>
      <c r="I209" s="96" t="s">
        <v>41</v>
      </c>
      <c r="J209" s="96" t="s">
        <v>2745</v>
      </c>
      <c r="K209" s="96" t="s">
        <v>2745</v>
      </c>
      <c r="L209" s="96" t="s">
        <v>41</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7"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6" t="s">
        <v>3051</v>
      </c>
      <c r="BP209" s="96">
        <v>2</v>
      </c>
      <c r="BQ209" s="96">
        <v>0</v>
      </c>
      <c r="BR209" s="96"/>
      <c r="BS209" s="96"/>
      <c r="BT209" s="96"/>
      <c r="BU209" s="96"/>
      <c r="BV209" s="96"/>
      <c r="BW209" s="96" t="s">
        <v>160</v>
      </c>
      <c r="BX209" s="96"/>
      <c r="BY209" s="96"/>
      <c r="BZ209" s="103"/>
      <c r="CA209" s="103"/>
      <c r="CB209" s="96"/>
      <c r="CC209" s="96"/>
      <c r="CD209" s="96"/>
      <c r="CE209" s="96"/>
      <c r="CF209" s="377">
        <v>0</v>
      </c>
      <c r="CG209" s="96"/>
      <c r="CH209" s="96"/>
      <c r="CI209" s="96" t="s">
        <v>1819</v>
      </c>
      <c r="CJ209"/>
    </row>
    <row r="210" spans="1:88" s="53" customFormat="1" ht="24.95" customHeight="1">
      <c r="A210" s="96">
        <v>213</v>
      </c>
      <c r="B210" s="96" t="s">
        <v>3052</v>
      </c>
      <c r="C210" s="96" t="s">
        <v>3053</v>
      </c>
      <c r="D210" s="96" t="s">
        <v>3054</v>
      </c>
      <c r="E210" s="96" t="s">
        <v>3055</v>
      </c>
      <c r="F210" s="96" t="s">
        <v>24</v>
      </c>
      <c r="G210" s="96">
        <v>9</v>
      </c>
      <c r="H210" s="96" t="s">
        <v>50</v>
      </c>
      <c r="I210" s="96" t="s">
        <v>35</v>
      </c>
      <c r="J210" s="96" t="s">
        <v>3056</v>
      </c>
      <c r="K210" s="96" t="s">
        <v>287</v>
      </c>
      <c r="L210" s="96" t="s">
        <v>28</v>
      </c>
      <c r="M210" s="96" t="s">
        <v>160</v>
      </c>
      <c r="N210" s="96">
        <v>78570</v>
      </c>
      <c r="O210" s="96" t="s">
        <v>148</v>
      </c>
      <c r="P210" s="96" t="s">
        <v>148</v>
      </c>
      <c r="Q210" s="96"/>
      <c r="R210" s="96" t="s">
        <v>3057</v>
      </c>
      <c r="S210" s="321"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7"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7">
        <v>3</v>
      </c>
      <c r="CG210" s="96"/>
      <c r="CH210" s="96"/>
      <c r="CI210" s="96" t="s">
        <v>806</v>
      </c>
      <c r="CJ210"/>
    </row>
    <row r="211" spans="1:88" s="53" customFormat="1" ht="24.95" customHeight="1">
      <c r="A211" s="96">
        <v>214</v>
      </c>
      <c r="B211" s="96" t="s">
        <v>3065</v>
      </c>
      <c r="C211" s="96" t="s">
        <v>3066</v>
      </c>
      <c r="D211" s="96" t="s">
        <v>3067</v>
      </c>
      <c r="E211" s="96" t="s">
        <v>3068</v>
      </c>
      <c r="F211" s="96" t="s">
        <v>24</v>
      </c>
      <c r="G211" s="96">
        <v>9</v>
      </c>
      <c r="H211" s="96" t="s">
        <v>50</v>
      </c>
      <c r="I211" s="96" t="s">
        <v>28</v>
      </c>
      <c r="J211" s="96" t="s">
        <v>1172</v>
      </c>
      <c r="K211" s="96" t="s">
        <v>3069</v>
      </c>
      <c r="L211" s="96" t="s">
        <v>28</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8"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7">
        <v>4</v>
      </c>
      <c r="CG211" s="96"/>
      <c r="CH211" s="96"/>
      <c r="CI211" s="96" t="s">
        <v>806</v>
      </c>
      <c r="CJ211"/>
    </row>
    <row r="212" spans="1:88" s="53" customFormat="1" ht="30.95" customHeight="1">
      <c r="A212" s="96">
        <v>215</v>
      </c>
      <c r="B212" s="96" t="s">
        <v>3079</v>
      </c>
      <c r="C212" s="96" t="s">
        <v>3080</v>
      </c>
      <c r="D212" s="96" t="s">
        <v>3081</v>
      </c>
      <c r="E212" s="96" t="s">
        <v>3082</v>
      </c>
      <c r="F212" s="96" t="s">
        <v>24</v>
      </c>
      <c r="G212" s="96">
        <v>9</v>
      </c>
      <c r="H212" s="96" t="s">
        <v>50</v>
      </c>
      <c r="I212" s="96" t="s">
        <v>28</v>
      </c>
      <c r="J212" s="96" t="s">
        <v>3083</v>
      </c>
      <c r="K212" s="96" t="s">
        <v>3084</v>
      </c>
      <c r="L212" s="96" t="s">
        <v>28</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8"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7"/>
      <c r="CG212" s="96"/>
      <c r="CH212" s="96"/>
      <c r="CI212" s="96" t="s">
        <v>806</v>
      </c>
      <c r="CJ212"/>
    </row>
    <row r="213" spans="1:88" s="53" customFormat="1" ht="24" customHeight="1">
      <c r="A213" s="96">
        <v>216</v>
      </c>
      <c r="B213" s="96" t="s">
        <v>3097</v>
      </c>
      <c r="C213" s="96" t="s">
        <v>3098</v>
      </c>
      <c r="D213" s="96" t="s">
        <v>3099</v>
      </c>
      <c r="E213" s="96" t="s">
        <v>3100</v>
      </c>
      <c r="F213" s="96" t="s">
        <v>24</v>
      </c>
      <c r="G213" s="96">
        <v>9</v>
      </c>
      <c r="H213" s="96" t="s">
        <v>54</v>
      </c>
      <c r="I213" s="96" t="s">
        <v>41</v>
      </c>
      <c r="J213" s="96" t="s">
        <v>3101</v>
      </c>
      <c r="K213" s="96" t="s">
        <v>3102</v>
      </c>
      <c r="L213" s="96" t="s">
        <v>41</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7"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7">
        <v>0</v>
      </c>
      <c r="CG213" s="96"/>
      <c r="CH213" s="96"/>
      <c r="CI213" s="96" t="s">
        <v>806</v>
      </c>
      <c r="CJ213"/>
    </row>
    <row r="214" spans="1:88" s="53" customFormat="1" ht="24.95" customHeight="1">
      <c r="A214" s="91">
        <v>217</v>
      </c>
      <c r="B214" s="91" t="s">
        <v>3114</v>
      </c>
      <c r="C214" s="91" t="s">
        <v>3115</v>
      </c>
      <c r="D214" s="91" t="s">
        <v>3116</v>
      </c>
      <c r="E214" s="91" t="s">
        <v>3117</v>
      </c>
      <c r="F214" s="91" t="s">
        <v>24</v>
      </c>
      <c r="G214" s="91">
        <v>9</v>
      </c>
      <c r="H214" s="91" t="s">
        <v>48</v>
      </c>
      <c r="I214" s="91" t="s">
        <v>38</v>
      </c>
      <c r="J214" s="91" t="s">
        <v>2677</v>
      </c>
      <c r="K214" s="91" t="s">
        <v>3118</v>
      </c>
      <c r="L214" s="91" t="s">
        <v>38</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6"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customHeight="1">
      <c r="A215" s="96">
        <v>218</v>
      </c>
      <c r="B215" s="96" t="s">
        <v>3130</v>
      </c>
      <c r="C215" s="96" t="s">
        <v>3131</v>
      </c>
      <c r="D215" s="96" t="s">
        <v>2649</v>
      </c>
      <c r="E215" s="96" t="s">
        <v>3132</v>
      </c>
      <c r="F215" s="96" t="s">
        <v>24</v>
      </c>
      <c r="G215" s="96">
        <v>9</v>
      </c>
      <c r="H215" s="96" t="s">
        <v>50</v>
      </c>
      <c r="I215" s="96" t="s">
        <v>28</v>
      </c>
      <c r="J215" s="96" t="s">
        <v>3133</v>
      </c>
      <c r="K215" s="96" t="s">
        <v>3133</v>
      </c>
      <c r="L215" s="96" t="s">
        <v>41</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7"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7">
        <v>2</v>
      </c>
      <c r="CG215" s="96"/>
      <c r="CH215" s="96"/>
      <c r="CI215" s="96" t="s">
        <v>806</v>
      </c>
      <c r="CJ215"/>
    </row>
    <row r="216" spans="1:88" s="53" customFormat="1" ht="24.95" customHeight="1">
      <c r="A216" s="96">
        <v>219</v>
      </c>
      <c r="B216" s="96" t="s">
        <v>3143</v>
      </c>
      <c r="C216" s="96" t="s">
        <v>3144</v>
      </c>
      <c r="D216" s="96" t="s">
        <v>3145</v>
      </c>
      <c r="E216" s="96" t="s">
        <v>3146</v>
      </c>
      <c r="F216" s="96" t="s">
        <v>23</v>
      </c>
      <c r="G216" s="96">
        <v>9</v>
      </c>
      <c r="H216" s="96" t="s">
        <v>48</v>
      </c>
      <c r="I216" s="96" t="s">
        <v>33</v>
      </c>
      <c r="J216" s="96" t="s">
        <v>3147</v>
      </c>
      <c r="K216" s="96" t="s">
        <v>3148</v>
      </c>
      <c r="L216" s="96" t="s">
        <v>41</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7"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7">
        <v>3</v>
      </c>
      <c r="CG216" s="96"/>
      <c r="CH216" s="96"/>
      <c r="CI216" s="96" t="s">
        <v>806</v>
      </c>
      <c r="CJ216"/>
    </row>
    <row r="217" spans="1:88" s="53" customFormat="1" ht="24.95" customHeight="1">
      <c r="A217" s="96">
        <v>220</v>
      </c>
      <c r="B217" s="96" t="s">
        <v>3159</v>
      </c>
      <c r="C217" s="96" t="s">
        <v>3160</v>
      </c>
      <c r="D217" s="96" t="s">
        <v>3161</v>
      </c>
      <c r="E217" s="96" t="s">
        <v>3162</v>
      </c>
      <c r="F217" s="96" t="s">
        <v>24</v>
      </c>
      <c r="G217" s="96">
        <v>9</v>
      </c>
      <c r="H217" s="96" t="s">
        <v>50</v>
      </c>
      <c r="I217" s="96" t="s">
        <v>35</v>
      </c>
      <c r="J217" s="96" t="s">
        <v>3163</v>
      </c>
      <c r="K217" s="96" t="s">
        <v>3164</v>
      </c>
      <c r="L217" s="96" t="s">
        <v>35</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7"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7">
        <v>3</v>
      </c>
      <c r="CG217" s="96"/>
      <c r="CH217" s="96"/>
      <c r="CI217" s="96" t="s">
        <v>806</v>
      </c>
      <c r="CJ217"/>
    </row>
    <row r="218" spans="1:88" s="53" customFormat="1" ht="24.95" customHeight="1">
      <c r="A218" s="96">
        <v>221</v>
      </c>
      <c r="B218" s="96" t="s">
        <v>3174</v>
      </c>
      <c r="C218" s="96" t="s">
        <v>3175</v>
      </c>
      <c r="D218" s="96" t="s">
        <v>616</v>
      </c>
      <c r="E218" s="96" t="s">
        <v>3176</v>
      </c>
      <c r="F218" s="96" t="s">
        <v>23</v>
      </c>
      <c r="G218" s="96">
        <v>9</v>
      </c>
      <c r="H218" s="96" t="s">
        <v>55</v>
      </c>
      <c r="I218" s="96" t="s">
        <v>36</v>
      </c>
      <c r="J218" s="96" t="s">
        <v>1125</v>
      </c>
      <c r="K218" s="96" t="s">
        <v>3177</v>
      </c>
      <c r="L218" s="96" t="s">
        <v>41</v>
      </c>
      <c r="M218" s="96" t="s">
        <v>160</v>
      </c>
      <c r="N218" s="96"/>
      <c r="O218" s="96" t="s">
        <v>148</v>
      </c>
      <c r="P218" s="96" t="s">
        <v>148</v>
      </c>
      <c r="Q218" s="96"/>
      <c r="R218" s="96" t="s">
        <v>3178</v>
      </c>
      <c r="S218" s="321"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7"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7">
        <v>1</v>
      </c>
      <c r="CG218" s="96"/>
      <c r="CH218" s="96"/>
      <c r="CI218" s="96" t="s">
        <v>806</v>
      </c>
      <c r="CJ218"/>
    </row>
    <row r="219" spans="1:88" s="53" customFormat="1" ht="24.95" customHeight="1">
      <c r="A219" s="96">
        <v>222</v>
      </c>
      <c r="B219" s="96" t="s">
        <v>3189</v>
      </c>
      <c r="C219" s="96" t="s">
        <v>3190</v>
      </c>
      <c r="D219" s="96"/>
      <c r="E219" s="96" t="s">
        <v>3191</v>
      </c>
      <c r="F219" s="96" t="s">
        <v>24</v>
      </c>
      <c r="G219" s="96">
        <v>9</v>
      </c>
      <c r="H219" s="96" t="s">
        <v>49</v>
      </c>
      <c r="I219" s="96" t="s">
        <v>42</v>
      </c>
      <c r="J219" s="96" t="s">
        <v>3192</v>
      </c>
      <c r="K219" s="96" t="s">
        <v>3193</v>
      </c>
      <c r="L219" s="96" t="s">
        <v>40</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7"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7">
        <v>0</v>
      </c>
      <c r="CG219" s="96"/>
      <c r="CH219" s="96"/>
      <c r="CI219" s="96" t="s">
        <v>806</v>
      </c>
      <c r="CJ219"/>
    </row>
    <row r="220" spans="1:88" s="53" customFormat="1" ht="24.95" customHeight="1">
      <c r="A220" s="96">
        <v>223</v>
      </c>
      <c r="B220" s="96" t="s">
        <v>3203</v>
      </c>
      <c r="C220" s="96" t="s">
        <v>3204</v>
      </c>
      <c r="D220" s="96"/>
      <c r="E220" s="96" t="s">
        <v>3205</v>
      </c>
      <c r="F220" s="96" t="s">
        <v>24</v>
      </c>
      <c r="G220" s="96">
        <v>9</v>
      </c>
      <c r="H220" s="96" t="s">
        <v>50</v>
      </c>
      <c r="I220" s="96" t="s">
        <v>28</v>
      </c>
      <c r="J220" s="96" t="s">
        <v>3206</v>
      </c>
      <c r="K220" s="96" t="s">
        <v>3207</v>
      </c>
      <c r="L220" s="96" t="s">
        <v>28</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7"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7">
        <v>3</v>
      </c>
      <c r="CG220" s="96"/>
      <c r="CH220" s="96"/>
      <c r="CI220" s="96" t="s">
        <v>806</v>
      </c>
      <c r="CJ220"/>
    </row>
    <row r="221" spans="1:88" s="53" customFormat="1" ht="24.95" customHeight="1">
      <c r="A221" s="96">
        <v>224</v>
      </c>
      <c r="B221" s="91" t="s">
        <v>3217</v>
      </c>
      <c r="C221" s="91" t="s">
        <v>3218</v>
      </c>
      <c r="D221" s="91" t="s">
        <v>3219</v>
      </c>
      <c r="E221" s="91" t="s">
        <v>3220</v>
      </c>
      <c r="F221" s="91" t="s">
        <v>24</v>
      </c>
      <c r="G221" s="91">
        <v>9</v>
      </c>
      <c r="H221" s="91" t="s">
        <v>56</v>
      </c>
      <c r="I221" s="91" t="s">
        <v>31</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6"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customHeight="1">
      <c r="A222" s="202">
        <v>225</v>
      </c>
      <c r="B222" s="202" t="s">
        <v>3227</v>
      </c>
      <c r="C222" s="202" t="s">
        <v>3228</v>
      </c>
      <c r="D222" s="202"/>
      <c r="E222" s="202" t="s">
        <v>3229</v>
      </c>
      <c r="F222" s="202" t="s">
        <v>24</v>
      </c>
      <c r="G222" s="202">
        <v>10</v>
      </c>
      <c r="H222" s="202" t="s">
        <v>51</v>
      </c>
      <c r="I222" s="202" t="s">
        <v>39</v>
      </c>
      <c r="J222" s="202" t="s">
        <v>1418</v>
      </c>
      <c r="K222" s="202" t="s">
        <v>3230</v>
      </c>
      <c r="L222" s="202" t="s">
        <v>41</v>
      </c>
      <c r="M222" s="202" t="s">
        <v>160</v>
      </c>
      <c r="N222" s="202"/>
      <c r="O222" s="202" t="s">
        <v>148</v>
      </c>
      <c r="P222" s="202" t="s">
        <v>148</v>
      </c>
      <c r="Q222" s="202"/>
      <c r="R222" s="202" t="s">
        <v>3231</v>
      </c>
      <c r="S222" s="202" t="s">
        <v>3232</v>
      </c>
      <c r="T222" s="357"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8" t="s">
        <v>216</v>
      </c>
      <c r="AU222" s="202" t="s">
        <v>3237</v>
      </c>
      <c r="AV222" s="203"/>
      <c r="AW222" s="204">
        <v>43892</v>
      </c>
      <c r="AX222" s="319"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4">
        <v>3</v>
      </c>
      <c r="CG222" s="202"/>
      <c r="CH222" s="202"/>
      <c r="CI222" s="202" t="s">
        <v>806</v>
      </c>
      <c r="CJ222"/>
    </row>
    <row r="223" spans="1:88" s="53" customFormat="1" ht="32.450000000000003" customHeight="1">
      <c r="A223" s="202">
        <v>226</v>
      </c>
      <c r="B223" s="202" t="s">
        <v>3240</v>
      </c>
      <c r="C223" s="202" t="s">
        <v>3241</v>
      </c>
      <c r="D223" s="202"/>
      <c r="E223" s="202" t="s">
        <v>3242</v>
      </c>
      <c r="F223" s="202" t="s">
        <v>24</v>
      </c>
      <c r="G223" s="202">
        <v>10</v>
      </c>
      <c r="H223" s="202" t="s">
        <v>51</v>
      </c>
      <c r="I223" s="202" t="s">
        <v>39</v>
      </c>
      <c r="J223" s="202" t="s">
        <v>599</v>
      </c>
      <c r="K223" s="202" t="s">
        <v>3243</v>
      </c>
      <c r="L223" s="202" t="s">
        <v>41</v>
      </c>
      <c r="M223" s="202" t="s">
        <v>160</v>
      </c>
      <c r="N223" s="202">
        <v>2477108</v>
      </c>
      <c r="O223" s="202" t="s">
        <v>148</v>
      </c>
      <c r="P223" s="202" t="s">
        <v>148</v>
      </c>
      <c r="Q223" s="202"/>
      <c r="R223" s="202" t="s">
        <v>3244</v>
      </c>
      <c r="S223" s="202" t="s">
        <v>3245</v>
      </c>
      <c r="T223" s="357"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8" t="s">
        <v>216</v>
      </c>
      <c r="AU223" s="202" t="s">
        <v>3251</v>
      </c>
      <c r="AV223" s="203"/>
      <c r="AW223" s="204">
        <v>43893</v>
      </c>
      <c r="AX223" s="319"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4">
        <v>0</v>
      </c>
      <c r="CG223" s="202"/>
      <c r="CH223" s="202"/>
      <c r="CI223" s="202" t="s">
        <v>806</v>
      </c>
      <c r="CJ223"/>
    </row>
    <row r="224" spans="1:88" s="53" customFormat="1" ht="20.45" customHeight="1">
      <c r="A224" s="202">
        <v>227</v>
      </c>
      <c r="B224" s="202" t="s">
        <v>3252</v>
      </c>
      <c r="C224" s="202" t="s">
        <v>3253</v>
      </c>
      <c r="D224" s="202" t="s">
        <v>3254</v>
      </c>
      <c r="E224" s="202" t="s">
        <v>3255</v>
      </c>
      <c r="F224" s="202" t="s">
        <v>24</v>
      </c>
      <c r="G224" s="202">
        <v>10</v>
      </c>
      <c r="H224" s="202" t="s">
        <v>55</v>
      </c>
      <c r="I224" s="202" t="s">
        <v>36</v>
      </c>
      <c r="J224" s="202" t="s">
        <v>2137</v>
      </c>
      <c r="K224" s="202" t="s">
        <v>3256</v>
      </c>
      <c r="L224" s="202" t="s">
        <v>41</v>
      </c>
      <c r="M224" s="202" t="s">
        <v>160</v>
      </c>
      <c r="N224" s="202"/>
      <c r="O224" s="202" t="s">
        <v>319</v>
      </c>
      <c r="P224" s="202" t="s">
        <v>319</v>
      </c>
      <c r="Q224" s="202"/>
      <c r="R224" s="202" t="s">
        <v>3257</v>
      </c>
      <c r="S224" s="202" t="s">
        <v>3258</v>
      </c>
      <c r="T224" s="357"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8" t="s">
        <v>1263</v>
      </c>
      <c r="AU224" s="202" t="s">
        <v>3264</v>
      </c>
      <c r="AV224" s="203"/>
      <c r="AW224" s="204">
        <v>43895</v>
      </c>
      <c r="AX224" s="319"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t="s">
        <v>3265</v>
      </c>
      <c r="BL224" s="202" t="s">
        <v>16</v>
      </c>
      <c r="BM224" s="270"/>
      <c r="BN224" s="270"/>
      <c r="BO224" s="270" t="s">
        <v>3266</v>
      </c>
      <c r="BP224" s="202">
        <v>15</v>
      </c>
      <c r="BQ224" s="202">
        <v>4</v>
      </c>
      <c r="BR224" s="202"/>
      <c r="BS224" s="202"/>
      <c r="BT224" s="202"/>
      <c r="BU224" s="202"/>
      <c r="BV224" s="202"/>
      <c r="BW224" s="202" t="s">
        <v>160</v>
      </c>
      <c r="BX224" s="202"/>
      <c r="BY224" s="202"/>
      <c r="BZ224" s="207"/>
      <c r="CA224" s="207"/>
      <c r="CB224" s="202"/>
      <c r="CC224" s="202"/>
      <c r="CD224" s="202"/>
      <c r="CE224" s="202"/>
      <c r="CF224" s="384">
        <v>0</v>
      </c>
      <c r="CG224" s="202"/>
      <c r="CH224" s="202"/>
      <c r="CI224" s="202" t="s">
        <v>806</v>
      </c>
      <c r="CJ224"/>
    </row>
    <row r="225" spans="1:88" s="53" customFormat="1" ht="29.45" customHeight="1">
      <c r="A225" s="202">
        <v>228</v>
      </c>
      <c r="B225" s="202" t="s">
        <v>3267</v>
      </c>
      <c r="C225" s="202" t="s">
        <v>626</v>
      </c>
      <c r="D225" s="202" t="s">
        <v>3268</v>
      </c>
      <c r="E225" s="202" t="s">
        <v>3269</v>
      </c>
      <c r="F225" s="202" t="s">
        <v>24</v>
      </c>
      <c r="G225" s="202">
        <v>10</v>
      </c>
      <c r="H225" s="202" t="s">
        <v>50</v>
      </c>
      <c r="I225" s="202" t="s">
        <v>28</v>
      </c>
      <c r="J225" s="202" t="s">
        <v>3270</v>
      </c>
      <c r="K225" s="202" t="s">
        <v>3271</v>
      </c>
      <c r="L225" s="202" t="s">
        <v>28</v>
      </c>
      <c r="M225" s="202" t="s">
        <v>147</v>
      </c>
      <c r="N225" s="202"/>
      <c r="O225" s="202" t="s">
        <v>319</v>
      </c>
      <c r="P225" s="202" t="s">
        <v>319</v>
      </c>
      <c r="Q225" s="202"/>
      <c r="R225" s="202" t="s">
        <v>3272</v>
      </c>
      <c r="S225" s="202" t="s">
        <v>3273</v>
      </c>
      <c r="T225" s="357" t="s">
        <v>3274</v>
      </c>
      <c r="U225" s="203" t="s">
        <v>3275</v>
      </c>
      <c r="V225" s="203">
        <v>27816</v>
      </c>
      <c r="W225" s="269" t="s">
        <v>3276</v>
      </c>
      <c r="X225" s="269" t="s">
        <v>176</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161</v>
      </c>
      <c r="AP225" s="203" t="s">
        <v>1437</v>
      </c>
      <c r="AQ225" s="203" t="s">
        <v>247</v>
      </c>
      <c r="AR225" s="203" t="s">
        <v>147</v>
      </c>
      <c r="AS225" s="203"/>
      <c r="AT225" s="428" t="s">
        <v>325</v>
      </c>
      <c r="AU225" s="202" t="s">
        <v>3278</v>
      </c>
      <c r="AV225" s="203"/>
      <c r="AW225" s="204">
        <v>43906</v>
      </c>
      <c r="AX225" s="320">
        <v>44136</v>
      </c>
      <c r="AY225" s="204" t="s">
        <v>147</v>
      </c>
      <c r="AZ225" s="204"/>
      <c r="BA225" s="204">
        <v>44600</v>
      </c>
      <c r="BB225" s="204"/>
      <c r="BC225" s="205" t="s">
        <v>3276</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4">
        <v>0</v>
      </c>
      <c r="CG225" s="202"/>
      <c r="CH225" s="202"/>
      <c r="CI225" s="202" t="s">
        <v>806</v>
      </c>
      <c r="CJ225"/>
    </row>
    <row r="226" spans="1:88" s="53" customFormat="1" ht="29.45" customHeight="1">
      <c r="A226" s="202">
        <v>229</v>
      </c>
      <c r="B226" s="202" t="s">
        <v>3279</v>
      </c>
      <c r="C226" s="202" t="s">
        <v>3280</v>
      </c>
      <c r="D226" s="202" t="s">
        <v>3281</v>
      </c>
      <c r="E226" s="202" t="s">
        <v>3282</v>
      </c>
      <c r="F226" s="202" t="s">
        <v>24</v>
      </c>
      <c r="G226" s="202">
        <v>10</v>
      </c>
      <c r="H226" s="202" t="s">
        <v>49</v>
      </c>
      <c r="I226" s="202" t="s">
        <v>42</v>
      </c>
      <c r="J226" s="202" t="s">
        <v>1418</v>
      </c>
      <c r="K226" s="202" t="s">
        <v>3283</v>
      </c>
      <c r="L226" s="202" t="s">
        <v>41</v>
      </c>
      <c r="M226" s="202" t="s">
        <v>160</v>
      </c>
      <c r="N226" s="202"/>
      <c r="O226" s="202" t="s">
        <v>148</v>
      </c>
      <c r="P226" s="202" t="s">
        <v>148</v>
      </c>
      <c r="Q226" s="202"/>
      <c r="R226" s="202" t="s">
        <v>3284</v>
      </c>
      <c r="S226" s="202" t="s">
        <v>3285</v>
      </c>
      <c r="T226" s="357" t="s">
        <v>3286</v>
      </c>
      <c r="U226" s="203" t="s">
        <v>3287</v>
      </c>
      <c r="V226" s="203">
        <v>29049</v>
      </c>
      <c r="W226" s="269" t="s">
        <v>3288</v>
      </c>
      <c r="X226" s="269" t="s">
        <v>2886</v>
      </c>
      <c r="Y226" s="269"/>
      <c r="Z226" s="269"/>
      <c r="AA226" s="202"/>
      <c r="AB226" s="203">
        <v>44398</v>
      </c>
      <c r="AC226" s="289">
        <v>43891</v>
      </c>
      <c r="AD226" s="203"/>
      <c r="AE226" s="203" t="s">
        <v>2943</v>
      </c>
      <c r="AF226" s="316" t="s">
        <v>3289</v>
      </c>
      <c r="AG226" s="203"/>
      <c r="AH226" s="202">
        <f t="shared" si="69"/>
        <v>2</v>
      </c>
      <c r="AI226" s="203"/>
      <c r="AJ226" s="203"/>
      <c r="AK226" s="203"/>
      <c r="AL226" s="203"/>
      <c r="AM226" s="203"/>
      <c r="AN226" s="203"/>
      <c r="AO226" s="203" t="s">
        <v>161</v>
      </c>
      <c r="AP226" s="203" t="s">
        <v>247</v>
      </c>
      <c r="AQ226" s="203" t="s">
        <v>247</v>
      </c>
      <c r="AR226" s="203" t="s">
        <v>147</v>
      </c>
      <c r="AS226" s="203"/>
      <c r="AT226" s="428" t="s">
        <v>295</v>
      </c>
      <c r="AU226" s="202" t="s">
        <v>3290</v>
      </c>
      <c r="AV226" s="203"/>
      <c r="AW226" s="204">
        <v>43907</v>
      </c>
      <c r="AX226" s="319" t="s">
        <v>3238</v>
      </c>
      <c r="AY226" s="204" t="s">
        <v>147</v>
      </c>
      <c r="AZ226" s="204">
        <v>44596</v>
      </c>
      <c r="BA226" s="204">
        <v>44656</v>
      </c>
      <c r="BB226" s="204"/>
      <c r="BC226" s="205" t="s">
        <v>3288</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4">
        <v>3</v>
      </c>
      <c r="CG226" s="202"/>
      <c r="CH226" s="202"/>
      <c r="CI226" s="202" t="s">
        <v>806</v>
      </c>
      <c r="CJ226"/>
    </row>
    <row r="227" spans="1:88" s="53" customFormat="1" ht="29.45" customHeight="1">
      <c r="A227" s="202">
        <v>230</v>
      </c>
      <c r="B227" s="202" t="s">
        <v>3291</v>
      </c>
      <c r="C227" s="202" t="s">
        <v>3292</v>
      </c>
      <c r="D227" s="202" t="s">
        <v>3293</v>
      </c>
      <c r="E227" s="202" t="s">
        <v>3294</v>
      </c>
      <c r="F227" s="202" t="s">
        <v>24</v>
      </c>
      <c r="G227" s="202">
        <v>10</v>
      </c>
      <c r="H227" s="202" t="s">
        <v>48</v>
      </c>
      <c r="I227" s="202" t="s">
        <v>33</v>
      </c>
      <c r="J227" s="202" t="s">
        <v>3295</v>
      </c>
      <c r="K227" s="202" t="s">
        <v>3296</v>
      </c>
      <c r="L227" s="202" t="s">
        <v>41</v>
      </c>
      <c r="M227" s="202" t="s">
        <v>160</v>
      </c>
      <c r="N227" s="202"/>
      <c r="O227" s="202" t="s">
        <v>1300</v>
      </c>
      <c r="P227" s="202" t="s">
        <v>1300</v>
      </c>
      <c r="Q227" s="202"/>
      <c r="R227" s="202" t="s">
        <v>3297</v>
      </c>
      <c r="S227" s="202" t="s">
        <v>3298</v>
      </c>
      <c r="T227" s="357" t="s">
        <v>3299</v>
      </c>
      <c r="U227" s="203" t="s">
        <v>3300</v>
      </c>
      <c r="V227" s="203">
        <v>31132</v>
      </c>
      <c r="W227" s="269" t="s">
        <v>3301</v>
      </c>
      <c r="X227" s="269" t="s">
        <v>176</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161</v>
      </c>
      <c r="AP227" s="203" t="s">
        <v>872</v>
      </c>
      <c r="AQ227" s="203" t="s">
        <v>3304</v>
      </c>
      <c r="AR227" s="203" t="s">
        <v>147</v>
      </c>
      <c r="AS227" s="203"/>
      <c r="AT227" s="428" t="s">
        <v>3305</v>
      </c>
      <c r="AU227" s="202" t="s">
        <v>3306</v>
      </c>
      <c r="AV227" s="203"/>
      <c r="AW227" s="204">
        <v>43897</v>
      </c>
      <c r="AX227" s="319" t="s">
        <v>3238</v>
      </c>
      <c r="AY227" s="204" t="s">
        <v>147</v>
      </c>
      <c r="AZ227" s="204">
        <v>44161</v>
      </c>
      <c r="BA227" s="204">
        <v>44214</v>
      </c>
      <c r="BB227" s="204"/>
      <c r="BC227" s="205" t="s">
        <v>3301</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12" t="s">
        <v>3307</v>
      </c>
      <c r="BP227" s="202">
        <v>2</v>
      </c>
      <c r="BQ227" s="202">
        <v>1</v>
      </c>
      <c r="BR227" s="202"/>
      <c r="BS227" s="202"/>
      <c r="BT227" s="202"/>
      <c r="BU227" s="202"/>
      <c r="BV227" s="202"/>
      <c r="BW227" s="202" t="s">
        <v>160</v>
      </c>
      <c r="BX227" s="202"/>
      <c r="BY227" s="202"/>
      <c r="BZ227" s="207"/>
      <c r="CA227" s="207"/>
      <c r="CB227" s="202"/>
      <c r="CC227" s="202"/>
      <c r="CD227" s="202"/>
      <c r="CE227" s="202"/>
      <c r="CF227" s="384">
        <v>3</v>
      </c>
      <c r="CG227" s="202"/>
      <c r="CH227" s="202"/>
      <c r="CI227" s="202" t="s">
        <v>806</v>
      </c>
      <c r="CJ227"/>
    </row>
    <row r="228" spans="1:88" s="53" customFormat="1" ht="24.95" customHeight="1">
      <c r="A228" s="202">
        <v>231</v>
      </c>
      <c r="B228" s="202" t="s">
        <v>3308</v>
      </c>
      <c r="C228" s="202" t="s">
        <v>3309</v>
      </c>
      <c r="D228" s="202" t="s">
        <v>3310</v>
      </c>
      <c r="E228" s="202" t="s">
        <v>3311</v>
      </c>
      <c r="F228" s="202" t="s">
        <v>24</v>
      </c>
      <c r="G228" s="202">
        <v>10</v>
      </c>
      <c r="H228" s="202" t="s">
        <v>50</v>
      </c>
      <c r="I228" s="202" t="s">
        <v>28</v>
      </c>
      <c r="J228" s="202" t="s">
        <v>3312</v>
      </c>
      <c r="K228" s="202" t="s">
        <v>1741</v>
      </c>
      <c r="L228" s="202" t="s">
        <v>28</v>
      </c>
      <c r="M228" s="202" t="s">
        <v>160</v>
      </c>
      <c r="N228" s="202"/>
      <c r="O228" s="202" t="s">
        <v>148</v>
      </c>
      <c r="P228" s="202" t="s">
        <v>148</v>
      </c>
      <c r="Q228" s="202" t="s">
        <v>148</v>
      </c>
      <c r="R228" s="202" t="s">
        <v>3313</v>
      </c>
      <c r="S228" s="202" t="s">
        <v>3314</v>
      </c>
      <c r="T228" s="357" t="s">
        <v>3315</v>
      </c>
      <c r="U228" s="203" t="s">
        <v>3316</v>
      </c>
      <c r="V228" s="203">
        <v>29362</v>
      </c>
      <c r="W228" s="269" t="s">
        <v>3317</v>
      </c>
      <c r="X228" s="269" t="s">
        <v>2496</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161</v>
      </c>
      <c r="AP228" s="203" t="s">
        <v>442</v>
      </c>
      <c r="AQ228" s="203" t="s">
        <v>1437</v>
      </c>
      <c r="AR228" s="203" t="s">
        <v>147</v>
      </c>
      <c r="AS228" s="203"/>
      <c r="AT228" s="428" t="s">
        <v>325</v>
      </c>
      <c r="AU228" s="202" t="s">
        <v>3321</v>
      </c>
      <c r="AV228" s="203"/>
      <c r="AW228" s="204">
        <v>43898</v>
      </c>
      <c r="AX228" s="204">
        <v>44136</v>
      </c>
      <c r="AY228" s="204" t="s">
        <v>147</v>
      </c>
      <c r="AZ228" s="204"/>
      <c r="BA228" s="204"/>
      <c r="BB228" s="204"/>
      <c r="BC228" s="205" t="s">
        <v>3317</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12" t="s">
        <v>3322</v>
      </c>
      <c r="BP228" s="202">
        <v>3</v>
      </c>
      <c r="BQ228" s="202">
        <v>2</v>
      </c>
      <c r="BR228" s="202"/>
      <c r="BS228" s="202"/>
      <c r="BT228" s="202"/>
      <c r="BU228" s="202"/>
      <c r="BV228" s="202"/>
      <c r="BW228" s="202" t="s">
        <v>3323</v>
      </c>
      <c r="BX228" s="202"/>
      <c r="BY228" s="202"/>
      <c r="BZ228" s="207"/>
      <c r="CA228" s="207"/>
      <c r="CB228" s="202"/>
      <c r="CC228" s="202"/>
      <c r="CD228" s="202"/>
      <c r="CE228" s="202"/>
      <c r="CF228" s="384">
        <v>4</v>
      </c>
      <c r="CG228" s="202">
        <v>4</v>
      </c>
      <c r="CH228" s="202"/>
      <c r="CI228" s="202" t="s">
        <v>806</v>
      </c>
      <c r="CJ228"/>
    </row>
    <row r="229" spans="1:88" s="53" customFormat="1" ht="24.95" customHeight="1">
      <c r="A229" s="202">
        <v>232</v>
      </c>
      <c r="B229" s="91" t="s">
        <v>3324</v>
      </c>
      <c r="C229" s="91" t="s">
        <v>3325</v>
      </c>
      <c r="D229" s="91" t="s">
        <v>3326</v>
      </c>
      <c r="E229" s="91" t="s">
        <v>3327</v>
      </c>
      <c r="F229" s="91" t="s">
        <v>23</v>
      </c>
      <c r="G229" s="91">
        <v>10</v>
      </c>
      <c r="H229" s="91" t="s">
        <v>48</v>
      </c>
      <c r="I229" s="91" t="s">
        <v>38</v>
      </c>
      <c r="J229" s="91" t="s">
        <v>3328</v>
      </c>
      <c r="K229" s="91" t="s">
        <v>2288</v>
      </c>
      <c r="L229" s="91" t="s">
        <v>38</v>
      </c>
      <c r="M229" s="91" t="s">
        <v>147</v>
      </c>
      <c r="N229" s="91"/>
      <c r="O229" s="91" t="s">
        <v>319</v>
      </c>
      <c r="P229" s="91" t="s">
        <v>319</v>
      </c>
      <c r="Q229" s="91"/>
      <c r="R229" s="91" t="s">
        <v>3329</v>
      </c>
      <c r="S229" s="91" t="s">
        <v>3330</v>
      </c>
      <c r="T229" s="344" t="s">
        <v>3331</v>
      </c>
      <c r="U229" s="92" t="s">
        <v>3332</v>
      </c>
      <c r="V229" s="92">
        <v>30207</v>
      </c>
      <c r="W229" s="164" t="s">
        <v>3333</v>
      </c>
      <c r="X229" s="164" t="s">
        <v>2377</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161</v>
      </c>
      <c r="AP229" s="92"/>
      <c r="AQ229" s="92"/>
      <c r="AR229" s="92"/>
      <c r="AS229" s="92"/>
      <c r="AT229" s="406" t="s">
        <v>417</v>
      </c>
      <c r="AU229" s="91" t="s">
        <v>3335</v>
      </c>
      <c r="AV229" s="92"/>
      <c r="AW229" s="93">
        <v>43899</v>
      </c>
      <c r="AX229" s="93">
        <v>44136</v>
      </c>
      <c r="AY229" s="93" t="s">
        <v>147</v>
      </c>
      <c r="AZ229" s="93"/>
      <c r="BA229" s="93"/>
      <c r="BB229" s="93"/>
      <c r="BC229" s="94" t="s">
        <v>3333</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customHeight="1">
      <c r="A230" s="202">
        <v>233</v>
      </c>
      <c r="B230" s="202" t="s">
        <v>3336</v>
      </c>
      <c r="C230" s="202" t="s">
        <v>3337</v>
      </c>
      <c r="D230" s="202" t="s">
        <v>3338</v>
      </c>
      <c r="E230" s="202" t="s">
        <v>3339</v>
      </c>
      <c r="F230" s="202" t="s">
        <v>24</v>
      </c>
      <c r="G230" s="202">
        <v>10</v>
      </c>
      <c r="H230" s="202" t="s">
        <v>50</v>
      </c>
      <c r="I230" s="202" t="s">
        <v>35</v>
      </c>
      <c r="J230" s="202" t="s">
        <v>2800</v>
      </c>
      <c r="K230" s="202" t="s">
        <v>3340</v>
      </c>
      <c r="L230" s="202" t="s">
        <v>41</v>
      </c>
      <c r="M230" s="202" t="s">
        <v>160</v>
      </c>
      <c r="N230" s="202"/>
      <c r="O230" s="202" t="s">
        <v>148</v>
      </c>
      <c r="P230" s="202" t="s">
        <v>148</v>
      </c>
      <c r="Q230" s="202"/>
      <c r="R230" s="202" t="s">
        <v>3341</v>
      </c>
      <c r="S230" s="398" t="s">
        <v>3342</v>
      </c>
      <c r="T230" s="357" t="s">
        <v>3343</v>
      </c>
      <c r="U230" s="203" t="s">
        <v>786</v>
      </c>
      <c r="V230" s="203">
        <v>29652</v>
      </c>
      <c r="W230" s="269" t="s">
        <v>3344</v>
      </c>
      <c r="X230" s="269" t="s">
        <v>2377</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161</v>
      </c>
      <c r="AP230" s="203" t="s">
        <v>1437</v>
      </c>
      <c r="AQ230" s="203" t="s">
        <v>1966</v>
      </c>
      <c r="AR230" s="203" t="s">
        <v>147</v>
      </c>
      <c r="AS230" s="203"/>
      <c r="AT230" s="428" t="s">
        <v>282</v>
      </c>
      <c r="AU230" s="202" t="s">
        <v>3348</v>
      </c>
      <c r="AV230" s="203"/>
      <c r="AW230" s="204">
        <v>43909</v>
      </c>
      <c r="AX230" s="204">
        <v>44136</v>
      </c>
      <c r="AY230" s="204" t="s">
        <v>147</v>
      </c>
      <c r="AZ230" s="204">
        <v>44391</v>
      </c>
      <c r="BA230" s="204">
        <v>44355</v>
      </c>
      <c r="BB230" s="204"/>
      <c r="BC230" s="205" t="s">
        <v>3344</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3349</v>
      </c>
      <c r="BP230" s="202">
        <v>4</v>
      </c>
      <c r="BQ230" s="202">
        <v>3</v>
      </c>
      <c r="BR230" s="202"/>
      <c r="BS230" s="202"/>
      <c r="BT230" s="202"/>
      <c r="BU230" s="202"/>
      <c r="BV230" s="202"/>
      <c r="BW230" s="202" t="s">
        <v>160</v>
      </c>
      <c r="BX230" s="202"/>
      <c r="BY230" s="202"/>
      <c r="BZ230" s="207"/>
      <c r="CA230" s="207"/>
      <c r="CB230" s="202"/>
      <c r="CC230" s="202"/>
      <c r="CD230" s="202"/>
      <c r="CE230" s="202"/>
      <c r="CF230" s="384">
        <v>2</v>
      </c>
      <c r="CG230" s="202"/>
      <c r="CH230" s="202"/>
      <c r="CI230" s="202" t="s">
        <v>806</v>
      </c>
      <c r="CJ230"/>
    </row>
    <row r="231" spans="1:88" s="53" customFormat="1" ht="24.95" customHeight="1">
      <c r="A231" s="202">
        <v>234</v>
      </c>
      <c r="B231" s="202" t="s">
        <v>3350</v>
      </c>
      <c r="C231" s="202" t="s">
        <v>3351</v>
      </c>
      <c r="D231" s="202"/>
      <c r="E231" s="202" t="s">
        <v>3352</v>
      </c>
      <c r="F231" s="202" t="s">
        <v>23</v>
      </c>
      <c r="G231" s="202">
        <v>10</v>
      </c>
      <c r="H231" s="202" t="s">
        <v>56</v>
      </c>
      <c r="I231" s="202" t="s">
        <v>31</v>
      </c>
      <c r="J231" s="202" t="s">
        <v>599</v>
      </c>
      <c r="K231" s="202" t="s">
        <v>2980</v>
      </c>
      <c r="L231" s="202" t="s">
        <v>31</v>
      </c>
      <c r="M231" s="202" t="s">
        <v>147</v>
      </c>
      <c r="N231" s="202"/>
      <c r="O231" s="202" t="s">
        <v>148</v>
      </c>
      <c r="P231" s="202" t="s">
        <v>148</v>
      </c>
      <c r="Q231" s="202"/>
      <c r="R231" s="202" t="s">
        <v>3353</v>
      </c>
      <c r="S231" s="202" t="s">
        <v>3354</v>
      </c>
      <c r="T231" s="357" t="s">
        <v>3355</v>
      </c>
      <c r="U231" s="203" t="s">
        <v>814</v>
      </c>
      <c r="V231" s="203">
        <v>31343</v>
      </c>
      <c r="W231" s="269" t="s">
        <v>3356</v>
      </c>
      <c r="X231" s="269" t="s">
        <v>176</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179</v>
      </c>
      <c r="AP231" s="203" t="s">
        <v>1832</v>
      </c>
      <c r="AQ231" s="203"/>
      <c r="AR231" s="203" t="s">
        <v>147</v>
      </c>
      <c r="AS231" s="203"/>
      <c r="AT231" s="428" t="s">
        <v>577</v>
      </c>
      <c r="AU231" s="202" t="s">
        <v>3360</v>
      </c>
      <c r="AV231" s="203"/>
      <c r="AW231" s="204">
        <v>43901</v>
      </c>
      <c r="AX231" s="204">
        <v>44136</v>
      </c>
      <c r="AY231" s="204" t="s">
        <v>147</v>
      </c>
      <c r="AZ231" s="204">
        <v>44271</v>
      </c>
      <c r="BA231" s="204">
        <v>44593</v>
      </c>
      <c r="BB231" s="204"/>
      <c r="BC231" s="205" t="s">
        <v>3356</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12" t="s">
        <v>3361</v>
      </c>
      <c r="BP231" s="202">
        <v>8</v>
      </c>
      <c r="BQ231" s="202">
        <v>7</v>
      </c>
      <c r="BR231" s="202"/>
      <c r="BS231" s="202"/>
      <c r="BT231" s="202"/>
      <c r="BU231" s="202"/>
      <c r="BV231" s="202"/>
      <c r="BW231" s="202" t="s">
        <v>160</v>
      </c>
      <c r="BX231" s="202"/>
      <c r="BY231" s="202"/>
      <c r="BZ231" s="207"/>
      <c r="CA231" s="207"/>
      <c r="CB231" s="202"/>
      <c r="CC231" s="202"/>
      <c r="CD231" s="202"/>
      <c r="CE231" s="202"/>
      <c r="CF231" s="384">
        <v>1</v>
      </c>
      <c r="CG231" s="202"/>
      <c r="CH231" s="202"/>
      <c r="CI231" s="202" t="s">
        <v>806</v>
      </c>
      <c r="CJ231"/>
    </row>
    <row r="232" spans="1:88" s="53" customFormat="1" ht="26.1" customHeight="1">
      <c r="A232" s="202">
        <v>235</v>
      </c>
      <c r="B232" s="202" t="s">
        <v>3362</v>
      </c>
      <c r="C232" s="202" t="s">
        <v>3363</v>
      </c>
      <c r="D232" s="202" t="s">
        <v>3364</v>
      </c>
      <c r="E232" s="202" t="s">
        <v>3365</v>
      </c>
      <c r="F232" s="202" t="s">
        <v>24</v>
      </c>
      <c r="G232" s="202">
        <v>10</v>
      </c>
      <c r="H232" s="202" t="s">
        <v>50</v>
      </c>
      <c r="I232" s="202" t="s">
        <v>35</v>
      </c>
      <c r="J232" s="202" t="s">
        <v>3366</v>
      </c>
      <c r="K232" s="202" t="s">
        <v>3367</v>
      </c>
      <c r="L232" s="202" t="s">
        <v>28</v>
      </c>
      <c r="M232" s="202" t="s">
        <v>160</v>
      </c>
      <c r="N232" s="202"/>
      <c r="O232" s="202" t="s">
        <v>148</v>
      </c>
      <c r="P232" s="202" t="s">
        <v>148</v>
      </c>
      <c r="Q232" s="202"/>
      <c r="R232" s="202" t="s">
        <v>3368</v>
      </c>
      <c r="S232" s="202" t="s">
        <v>3369</v>
      </c>
      <c r="T232" s="357" t="s">
        <v>3370</v>
      </c>
      <c r="U232" s="203" t="s">
        <v>814</v>
      </c>
      <c r="V232" s="203">
        <v>27714</v>
      </c>
      <c r="W232" s="269" t="s">
        <v>3371</v>
      </c>
      <c r="X232" s="269" t="s">
        <v>153</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179</v>
      </c>
      <c r="AP232" s="203" t="s">
        <v>247</v>
      </c>
      <c r="AQ232" s="203" t="s">
        <v>3374</v>
      </c>
      <c r="AR232" s="203" t="s">
        <v>147</v>
      </c>
      <c r="AS232" s="203"/>
      <c r="AT232" s="428" t="s">
        <v>282</v>
      </c>
      <c r="AU232" s="202" t="s">
        <v>3375</v>
      </c>
      <c r="AV232" s="203"/>
      <c r="AW232" s="204">
        <v>43910</v>
      </c>
      <c r="AX232" s="319" t="s">
        <v>3238</v>
      </c>
      <c r="AY232" s="204" t="s">
        <v>147</v>
      </c>
      <c r="AZ232" s="204">
        <v>44888</v>
      </c>
      <c r="BA232" s="204">
        <v>44780</v>
      </c>
      <c r="BB232" s="204"/>
      <c r="BC232" s="205" t="s">
        <v>3371</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4">
        <v>2</v>
      </c>
      <c r="CG232" s="202"/>
      <c r="CH232" s="202"/>
      <c r="CI232" s="202" t="s">
        <v>806</v>
      </c>
      <c r="CJ232"/>
    </row>
    <row r="233" spans="1:88" s="53" customFormat="1" ht="26.1" customHeight="1">
      <c r="A233" s="202">
        <v>236</v>
      </c>
      <c r="B233" s="202" t="s">
        <v>3376</v>
      </c>
      <c r="C233" s="202" t="s">
        <v>3377</v>
      </c>
      <c r="D233" s="202"/>
      <c r="E233" s="202" t="s">
        <v>3378</v>
      </c>
      <c r="F233" s="202" t="s">
        <v>23</v>
      </c>
      <c r="G233" s="202">
        <v>10</v>
      </c>
      <c r="H233" s="202" t="s">
        <v>56</v>
      </c>
      <c r="I233" s="202" t="s">
        <v>31</v>
      </c>
      <c r="J233" s="202" t="s">
        <v>2691</v>
      </c>
      <c r="K233" s="202" t="s">
        <v>3379</v>
      </c>
      <c r="L233" s="202" t="s">
        <v>31</v>
      </c>
      <c r="M233" s="202" t="s">
        <v>147</v>
      </c>
      <c r="N233" s="202"/>
      <c r="O233" s="202" t="s">
        <v>148</v>
      </c>
      <c r="P233" s="202" t="s">
        <v>148</v>
      </c>
      <c r="Q233" s="202"/>
      <c r="R233" s="202" t="s">
        <v>3380</v>
      </c>
      <c r="S233" s="202" t="s">
        <v>3381</v>
      </c>
      <c r="T233" s="357" t="s">
        <v>3382</v>
      </c>
      <c r="U233" s="203" t="s">
        <v>3383</v>
      </c>
      <c r="V233" s="203">
        <v>34002</v>
      </c>
      <c r="W233" s="269" t="s">
        <v>3384</v>
      </c>
      <c r="X233" s="269" t="s">
        <v>2496</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161</v>
      </c>
      <c r="AP233" s="203" t="s">
        <v>1832</v>
      </c>
      <c r="AQ233" s="203"/>
      <c r="AR233" s="203"/>
      <c r="AS233" s="203"/>
      <c r="AT233" s="428" t="s">
        <v>577</v>
      </c>
      <c r="AU233" s="202" t="s">
        <v>3388</v>
      </c>
      <c r="AV233" s="203"/>
      <c r="AW233" s="204">
        <v>43903</v>
      </c>
      <c r="AX233" s="319" t="s">
        <v>3238</v>
      </c>
      <c r="AY233" s="204" t="s">
        <v>147</v>
      </c>
      <c r="AZ233" s="204">
        <v>44566</v>
      </c>
      <c r="BA233" s="204">
        <v>44582</v>
      </c>
      <c r="BB233" s="204"/>
      <c r="BC233" s="205" t="s">
        <v>3384</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3389</v>
      </c>
      <c r="BP233" s="202">
        <v>4</v>
      </c>
      <c r="BQ233" s="202">
        <v>4</v>
      </c>
      <c r="BR233" s="202"/>
      <c r="BS233" s="202"/>
      <c r="BT233" s="202"/>
      <c r="BU233" s="202"/>
      <c r="BV233" s="202"/>
      <c r="BW233" s="202" t="s">
        <v>160</v>
      </c>
      <c r="BX233" s="202"/>
      <c r="BY233" s="202"/>
      <c r="BZ233" s="207"/>
      <c r="CA233" s="207"/>
      <c r="CB233" s="202"/>
      <c r="CC233" s="202"/>
      <c r="CD233" s="202"/>
      <c r="CE233" s="202"/>
      <c r="CF233" s="384">
        <v>3</v>
      </c>
      <c r="CG233" s="202"/>
      <c r="CH233" s="202"/>
      <c r="CI233" s="202" t="s">
        <v>806</v>
      </c>
      <c r="CJ233"/>
    </row>
    <row r="234" spans="1:88" s="53" customFormat="1" ht="26.1" customHeight="1">
      <c r="A234" s="202">
        <v>237</v>
      </c>
      <c r="B234" s="202" t="s">
        <v>3390</v>
      </c>
      <c r="C234" s="202" t="s">
        <v>3391</v>
      </c>
      <c r="D234" s="202"/>
      <c r="E234" s="202" t="s">
        <v>3392</v>
      </c>
      <c r="F234" s="202" t="s">
        <v>24</v>
      </c>
      <c r="G234" s="202">
        <v>10</v>
      </c>
      <c r="H234" s="202" t="s">
        <v>57</v>
      </c>
      <c r="I234" s="202" t="s">
        <v>41</v>
      </c>
      <c r="J234" s="307" t="s">
        <v>599</v>
      </c>
      <c r="K234" s="202" t="s">
        <v>3393</v>
      </c>
      <c r="L234" s="202" t="s">
        <v>41</v>
      </c>
      <c r="M234" s="202" t="s">
        <v>147</v>
      </c>
      <c r="N234" s="202"/>
      <c r="O234" s="202" t="s">
        <v>148</v>
      </c>
      <c r="P234" s="202" t="s">
        <v>148</v>
      </c>
      <c r="Q234" s="202"/>
      <c r="R234" s="202" t="s">
        <v>3394</v>
      </c>
      <c r="S234" s="202" t="s">
        <v>3395</v>
      </c>
      <c r="T234" s="357" t="s">
        <v>3396</v>
      </c>
      <c r="U234" s="203" t="s">
        <v>3397</v>
      </c>
      <c r="V234" s="203">
        <v>30016</v>
      </c>
      <c r="W234" s="308" t="s">
        <v>3398</v>
      </c>
      <c r="X234" s="269" t="s">
        <v>176</v>
      </c>
      <c r="Y234" s="269"/>
      <c r="Z234" s="269"/>
      <c r="AA234" s="202"/>
      <c r="AB234" s="203">
        <v>44265</v>
      </c>
      <c r="AC234" s="289">
        <v>43891</v>
      </c>
      <c r="AD234" s="203"/>
      <c r="AE234" s="203" t="s">
        <v>3399</v>
      </c>
      <c r="AF234" s="203" t="s">
        <v>2097</v>
      </c>
      <c r="AG234" s="203"/>
      <c r="AH234" s="202">
        <f t="shared" si="69"/>
        <v>2</v>
      </c>
      <c r="AI234" s="203"/>
      <c r="AJ234" s="203"/>
      <c r="AK234" s="203"/>
      <c r="AL234" s="203"/>
      <c r="AM234" s="203"/>
      <c r="AN234" s="203"/>
      <c r="AO234" s="203" t="s">
        <v>161</v>
      </c>
      <c r="AP234" s="203" t="s">
        <v>179</v>
      </c>
      <c r="AQ234" s="203" t="s">
        <v>179</v>
      </c>
      <c r="AR234" s="203"/>
      <c r="AS234" s="203"/>
      <c r="AT234" s="428" t="s">
        <v>369</v>
      </c>
      <c r="AU234" s="202" t="s">
        <v>3400</v>
      </c>
      <c r="AV234" s="203"/>
      <c r="AW234" s="204">
        <v>43911</v>
      </c>
      <c r="AX234" s="319" t="s">
        <v>3238</v>
      </c>
      <c r="AY234" s="204" t="s">
        <v>147</v>
      </c>
      <c r="AZ234" s="204">
        <v>44407</v>
      </c>
      <c r="BA234" s="204">
        <v>44508</v>
      </c>
      <c r="BB234" s="204"/>
      <c r="BC234" s="205" t="s">
        <v>3398</v>
      </c>
      <c r="BD234" s="204">
        <v>44872</v>
      </c>
      <c r="BE234" s="204" t="s">
        <v>147</v>
      </c>
      <c r="BF234" s="204">
        <v>45476</v>
      </c>
      <c r="BG234" s="204" t="s">
        <v>147</v>
      </c>
      <c r="BH234" s="204">
        <v>45747</v>
      </c>
      <c r="BI234" s="203"/>
      <c r="BJ234" s="203"/>
      <c r="BK234" s="206"/>
      <c r="BL234" s="202" t="s">
        <v>17</v>
      </c>
      <c r="BM234" s="270"/>
      <c r="BN234" s="202"/>
      <c r="BO234" s="202"/>
      <c r="BP234" s="202">
        <v>3</v>
      </c>
      <c r="BQ234" s="202">
        <v>3</v>
      </c>
      <c r="BR234" s="202"/>
      <c r="BS234" s="202"/>
      <c r="BT234" s="202"/>
      <c r="BU234" s="202"/>
      <c r="BV234" s="202"/>
      <c r="BW234" s="202" t="s">
        <v>160</v>
      </c>
      <c r="BX234" s="202"/>
      <c r="BY234" s="202"/>
      <c r="BZ234" s="207"/>
      <c r="CA234" s="207"/>
      <c r="CB234" s="202"/>
      <c r="CC234" s="202"/>
      <c r="CD234" s="202"/>
      <c r="CE234" s="202"/>
      <c r="CF234" s="384">
        <v>3</v>
      </c>
      <c r="CG234" s="202"/>
      <c r="CH234" s="202"/>
      <c r="CI234" s="202" t="s">
        <v>3401</v>
      </c>
      <c r="CJ234"/>
    </row>
    <row r="235" spans="1:88" s="53" customFormat="1" ht="26.1" customHeight="1">
      <c r="A235" s="202">
        <v>238</v>
      </c>
      <c r="B235" s="202" t="s">
        <v>3402</v>
      </c>
      <c r="C235" s="202" t="s">
        <v>3403</v>
      </c>
      <c r="D235" s="202"/>
      <c r="E235" s="202" t="s">
        <v>3404</v>
      </c>
      <c r="F235" s="202" t="s">
        <v>24</v>
      </c>
      <c r="G235" s="202">
        <v>10</v>
      </c>
      <c r="H235" s="202" t="s">
        <v>57</v>
      </c>
      <c r="I235" s="202" t="s">
        <v>41</v>
      </c>
      <c r="J235" s="202" t="s">
        <v>359</v>
      </c>
      <c r="K235" s="202" t="s">
        <v>3405</v>
      </c>
      <c r="L235" s="202" t="s">
        <v>41</v>
      </c>
      <c r="M235" s="202" t="s">
        <v>147</v>
      </c>
      <c r="N235" s="202"/>
      <c r="O235" s="202" t="s">
        <v>148</v>
      </c>
      <c r="P235" s="202" t="s">
        <v>148</v>
      </c>
      <c r="Q235" s="202"/>
      <c r="R235" s="202" t="s">
        <v>3406</v>
      </c>
      <c r="S235" s="202" t="s">
        <v>3407</v>
      </c>
      <c r="T235" s="357" t="s">
        <v>3408</v>
      </c>
      <c r="U235" s="203" t="s">
        <v>3409</v>
      </c>
      <c r="V235" s="203">
        <v>31616</v>
      </c>
      <c r="W235" s="269" t="s">
        <v>3410</v>
      </c>
      <c r="X235" s="269" t="s">
        <v>176</v>
      </c>
      <c r="Y235" s="269"/>
      <c r="Z235" s="269"/>
      <c r="AA235" s="202"/>
      <c r="AB235" s="203">
        <v>43865</v>
      </c>
      <c r="AC235" s="289">
        <v>43891</v>
      </c>
      <c r="AD235" s="203"/>
      <c r="AE235" s="203" t="s">
        <v>3411</v>
      </c>
      <c r="AF235" s="203"/>
      <c r="AG235" s="203"/>
      <c r="AH235" s="202">
        <f t="shared" si="69"/>
        <v>1</v>
      </c>
      <c r="AI235" s="203"/>
      <c r="AJ235" s="203"/>
      <c r="AK235" s="203"/>
      <c r="AL235" s="203"/>
      <c r="AM235" s="203"/>
      <c r="AN235" s="203"/>
      <c r="AO235" s="203" t="s">
        <v>161</v>
      </c>
      <c r="AP235" s="203" t="s">
        <v>3412</v>
      </c>
      <c r="AQ235" s="203" t="s">
        <v>3413</v>
      </c>
      <c r="AR235" s="203" t="s">
        <v>147</v>
      </c>
      <c r="AS235" s="203"/>
      <c r="AT235" s="428" t="s">
        <v>369</v>
      </c>
      <c r="AU235" s="202" t="s">
        <v>3414</v>
      </c>
      <c r="AV235" s="203"/>
      <c r="AW235" s="204">
        <v>43905</v>
      </c>
      <c r="AX235" s="319" t="s">
        <v>3238</v>
      </c>
      <c r="AY235" s="204" t="s">
        <v>147</v>
      </c>
      <c r="AZ235" s="204"/>
      <c r="BA235" s="204"/>
      <c r="BB235" s="204"/>
      <c r="BC235" s="205" t="s">
        <v>3410</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3415</v>
      </c>
      <c r="BP235" s="202">
        <v>0</v>
      </c>
      <c r="BQ235" s="202"/>
      <c r="BR235" s="202"/>
      <c r="BS235" s="202"/>
      <c r="BT235" s="202"/>
      <c r="BU235" s="202"/>
      <c r="BV235" s="202"/>
      <c r="BW235" s="202" t="s">
        <v>3416</v>
      </c>
      <c r="BX235" s="202"/>
      <c r="BY235" s="202"/>
      <c r="BZ235" s="207"/>
      <c r="CA235" s="207"/>
      <c r="CB235" s="202"/>
      <c r="CC235" s="202"/>
      <c r="CD235" s="202"/>
      <c r="CE235" s="202"/>
      <c r="CF235" s="384">
        <v>1</v>
      </c>
      <c r="CG235" s="202"/>
      <c r="CH235" s="202"/>
      <c r="CI235" s="202" t="s">
        <v>3401</v>
      </c>
      <c r="CJ235"/>
    </row>
    <row r="236" spans="1:88" s="53" customFormat="1" ht="26.1" customHeight="1">
      <c r="A236" s="202">
        <v>239</v>
      </c>
      <c r="B236" s="202" t="s">
        <v>3417</v>
      </c>
      <c r="C236" s="202" t="s">
        <v>3418</v>
      </c>
      <c r="D236" s="202" t="s">
        <v>3419</v>
      </c>
      <c r="E236" s="202" t="s">
        <v>3420</v>
      </c>
      <c r="F236" s="202" t="s">
        <v>24</v>
      </c>
      <c r="G236" s="202">
        <v>10</v>
      </c>
      <c r="H236" s="202" t="s">
        <v>50</v>
      </c>
      <c r="I236" s="202" t="s">
        <v>28</v>
      </c>
      <c r="J236" s="202" t="s">
        <v>2317</v>
      </c>
      <c r="K236" s="202" t="s">
        <v>3421</v>
      </c>
      <c r="L236" s="202" t="s">
        <v>28</v>
      </c>
      <c r="M236" s="202" t="s">
        <v>147</v>
      </c>
      <c r="N236" s="202"/>
      <c r="O236" s="202" t="s">
        <v>3422</v>
      </c>
      <c r="P236" s="202" t="s">
        <v>3423</v>
      </c>
      <c r="Q236" s="202"/>
      <c r="R236" s="202" t="s">
        <v>3424</v>
      </c>
      <c r="S236" s="202" t="s">
        <v>3425</v>
      </c>
      <c r="T236" s="357" t="s">
        <v>3426</v>
      </c>
      <c r="U236" s="203" t="s">
        <v>3427</v>
      </c>
      <c r="V236" s="203">
        <v>27485</v>
      </c>
      <c r="W236" s="269" t="s">
        <v>3428</v>
      </c>
      <c r="X236" s="269" t="s">
        <v>153</v>
      </c>
      <c r="Y236" s="269"/>
      <c r="Z236" s="269"/>
      <c r="AA236" s="202"/>
      <c r="AB236" s="203">
        <v>44182</v>
      </c>
      <c r="AC236" s="289">
        <v>43891</v>
      </c>
      <c r="AD236" s="203"/>
      <c r="AE236" s="203" t="s">
        <v>3429</v>
      </c>
      <c r="AF236" s="203" t="s">
        <v>3430</v>
      </c>
      <c r="AG236" s="203"/>
      <c r="AH236" s="202">
        <f t="shared" si="69"/>
        <v>2</v>
      </c>
      <c r="AI236" s="203"/>
      <c r="AJ236" s="203"/>
      <c r="AK236" s="203"/>
      <c r="AL236" s="203"/>
      <c r="AM236" s="203"/>
      <c r="AN236" s="203"/>
      <c r="AO236" s="203" t="s">
        <v>179</v>
      </c>
      <c r="AP236" s="203" t="s">
        <v>247</v>
      </c>
      <c r="AQ236" s="203" t="s">
        <v>247</v>
      </c>
      <c r="AR236" s="203"/>
      <c r="AS236" s="203"/>
      <c r="AT236" s="428" t="s">
        <v>325</v>
      </c>
      <c r="AU236" s="202" t="s">
        <v>3431</v>
      </c>
      <c r="AV236" s="203"/>
      <c r="AW236" s="204">
        <v>43912</v>
      </c>
      <c r="AX236" s="319" t="s">
        <v>3238</v>
      </c>
      <c r="AY236" s="204" t="s">
        <v>147</v>
      </c>
      <c r="AZ236" s="204">
        <v>44335</v>
      </c>
      <c r="BA236" s="204">
        <v>44370</v>
      </c>
      <c r="BB236" s="204"/>
      <c r="BC236" s="205" t="s">
        <v>3428</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3432</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4">
        <v>4</v>
      </c>
      <c r="CG236" s="202"/>
      <c r="CH236" s="202"/>
      <c r="CI236" s="202" t="s">
        <v>806</v>
      </c>
      <c r="CJ236"/>
    </row>
    <row r="237" spans="1:88" s="53" customFormat="1" ht="26.1" customHeight="1">
      <c r="A237" s="202">
        <v>240</v>
      </c>
      <c r="B237" s="202" t="s">
        <v>3433</v>
      </c>
      <c r="C237" s="202" t="s">
        <v>3434</v>
      </c>
      <c r="D237" s="202"/>
      <c r="E237" s="202" t="s">
        <v>3435</v>
      </c>
      <c r="F237" s="202" t="s">
        <v>24</v>
      </c>
      <c r="G237" s="202">
        <v>10</v>
      </c>
      <c r="H237" s="202" t="s">
        <v>54</v>
      </c>
      <c r="I237" s="202" t="s">
        <v>41</v>
      </c>
      <c r="J237" s="202" t="s">
        <v>3436</v>
      </c>
      <c r="K237" s="202" t="s">
        <v>3437</v>
      </c>
      <c r="L237" s="202" t="s">
        <v>41</v>
      </c>
      <c r="M237" s="202" t="s">
        <v>147</v>
      </c>
      <c r="N237" s="202"/>
      <c r="O237" s="202" t="s">
        <v>148</v>
      </c>
      <c r="P237" s="202" t="s">
        <v>148</v>
      </c>
      <c r="Q237" s="202"/>
      <c r="R237" s="202" t="s">
        <v>3438</v>
      </c>
      <c r="S237" s="209" t="s">
        <v>3439</v>
      </c>
      <c r="T237" s="357" t="s">
        <v>3440</v>
      </c>
      <c r="U237" s="203" t="s">
        <v>3441</v>
      </c>
      <c r="V237" s="203">
        <v>32413</v>
      </c>
      <c r="W237" s="269" t="s">
        <v>3442</v>
      </c>
      <c r="X237" s="269" t="s">
        <v>176</v>
      </c>
      <c r="Y237" s="269"/>
      <c r="Z237" s="269"/>
      <c r="AA237" s="202"/>
      <c r="AB237" s="203">
        <v>43678</v>
      </c>
      <c r="AC237" s="289">
        <v>43891</v>
      </c>
      <c r="AD237" s="203"/>
      <c r="AE237" s="203" t="s">
        <v>3443</v>
      </c>
      <c r="AF237" s="203" t="s">
        <v>3444</v>
      </c>
      <c r="AG237" s="203"/>
      <c r="AH237" s="202">
        <f t="shared" si="69"/>
        <v>2</v>
      </c>
      <c r="AI237" s="203"/>
      <c r="AJ237" s="203"/>
      <c r="AK237" s="203"/>
      <c r="AL237" s="203"/>
      <c r="AM237" s="203"/>
      <c r="AN237" s="203"/>
      <c r="AO237" s="203" t="s">
        <v>161</v>
      </c>
      <c r="AP237" s="203" t="s">
        <v>3445</v>
      </c>
      <c r="AQ237" s="203" t="s">
        <v>3445</v>
      </c>
      <c r="AR237" s="203"/>
      <c r="AS237" s="203"/>
      <c r="AT237" s="428" t="s">
        <v>369</v>
      </c>
      <c r="AU237" s="202" t="s">
        <v>3446</v>
      </c>
      <c r="AV237" s="203"/>
      <c r="AW237" s="204">
        <v>43913</v>
      </c>
      <c r="AX237" s="319" t="s">
        <v>3238</v>
      </c>
      <c r="AY237" s="204" t="s">
        <v>147</v>
      </c>
      <c r="AZ237" s="204">
        <v>44462</v>
      </c>
      <c r="BA237" s="204">
        <v>44505</v>
      </c>
      <c r="BB237" s="204"/>
      <c r="BC237" s="205" t="s">
        <v>3442</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4">
        <v>0</v>
      </c>
      <c r="CG237" s="202"/>
      <c r="CH237" s="202"/>
      <c r="CI237" s="202" t="s">
        <v>3401</v>
      </c>
      <c r="CJ237"/>
    </row>
    <row r="238" spans="1:88" s="53" customFormat="1" ht="26.1" customHeight="1">
      <c r="A238" s="202">
        <v>241</v>
      </c>
      <c r="B238" s="202" t="s">
        <v>3447</v>
      </c>
      <c r="C238" s="202" t="s">
        <v>3448</v>
      </c>
      <c r="D238" s="202" t="s">
        <v>3449</v>
      </c>
      <c r="E238" s="202" t="s">
        <v>3450</v>
      </c>
      <c r="F238" s="202" t="s">
        <v>24</v>
      </c>
      <c r="G238" s="202">
        <v>10</v>
      </c>
      <c r="H238" s="202" t="s">
        <v>49</v>
      </c>
      <c r="I238" s="202" t="s">
        <v>42</v>
      </c>
      <c r="J238" s="202" t="s">
        <v>3451</v>
      </c>
      <c r="K238" s="202" t="s">
        <v>2270</v>
      </c>
      <c r="L238" s="202" t="s">
        <v>41</v>
      </c>
      <c r="M238" s="202" t="s">
        <v>147</v>
      </c>
      <c r="N238" s="202"/>
      <c r="O238" s="202" t="s">
        <v>319</v>
      </c>
      <c r="P238" s="202" t="s">
        <v>319</v>
      </c>
      <c r="Q238" s="202"/>
      <c r="R238" s="202" t="s">
        <v>3452</v>
      </c>
      <c r="S238" s="202" t="s">
        <v>3453</v>
      </c>
      <c r="T238" s="357" t="s">
        <v>3454</v>
      </c>
      <c r="U238" s="203" t="s">
        <v>3455</v>
      </c>
      <c r="V238" s="203">
        <v>33810</v>
      </c>
      <c r="W238" s="269" t="s">
        <v>3456</v>
      </c>
      <c r="X238" s="269" t="s">
        <v>176</v>
      </c>
      <c r="Y238" s="269"/>
      <c r="Z238" s="269"/>
      <c r="AA238" s="202"/>
      <c r="AB238" s="203">
        <v>44479</v>
      </c>
      <c r="AC238" s="289">
        <v>43891</v>
      </c>
      <c r="AD238" s="203"/>
      <c r="AE238" s="203" t="s">
        <v>3457</v>
      </c>
      <c r="AF238" s="203" t="s">
        <v>3458</v>
      </c>
      <c r="AG238" s="203"/>
      <c r="AH238" s="202">
        <f t="shared" si="69"/>
        <v>2</v>
      </c>
      <c r="AI238" s="203"/>
      <c r="AJ238" s="203"/>
      <c r="AK238" s="203"/>
      <c r="AL238" s="203"/>
      <c r="AM238" s="203"/>
      <c r="AN238" s="203"/>
      <c r="AO238" s="203" t="s">
        <v>161</v>
      </c>
      <c r="AP238" s="203" t="s">
        <v>200</v>
      </c>
      <c r="AQ238" s="203" t="s">
        <v>200</v>
      </c>
      <c r="AR238" s="203"/>
      <c r="AS238" s="203"/>
      <c r="AT238" s="428" t="s">
        <v>295</v>
      </c>
      <c r="AU238" s="202" t="s">
        <v>3459</v>
      </c>
      <c r="AV238" s="203"/>
      <c r="AW238" s="204">
        <v>43914</v>
      </c>
      <c r="AX238" s="319" t="s">
        <v>3238</v>
      </c>
      <c r="AY238" s="204" t="s">
        <v>147</v>
      </c>
      <c r="AZ238" s="204"/>
      <c r="BA238" s="204"/>
      <c r="BB238" s="204"/>
      <c r="BC238" s="205" t="s">
        <v>3456</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4">
        <v>0</v>
      </c>
      <c r="CG238" s="202"/>
      <c r="CH238" s="202"/>
      <c r="CI238" s="202" t="s">
        <v>806</v>
      </c>
      <c r="CJ238"/>
    </row>
    <row r="239" spans="1:88" s="53" customFormat="1" ht="26.1" customHeight="1">
      <c r="A239" s="202">
        <v>242</v>
      </c>
      <c r="B239" s="202" t="s">
        <v>3460</v>
      </c>
      <c r="C239" s="202" t="s">
        <v>3461</v>
      </c>
      <c r="D239" s="202" t="s">
        <v>3462</v>
      </c>
      <c r="E239" s="202" t="s">
        <v>3463</v>
      </c>
      <c r="F239" s="202" t="s">
        <v>24</v>
      </c>
      <c r="G239" s="202">
        <v>10</v>
      </c>
      <c r="H239" s="202" t="s">
        <v>50</v>
      </c>
      <c r="I239" s="202" t="s">
        <v>28</v>
      </c>
      <c r="J239" s="202" t="s">
        <v>3464</v>
      </c>
      <c r="K239" s="202" t="s">
        <v>3465</v>
      </c>
      <c r="L239" s="202" t="s">
        <v>38</v>
      </c>
      <c r="M239" s="202" t="s">
        <v>160</v>
      </c>
      <c r="N239" s="202"/>
      <c r="O239" s="202" t="s">
        <v>319</v>
      </c>
      <c r="P239" s="202" t="s">
        <v>3466</v>
      </c>
      <c r="Q239" s="202"/>
      <c r="R239" s="202" t="s">
        <v>3467</v>
      </c>
      <c r="S239" s="202" t="s">
        <v>3468</v>
      </c>
      <c r="T239" s="357" t="s">
        <v>3469</v>
      </c>
      <c r="U239" s="203" t="s">
        <v>3470</v>
      </c>
      <c r="V239" s="203">
        <v>28305</v>
      </c>
      <c r="W239" s="269" t="s">
        <v>3471</v>
      </c>
      <c r="X239" s="269" t="s">
        <v>2496</v>
      </c>
      <c r="Y239" s="269"/>
      <c r="Z239" s="269"/>
      <c r="AA239" s="202"/>
      <c r="AB239" s="203">
        <v>44432</v>
      </c>
      <c r="AC239" s="289">
        <v>43891</v>
      </c>
      <c r="AD239" s="203"/>
      <c r="AE239" s="203" t="s">
        <v>3472</v>
      </c>
      <c r="AF239" s="203" t="s">
        <v>3473</v>
      </c>
      <c r="AG239" s="203"/>
      <c r="AH239" s="202">
        <f t="shared" si="69"/>
        <v>2</v>
      </c>
      <c r="AI239" s="203"/>
      <c r="AJ239" s="203"/>
      <c r="AK239" s="203"/>
      <c r="AL239" s="203"/>
      <c r="AM239" s="203"/>
      <c r="AN239" s="203"/>
      <c r="AO239" s="203" t="s">
        <v>161</v>
      </c>
      <c r="AP239" s="203" t="s">
        <v>1437</v>
      </c>
      <c r="AQ239" s="203" t="s">
        <v>247</v>
      </c>
      <c r="AR239" s="203" t="s">
        <v>147</v>
      </c>
      <c r="AS239" s="203"/>
      <c r="AT239" s="428" t="s">
        <v>325</v>
      </c>
      <c r="AU239" s="202" t="s">
        <v>3474</v>
      </c>
      <c r="AV239" s="203"/>
      <c r="AW239" s="204">
        <v>43916</v>
      </c>
      <c r="AX239" s="319" t="s">
        <v>3238</v>
      </c>
      <c r="AY239" s="204" t="s">
        <v>147</v>
      </c>
      <c r="AZ239" s="204"/>
      <c r="BA239" s="204"/>
      <c r="BB239" s="204"/>
      <c r="BC239" s="205" t="s">
        <v>3471</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4">
        <v>0</v>
      </c>
      <c r="CG239" s="202"/>
      <c r="CH239" s="202"/>
      <c r="CI239" s="202" t="s">
        <v>806</v>
      </c>
      <c r="CJ239"/>
    </row>
    <row r="240" spans="1:88" s="53" customFormat="1" ht="26.1" customHeight="1">
      <c r="A240" s="202">
        <v>243</v>
      </c>
      <c r="B240" s="202" t="s">
        <v>3475</v>
      </c>
      <c r="C240" s="202" t="s">
        <v>3476</v>
      </c>
      <c r="D240" s="202" t="s">
        <v>3477</v>
      </c>
      <c r="E240" s="202" t="s">
        <v>3478</v>
      </c>
      <c r="F240" s="202" t="s">
        <v>23</v>
      </c>
      <c r="G240" s="202">
        <v>10</v>
      </c>
      <c r="H240" s="202" t="s">
        <v>51</v>
      </c>
      <c r="I240" s="202" t="s">
        <v>39</v>
      </c>
      <c r="J240" s="202" t="s">
        <v>3479</v>
      </c>
      <c r="K240" s="202" t="s">
        <v>2787</v>
      </c>
      <c r="L240" s="202" t="s">
        <v>39</v>
      </c>
      <c r="M240" s="202" t="s">
        <v>147</v>
      </c>
      <c r="N240" s="202"/>
      <c r="O240" s="202" t="s">
        <v>148</v>
      </c>
      <c r="P240" s="202" t="s">
        <v>148</v>
      </c>
      <c r="Q240" s="202"/>
      <c r="R240" s="202" t="s">
        <v>3480</v>
      </c>
      <c r="S240" s="202" t="s">
        <v>3481</v>
      </c>
      <c r="T240" s="357" t="s">
        <v>3482</v>
      </c>
      <c r="U240" s="203" t="s">
        <v>3483</v>
      </c>
      <c r="V240" s="203">
        <v>29588</v>
      </c>
      <c r="W240" s="269" t="s">
        <v>3484</v>
      </c>
      <c r="X240" s="269" t="s">
        <v>2886</v>
      </c>
      <c r="Y240" s="269"/>
      <c r="Z240" s="269"/>
      <c r="AA240" s="202"/>
      <c r="AB240" s="203">
        <v>43840</v>
      </c>
      <c r="AC240" s="289">
        <v>43891</v>
      </c>
      <c r="AD240" s="203"/>
      <c r="AE240" s="203" t="s">
        <v>3485</v>
      </c>
      <c r="AF240" s="203" t="s">
        <v>3486</v>
      </c>
      <c r="AG240" s="203"/>
      <c r="AH240" s="202">
        <f t="shared" si="69"/>
        <v>2</v>
      </c>
      <c r="AI240" s="203"/>
      <c r="AJ240" s="203"/>
      <c r="AK240" s="203"/>
      <c r="AL240" s="203"/>
      <c r="AM240" s="203"/>
      <c r="AN240" s="203"/>
      <c r="AO240" s="203" t="s">
        <v>179</v>
      </c>
      <c r="AP240" s="203" t="s">
        <v>3487</v>
      </c>
      <c r="AQ240" s="203" t="s">
        <v>247</v>
      </c>
      <c r="AR240" s="203" t="s">
        <v>147</v>
      </c>
      <c r="AS240" s="389" t="s">
        <v>3488</v>
      </c>
      <c r="AT240" s="428" t="s">
        <v>216</v>
      </c>
      <c r="AU240" s="202" t="s">
        <v>3489</v>
      </c>
      <c r="AV240" s="203"/>
      <c r="AW240" s="204">
        <v>43894</v>
      </c>
      <c r="AX240" s="319" t="s">
        <v>3238</v>
      </c>
      <c r="AY240" s="204" t="s">
        <v>147</v>
      </c>
      <c r="AZ240" s="204">
        <v>44593</v>
      </c>
      <c r="BA240" s="204">
        <v>44602</v>
      </c>
      <c r="BB240" s="204"/>
      <c r="BC240" s="205" t="s">
        <v>3484</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4">
        <v>2</v>
      </c>
      <c r="CG240" s="202"/>
      <c r="CH240" s="202"/>
      <c r="CI240" s="202" t="s">
        <v>806</v>
      </c>
      <c r="CJ240"/>
    </row>
    <row r="241" spans="1:88" s="53" customFormat="1" ht="26.1" customHeight="1">
      <c r="A241" s="202">
        <v>244</v>
      </c>
      <c r="B241" s="202" t="s">
        <v>3490</v>
      </c>
      <c r="C241" s="202" t="s">
        <v>3491</v>
      </c>
      <c r="D241" s="202"/>
      <c r="E241" s="202" t="s">
        <v>3492</v>
      </c>
      <c r="F241" s="202" t="s">
        <v>23</v>
      </c>
      <c r="G241" s="202">
        <v>10</v>
      </c>
      <c r="H241" s="202" t="s">
        <v>49</v>
      </c>
      <c r="I241" s="202" t="s">
        <v>42</v>
      </c>
      <c r="J241" s="202" t="s">
        <v>3493</v>
      </c>
      <c r="K241" s="202" t="s">
        <v>514</v>
      </c>
      <c r="L241" s="202" t="s">
        <v>41</v>
      </c>
      <c r="M241" s="202" t="s">
        <v>160</v>
      </c>
      <c r="N241" s="202"/>
      <c r="O241" s="202" t="s">
        <v>319</v>
      </c>
      <c r="P241" s="202" t="s">
        <v>148</v>
      </c>
      <c r="Q241" s="202"/>
      <c r="R241" s="202" t="s">
        <v>3494</v>
      </c>
      <c r="S241" s="202" t="s">
        <v>3495</v>
      </c>
      <c r="T241" s="357" t="s">
        <v>3496</v>
      </c>
      <c r="U241" s="203" t="s">
        <v>3497</v>
      </c>
      <c r="V241" s="203">
        <v>32014</v>
      </c>
      <c r="W241" s="269" t="s">
        <v>3498</v>
      </c>
      <c r="X241" s="269" t="s">
        <v>176</v>
      </c>
      <c r="Y241" s="269"/>
      <c r="Z241" s="269"/>
      <c r="AA241" s="202"/>
      <c r="AB241" s="203">
        <v>44424</v>
      </c>
      <c r="AC241" s="289">
        <v>43891</v>
      </c>
      <c r="AD241" s="203"/>
      <c r="AE241" s="203" t="s">
        <v>3499</v>
      </c>
      <c r="AF241" s="203" t="s">
        <v>3500</v>
      </c>
      <c r="AG241" s="203"/>
      <c r="AH241" s="202">
        <f t="shared" si="69"/>
        <v>2</v>
      </c>
      <c r="AI241" s="203"/>
      <c r="AJ241" s="203"/>
      <c r="AK241" s="203"/>
      <c r="AL241" s="203"/>
      <c r="AM241" s="203"/>
      <c r="AN241" s="203"/>
      <c r="AO241" s="203" t="s">
        <v>956</v>
      </c>
      <c r="AP241" s="203" t="s">
        <v>3501</v>
      </c>
      <c r="AQ241" s="203"/>
      <c r="AR241" s="203"/>
      <c r="AS241" s="203"/>
      <c r="AT241" s="428" t="s">
        <v>295</v>
      </c>
      <c r="AU241" s="202" t="s">
        <v>3502</v>
      </c>
      <c r="AV241" s="203"/>
      <c r="AW241" s="204">
        <v>43896</v>
      </c>
      <c r="AX241" s="319" t="s">
        <v>3238</v>
      </c>
      <c r="AY241" s="204" t="s">
        <v>147</v>
      </c>
      <c r="AZ241" s="204">
        <v>44708</v>
      </c>
      <c r="BA241" s="204">
        <v>44811</v>
      </c>
      <c r="BB241" s="204"/>
      <c r="BC241" s="205" t="s">
        <v>3498</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4">
        <v>0</v>
      </c>
      <c r="CG241" s="202"/>
      <c r="CH241" s="202"/>
      <c r="CI241" s="202" t="s">
        <v>806</v>
      </c>
      <c r="CJ241"/>
    </row>
    <row r="242" spans="1:88" s="53" customFormat="1" ht="26.1" customHeight="1">
      <c r="A242" s="202">
        <v>245</v>
      </c>
      <c r="B242" s="202" t="s">
        <v>3503</v>
      </c>
      <c r="C242" s="202" t="s">
        <v>822</v>
      </c>
      <c r="D242" s="202"/>
      <c r="E242" s="202" t="s">
        <v>3504</v>
      </c>
      <c r="F242" s="202" t="s">
        <v>23</v>
      </c>
      <c r="G242" s="202">
        <v>10</v>
      </c>
      <c r="H242" s="202" t="s">
        <v>51</v>
      </c>
      <c r="I242" s="202" t="s">
        <v>39</v>
      </c>
      <c r="J242" s="202" t="s">
        <v>2317</v>
      </c>
      <c r="K242" s="202" t="s">
        <v>3505</v>
      </c>
      <c r="L242" s="202" t="s">
        <v>41</v>
      </c>
      <c r="M242" s="202" t="s">
        <v>160</v>
      </c>
      <c r="N242" s="202"/>
      <c r="O242" s="202" t="s">
        <v>319</v>
      </c>
      <c r="P242" s="202" t="s">
        <v>319</v>
      </c>
      <c r="Q242" s="202"/>
      <c r="R242" s="202" t="s">
        <v>3506</v>
      </c>
      <c r="S242" s="202" t="s">
        <v>3507</v>
      </c>
      <c r="T242" s="357" t="s">
        <v>3508</v>
      </c>
      <c r="U242" s="203" t="s">
        <v>3509</v>
      </c>
      <c r="V242" s="203">
        <v>33695</v>
      </c>
      <c r="W242" s="269" t="s">
        <v>3510</v>
      </c>
      <c r="X242" s="269" t="s">
        <v>176</v>
      </c>
      <c r="Y242" s="269"/>
      <c r="Z242" s="269"/>
      <c r="AA242" s="202"/>
      <c r="AB242" s="203">
        <v>43983</v>
      </c>
      <c r="AC242" s="289">
        <v>43891</v>
      </c>
      <c r="AD242" s="203"/>
      <c r="AE242" s="203" t="s">
        <v>3511</v>
      </c>
      <c r="AF242" s="203" t="s">
        <v>3512</v>
      </c>
      <c r="AG242" s="203" t="s">
        <v>3513</v>
      </c>
      <c r="AH242" s="202">
        <f t="shared" si="69"/>
        <v>3</v>
      </c>
      <c r="AI242" s="203"/>
      <c r="AJ242" s="203"/>
      <c r="AK242" s="203"/>
      <c r="AL242" s="203"/>
      <c r="AM242" s="203"/>
      <c r="AN242" s="203"/>
      <c r="AO242" s="203" t="s">
        <v>161</v>
      </c>
      <c r="AP242" s="203" t="s">
        <v>178</v>
      </c>
      <c r="AQ242" s="203" t="s">
        <v>178</v>
      </c>
      <c r="AR242" s="203" t="s">
        <v>160</v>
      </c>
      <c r="AS242" s="203"/>
      <c r="AT242" s="428" t="s">
        <v>216</v>
      </c>
      <c r="AU242" s="202" t="s">
        <v>3514</v>
      </c>
      <c r="AV242" s="203"/>
      <c r="AW242" s="204">
        <v>43900</v>
      </c>
      <c r="AX242" s="319" t="s">
        <v>3238</v>
      </c>
      <c r="AY242" s="204" t="s">
        <v>147</v>
      </c>
      <c r="AZ242" s="204">
        <v>44579</v>
      </c>
      <c r="BA242" s="204">
        <v>44617</v>
      </c>
      <c r="BB242" s="204"/>
      <c r="BC242" s="205" t="s">
        <v>3510</v>
      </c>
      <c r="BD242" s="204">
        <v>44872</v>
      </c>
      <c r="BE242" s="204" t="s">
        <v>147</v>
      </c>
      <c r="BF242" s="204">
        <v>45476</v>
      </c>
      <c r="BG242" s="204" t="s">
        <v>147</v>
      </c>
      <c r="BH242" s="203"/>
      <c r="BI242" s="203"/>
      <c r="BJ242" s="203"/>
      <c r="BK242" s="206">
        <v>45648</v>
      </c>
      <c r="BL242" s="202" t="s">
        <v>16</v>
      </c>
      <c r="BM242" s="270">
        <f>DATEDIF(AW242,BK242,"M")+1</f>
        <v>58</v>
      </c>
      <c r="BN242" s="202"/>
      <c r="BO242" s="202" t="s">
        <v>3515</v>
      </c>
      <c r="BP242" s="202">
        <v>0</v>
      </c>
      <c r="BQ242" s="202">
        <v>3</v>
      </c>
      <c r="BR242" s="202"/>
      <c r="BS242" s="202"/>
      <c r="BT242" s="202"/>
      <c r="BU242" s="202"/>
      <c r="BV242" s="202"/>
      <c r="BW242" s="202" t="s">
        <v>160</v>
      </c>
      <c r="BX242" s="202"/>
      <c r="BY242" s="202"/>
      <c r="BZ242" s="207"/>
      <c r="CA242" s="207"/>
      <c r="CB242" s="202"/>
      <c r="CC242" s="202"/>
      <c r="CD242" s="202"/>
      <c r="CE242" s="202"/>
      <c r="CF242" s="384">
        <v>0</v>
      </c>
      <c r="CG242" s="202"/>
      <c r="CH242" s="202"/>
      <c r="CI242" s="202" t="s">
        <v>806</v>
      </c>
      <c r="CJ242"/>
    </row>
    <row r="243" spans="1:88" s="53" customFormat="1" ht="26.1" customHeight="1">
      <c r="A243" s="202">
        <v>246</v>
      </c>
      <c r="B243" s="202" t="s">
        <v>3516</v>
      </c>
      <c r="C243" s="202" t="s">
        <v>3377</v>
      </c>
      <c r="D243" s="202" t="s">
        <v>3517</v>
      </c>
      <c r="E243" s="202" t="s">
        <v>3518</v>
      </c>
      <c r="F243" s="202" t="s">
        <v>23</v>
      </c>
      <c r="G243" s="202">
        <v>10</v>
      </c>
      <c r="H243" s="202" t="s">
        <v>48</v>
      </c>
      <c r="I243" s="202" t="s">
        <v>38</v>
      </c>
      <c r="J243" s="202" t="s">
        <v>2951</v>
      </c>
      <c r="K243" s="202" t="s">
        <v>3519</v>
      </c>
      <c r="L243" s="202" t="s">
        <v>38</v>
      </c>
      <c r="M243" s="202" t="s">
        <v>147</v>
      </c>
      <c r="N243" s="202"/>
      <c r="O243" s="202" t="s">
        <v>148</v>
      </c>
      <c r="P243" s="202" t="s">
        <v>148</v>
      </c>
      <c r="Q243" s="202"/>
      <c r="R243" s="202" t="s">
        <v>3520</v>
      </c>
      <c r="S243" s="202" t="s">
        <v>3521</v>
      </c>
      <c r="T243" s="357" t="s">
        <v>3522</v>
      </c>
      <c r="U243" s="203" t="s">
        <v>3523</v>
      </c>
      <c r="V243" s="203">
        <v>31757</v>
      </c>
      <c r="W243" s="269" t="s">
        <v>3524</v>
      </c>
      <c r="X243" s="269" t="s">
        <v>2377</v>
      </c>
      <c r="Y243" s="269"/>
      <c r="Z243" s="269"/>
      <c r="AA243" s="202"/>
      <c r="AB243" s="203">
        <v>44245</v>
      </c>
      <c r="AC243" s="289">
        <v>43891</v>
      </c>
      <c r="AD243" s="203"/>
      <c r="AE243" s="203" t="s">
        <v>3525</v>
      </c>
      <c r="AF243" s="203" t="s">
        <v>3526</v>
      </c>
      <c r="AG243" s="203" t="s">
        <v>3527</v>
      </c>
      <c r="AH243" s="202">
        <f t="shared" si="69"/>
        <v>3</v>
      </c>
      <c r="AI243" s="203"/>
      <c r="AJ243" s="203"/>
      <c r="AK243" s="203"/>
      <c r="AL243" s="203"/>
      <c r="AM243" s="203"/>
      <c r="AN243" s="203"/>
      <c r="AO243" s="203" t="s">
        <v>161</v>
      </c>
      <c r="AP243" s="203" t="s">
        <v>3528</v>
      </c>
      <c r="AQ243" s="203"/>
      <c r="AR243" s="203"/>
      <c r="AS243" s="203"/>
      <c r="AT243" s="428" t="s">
        <v>417</v>
      </c>
      <c r="AU243" s="202" t="s">
        <v>3529</v>
      </c>
      <c r="AV243" s="203"/>
      <c r="AW243" s="204">
        <v>43902</v>
      </c>
      <c r="AX243" s="319" t="s">
        <v>3238</v>
      </c>
      <c r="AY243" s="204" t="s">
        <v>147</v>
      </c>
      <c r="AZ243" s="204">
        <v>44214</v>
      </c>
      <c r="BA243" s="204">
        <v>44613</v>
      </c>
      <c r="BB243" s="204"/>
      <c r="BC243" s="205" t="s">
        <v>3524</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4">
        <v>2</v>
      </c>
      <c r="CG243" s="202"/>
      <c r="CH243" s="202"/>
      <c r="CI243" s="202" t="s">
        <v>806</v>
      </c>
      <c r="CJ243"/>
    </row>
    <row r="244" spans="1:88" s="53" customFormat="1" ht="26.1" customHeight="1">
      <c r="A244" s="202">
        <v>247</v>
      </c>
      <c r="B244" s="202" t="s">
        <v>3530</v>
      </c>
      <c r="C244" s="202" t="s">
        <v>3531</v>
      </c>
      <c r="D244" s="202" t="s">
        <v>20</v>
      </c>
      <c r="E244" s="202" t="s">
        <v>3532</v>
      </c>
      <c r="F244" s="202" t="s">
        <v>23</v>
      </c>
      <c r="G244" s="202">
        <v>10</v>
      </c>
      <c r="H244" s="202" t="s">
        <v>54</v>
      </c>
      <c r="I244" s="202" t="s">
        <v>41</v>
      </c>
      <c r="J244" s="202" t="s">
        <v>3451</v>
      </c>
      <c r="K244" s="202" t="s">
        <v>3533</v>
      </c>
      <c r="L244" s="202" t="s">
        <v>41</v>
      </c>
      <c r="M244" s="202" t="s">
        <v>147</v>
      </c>
      <c r="N244" s="202">
        <v>1897532</v>
      </c>
      <c r="O244" s="202" t="s">
        <v>319</v>
      </c>
      <c r="P244" s="202" t="s">
        <v>319</v>
      </c>
      <c r="Q244" s="202"/>
      <c r="R244" s="202" t="s">
        <v>3534</v>
      </c>
      <c r="S244" s="202" t="s">
        <v>3535</v>
      </c>
      <c r="T244" s="357" t="s">
        <v>3536</v>
      </c>
      <c r="U244" s="203" t="s">
        <v>3537</v>
      </c>
      <c r="V244" s="203">
        <v>33727</v>
      </c>
      <c r="W244" s="202" t="s">
        <v>3538</v>
      </c>
      <c r="X244" s="269" t="s">
        <v>176</v>
      </c>
      <c r="Y244" s="269"/>
      <c r="Z244" s="269"/>
      <c r="AA244" s="202"/>
      <c r="AB244" s="203">
        <v>43660</v>
      </c>
      <c r="AC244" s="289">
        <v>43891</v>
      </c>
      <c r="AD244" s="203"/>
      <c r="AE244" s="203" t="s">
        <v>3539</v>
      </c>
      <c r="AF244" s="203" t="s">
        <v>3540</v>
      </c>
      <c r="AG244" s="203"/>
      <c r="AH244" s="202">
        <f t="shared" si="69"/>
        <v>2</v>
      </c>
      <c r="AI244" s="203"/>
      <c r="AJ244" s="203"/>
      <c r="AK244" s="203"/>
      <c r="AL244" s="203"/>
      <c r="AM244" s="203"/>
      <c r="AN244" s="203"/>
      <c r="AO244" s="203" t="s">
        <v>161</v>
      </c>
      <c r="AP244" s="203" t="s">
        <v>200</v>
      </c>
      <c r="AQ244" s="203" t="s">
        <v>247</v>
      </c>
      <c r="AR244" s="203" t="s">
        <v>147</v>
      </c>
      <c r="AS244" s="203"/>
      <c r="AT244" s="428" t="s">
        <v>369</v>
      </c>
      <c r="AU244" s="202" t="s">
        <v>3541</v>
      </c>
      <c r="AV244" s="203"/>
      <c r="AW244" s="204">
        <v>43904</v>
      </c>
      <c r="AX244" s="319" t="s">
        <v>3238</v>
      </c>
      <c r="AY244" s="204" t="s">
        <v>147</v>
      </c>
      <c r="AZ244" s="204">
        <v>44013</v>
      </c>
      <c r="BA244" s="204">
        <v>44249</v>
      </c>
      <c r="BB244" s="204"/>
      <c r="BC244" s="205" t="s">
        <v>3538</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3542</v>
      </c>
      <c r="BP244" s="202">
        <v>1</v>
      </c>
      <c r="BQ244" s="202">
        <v>0</v>
      </c>
      <c r="BR244" s="202"/>
      <c r="BS244" s="202"/>
      <c r="BT244" s="202"/>
      <c r="BU244" s="202"/>
      <c r="BV244" s="202"/>
      <c r="BW244" s="202" t="s">
        <v>160</v>
      </c>
      <c r="BX244" s="202"/>
      <c r="BY244" s="202"/>
      <c r="BZ244" s="207"/>
      <c r="CA244" s="207"/>
      <c r="CB244" s="202"/>
      <c r="CC244" s="202"/>
      <c r="CD244" s="202"/>
      <c r="CE244" s="202"/>
      <c r="CF244" s="384">
        <v>0</v>
      </c>
      <c r="CG244" s="202"/>
      <c r="CH244" s="202"/>
      <c r="CI244" s="202" t="s">
        <v>3401</v>
      </c>
      <c r="CJ244"/>
    </row>
    <row r="245" spans="1:88" s="53" customFormat="1" ht="26.1" customHeight="1">
      <c r="A245" s="202">
        <v>248</v>
      </c>
      <c r="B245" s="202" t="s">
        <v>3543</v>
      </c>
      <c r="C245" s="202" t="s">
        <v>3544</v>
      </c>
      <c r="D245" s="202" t="s">
        <v>3545</v>
      </c>
      <c r="E245" s="202" t="s">
        <v>3546</v>
      </c>
      <c r="F245" s="202" t="s">
        <v>23</v>
      </c>
      <c r="G245" s="202">
        <v>10</v>
      </c>
      <c r="H245" s="202" t="s">
        <v>50</v>
      </c>
      <c r="I245" s="202" t="s">
        <v>35</v>
      </c>
      <c r="J245" s="202" t="s">
        <v>403</v>
      </c>
      <c r="K245" s="202" t="s">
        <v>287</v>
      </c>
      <c r="L245" s="202" t="s">
        <v>28</v>
      </c>
      <c r="M245" s="202" t="s">
        <v>160</v>
      </c>
      <c r="N245" s="202"/>
      <c r="O245" s="202" t="s">
        <v>148</v>
      </c>
      <c r="P245" s="202" t="s">
        <v>148</v>
      </c>
      <c r="Q245" s="202"/>
      <c r="R245" s="202" t="s">
        <v>3547</v>
      </c>
      <c r="S245" s="202" t="s">
        <v>3548</v>
      </c>
      <c r="T245" s="357" t="s">
        <v>3549</v>
      </c>
      <c r="U245" s="203" t="s">
        <v>3550</v>
      </c>
      <c r="V245" s="203">
        <v>31740</v>
      </c>
      <c r="W245" s="269" t="s">
        <v>3551</v>
      </c>
      <c r="X245" s="269" t="s">
        <v>2496</v>
      </c>
      <c r="Y245" s="269"/>
      <c r="Z245" s="269"/>
      <c r="AA245" s="202"/>
      <c r="AB245" s="203">
        <v>44267</v>
      </c>
      <c r="AC245" s="289">
        <v>43891</v>
      </c>
      <c r="AD245" s="203"/>
      <c r="AE245" s="202" t="s">
        <v>3552</v>
      </c>
      <c r="AF245" s="203"/>
      <c r="AG245" s="203"/>
      <c r="AH245" s="202">
        <f t="shared" si="69"/>
        <v>1</v>
      </c>
      <c r="AI245" s="203"/>
      <c r="AJ245" s="203"/>
      <c r="AK245" s="203"/>
      <c r="AL245" s="203"/>
      <c r="AM245" s="203"/>
      <c r="AN245" s="203"/>
      <c r="AO245" s="203" t="s">
        <v>161</v>
      </c>
      <c r="AP245" s="203" t="s">
        <v>442</v>
      </c>
      <c r="AQ245" s="203" t="s">
        <v>442</v>
      </c>
      <c r="AR245" s="203"/>
      <c r="AS245" s="203"/>
      <c r="AT245" s="428" t="s">
        <v>282</v>
      </c>
      <c r="AU245" s="202" t="s">
        <v>3553</v>
      </c>
      <c r="AV245" s="203"/>
      <c r="AW245" s="204">
        <v>43908</v>
      </c>
      <c r="AX245" s="319" t="s">
        <v>3238</v>
      </c>
      <c r="AY245" s="204" t="s">
        <v>147</v>
      </c>
      <c r="AZ245" s="204">
        <v>44874</v>
      </c>
      <c r="BA245" s="204">
        <v>44811</v>
      </c>
      <c r="BB245" s="204"/>
      <c r="BC245" s="205" t="s">
        <v>3551</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4">
        <v>1</v>
      </c>
      <c r="CG245" s="202"/>
      <c r="CH245" s="202"/>
      <c r="CI245" s="202" t="s">
        <v>806</v>
      </c>
      <c r="CJ245"/>
    </row>
    <row r="246" spans="1:88" s="53" customFormat="1" ht="29.1" customHeight="1">
      <c r="A246" s="202">
        <v>249</v>
      </c>
      <c r="B246" s="208" t="s">
        <v>3554</v>
      </c>
      <c r="C246" s="208" t="s">
        <v>3555</v>
      </c>
      <c r="D246" s="208" t="s">
        <v>3556</v>
      </c>
      <c r="E246" s="208" t="s">
        <v>930</v>
      </c>
      <c r="F246" s="208" t="s">
        <v>23</v>
      </c>
      <c r="G246" s="208">
        <v>10</v>
      </c>
      <c r="H246" s="208" t="s">
        <v>50</v>
      </c>
      <c r="I246" s="208" t="s">
        <v>35</v>
      </c>
      <c r="J246" s="208" t="s">
        <v>3557</v>
      </c>
      <c r="K246" s="208" t="s">
        <v>287</v>
      </c>
      <c r="L246" s="202" t="s">
        <v>41</v>
      </c>
      <c r="M246" s="208" t="s">
        <v>160</v>
      </c>
      <c r="N246" s="208"/>
      <c r="O246" s="208" t="s">
        <v>148</v>
      </c>
      <c r="P246" s="208" t="s">
        <v>148</v>
      </c>
      <c r="Q246" s="208"/>
      <c r="R246" s="208" t="s">
        <v>3558</v>
      </c>
      <c r="S246" s="208" t="s">
        <v>3559</v>
      </c>
      <c r="T246" s="358" t="s">
        <v>3560</v>
      </c>
      <c r="U246" s="323" t="s">
        <v>786</v>
      </c>
      <c r="V246" s="323">
        <v>30185</v>
      </c>
      <c r="W246" s="324" t="s">
        <v>3561</v>
      </c>
      <c r="X246" s="324" t="s">
        <v>176</v>
      </c>
      <c r="Y246" s="324"/>
      <c r="Z246" s="324"/>
      <c r="AA246" s="208"/>
      <c r="AB246" s="323">
        <v>44622</v>
      </c>
      <c r="AC246" s="325">
        <v>43891</v>
      </c>
      <c r="AD246" s="323"/>
      <c r="AE246" s="323" t="s">
        <v>3562</v>
      </c>
      <c r="AF246" s="323" t="s">
        <v>3563</v>
      </c>
      <c r="AG246" s="323"/>
      <c r="AH246" s="208">
        <f t="shared" si="69"/>
        <v>2</v>
      </c>
      <c r="AI246" s="323"/>
      <c r="AJ246" s="323"/>
      <c r="AK246" s="323"/>
      <c r="AL246" s="323"/>
      <c r="AM246" s="323"/>
      <c r="AN246" s="323"/>
      <c r="AO246" s="323" t="s">
        <v>161</v>
      </c>
      <c r="AP246" s="323" t="s">
        <v>1437</v>
      </c>
      <c r="AQ246" s="323" t="s">
        <v>247</v>
      </c>
      <c r="AR246" s="323" t="s">
        <v>147</v>
      </c>
      <c r="AS246" s="323"/>
      <c r="AT246" s="429" t="s">
        <v>282</v>
      </c>
      <c r="AU246" s="208" t="s">
        <v>3564</v>
      </c>
      <c r="AV246" s="323"/>
      <c r="AW246" s="326">
        <v>43915</v>
      </c>
      <c r="AX246" s="327" t="s">
        <v>3238</v>
      </c>
      <c r="AY246" s="326" t="s">
        <v>147</v>
      </c>
      <c r="AZ246" s="326">
        <v>44797</v>
      </c>
      <c r="BA246" s="326">
        <v>44839</v>
      </c>
      <c r="BB246" s="326"/>
      <c r="BC246" s="328" t="s">
        <v>3561</v>
      </c>
      <c r="BD246" s="326">
        <v>44872</v>
      </c>
      <c r="BE246" s="326" t="s">
        <v>147</v>
      </c>
      <c r="BF246" s="326">
        <v>45476</v>
      </c>
      <c r="BG246" s="326" t="s">
        <v>147</v>
      </c>
      <c r="BH246" s="323"/>
      <c r="BI246" s="323"/>
      <c r="BJ246" s="323"/>
      <c r="BK246" s="329"/>
      <c r="BL246" s="208" t="s">
        <v>17</v>
      </c>
      <c r="BM246" s="330"/>
      <c r="BN246" s="208"/>
      <c r="BO246" s="208"/>
      <c r="BP246" s="208">
        <v>12</v>
      </c>
      <c r="BQ246" s="208">
        <v>11</v>
      </c>
      <c r="BR246" s="208"/>
      <c r="BS246" s="208"/>
      <c r="BT246" s="208"/>
      <c r="BU246" s="208"/>
      <c r="BV246" s="208"/>
      <c r="BW246" s="208" t="s">
        <v>160</v>
      </c>
      <c r="BX246" s="208"/>
      <c r="BY246" s="208"/>
      <c r="BZ246" s="331"/>
      <c r="CA246" s="331"/>
      <c r="CB246" s="208"/>
      <c r="CC246" s="208"/>
      <c r="CD246" s="208"/>
      <c r="CE246" s="208"/>
      <c r="CF246" s="385">
        <v>2</v>
      </c>
      <c r="CG246" s="202"/>
      <c r="CH246" s="202"/>
      <c r="CI246" s="202" t="s">
        <v>806</v>
      </c>
      <c r="CJ246"/>
    </row>
    <row r="247" spans="1:88" ht="29.25" customHeight="1">
      <c r="A247" s="333">
        <v>250</v>
      </c>
      <c r="B247" s="333" t="s">
        <v>3565</v>
      </c>
      <c r="C247" s="333" t="s">
        <v>3566</v>
      </c>
      <c r="D247" s="333" t="s">
        <v>3555</v>
      </c>
      <c r="E247" s="333" t="s">
        <v>3567</v>
      </c>
      <c r="F247" s="333" t="s">
        <v>24</v>
      </c>
      <c r="G247" s="332">
        <v>11</v>
      </c>
      <c r="H247" s="332" t="s">
        <v>50</v>
      </c>
      <c r="I247" s="332" t="s">
        <v>28</v>
      </c>
      <c r="J247" s="332" t="s">
        <v>3568</v>
      </c>
      <c r="K247" s="332" t="s">
        <v>3569</v>
      </c>
      <c r="L247" s="332" t="s">
        <v>28</v>
      </c>
      <c r="M247" s="332" t="s">
        <v>147</v>
      </c>
      <c r="N247" s="334"/>
      <c r="O247" s="334" t="s">
        <v>148</v>
      </c>
      <c r="P247" s="334"/>
      <c r="Q247" s="332"/>
      <c r="R247" s="333" t="s">
        <v>3570</v>
      </c>
      <c r="S247" s="333" t="s">
        <v>3571</v>
      </c>
      <c r="T247" s="359" t="s">
        <v>3572</v>
      </c>
      <c r="U247" s="333" t="s">
        <v>3573</v>
      </c>
      <c r="V247" s="335">
        <v>31207</v>
      </c>
      <c r="W247" s="397" t="s">
        <v>3574</v>
      </c>
      <c r="X247" s="336" t="s">
        <v>3575</v>
      </c>
      <c r="Y247" s="336"/>
      <c r="Z247" s="336"/>
      <c r="AA247" s="332"/>
      <c r="AB247" s="364">
        <v>45670</v>
      </c>
      <c r="AC247" s="364">
        <v>45719</v>
      </c>
      <c r="AD247" s="332"/>
      <c r="AE247" s="332"/>
      <c r="AF247" s="332"/>
      <c r="AG247" s="332"/>
      <c r="AH247" s="337"/>
      <c r="AI247" s="332"/>
      <c r="AJ247" s="332"/>
      <c r="AK247" s="332"/>
      <c r="AL247" s="337"/>
      <c r="AM247" s="337"/>
      <c r="AN247" s="337"/>
      <c r="AO247" s="338"/>
      <c r="AP247" s="335"/>
      <c r="AQ247" s="338"/>
      <c r="AR247" s="337"/>
      <c r="AS247" s="332"/>
      <c r="AT247" s="430"/>
      <c r="AU247" s="332" t="s">
        <v>3576</v>
      </c>
      <c r="AV247" s="332"/>
      <c r="AW247" s="366">
        <v>45719</v>
      </c>
      <c r="AX247" s="332"/>
      <c r="AY247" s="337"/>
      <c r="AZ247" s="332"/>
      <c r="BA247" s="332"/>
      <c r="BB247" s="332"/>
      <c r="BC247" s="332"/>
      <c r="BD247" s="332"/>
      <c r="BE247" s="332"/>
      <c r="BF247" s="332"/>
      <c r="BG247" s="332"/>
      <c r="BH247" s="332"/>
      <c r="BI247" s="332"/>
      <c r="BJ247" s="332"/>
      <c r="BK247" s="335"/>
      <c r="BL247" s="368" t="s">
        <v>17</v>
      </c>
      <c r="BM247" s="337"/>
      <c r="BN247" s="337"/>
      <c r="BO247" s="332"/>
      <c r="BP247" s="332">
        <v>7</v>
      </c>
      <c r="BQ247" s="332"/>
      <c r="BR247" s="332"/>
      <c r="BS247" s="332"/>
      <c r="BT247" s="332"/>
      <c r="BU247" s="332"/>
      <c r="BV247" s="332"/>
      <c r="BW247" s="332"/>
      <c r="BX247" s="332"/>
      <c r="BY247" s="332"/>
      <c r="BZ247" s="332"/>
      <c r="CA247" s="332"/>
      <c r="CB247" s="332"/>
      <c r="CC247" s="332"/>
      <c r="CD247" s="332"/>
      <c r="CE247" s="332"/>
      <c r="CF247" s="386">
        <v>2</v>
      </c>
      <c r="CG247" s="388"/>
      <c r="CH247" s="388"/>
      <c r="CI247" s="388" t="s">
        <v>806</v>
      </c>
    </row>
    <row r="248" spans="1:88" ht="24" customHeight="1">
      <c r="A248" s="333">
        <v>251</v>
      </c>
      <c r="B248" s="333" t="s">
        <v>3577</v>
      </c>
      <c r="C248" s="333" t="s">
        <v>3578</v>
      </c>
      <c r="D248" s="333" t="s">
        <v>3579</v>
      </c>
      <c r="E248" s="333" t="s">
        <v>1768</v>
      </c>
      <c r="F248" s="333" t="s">
        <v>24</v>
      </c>
      <c r="G248" s="332">
        <v>11</v>
      </c>
      <c r="H248" s="332" t="s">
        <v>53</v>
      </c>
      <c r="I248" s="332" t="s">
        <v>44</v>
      </c>
      <c r="J248" s="332" t="s">
        <v>3580</v>
      </c>
      <c r="K248" s="332" t="s">
        <v>3581</v>
      </c>
      <c r="L248" s="332"/>
      <c r="M248" s="332"/>
      <c r="N248" s="334"/>
      <c r="O248" s="334" t="s">
        <v>148</v>
      </c>
      <c r="P248" s="334"/>
      <c r="Q248" s="332"/>
      <c r="R248" s="333" t="s">
        <v>3582</v>
      </c>
      <c r="S248" s="333" t="s">
        <v>3583</v>
      </c>
      <c r="T248" s="359" t="s">
        <v>3584</v>
      </c>
      <c r="U248" s="333" t="s">
        <v>3585</v>
      </c>
      <c r="V248" s="335">
        <v>33239</v>
      </c>
      <c r="W248" s="397" t="s">
        <v>3586</v>
      </c>
      <c r="X248" s="336" t="s">
        <v>3575</v>
      </c>
      <c r="Y248" s="336"/>
      <c r="Z248" s="336"/>
      <c r="AA248" s="332"/>
      <c r="AB248" s="364">
        <v>45869</v>
      </c>
      <c r="AC248" s="364">
        <v>45719</v>
      </c>
      <c r="AD248" s="332"/>
      <c r="AE248" s="332"/>
      <c r="AF248" s="332"/>
      <c r="AG248" s="332"/>
      <c r="AH248" s="337"/>
      <c r="AI248" s="332"/>
      <c r="AJ248" s="332"/>
      <c r="AK248" s="332"/>
      <c r="AL248" s="337"/>
      <c r="AM248" s="337"/>
      <c r="AN248" s="337"/>
      <c r="AO248" s="338"/>
      <c r="AP248" s="338"/>
      <c r="AQ248" s="338"/>
      <c r="AR248" s="337"/>
      <c r="AS248" s="332"/>
      <c r="AT248" s="430"/>
      <c r="AU248" s="332" t="s">
        <v>3587</v>
      </c>
      <c r="AV248" s="332"/>
      <c r="AW248" s="366">
        <v>45719</v>
      </c>
      <c r="AX248" s="332"/>
      <c r="AY248" s="337"/>
      <c r="AZ248" s="332"/>
      <c r="BA248" s="332"/>
      <c r="BB248" s="332"/>
      <c r="BC248" s="332"/>
      <c r="BD248" s="332"/>
      <c r="BE248" s="332"/>
      <c r="BF248" s="332"/>
      <c r="BG248" s="332"/>
      <c r="BH248" s="332"/>
      <c r="BI248" s="332"/>
      <c r="BJ248" s="332"/>
      <c r="BK248" s="335"/>
      <c r="BL248" s="368" t="s">
        <v>17</v>
      </c>
      <c r="BM248" s="337"/>
      <c r="BN248" s="337"/>
      <c r="BO248" s="332"/>
      <c r="BP248" s="332">
        <v>0</v>
      </c>
      <c r="BQ248" s="332"/>
      <c r="BR248" s="332"/>
      <c r="BS248" s="332"/>
      <c r="BT248" s="332"/>
      <c r="BU248" s="332"/>
      <c r="BV248" s="332"/>
      <c r="BW248" s="332"/>
      <c r="BX248" s="332"/>
      <c r="BY248" s="332"/>
      <c r="BZ248" s="332"/>
      <c r="CA248" s="332"/>
      <c r="CB248" s="332"/>
      <c r="CC248" s="332"/>
      <c r="CD248" s="332"/>
      <c r="CE248" s="332"/>
      <c r="CF248" s="386">
        <v>1</v>
      </c>
      <c r="CG248" s="388"/>
      <c r="CH248" s="388"/>
      <c r="CI248" s="388" t="s">
        <v>806</v>
      </c>
    </row>
    <row r="249" spans="1:88" ht="26.25" customHeight="1">
      <c r="A249" s="333">
        <v>252</v>
      </c>
      <c r="B249" s="333" t="s">
        <v>3588</v>
      </c>
      <c r="C249" s="333" t="s">
        <v>3589</v>
      </c>
      <c r="D249" s="333"/>
      <c r="E249" s="333" t="s">
        <v>3590</v>
      </c>
      <c r="F249" s="333" t="s">
        <v>24</v>
      </c>
      <c r="G249" s="332">
        <v>11</v>
      </c>
      <c r="H249" s="332" t="s">
        <v>56</v>
      </c>
      <c r="I249" s="332" t="s">
        <v>31</v>
      </c>
      <c r="J249" s="332" t="s">
        <v>599</v>
      </c>
      <c r="K249" s="332" t="s">
        <v>3591</v>
      </c>
      <c r="L249" s="332" t="s">
        <v>31</v>
      </c>
      <c r="M249" s="332" t="s">
        <v>147</v>
      </c>
      <c r="N249" s="334"/>
      <c r="O249" s="334" t="s">
        <v>148</v>
      </c>
      <c r="P249" s="334"/>
      <c r="Q249" s="332"/>
      <c r="R249" s="333" t="s">
        <v>3592</v>
      </c>
      <c r="S249" s="333" t="s">
        <v>3593</v>
      </c>
      <c r="T249" s="359" t="s">
        <v>3594</v>
      </c>
      <c r="U249" s="333" t="s">
        <v>3595</v>
      </c>
      <c r="V249" s="335">
        <v>34108</v>
      </c>
      <c r="W249" s="397" t="s">
        <v>3596</v>
      </c>
      <c r="X249" s="336" t="s">
        <v>3575</v>
      </c>
      <c r="Y249" s="336"/>
      <c r="Z249" s="336"/>
      <c r="AA249" s="332"/>
      <c r="AB249" s="364">
        <v>45524</v>
      </c>
      <c r="AC249" s="364">
        <v>45719</v>
      </c>
      <c r="AD249" s="332"/>
      <c r="AE249" s="332"/>
      <c r="AF249" s="332"/>
      <c r="AG249" s="332"/>
      <c r="AH249" s="337"/>
      <c r="AI249" s="332"/>
      <c r="AJ249" s="332"/>
      <c r="AK249" s="332"/>
      <c r="AL249" s="337"/>
      <c r="AM249" s="337"/>
      <c r="AN249" s="337"/>
      <c r="AO249" s="338"/>
      <c r="AP249" s="338"/>
      <c r="AQ249" s="338"/>
      <c r="AR249" s="337"/>
      <c r="AS249" s="332"/>
      <c r="AT249" s="430"/>
      <c r="AU249" s="332" t="s">
        <v>3597</v>
      </c>
      <c r="AV249" s="332"/>
      <c r="AW249" s="366">
        <v>45719</v>
      </c>
      <c r="AX249" s="332"/>
      <c r="AY249" s="337"/>
      <c r="AZ249" s="332"/>
      <c r="BA249" s="332"/>
      <c r="BB249" s="332"/>
      <c r="BC249" s="332"/>
      <c r="BD249" s="332"/>
      <c r="BE249" s="332"/>
      <c r="BF249" s="332"/>
      <c r="BG249" s="332"/>
      <c r="BH249" s="332"/>
      <c r="BI249" s="332"/>
      <c r="BJ249" s="332"/>
      <c r="BK249" s="335"/>
      <c r="BL249" s="368" t="s">
        <v>17</v>
      </c>
      <c r="BM249" s="337"/>
      <c r="BN249" s="339" t="e">
        <f>MEDIAN(BN2:BN235)</f>
        <v>#VALUE!</v>
      </c>
      <c r="BO249" s="332"/>
      <c r="BP249" s="332">
        <v>8</v>
      </c>
      <c r="BQ249" s="332"/>
      <c r="BR249" s="332"/>
      <c r="BS249" s="332"/>
      <c r="BT249" s="332"/>
      <c r="BU249" s="332"/>
      <c r="BV249" s="332"/>
      <c r="BW249" s="332"/>
      <c r="BX249" s="332"/>
      <c r="BY249" s="332"/>
      <c r="BZ249" s="332"/>
      <c r="CA249" s="332"/>
      <c r="CB249" s="332"/>
      <c r="CC249" s="332"/>
      <c r="CD249" s="332"/>
      <c r="CE249" s="332"/>
      <c r="CF249" s="386">
        <v>2</v>
      </c>
      <c r="CG249" s="388"/>
      <c r="CH249" s="388"/>
      <c r="CI249" s="388" t="s">
        <v>806</v>
      </c>
    </row>
    <row r="250" spans="1:88" ht="23.25" customHeight="1">
      <c r="A250" s="333">
        <v>253</v>
      </c>
      <c r="B250" s="333" t="s">
        <v>3598</v>
      </c>
      <c r="C250" s="333" t="s">
        <v>2994</v>
      </c>
      <c r="D250" s="333" t="s">
        <v>3599</v>
      </c>
      <c r="E250" s="333" t="s">
        <v>3600</v>
      </c>
      <c r="F250" s="333" t="s">
        <v>23</v>
      </c>
      <c r="G250" s="332">
        <v>11</v>
      </c>
      <c r="H250" s="332" t="s">
        <v>57</v>
      </c>
      <c r="I250" s="332" t="s">
        <v>32</v>
      </c>
      <c r="J250" s="332" t="s">
        <v>3601</v>
      </c>
      <c r="K250" s="332" t="s">
        <v>3602</v>
      </c>
      <c r="L250" s="332" t="s">
        <v>41</v>
      </c>
      <c r="M250" s="332" t="s">
        <v>160</v>
      </c>
      <c r="N250" s="334"/>
      <c r="O250" s="334" t="s">
        <v>319</v>
      </c>
      <c r="P250" s="334"/>
      <c r="Q250" s="332"/>
      <c r="R250" s="333" t="s">
        <v>3603</v>
      </c>
      <c r="S250" s="333" t="s">
        <v>3604</v>
      </c>
      <c r="T250" s="359" t="s">
        <v>3605</v>
      </c>
      <c r="U250" s="333" t="s">
        <v>3606</v>
      </c>
      <c r="V250" s="335">
        <v>34467</v>
      </c>
      <c r="W250" s="397" t="s">
        <v>3607</v>
      </c>
      <c r="X250" s="336" t="s">
        <v>3575</v>
      </c>
      <c r="Y250" s="334"/>
      <c r="Z250" s="334"/>
      <c r="AA250" s="332"/>
      <c r="AB250" s="364">
        <v>45323</v>
      </c>
      <c r="AC250" s="364">
        <v>45719</v>
      </c>
      <c r="AD250" s="332"/>
      <c r="AE250" s="332"/>
      <c r="AF250" s="332"/>
      <c r="AG250" s="332"/>
      <c r="AH250" s="337"/>
      <c r="AI250" s="332"/>
      <c r="AJ250" s="332"/>
      <c r="AK250" s="332"/>
      <c r="AL250" s="337"/>
      <c r="AM250" s="337"/>
      <c r="AN250" s="337"/>
      <c r="AO250" s="338"/>
      <c r="AP250" s="338"/>
      <c r="AQ250" s="338"/>
      <c r="AR250" s="337"/>
      <c r="AS250" s="332"/>
      <c r="AT250" s="430"/>
      <c r="AU250" s="332" t="s">
        <v>3608</v>
      </c>
      <c r="AV250" s="332"/>
      <c r="AW250" s="366">
        <v>45719</v>
      </c>
      <c r="AX250" s="332"/>
      <c r="AY250" s="337"/>
      <c r="AZ250" s="332"/>
      <c r="BA250" s="332"/>
      <c r="BB250" s="332"/>
      <c r="BC250" s="332"/>
      <c r="BD250" s="332"/>
      <c r="BE250" s="332"/>
      <c r="BF250" s="332"/>
      <c r="BG250" s="332"/>
      <c r="BH250" s="332"/>
      <c r="BI250" s="332"/>
      <c r="BJ250" s="332"/>
      <c r="BK250" s="335"/>
      <c r="BL250" s="368" t="s">
        <v>17</v>
      </c>
      <c r="BM250" s="337"/>
      <c r="BN250" s="337"/>
      <c r="BO250" s="332"/>
      <c r="BP250" s="332">
        <v>2</v>
      </c>
      <c r="BQ250" s="332"/>
      <c r="BR250" s="332"/>
      <c r="BS250" s="332"/>
      <c r="BT250" s="332"/>
      <c r="BU250" s="332"/>
      <c r="BV250" s="332"/>
      <c r="BW250" s="332"/>
      <c r="BX250" s="332"/>
      <c r="BY250" s="332"/>
      <c r="BZ250" s="332"/>
      <c r="CA250" s="332"/>
      <c r="CB250" s="332"/>
      <c r="CC250" s="332"/>
      <c r="CD250" s="332"/>
      <c r="CE250" s="332"/>
      <c r="CF250" s="386">
        <v>1</v>
      </c>
      <c r="CG250" s="388"/>
      <c r="CH250" s="388"/>
      <c r="CI250" s="388" t="s">
        <v>806</v>
      </c>
    </row>
    <row r="251" spans="1:88" ht="20.25" customHeight="1">
      <c r="A251" s="333">
        <v>254</v>
      </c>
      <c r="B251" s="333" t="s">
        <v>3609</v>
      </c>
      <c r="C251" s="333" t="s">
        <v>3610</v>
      </c>
      <c r="D251" s="333" t="s">
        <v>1943</v>
      </c>
      <c r="E251" s="333" t="s">
        <v>1897</v>
      </c>
      <c r="F251" s="333" t="s">
        <v>24</v>
      </c>
      <c r="G251" s="332">
        <v>11</v>
      </c>
      <c r="H251" s="332" t="s">
        <v>50</v>
      </c>
      <c r="I251" s="332" t="s">
        <v>28</v>
      </c>
      <c r="J251" s="332" t="s">
        <v>2317</v>
      </c>
      <c r="K251" s="332" t="s">
        <v>3611</v>
      </c>
      <c r="L251" s="332" t="s">
        <v>28</v>
      </c>
      <c r="M251" s="332" t="s">
        <v>147</v>
      </c>
      <c r="N251" s="334"/>
      <c r="O251" s="334" t="s">
        <v>148</v>
      </c>
      <c r="P251" s="334"/>
      <c r="Q251" s="332"/>
      <c r="R251" s="333" t="s">
        <v>3612</v>
      </c>
      <c r="S251" s="333" t="s">
        <v>3613</v>
      </c>
      <c r="T251" s="359" t="s">
        <v>3614</v>
      </c>
      <c r="U251" s="333" t="s">
        <v>3615</v>
      </c>
      <c r="V251" s="335">
        <v>30376</v>
      </c>
      <c r="W251" s="397" t="s">
        <v>3616</v>
      </c>
      <c r="X251" s="336" t="s">
        <v>2764</v>
      </c>
      <c r="Y251" s="334"/>
      <c r="Z251" s="334"/>
      <c r="AA251" s="332"/>
      <c r="AB251" s="364">
        <v>45616</v>
      </c>
      <c r="AC251" s="364">
        <v>45719</v>
      </c>
      <c r="AD251" s="332"/>
      <c r="AE251" s="332"/>
      <c r="AF251" s="332"/>
      <c r="AG251" s="332"/>
      <c r="AH251" s="337"/>
      <c r="AI251" s="332"/>
      <c r="AJ251" s="332"/>
      <c r="AK251" s="332"/>
      <c r="AL251" s="337"/>
      <c r="AM251" s="337"/>
      <c r="AN251" s="337"/>
      <c r="AO251" s="338"/>
      <c r="AP251" s="338"/>
      <c r="AQ251" s="338"/>
      <c r="AR251" s="337"/>
      <c r="AS251" s="332"/>
      <c r="AT251" s="430"/>
      <c r="AU251" s="332" t="s">
        <v>3617</v>
      </c>
      <c r="AV251" s="332"/>
      <c r="AW251" s="366">
        <v>45719</v>
      </c>
      <c r="AX251" s="332"/>
      <c r="AY251" s="337"/>
      <c r="AZ251" s="332"/>
      <c r="BA251" s="332"/>
      <c r="BB251" s="332"/>
      <c r="BC251" s="332"/>
      <c r="BD251" s="332"/>
      <c r="BE251" s="332"/>
      <c r="BF251" s="332"/>
      <c r="BG251" s="332"/>
      <c r="BH251" s="332"/>
      <c r="BI251" s="332"/>
      <c r="BJ251" s="332"/>
      <c r="BK251" s="335"/>
      <c r="BL251" s="368" t="s">
        <v>17</v>
      </c>
      <c r="BM251" s="337"/>
      <c r="BN251" s="337"/>
      <c r="BO251" s="332"/>
      <c r="BP251" s="332">
        <v>8</v>
      </c>
      <c r="BQ251" s="332"/>
      <c r="BR251" s="332"/>
      <c r="BS251" s="332"/>
      <c r="BT251" s="332"/>
      <c r="BU251" s="332"/>
      <c r="BV251" s="332"/>
      <c r="BW251" s="332"/>
      <c r="BX251" s="332"/>
      <c r="BY251" s="332"/>
      <c r="BZ251" s="332"/>
      <c r="CA251" s="332"/>
      <c r="CB251" s="332"/>
      <c r="CC251" s="332"/>
      <c r="CD251" s="332"/>
      <c r="CE251" s="332"/>
      <c r="CF251" s="386">
        <v>3</v>
      </c>
      <c r="CG251" s="388"/>
      <c r="CH251" s="388"/>
      <c r="CI251" s="388" t="s">
        <v>806</v>
      </c>
    </row>
    <row r="252" spans="1:88" ht="22.5" customHeight="1">
      <c r="A252" s="333">
        <v>255</v>
      </c>
      <c r="B252" s="333" t="s">
        <v>3618</v>
      </c>
      <c r="C252" s="333" t="s">
        <v>3619</v>
      </c>
      <c r="D252" s="333" t="s">
        <v>3620</v>
      </c>
      <c r="E252" s="333" t="s">
        <v>3621</v>
      </c>
      <c r="F252" s="333" t="s">
        <v>23</v>
      </c>
      <c r="G252" s="332">
        <v>11</v>
      </c>
      <c r="H252" s="332" t="s">
        <v>49</v>
      </c>
      <c r="I252" s="332" t="s">
        <v>42</v>
      </c>
      <c r="J252" s="332" t="s">
        <v>2270</v>
      </c>
      <c r="K252" s="332" t="s">
        <v>3622</v>
      </c>
      <c r="L252" s="340"/>
      <c r="M252" s="340"/>
      <c r="N252" s="334"/>
      <c r="O252" s="334" t="s">
        <v>319</v>
      </c>
      <c r="P252" s="334"/>
      <c r="Q252" s="332"/>
      <c r="R252" s="333" t="s">
        <v>3623</v>
      </c>
      <c r="S252" s="333" t="s">
        <v>3624</v>
      </c>
      <c r="T252" s="359" t="s">
        <v>3625</v>
      </c>
      <c r="U252" s="333" t="s">
        <v>3626</v>
      </c>
      <c r="V252" s="335">
        <v>33992</v>
      </c>
      <c r="W252" s="397" t="s">
        <v>3627</v>
      </c>
      <c r="X252" s="336" t="s">
        <v>3628</v>
      </c>
      <c r="Y252" s="334"/>
      <c r="Z252" s="334"/>
      <c r="AA252" s="332"/>
      <c r="AB252" s="364">
        <v>45719</v>
      </c>
      <c r="AC252" s="364">
        <v>45719</v>
      </c>
      <c r="AD252" s="332"/>
      <c r="AE252" s="332"/>
      <c r="AF252" s="332"/>
      <c r="AG252" s="332"/>
      <c r="AH252" s="337"/>
      <c r="AI252" s="332"/>
      <c r="AJ252" s="332"/>
      <c r="AK252" s="332"/>
      <c r="AL252" s="337"/>
      <c r="AM252" s="337"/>
      <c r="AN252" s="337"/>
      <c r="AO252" s="338"/>
      <c r="AP252" s="338"/>
      <c r="AQ252" s="338"/>
      <c r="AR252" s="337"/>
      <c r="AS252" s="332"/>
      <c r="AT252" s="430"/>
      <c r="AU252" s="332" t="s">
        <v>3629</v>
      </c>
      <c r="AV252" s="332"/>
      <c r="AW252" s="366">
        <v>45719</v>
      </c>
      <c r="AX252" s="332"/>
      <c r="AY252" s="337"/>
      <c r="AZ252" s="332"/>
      <c r="BA252" s="332"/>
      <c r="BB252" s="332"/>
      <c r="BC252" s="332"/>
      <c r="BD252" s="332"/>
      <c r="BE252" s="332"/>
      <c r="BF252" s="332"/>
      <c r="BG252" s="332"/>
      <c r="BH252" s="332"/>
      <c r="BI252" s="332"/>
      <c r="BJ252" s="332"/>
      <c r="BK252" s="335"/>
      <c r="BL252" s="368" t="s">
        <v>17</v>
      </c>
      <c r="BM252" s="337"/>
      <c r="BN252" s="337"/>
      <c r="BO252" s="332"/>
      <c r="BP252" s="332">
        <v>15</v>
      </c>
      <c r="BQ252" s="332"/>
      <c r="BR252" s="332"/>
      <c r="BS252" s="332"/>
      <c r="BT252" s="332"/>
      <c r="BU252" s="332"/>
      <c r="BV252" s="332"/>
      <c r="BW252" s="332"/>
      <c r="BX252" s="332"/>
      <c r="BY252" s="332"/>
      <c r="BZ252" s="332"/>
      <c r="CA252" s="332"/>
      <c r="CB252" s="332"/>
      <c r="CC252" s="332"/>
      <c r="CD252" s="332"/>
      <c r="CE252" s="332"/>
      <c r="CF252" s="386">
        <v>0</v>
      </c>
      <c r="CG252" s="388"/>
      <c r="CH252" s="388"/>
      <c r="CI252" s="388" t="s">
        <v>806</v>
      </c>
    </row>
    <row r="253" spans="1:88" ht="25.5" customHeight="1">
      <c r="A253" s="333">
        <v>256</v>
      </c>
      <c r="B253" s="333" t="s">
        <v>3630</v>
      </c>
      <c r="C253" s="333" t="s">
        <v>2329</v>
      </c>
      <c r="D253" s="333" t="s">
        <v>3631</v>
      </c>
      <c r="E253" s="333" t="s">
        <v>3632</v>
      </c>
      <c r="F253" s="333" t="s">
        <v>24</v>
      </c>
      <c r="G253" s="332">
        <v>11</v>
      </c>
      <c r="H253" s="332" t="s">
        <v>50</v>
      </c>
      <c r="I253" s="332" t="s">
        <v>35</v>
      </c>
      <c r="J253" s="332" t="s">
        <v>3633</v>
      </c>
      <c r="K253" s="332" t="s">
        <v>2787</v>
      </c>
      <c r="L253" s="340"/>
      <c r="M253" s="340"/>
      <c r="N253" s="334"/>
      <c r="O253" s="334" t="s">
        <v>148</v>
      </c>
      <c r="P253" s="334"/>
      <c r="Q253" s="332"/>
      <c r="R253" s="333" t="s">
        <v>3634</v>
      </c>
      <c r="S253" s="333" t="s">
        <v>3635</v>
      </c>
      <c r="T253" s="359" t="s">
        <v>3636</v>
      </c>
      <c r="U253" s="333" t="s">
        <v>3637</v>
      </c>
      <c r="V253" s="335">
        <v>31085</v>
      </c>
      <c r="W253" s="397" t="s">
        <v>3638</v>
      </c>
      <c r="X253" s="336" t="s">
        <v>153</v>
      </c>
      <c r="Y253" s="334"/>
      <c r="Z253" s="334"/>
      <c r="AA253" s="332"/>
      <c r="AB253" s="364">
        <v>45902</v>
      </c>
      <c r="AC253" s="364">
        <v>45719</v>
      </c>
      <c r="AD253" s="332"/>
      <c r="AE253" s="332"/>
      <c r="AF253" s="332"/>
      <c r="AG253" s="332"/>
      <c r="AH253" s="337"/>
      <c r="AI253" s="332"/>
      <c r="AJ253" s="332"/>
      <c r="AK253" s="332"/>
      <c r="AL253" s="337"/>
      <c r="AM253" s="337"/>
      <c r="AN253" s="337"/>
      <c r="AO253" s="338"/>
      <c r="AP253" s="338"/>
      <c r="AQ253" s="338"/>
      <c r="AR253" s="337"/>
      <c r="AS253" s="332"/>
      <c r="AT253" s="430"/>
      <c r="AU253" s="332" t="s">
        <v>3639</v>
      </c>
      <c r="AV253" s="332"/>
      <c r="AW253" s="366">
        <v>45719</v>
      </c>
      <c r="AX253" s="332"/>
      <c r="AY253" s="337"/>
      <c r="AZ253" s="332"/>
      <c r="BA253" s="332"/>
      <c r="BB253" s="332"/>
      <c r="BC253" s="332"/>
      <c r="BD253" s="332"/>
      <c r="BE253" s="332"/>
      <c r="BF253" s="332"/>
      <c r="BG253" s="332"/>
      <c r="BH253" s="332"/>
      <c r="BI253" s="332"/>
      <c r="BJ253" s="332"/>
      <c r="BK253" s="335"/>
      <c r="BL253" s="368" t="s">
        <v>17</v>
      </c>
      <c r="BM253" s="337"/>
      <c r="BN253" s="337"/>
      <c r="BO253" s="332"/>
      <c r="BP253" s="332">
        <v>40</v>
      </c>
      <c r="BQ253" s="332"/>
      <c r="BR253" s="332"/>
      <c r="BS253" s="332"/>
      <c r="BT253" s="332"/>
      <c r="BU253" s="332"/>
      <c r="BV253" s="332"/>
      <c r="BW253" s="332"/>
      <c r="BX253" s="332"/>
      <c r="BY253" s="332"/>
      <c r="BZ253" s="332"/>
      <c r="CA253" s="332"/>
      <c r="CB253" s="332"/>
      <c r="CC253" s="332"/>
      <c r="CD253" s="332"/>
      <c r="CE253" s="332"/>
      <c r="CF253" s="386">
        <v>1</v>
      </c>
      <c r="CG253" s="388"/>
      <c r="CH253" s="388"/>
      <c r="CI253" s="388" t="s">
        <v>806</v>
      </c>
    </row>
    <row r="254" spans="1:88" ht="21" customHeight="1">
      <c r="A254" s="333">
        <v>257</v>
      </c>
      <c r="B254" s="333" t="s">
        <v>3640</v>
      </c>
      <c r="C254" s="333" t="s">
        <v>3641</v>
      </c>
      <c r="D254" s="333" t="s">
        <v>3642</v>
      </c>
      <c r="E254" s="333" t="s">
        <v>3579</v>
      </c>
      <c r="F254" s="333" t="s">
        <v>23</v>
      </c>
      <c r="G254" s="332">
        <v>11</v>
      </c>
      <c r="H254" s="332" t="s">
        <v>53</v>
      </c>
      <c r="I254" s="332" t="s">
        <v>44</v>
      </c>
      <c r="J254" s="332" t="s">
        <v>3295</v>
      </c>
      <c r="K254" s="332" t="s">
        <v>3643</v>
      </c>
      <c r="L254" s="340"/>
      <c r="M254" s="340"/>
      <c r="N254" s="334"/>
      <c r="O254" s="334" t="s">
        <v>148</v>
      </c>
      <c r="P254" s="334"/>
      <c r="Q254" s="332"/>
      <c r="R254" s="333" t="s">
        <v>3644</v>
      </c>
      <c r="S254" s="360"/>
      <c r="T254" s="361" t="s">
        <v>190</v>
      </c>
      <c r="U254" s="333" t="s">
        <v>3645</v>
      </c>
      <c r="V254" s="335">
        <v>32143</v>
      </c>
      <c r="W254" s="397" t="s">
        <v>3646</v>
      </c>
      <c r="X254" s="336" t="s">
        <v>3575</v>
      </c>
      <c r="Y254" s="334"/>
      <c r="Z254" s="334"/>
      <c r="AA254" s="332"/>
      <c r="AB254" s="364">
        <v>45762</v>
      </c>
      <c r="AC254" s="364">
        <v>45719</v>
      </c>
      <c r="AD254" s="332"/>
      <c r="AE254" s="332"/>
      <c r="AF254" s="332"/>
      <c r="AG254" s="332"/>
      <c r="AH254" s="337"/>
      <c r="AI254" s="332"/>
      <c r="AJ254" s="332"/>
      <c r="AK254" s="332"/>
      <c r="AL254" s="337"/>
      <c r="AM254" s="337"/>
      <c r="AN254" s="337"/>
      <c r="AO254" s="338"/>
      <c r="AP254" s="338"/>
      <c r="AQ254" s="338"/>
      <c r="AR254" s="337"/>
      <c r="AS254" s="332"/>
      <c r="AT254" s="430"/>
      <c r="AU254" s="332" t="s">
        <v>3647</v>
      </c>
      <c r="AV254" s="332"/>
      <c r="AW254" s="366">
        <v>45719</v>
      </c>
      <c r="AX254" s="332"/>
      <c r="AY254" s="337"/>
      <c r="AZ254" s="332"/>
      <c r="BA254" s="332"/>
      <c r="BB254" s="332"/>
      <c r="BC254" s="332"/>
      <c r="BD254" s="332"/>
      <c r="BE254" s="332"/>
      <c r="BF254" s="332"/>
      <c r="BG254" s="332"/>
      <c r="BH254" s="332"/>
      <c r="BI254" s="332"/>
      <c r="BJ254" s="332"/>
      <c r="BK254" s="335"/>
      <c r="BL254" s="368" t="s">
        <v>17</v>
      </c>
      <c r="BM254" s="337"/>
      <c r="BN254" s="337"/>
      <c r="BO254" s="332"/>
      <c r="BP254" s="332">
        <v>8</v>
      </c>
      <c r="BQ254" s="332"/>
      <c r="BR254" s="332"/>
      <c r="BS254" s="332"/>
      <c r="BT254" s="332"/>
      <c r="BU254" s="332"/>
      <c r="BV254" s="332"/>
      <c r="BW254" s="332"/>
      <c r="BX254" s="332"/>
      <c r="BY254" s="332"/>
      <c r="BZ254" s="332"/>
      <c r="CA254" s="332"/>
      <c r="CB254" s="332"/>
      <c r="CC254" s="332"/>
      <c r="CD254" s="332"/>
      <c r="CE254" s="332"/>
      <c r="CF254" s="386">
        <v>1</v>
      </c>
      <c r="CG254" s="388"/>
      <c r="CH254" s="388"/>
      <c r="CI254" s="388" t="s">
        <v>806</v>
      </c>
    </row>
    <row r="255" spans="1:88" ht="24.75" customHeight="1">
      <c r="A255" s="333">
        <v>258</v>
      </c>
      <c r="B255" s="333" t="s">
        <v>3648</v>
      </c>
      <c r="C255" s="333" t="s">
        <v>3649</v>
      </c>
      <c r="D255" s="333"/>
      <c r="E255" s="333" t="s">
        <v>3650</v>
      </c>
      <c r="F255" s="333" t="s">
        <v>23</v>
      </c>
      <c r="G255" s="332">
        <v>11</v>
      </c>
      <c r="H255" s="332" t="s">
        <v>56</v>
      </c>
      <c r="I255" s="332" t="s">
        <v>31</v>
      </c>
      <c r="J255" s="332" t="s">
        <v>3651</v>
      </c>
      <c r="K255" s="332" t="s">
        <v>3652</v>
      </c>
      <c r="L255" s="332" t="s">
        <v>31</v>
      </c>
      <c r="M255" s="332" t="s">
        <v>147</v>
      </c>
      <c r="N255" s="334"/>
      <c r="O255" s="334" t="s">
        <v>319</v>
      </c>
      <c r="P255" s="334"/>
      <c r="Q255" s="332"/>
      <c r="R255" s="333" t="s">
        <v>3653</v>
      </c>
      <c r="S255" s="333" t="s">
        <v>3654</v>
      </c>
      <c r="T255" s="359" t="s">
        <v>3655</v>
      </c>
      <c r="U255" s="333" t="s">
        <v>3656</v>
      </c>
      <c r="V255" s="335">
        <v>35384</v>
      </c>
      <c r="W255" s="397" t="s">
        <v>3657</v>
      </c>
      <c r="X255" s="336" t="s">
        <v>3658</v>
      </c>
      <c r="Y255" s="334"/>
      <c r="Z255" s="334"/>
      <c r="AA255" s="332"/>
      <c r="AB255" s="364">
        <v>45762</v>
      </c>
      <c r="AC255" s="364">
        <v>45719</v>
      </c>
      <c r="AD255" s="332"/>
      <c r="AE255" s="332"/>
      <c r="AF255" s="332"/>
      <c r="AG255" s="332"/>
      <c r="AH255" s="337"/>
      <c r="AI255" s="332"/>
      <c r="AJ255" s="332"/>
      <c r="AK255" s="332"/>
      <c r="AL255" s="337"/>
      <c r="AM255" s="337"/>
      <c r="AN255" s="337"/>
      <c r="AO255" s="338"/>
      <c r="AP255" s="338"/>
      <c r="AQ255" s="338"/>
      <c r="AR255" s="337"/>
      <c r="AS255" s="332"/>
      <c r="AT255" s="430"/>
      <c r="AU255" s="332" t="s">
        <v>3659</v>
      </c>
      <c r="AV255" s="332"/>
      <c r="AW255" s="366">
        <v>45719</v>
      </c>
      <c r="AX255" s="332"/>
      <c r="AY255" s="337"/>
      <c r="AZ255" s="332"/>
      <c r="BA255" s="332"/>
      <c r="BB255" s="332"/>
      <c r="BC255" s="332"/>
      <c r="BD255" s="332"/>
      <c r="BE255" s="332"/>
      <c r="BF255" s="332"/>
      <c r="BG255" s="332"/>
      <c r="BH255" s="332"/>
      <c r="BI255" s="332"/>
      <c r="BJ255" s="332"/>
      <c r="BK255" s="335"/>
      <c r="BL255" s="368" t="s">
        <v>17</v>
      </c>
      <c r="BM255" s="337"/>
      <c r="BN255" s="337"/>
      <c r="BO255" s="332"/>
      <c r="BP255" s="332">
        <v>10</v>
      </c>
      <c r="BQ255" s="332"/>
      <c r="BR255" s="332"/>
      <c r="BS255" s="332"/>
      <c r="BT255" s="332"/>
      <c r="BU255" s="332"/>
      <c r="BV255" s="332"/>
      <c r="BW255" s="332"/>
      <c r="BX255" s="332"/>
      <c r="BY255" s="332"/>
      <c r="BZ255" s="332"/>
      <c r="CA255" s="332"/>
      <c r="CB255" s="332"/>
      <c r="CC255" s="332"/>
      <c r="CD255" s="332"/>
      <c r="CE255" s="332"/>
      <c r="CF255" s="386">
        <v>0</v>
      </c>
      <c r="CG255" s="388"/>
      <c r="CH255" s="388"/>
      <c r="CI255" s="388" t="s">
        <v>806</v>
      </c>
    </row>
    <row r="256" spans="1:88" ht="24.75" customHeight="1">
      <c r="A256" s="333">
        <v>259</v>
      </c>
      <c r="B256" s="333" t="s">
        <v>3660</v>
      </c>
      <c r="C256" s="333" t="s">
        <v>3661</v>
      </c>
      <c r="D256" s="333" t="s">
        <v>3116</v>
      </c>
      <c r="E256" s="333" t="s">
        <v>3662</v>
      </c>
      <c r="F256" s="333" t="s">
        <v>24</v>
      </c>
      <c r="G256" s="332">
        <v>11</v>
      </c>
      <c r="H256" s="332" t="s">
        <v>48</v>
      </c>
      <c r="I256" s="332" t="s">
        <v>38</v>
      </c>
      <c r="J256" s="332" t="s">
        <v>3663</v>
      </c>
      <c r="K256" s="332" t="s">
        <v>3664</v>
      </c>
      <c r="L256" s="332" t="s">
        <v>38</v>
      </c>
      <c r="M256" s="332" t="s">
        <v>147</v>
      </c>
      <c r="N256" s="334"/>
      <c r="O256" s="334" t="s">
        <v>319</v>
      </c>
      <c r="P256" s="334"/>
      <c r="Q256" s="332"/>
      <c r="R256" s="333" t="s">
        <v>3665</v>
      </c>
      <c r="S256" s="333" t="s">
        <v>3666</v>
      </c>
      <c r="T256" s="359" t="s">
        <v>3667</v>
      </c>
      <c r="U256" s="333" t="s">
        <v>3668</v>
      </c>
      <c r="V256" s="335">
        <v>33077</v>
      </c>
      <c r="W256" s="397" t="s">
        <v>3669</v>
      </c>
      <c r="X256" s="336" t="s">
        <v>3670</v>
      </c>
      <c r="Y256" s="334"/>
      <c r="Z256" s="334"/>
      <c r="AA256" s="332"/>
      <c r="AB256" s="364">
        <v>44991</v>
      </c>
      <c r="AC256" s="364">
        <v>45719</v>
      </c>
      <c r="AD256" s="332"/>
      <c r="AE256" s="332"/>
      <c r="AF256" s="332"/>
      <c r="AG256" s="332"/>
      <c r="AH256" s="337"/>
      <c r="AI256" s="332"/>
      <c r="AJ256" s="332"/>
      <c r="AK256" s="332"/>
      <c r="AL256" s="337"/>
      <c r="AM256" s="337"/>
      <c r="AN256" s="337"/>
      <c r="AO256" s="338"/>
      <c r="AP256" s="338"/>
      <c r="AQ256" s="338"/>
      <c r="AR256" s="337"/>
      <c r="AS256" s="332"/>
      <c r="AT256" s="430"/>
      <c r="AU256" s="332" t="s">
        <v>3671</v>
      </c>
      <c r="AV256" s="332"/>
      <c r="AW256" s="366">
        <v>45719</v>
      </c>
      <c r="AX256" s="332"/>
      <c r="AY256" s="337"/>
      <c r="AZ256" s="332"/>
      <c r="BA256" s="332"/>
      <c r="BB256" s="332"/>
      <c r="BC256" s="332"/>
      <c r="BD256" s="332"/>
      <c r="BE256" s="332"/>
      <c r="BF256" s="332"/>
      <c r="BG256" s="332"/>
      <c r="BH256" s="332"/>
      <c r="BI256" s="332"/>
      <c r="BJ256" s="332"/>
      <c r="BK256" s="335"/>
      <c r="BL256" s="368" t="s">
        <v>17</v>
      </c>
      <c r="BM256" s="337"/>
      <c r="BN256" s="337"/>
      <c r="BO256" s="332"/>
      <c r="BP256" s="332">
        <v>1</v>
      </c>
      <c r="BQ256" s="332"/>
      <c r="BR256" s="332"/>
      <c r="BS256" s="332"/>
      <c r="BT256" s="332"/>
      <c r="BU256" s="332"/>
      <c r="BV256" s="332"/>
      <c r="BW256" s="332"/>
      <c r="BX256" s="332"/>
      <c r="BY256" s="332"/>
      <c r="BZ256" s="332"/>
      <c r="CA256" s="332"/>
      <c r="CB256" s="332"/>
      <c r="CC256" s="332"/>
      <c r="CD256" s="332"/>
      <c r="CE256" s="332"/>
      <c r="CF256" s="386">
        <v>1</v>
      </c>
      <c r="CG256" s="388"/>
      <c r="CH256" s="388"/>
      <c r="CI256" s="388" t="s">
        <v>806</v>
      </c>
    </row>
    <row r="257" spans="1:87" ht="23.25" customHeight="1">
      <c r="A257" s="333">
        <v>260</v>
      </c>
      <c r="B257" s="333" t="s">
        <v>3672</v>
      </c>
      <c r="C257" s="333" t="s">
        <v>626</v>
      </c>
      <c r="D257" s="333" t="s">
        <v>3673</v>
      </c>
      <c r="E257" s="333" t="s">
        <v>3674</v>
      </c>
      <c r="F257" s="333" t="s">
        <v>24</v>
      </c>
      <c r="G257" s="332">
        <v>11</v>
      </c>
      <c r="H257" s="332" t="s">
        <v>48</v>
      </c>
      <c r="I257" s="332" t="s">
        <v>38</v>
      </c>
      <c r="J257" s="332" t="s">
        <v>2287</v>
      </c>
      <c r="K257" s="332" t="s">
        <v>3675</v>
      </c>
      <c r="L257" s="332"/>
      <c r="M257" s="332"/>
      <c r="N257" s="334"/>
      <c r="O257" s="334" t="s">
        <v>148</v>
      </c>
      <c r="P257" s="334"/>
      <c r="Q257" s="332"/>
      <c r="R257" s="333" t="s">
        <v>3676</v>
      </c>
      <c r="S257" s="333" t="s">
        <v>3677</v>
      </c>
      <c r="T257" s="359" t="s">
        <v>3678</v>
      </c>
      <c r="U257" s="333" t="s">
        <v>3679</v>
      </c>
      <c r="V257" s="335">
        <v>30619</v>
      </c>
      <c r="W257" s="397" t="s">
        <v>3680</v>
      </c>
      <c r="X257" s="336" t="s">
        <v>153</v>
      </c>
      <c r="Y257" s="334"/>
      <c r="Z257" s="334"/>
      <c r="AA257" s="332"/>
      <c r="AB257" s="364">
        <v>45901</v>
      </c>
      <c r="AC257" s="364">
        <v>45719</v>
      </c>
      <c r="AD257" s="332"/>
      <c r="AE257" s="332"/>
      <c r="AF257" s="332"/>
      <c r="AG257" s="332"/>
      <c r="AH257" s="337"/>
      <c r="AI257" s="332"/>
      <c r="AJ257" s="332"/>
      <c r="AK257" s="332"/>
      <c r="AL257" s="337"/>
      <c r="AM257" s="337"/>
      <c r="AN257" s="337"/>
      <c r="AO257" s="338"/>
      <c r="AP257" s="338"/>
      <c r="AQ257" s="338"/>
      <c r="AR257" s="337"/>
      <c r="AS257" s="332"/>
      <c r="AT257" s="430"/>
      <c r="AU257" s="332" t="s">
        <v>3681</v>
      </c>
      <c r="AV257" s="332"/>
      <c r="AW257" s="366">
        <v>45719</v>
      </c>
      <c r="AX257" s="332"/>
      <c r="AY257" s="337"/>
      <c r="AZ257" s="332"/>
      <c r="BA257" s="332"/>
      <c r="BB257" s="332"/>
      <c r="BC257" s="332"/>
      <c r="BD257" s="332"/>
      <c r="BE257" s="332"/>
      <c r="BF257" s="332"/>
      <c r="BG257" s="332"/>
      <c r="BH257" s="332"/>
      <c r="BI257" s="332"/>
      <c r="BJ257" s="332"/>
      <c r="BK257" s="335"/>
      <c r="BL257" s="368" t="s">
        <v>17</v>
      </c>
      <c r="BM257" s="337"/>
      <c r="BN257" s="337"/>
      <c r="BO257" s="332"/>
      <c r="BP257" s="332">
        <v>10</v>
      </c>
      <c r="BQ257" s="332"/>
      <c r="BR257" s="332"/>
      <c r="BS257" s="332"/>
      <c r="BT257" s="332"/>
      <c r="BU257" s="332"/>
      <c r="BV257" s="332"/>
      <c r="BW257" s="332"/>
      <c r="BX257" s="332"/>
      <c r="BY257" s="332"/>
      <c r="BZ257" s="332"/>
      <c r="CA257" s="332"/>
      <c r="CB257" s="332"/>
      <c r="CC257" s="332"/>
      <c r="CD257" s="332"/>
      <c r="CE257" s="332"/>
      <c r="CF257" s="386">
        <v>2</v>
      </c>
      <c r="CG257" s="388"/>
      <c r="CH257" s="388"/>
      <c r="CI257" s="388" t="s">
        <v>806</v>
      </c>
    </row>
    <row r="258" spans="1:87" ht="25.5" customHeight="1">
      <c r="A258" s="333">
        <v>261</v>
      </c>
      <c r="B258" s="333" t="s">
        <v>3682</v>
      </c>
      <c r="C258" s="333" t="s">
        <v>3683</v>
      </c>
      <c r="D258" s="333" t="s">
        <v>3684</v>
      </c>
      <c r="E258" s="333" t="s">
        <v>3685</v>
      </c>
      <c r="F258" s="333" t="s">
        <v>23</v>
      </c>
      <c r="G258" s="332">
        <v>11</v>
      </c>
      <c r="H258" s="332" t="s">
        <v>50</v>
      </c>
      <c r="I258" s="332" t="s">
        <v>28</v>
      </c>
      <c r="J258" s="332" t="s">
        <v>3686</v>
      </c>
      <c r="K258" s="332" t="s">
        <v>1558</v>
      </c>
      <c r="L258" s="332" t="s">
        <v>28</v>
      </c>
      <c r="M258" s="332" t="s">
        <v>147</v>
      </c>
      <c r="N258" s="334"/>
      <c r="O258" s="334" t="s">
        <v>148</v>
      </c>
      <c r="P258" s="334"/>
      <c r="Q258" s="332"/>
      <c r="R258" s="333" t="s">
        <v>3687</v>
      </c>
      <c r="S258" s="362" t="s">
        <v>3688</v>
      </c>
      <c r="T258" s="363" t="s">
        <v>3689</v>
      </c>
      <c r="U258" s="333" t="s">
        <v>3690</v>
      </c>
      <c r="V258" s="335">
        <v>31080</v>
      </c>
      <c r="W258" s="397" t="s">
        <v>3691</v>
      </c>
      <c r="X258" s="336" t="s">
        <v>3658</v>
      </c>
      <c r="Y258" s="334"/>
      <c r="Z258" s="334"/>
      <c r="AA258" s="332"/>
      <c r="AB258" s="364">
        <v>43647</v>
      </c>
      <c r="AC258" s="364">
        <v>45719</v>
      </c>
      <c r="AD258" s="332"/>
      <c r="AE258" s="332"/>
      <c r="AF258" s="332"/>
      <c r="AG258" s="332"/>
      <c r="AH258" s="337"/>
      <c r="AI258" s="332"/>
      <c r="AJ258" s="332"/>
      <c r="AK258" s="332"/>
      <c r="AL258" s="337"/>
      <c r="AM258" s="337"/>
      <c r="AN258" s="337"/>
      <c r="AO258" s="338"/>
      <c r="AP258" s="338"/>
      <c r="AQ258" s="338"/>
      <c r="AR258" s="337"/>
      <c r="AS258" s="332"/>
      <c r="AT258" s="430"/>
      <c r="AU258" s="332" t="s">
        <v>3692</v>
      </c>
      <c r="AV258" s="332"/>
      <c r="AW258" s="366">
        <v>45719</v>
      </c>
      <c r="AX258" s="332"/>
      <c r="AY258" s="337"/>
      <c r="AZ258" s="332"/>
      <c r="BA258" s="332"/>
      <c r="BB258" s="332"/>
      <c r="BC258" s="332"/>
      <c r="BD258" s="332"/>
      <c r="BE258" s="332"/>
      <c r="BF258" s="332"/>
      <c r="BG258" s="332"/>
      <c r="BH258" s="332"/>
      <c r="BI258" s="332"/>
      <c r="BJ258" s="332"/>
      <c r="BK258" s="335"/>
      <c r="BL258" s="368" t="s">
        <v>17</v>
      </c>
      <c r="BM258" s="337"/>
      <c r="BN258" s="337"/>
      <c r="BO258" s="332"/>
      <c r="BP258" s="332">
        <v>2</v>
      </c>
      <c r="BQ258" s="332"/>
      <c r="BR258" s="332"/>
      <c r="BS258" s="332"/>
      <c r="BT258" s="332"/>
      <c r="BU258" s="332"/>
      <c r="BV258" s="332"/>
      <c r="BW258" s="332"/>
      <c r="BX258" s="332"/>
      <c r="BY258" s="332"/>
      <c r="BZ258" s="332"/>
      <c r="CA258" s="332"/>
      <c r="CB258" s="332"/>
      <c r="CC258" s="332"/>
      <c r="CD258" s="332"/>
      <c r="CE258" s="332"/>
      <c r="CF258" s="386">
        <v>2</v>
      </c>
      <c r="CG258" s="388"/>
      <c r="CH258" s="388"/>
      <c r="CI258" s="388" t="s">
        <v>806</v>
      </c>
    </row>
    <row r="259" spans="1:87" ht="27.75" customHeight="1">
      <c r="A259" s="333">
        <v>262</v>
      </c>
      <c r="B259" s="333" t="s">
        <v>3693</v>
      </c>
      <c r="C259" s="333" t="s">
        <v>3694</v>
      </c>
      <c r="D259" s="333" t="s">
        <v>3695</v>
      </c>
      <c r="E259" s="333" t="s">
        <v>3696</v>
      </c>
      <c r="F259" s="333" t="s">
        <v>24</v>
      </c>
      <c r="G259" s="332">
        <v>11</v>
      </c>
      <c r="H259" s="332" t="s">
        <v>48</v>
      </c>
      <c r="I259" s="332" t="s">
        <v>33</v>
      </c>
      <c r="J259" s="332" t="s">
        <v>3697</v>
      </c>
      <c r="K259" s="332" t="s">
        <v>3698</v>
      </c>
      <c r="L259" s="332" t="s">
        <v>33</v>
      </c>
      <c r="M259" s="332" t="s">
        <v>147</v>
      </c>
      <c r="N259" s="334"/>
      <c r="O259" s="334" t="s">
        <v>148</v>
      </c>
      <c r="P259" s="334"/>
      <c r="Q259" s="332"/>
      <c r="R259" s="333" t="s">
        <v>3699</v>
      </c>
      <c r="S259" s="333" t="s">
        <v>3700</v>
      </c>
      <c r="T259" s="359" t="s">
        <v>3701</v>
      </c>
      <c r="U259" s="333" t="s">
        <v>3702</v>
      </c>
      <c r="V259" s="335">
        <v>34463</v>
      </c>
      <c r="W259" s="397" t="s">
        <v>3703</v>
      </c>
      <c r="X259" s="336" t="s">
        <v>3575</v>
      </c>
      <c r="Y259" s="334"/>
      <c r="Z259" s="334"/>
      <c r="AA259" s="332"/>
      <c r="AB259" s="364">
        <v>45537</v>
      </c>
      <c r="AC259" s="364">
        <v>45719</v>
      </c>
      <c r="AD259" s="332"/>
      <c r="AE259" s="332"/>
      <c r="AF259" s="332"/>
      <c r="AG259" s="332"/>
      <c r="AH259" s="337"/>
      <c r="AI259" s="332"/>
      <c r="AJ259" s="332"/>
      <c r="AK259" s="332"/>
      <c r="AL259" s="337"/>
      <c r="AM259" s="337"/>
      <c r="AN259" s="337"/>
      <c r="AO259" s="338"/>
      <c r="AP259" s="338"/>
      <c r="AQ259" s="338"/>
      <c r="AR259" s="337"/>
      <c r="AS259" s="332"/>
      <c r="AT259" s="430"/>
      <c r="AU259" s="332" t="s">
        <v>3704</v>
      </c>
      <c r="AV259" s="332"/>
      <c r="AW259" s="366">
        <v>45719</v>
      </c>
      <c r="AX259" s="332"/>
      <c r="AY259" s="337"/>
      <c r="AZ259" s="332"/>
      <c r="BA259" s="332"/>
      <c r="BB259" s="332"/>
      <c r="BC259" s="332"/>
      <c r="BD259" s="332"/>
      <c r="BE259" s="332"/>
      <c r="BF259" s="332"/>
      <c r="BG259" s="332"/>
      <c r="BH259" s="332"/>
      <c r="BI259" s="332"/>
      <c r="BJ259" s="332"/>
      <c r="BK259" s="335"/>
      <c r="BL259" s="368" t="s">
        <v>17</v>
      </c>
      <c r="BM259" s="337"/>
      <c r="BN259" s="337"/>
      <c r="BO259" s="332"/>
      <c r="BP259" s="332">
        <v>1</v>
      </c>
      <c r="BQ259" s="332"/>
      <c r="BR259" s="332"/>
      <c r="BS259" s="332"/>
      <c r="BT259" s="332"/>
      <c r="BU259" s="332"/>
      <c r="BV259" s="332"/>
      <c r="BW259" s="332"/>
      <c r="BX259" s="332"/>
      <c r="BY259" s="332"/>
      <c r="BZ259" s="332"/>
      <c r="CA259" s="332"/>
      <c r="CB259" s="332"/>
      <c r="CC259" s="332"/>
      <c r="CD259" s="332"/>
      <c r="CE259" s="332"/>
      <c r="CF259" s="386">
        <v>1</v>
      </c>
      <c r="CG259" s="388"/>
      <c r="CH259" s="388"/>
      <c r="CI259" s="388" t="s">
        <v>3705</v>
      </c>
    </row>
    <row r="260" spans="1:87" ht="21" customHeight="1">
      <c r="A260" s="333">
        <v>263</v>
      </c>
      <c r="B260" s="333" t="s">
        <v>3706</v>
      </c>
      <c r="C260" s="333" t="s">
        <v>3707</v>
      </c>
      <c r="D260" s="333" t="s">
        <v>3708</v>
      </c>
      <c r="E260" s="333" t="s">
        <v>3709</v>
      </c>
      <c r="F260" s="333" t="s">
        <v>23</v>
      </c>
      <c r="G260" s="332">
        <v>11</v>
      </c>
      <c r="H260" s="332" t="s">
        <v>49</v>
      </c>
      <c r="I260" s="332" t="s">
        <v>42</v>
      </c>
      <c r="J260" s="332" t="s">
        <v>3710</v>
      </c>
      <c r="K260" s="332" t="s">
        <v>3711</v>
      </c>
      <c r="L260" s="332" t="s">
        <v>40</v>
      </c>
      <c r="M260" s="332" t="s">
        <v>147</v>
      </c>
      <c r="N260" s="334"/>
      <c r="O260" s="334" t="s">
        <v>319</v>
      </c>
      <c r="P260" s="334"/>
      <c r="Q260" s="332"/>
      <c r="R260" s="333" t="s">
        <v>3712</v>
      </c>
      <c r="S260" s="333" t="s">
        <v>3713</v>
      </c>
      <c r="T260" s="359" t="s">
        <v>3714</v>
      </c>
      <c r="U260" s="333" t="s">
        <v>3715</v>
      </c>
      <c r="V260" s="335">
        <v>33558</v>
      </c>
      <c r="W260" s="397" t="s">
        <v>3716</v>
      </c>
      <c r="X260" s="336" t="s">
        <v>3575</v>
      </c>
      <c r="Y260" s="334"/>
      <c r="Z260" s="334"/>
      <c r="AA260" s="332"/>
      <c r="AB260" s="364">
        <v>45719</v>
      </c>
      <c r="AC260" s="364">
        <v>45719</v>
      </c>
      <c r="AD260" s="332"/>
      <c r="AE260" s="332"/>
      <c r="AF260" s="332"/>
      <c r="AG260" s="332"/>
      <c r="AH260" s="337"/>
      <c r="AI260" s="332"/>
      <c r="AJ260" s="332"/>
      <c r="AK260" s="332"/>
      <c r="AL260" s="337"/>
      <c r="AM260" s="337"/>
      <c r="AN260" s="337"/>
      <c r="AO260" s="338"/>
      <c r="AP260" s="338"/>
      <c r="AQ260" s="338"/>
      <c r="AR260" s="337"/>
      <c r="AS260" s="332"/>
      <c r="AT260" s="430"/>
      <c r="AU260" s="332" t="s">
        <v>3717</v>
      </c>
      <c r="AV260" s="332"/>
      <c r="AW260" s="366">
        <v>45719</v>
      </c>
      <c r="AX260" s="332"/>
      <c r="AY260" s="337"/>
      <c r="AZ260" s="332"/>
      <c r="BA260" s="332"/>
      <c r="BB260" s="332"/>
      <c r="BC260" s="332"/>
      <c r="BD260" s="332"/>
      <c r="BE260" s="332"/>
      <c r="BF260" s="332"/>
      <c r="BG260" s="332"/>
      <c r="BH260" s="332"/>
      <c r="BI260" s="332"/>
      <c r="BJ260" s="332"/>
      <c r="BK260" s="335"/>
      <c r="BL260" s="368" t="s">
        <v>17</v>
      </c>
      <c r="BM260" s="337"/>
      <c r="BN260" s="337"/>
      <c r="BO260" s="332"/>
      <c r="BP260" s="332">
        <v>0</v>
      </c>
      <c r="BQ260" s="332"/>
      <c r="BR260" s="332"/>
      <c r="BS260" s="332"/>
      <c r="BT260" s="332"/>
      <c r="BU260" s="332"/>
      <c r="BV260" s="332"/>
      <c r="BW260" s="332"/>
      <c r="BX260" s="332"/>
      <c r="BY260" s="332"/>
      <c r="BZ260" s="332"/>
      <c r="CA260" s="332"/>
      <c r="CB260" s="332"/>
      <c r="CC260" s="332"/>
      <c r="CD260" s="332"/>
      <c r="CE260" s="332"/>
      <c r="CF260" s="386">
        <v>1</v>
      </c>
      <c r="CG260" s="388"/>
      <c r="CH260" s="388"/>
      <c r="CI260" s="388" t="s">
        <v>3705</v>
      </c>
    </row>
    <row r="261" spans="1:87" ht="20.25" customHeight="1">
      <c r="A261" s="333">
        <v>264</v>
      </c>
      <c r="B261" s="333" t="s">
        <v>3718</v>
      </c>
      <c r="C261" s="333" t="s">
        <v>3719</v>
      </c>
      <c r="D261" s="333" t="s">
        <v>3720</v>
      </c>
      <c r="E261" s="333" t="s">
        <v>3721</v>
      </c>
      <c r="F261" s="333" t="s">
        <v>23</v>
      </c>
      <c r="G261" s="332">
        <v>11</v>
      </c>
      <c r="H261" s="332" t="s">
        <v>48</v>
      </c>
      <c r="I261" s="332" t="s">
        <v>38</v>
      </c>
      <c r="J261" s="332" t="s">
        <v>3722</v>
      </c>
      <c r="K261" s="332" t="s">
        <v>3664</v>
      </c>
      <c r="L261" s="332" t="s">
        <v>38</v>
      </c>
      <c r="M261" s="332" t="s">
        <v>147</v>
      </c>
      <c r="N261" s="334"/>
      <c r="O261" s="334" t="s">
        <v>148</v>
      </c>
      <c r="P261" s="334"/>
      <c r="Q261" s="332"/>
      <c r="R261" s="333" t="s">
        <v>3723</v>
      </c>
      <c r="S261" s="333" t="s">
        <v>3724</v>
      </c>
      <c r="T261" s="359" t="s">
        <v>3725</v>
      </c>
      <c r="U261" s="333" t="s">
        <v>3726</v>
      </c>
      <c r="V261" s="335">
        <v>34034</v>
      </c>
      <c r="W261" s="397" t="s">
        <v>3727</v>
      </c>
      <c r="X261" s="336" t="s">
        <v>3728</v>
      </c>
      <c r="Y261" s="334"/>
      <c r="Z261" s="334"/>
      <c r="AA261" s="332"/>
      <c r="AB261" s="364">
        <v>45180</v>
      </c>
      <c r="AC261" s="364">
        <v>45719</v>
      </c>
      <c r="AD261" s="332"/>
      <c r="AE261" s="332"/>
      <c r="AF261" s="332"/>
      <c r="AG261" s="332"/>
      <c r="AH261" s="337"/>
      <c r="AI261" s="332"/>
      <c r="AJ261" s="332"/>
      <c r="AK261" s="332"/>
      <c r="AL261" s="337"/>
      <c r="AM261" s="337"/>
      <c r="AN261" s="337"/>
      <c r="AO261" s="338"/>
      <c r="AP261" s="338"/>
      <c r="AQ261" s="338"/>
      <c r="AR261" s="337"/>
      <c r="AS261" s="332"/>
      <c r="AT261" s="430"/>
      <c r="AU261" s="332" t="s">
        <v>3729</v>
      </c>
      <c r="AV261" s="332"/>
      <c r="AW261" s="366">
        <v>45719</v>
      </c>
      <c r="AX261" s="332"/>
      <c r="AY261" s="337"/>
      <c r="AZ261" s="332"/>
      <c r="BA261" s="332"/>
      <c r="BB261" s="332"/>
      <c r="BC261" s="332"/>
      <c r="BD261" s="332"/>
      <c r="BE261" s="332"/>
      <c r="BF261" s="332"/>
      <c r="BG261" s="332"/>
      <c r="BH261" s="332"/>
      <c r="BI261" s="332"/>
      <c r="BJ261" s="332"/>
      <c r="BK261" s="335"/>
      <c r="BL261" s="368" t="s">
        <v>17</v>
      </c>
      <c r="BM261" s="337"/>
      <c r="BN261" s="337"/>
      <c r="BO261" s="332"/>
      <c r="BP261" s="332">
        <v>2</v>
      </c>
      <c r="BQ261" s="332"/>
      <c r="BR261" s="332"/>
      <c r="BS261" s="332"/>
      <c r="BT261" s="332"/>
      <c r="BU261" s="332"/>
      <c r="BV261" s="332"/>
      <c r="BW261" s="332"/>
      <c r="BX261" s="332"/>
      <c r="BY261" s="332"/>
      <c r="BZ261" s="332"/>
      <c r="CA261" s="332"/>
      <c r="CB261" s="332"/>
      <c r="CC261" s="332"/>
      <c r="CD261" s="332"/>
      <c r="CE261" s="332"/>
      <c r="CF261" s="386">
        <v>1</v>
      </c>
      <c r="CG261" s="388"/>
      <c r="CH261" s="388"/>
      <c r="CI261" s="388" t="s">
        <v>806</v>
      </c>
    </row>
    <row r="262" spans="1:87" ht="21" customHeight="1">
      <c r="A262" s="333">
        <v>265</v>
      </c>
      <c r="B262" s="333" t="s">
        <v>3730</v>
      </c>
      <c r="C262" s="333" t="s">
        <v>3731</v>
      </c>
      <c r="D262" s="333" t="s">
        <v>3280</v>
      </c>
      <c r="E262" s="333" t="s">
        <v>3732</v>
      </c>
      <c r="F262" s="333" t="s">
        <v>24</v>
      </c>
      <c r="G262" s="332">
        <v>11</v>
      </c>
      <c r="H262" s="332" t="s">
        <v>50</v>
      </c>
      <c r="I262" s="332" t="s">
        <v>35</v>
      </c>
      <c r="J262" s="332" t="s">
        <v>3733</v>
      </c>
      <c r="K262" s="332" t="s">
        <v>3734</v>
      </c>
      <c r="L262" s="332" t="s">
        <v>35</v>
      </c>
      <c r="M262" s="332" t="s">
        <v>147</v>
      </c>
      <c r="N262" s="334"/>
      <c r="O262" s="334" t="s">
        <v>319</v>
      </c>
      <c r="P262" s="334"/>
      <c r="Q262" s="332"/>
      <c r="R262" s="333" t="s">
        <v>3735</v>
      </c>
      <c r="S262" s="333" t="s">
        <v>3736</v>
      </c>
      <c r="T262" s="359" t="s">
        <v>3737</v>
      </c>
      <c r="U262" s="333" t="s">
        <v>3738</v>
      </c>
      <c r="V262" s="335">
        <v>32059</v>
      </c>
      <c r="W262" s="397" t="s">
        <v>3739</v>
      </c>
      <c r="X262" s="336" t="s">
        <v>153</v>
      </c>
      <c r="Y262" s="334"/>
      <c r="Z262" s="334"/>
      <c r="AA262" s="332"/>
      <c r="AB262" s="364">
        <v>45611</v>
      </c>
      <c r="AC262" s="364">
        <v>45719</v>
      </c>
      <c r="AD262" s="332"/>
      <c r="AE262" s="332"/>
      <c r="AF262" s="332"/>
      <c r="AG262" s="332"/>
      <c r="AH262" s="337"/>
      <c r="AI262" s="332"/>
      <c r="AJ262" s="332"/>
      <c r="AK262" s="332"/>
      <c r="AL262" s="337"/>
      <c r="AM262" s="337"/>
      <c r="AN262" s="337"/>
      <c r="AO262" s="338"/>
      <c r="AP262" s="338"/>
      <c r="AQ262" s="338"/>
      <c r="AR262" s="337"/>
      <c r="AS262" s="332"/>
      <c r="AT262" s="430"/>
      <c r="AU262" s="332" t="s">
        <v>3740</v>
      </c>
      <c r="AV262" s="332"/>
      <c r="AW262" s="366">
        <v>45719</v>
      </c>
      <c r="AX262" s="332"/>
      <c r="AY262" s="337"/>
      <c r="AZ262" s="332"/>
      <c r="BA262" s="332"/>
      <c r="BB262" s="332"/>
      <c r="BC262" s="332"/>
      <c r="BD262" s="332"/>
      <c r="BE262" s="332"/>
      <c r="BF262" s="332"/>
      <c r="BG262" s="332"/>
      <c r="BH262" s="332"/>
      <c r="BI262" s="332"/>
      <c r="BJ262" s="332"/>
      <c r="BK262" s="335"/>
      <c r="BL262" s="368" t="s">
        <v>17</v>
      </c>
      <c r="BM262" s="337"/>
      <c r="BN262" s="337"/>
      <c r="BO262" s="332"/>
      <c r="BP262" s="332">
        <v>6</v>
      </c>
      <c r="BQ262" s="332"/>
      <c r="BR262" s="332"/>
      <c r="BS262" s="332"/>
      <c r="BT262" s="332"/>
      <c r="BU262" s="332"/>
      <c r="BV262" s="332"/>
      <c r="BW262" s="332"/>
      <c r="BX262" s="332"/>
      <c r="BY262" s="332"/>
      <c r="BZ262" s="332"/>
      <c r="CA262" s="332"/>
      <c r="CB262" s="332"/>
      <c r="CC262" s="332"/>
      <c r="CD262" s="332"/>
      <c r="CE262" s="332"/>
      <c r="CF262" s="386">
        <v>0</v>
      </c>
      <c r="CG262" s="388"/>
      <c r="CH262" s="388"/>
      <c r="CI262" s="388" t="s">
        <v>806</v>
      </c>
    </row>
    <row r="263" spans="1:87" ht="25.5" customHeight="1">
      <c r="A263" s="333">
        <v>266</v>
      </c>
      <c r="B263" s="333" t="s">
        <v>3741</v>
      </c>
      <c r="C263" s="333" t="s">
        <v>3742</v>
      </c>
      <c r="D263" s="333" t="s">
        <v>3743</v>
      </c>
      <c r="E263" s="333" t="s">
        <v>3744</v>
      </c>
      <c r="F263" s="333" t="s">
        <v>23</v>
      </c>
      <c r="G263" s="332">
        <v>11</v>
      </c>
      <c r="H263" s="332" t="s">
        <v>49</v>
      </c>
      <c r="I263" s="332" t="s">
        <v>42</v>
      </c>
      <c r="J263" s="332" t="s">
        <v>599</v>
      </c>
      <c r="K263" s="332" t="s">
        <v>3745</v>
      </c>
      <c r="L263" s="340"/>
      <c r="M263" s="340"/>
      <c r="N263" s="334"/>
      <c r="O263" s="334" t="s">
        <v>148</v>
      </c>
      <c r="P263" s="334"/>
      <c r="Q263" s="332"/>
      <c r="R263" s="333" t="s">
        <v>3746</v>
      </c>
      <c r="S263" s="333" t="s">
        <v>3747</v>
      </c>
      <c r="T263" s="359" t="s">
        <v>3748</v>
      </c>
      <c r="U263" s="333" t="s">
        <v>3749</v>
      </c>
      <c r="V263" s="335">
        <v>31592</v>
      </c>
      <c r="W263" s="397" t="s">
        <v>3750</v>
      </c>
      <c r="X263" s="336" t="s">
        <v>3575</v>
      </c>
      <c r="Y263" s="334"/>
      <c r="Z263" s="334"/>
      <c r="AA263" s="332"/>
      <c r="AB263" s="364">
        <v>45839</v>
      </c>
      <c r="AC263" s="364">
        <v>45719</v>
      </c>
      <c r="AD263" s="332"/>
      <c r="AE263" s="332"/>
      <c r="AF263" s="332"/>
      <c r="AG263" s="332"/>
      <c r="AH263" s="337"/>
      <c r="AI263" s="332"/>
      <c r="AJ263" s="332"/>
      <c r="AK263" s="332"/>
      <c r="AL263" s="337"/>
      <c r="AM263" s="337"/>
      <c r="AN263" s="337"/>
      <c r="AO263" s="338"/>
      <c r="AP263" s="338"/>
      <c r="AQ263" s="338"/>
      <c r="AR263" s="337"/>
      <c r="AS263" s="332"/>
      <c r="AT263" s="430"/>
      <c r="AU263" s="332" t="s">
        <v>3751</v>
      </c>
      <c r="AV263" s="332"/>
      <c r="AW263" s="366">
        <v>45719</v>
      </c>
      <c r="AX263" s="332"/>
      <c r="AY263" s="337"/>
      <c r="AZ263" s="332"/>
      <c r="BA263" s="332"/>
      <c r="BB263" s="332"/>
      <c r="BC263" s="332"/>
      <c r="BD263" s="332"/>
      <c r="BE263" s="332"/>
      <c r="BF263" s="332"/>
      <c r="BG263" s="332"/>
      <c r="BH263" s="332"/>
      <c r="BI263" s="332"/>
      <c r="BJ263" s="332"/>
      <c r="BK263" s="335"/>
      <c r="BL263" s="368" t="s">
        <v>17</v>
      </c>
      <c r="BM263" s="337"/>
      <c r="BN263" s="337"/>
      <c r="BO263" s="332"/>
      <c r="BP263" s="332">
        <v>8</v>
      </c>
      <c r="BQ263" s="332"/>
      <c r="BR263" s="332"/>
      <c r="BS263" s="332"/>
      <c r="BT263" s="332"/>
      <c r="BU263" s="332"/>
      <c r="BV263" s="332"/>
      <c r="BW263" s="332"/>
      <c r="BX263" s="332"/>
      <c r="BY263" s="332"/>
      <c r="BZ263" s="332"/>
      <c r="CA263" s="332"/>
      <c r="CB263" s="332"/>
      <c r="CC263" s="332"/>
      <c r="CD263" s="332"/>
      <c r="CE263" s="332"/>
      <c r="CF263" s="386">
        <v>2</v>
      </c>
      <c r="CG263" s="388"/>
      <c r="CH263" s="388"/>
      <c r="CI263" s="388" t="s">
        <v>806</v>
      </c>
    </row>
    <row r="264" spans="1:87" ht="21.75" customHeight="1">
      <c r="A264" s="333">
        <v>267</v>
      </c>
      <c r="B264" s="333" t="s">
        <v>3752</v>
      </c>
      <c r="C264" s="333" t="s">
        <v>3753</v>
      </c>
      <c r="D264" s="333"/>
      <c r="E264" s="333" t="s">
        <v>3754</v>
      </c>
      <c r="F264" s="333" t="s">
        <v>23</v>
      </c>
      <c r="G264" s="332">
        <v>11</v>
      </c>
      <c r="H264" s="332" t="s">
        <v>51</v>
      </c>
      <c r="I264" s="332" t="s">
        <v>39</v>
      </c>
      <c r="J264" s="332" t="s">
        <v>3755</v>
      </c>
      <c r="K264" s="332" t="s">
        <v>3756</v>
      </c>
      <c r="L264" s="340"/>
      <c r="M264" s="340"/>
      <c r="N264" s="334"/>
      <c r="O264" s="334" t="s">
        <v>319</v>
      </c>
      <c r="P264" s="334"/>
      <c r="Q264" s="332"/>
      <c r="R264" s="333" t="s">
        <v>3757</v>
      </c>
      <c r="S264" s="333" t="s">
        <v>3758</v>
      </c>
      <c r="T264" s="359" t="s">
        <v>3759</v>
      </c>
      <c r="U264" s="333" t="s">
        <v>3760</v>
      </c>
      <c r="V264" s="335">
        <v>31315</v>
      </c>
      <c r="W264" s="397" t="s">
        <v>3761</v>
      </c>
      <c r="X264" s="336" t="s">
        <v>3658</v>
      </c>
      <c r="Y264" s="334"/>
      <c r="Z264" s="334"/>
      <c r="AA264" s="332"/>
      <c r="AB264" s="364">
        <v>45930</v>
      </c>
      <c r="AC264" s="364">
        <v>45719</v>
      </c>
      <c r="AD264" s="332"/>
      <c r="AE264" s="332"/>
      <c r="AF264" s="332"/>
      <c r="AG264" s="332"/>
      <c r="AH264" s="337"/>
      <c r="AI264" s="332"/>
      <c r="AJ264" s="332"/>
      <c r="AK264" s="332"/>
      <c r="AL264" s="337"/>
      <c r="AM264" s="337"/>
      <c r="AN264" s="337"/>
      <c r="AO264" s="338"/>
      <c r="AP264" s="338"/>
      <c r="AQ264" s="338"/>
      <c r="AR264" s="337"/>
      <c r="AS264" s="332"/>
      <c r="AT264" s="430"/>
      <c r="AU264" s="332" t="s">
        <v>3762</v>
      </c>
      <c r="AV264" s="332"/>
      <c r="AW264" s="366">
        <v>45719</v>
      </c>
      <c r="AX264" s="332"/>
      <c r="AY264" s="337"/>
      <c r="AZ264" s="332"/>
      <c r="BA264" s="332"/>
      <c r="BB264" s="332"/>
      <c r="BC264" s="332"/>
      <c r="BD264" s="332"/>
      <c r="BE264" s="332"/>
      <c r="BF264" s="332"/>
      <c r="BG264" s="332"/>
      <c r="BH264" s="332"/>
      <c r="BI264" s="332"/>
      <c r="BJ264" s="332"/>
      <c r="BK264" s="335"/>
      <c r="BL264" s="368" t="s">
        <v>17</v>
      </c>
      <c r="BM264" s="337"/>
      <c r="BN264" s="337"/>
      <c r="BO264" s="332"/>
      <c r="BP264" s="332">
        <v>8</v>
      </c>
      <c r="BQ264" s="332"/>
      <c r="BR264" s="332"/>
      <c r="BS264" s="332"/>
      <c r="BT264" s="332"/>
      <c r="BU264" s="332"/>
      <c r="BV264" s="332"/>
      <c r="BW264" s="332"/>
      <c r="BX264" s="332"/>
      <c r="BY264" s="332"/>
      <c r="BZ264" s="332"/>
      <c r="CA264" s="332"/>
      <c r="CB264" s="332"/>
      <c r="CC264" s="332"/>
      <c r="CD264" s="332"/>
      <c r="CE264" s="332"/>
      <c r="CF264" s="386">
        <v>0</v>
      </c>
      <c r="CG264" s="388"/>
      <c r="CH264" s="388"/>
      <c r="CI264" s="388" t="s">
        <v>806</v>
      </c>
    </row>
    <row r="265" spans="1:87" ht="21.75" customHeight="1">
      <c r="A265" s="333">
        <v>268</v>
      </c>
      <c r="B265" s="333" t="s">
        <v>3763</v>
      </c>
      <c r="C265" s="333" t="s">
        <v>3764</v>
      </c>
      <c r="D265" s="333"/>
      <c r="E265" s="333" t="s">
        <v>3765</v>
      </c>
      <c r="F265" s="333" t="s">
        <v>24</v>
      </c>
      <c r="G265" s="332">
        <v>11</v>
      </c>
      <c r="H265" s="332" t="s">
        <v>51</v>
      </c>
      <c r="I265" s="332" t="s">
        <v>39</v>
      </c>
      <c r="J265" s="332" t="s">
        <v>599</v>
      </c>
      <c r="K265" s="332" t="s">
        <v>3766</v>
      </c>
      <c r="L265" s="340"/>
      <c r="M265" s="340"/>
      <c r="N265" s="334"/>
      <c r="O265" s="334" t="s">
        <v>148</v>
      </c>
      <c r="P265" s="334"/>
      <c r="Q265" s="332"/>
      <c r="R265" s="333" t="s">
        <v>3767</v>
      </c>
      <c r="S265" s="333" t="s">
        <v>3768</v>
      </c>
      <c r="T265" s="359" t="s">
        <v>3769</v>
      </c>
      <c r="U265" s="333" t="s">
        <v>3770</v>
      </c>
      <c r="V265" s="335">
        <v>32091</v>
      </c>
      <c r="W265" s="397" t="s">
        <v>3771</v>
      </c>
      <c r="X265" s="336"/>
      <c r="Y265" s="334"/>
      <c r="Z265" s="334"/>
      <c r="AA265" s="332"/>
      <c r="AB265" s="364"/>
      <c r="AC265" s="364">
        <v>45719</v>
      </c>
      <c r="AD265" s="332"/>
      <c r="AE265" s="332"/>
      <c r="AF265" s="332"/>
      <c r="AG265" s="332"/>
      <c r="AH265" s="337"/>
      <c r="AI265" s="332"/>
      <c r="AJ265" s="332"/>
      <c r="AK265" s="332"/>
      <c r="AL265" s="337"/>
      <c r="AM265" s="337"/>
      <c r="AN265" s="337"/>
      <c r="AO265" s="338"/>
      <c r="AP265" s="338"/>
      <c r="AQ265" s="338"/>
      <c r="AR265" s="337"/>
      <c r="AS265" s="332"/>
      <c r="AT265" s="430"/>
      <c r="AU265" s="332" t="s">
        <v>3772</v>
      </c>
      <c r="AV265" s="332"/>
      <c r="AW265" s="366">
        <v>45719</v>
      </c>
      <c r="AX265" s="332"/>
      <c r="AY265" s="337"/>
      <c r="AZ265" s="332"/>
      <c r="BA265" s="332"/>
      <c r="BB265" s="332"/>
      <c r="BC265" s="332"/>
      <c r="BD265" s="332"/>
      <c r="BE265" s="332"/>
      <c r="BF265" s="332"/>
      <c r="BG265" s="332"/>
      <c r="BH265" s="332"/>
      <c r="BI265" s="332"/>
      <c r="BJ265" s="332"/>
      <c r="BK265" s="335"/>
      <c r="BL265" s="368" t="s">
        <v>17</v>
      </c>
      <c r="BM265" s="337"/>
      <c r="BN265" s="337"/>
      <c r="BO265" s="332"/>
      <c r="BP265" s="332">
        <v>3</v>
      </c>
      <c r="BQ265" s="332"/>
      <c r="BR265" s="332"/>
      <c r="BS265" s="332"/>
      <c r="BT265" s="332"/>
      <c r="BU265" s="332"/>
      <c r="BV265" s="332"/>
      <c r="BW265" s="332"/>
      <c r="BX265" s="332"/>
      <c r="BY265" s="332"/>
      <c r="BZ265" s="332"/>
      <c r="CA265" s="332"/>
      <c r="CB265" s="332"/>
      <c r="CC265" s="332"/>
      <c r="CD265" s="332"/>
      <c r="CE265" s="332"/>
      <c r="CF265" s="386">
        <v>1</v>
      </c>
      <c r="CG265" s="388"/>
      <c r="CH265" s="388"/>
      <c r="CI265" s="388" t="s">
        <v>3705</v>
      </c>
    </row>
    <row r="266" spans="1:87" ht="23.25" customHeight="1">
      <c r="A266" s="333">
        <v>269</v>
      </c>
      <c r="B266" s="333" t="s">
        <v>3773</v>
      </c>
      <c r="C266" s="333" t="s">
        <v>3774</v>
      </c>
      <c r="D266" s="333" t="s">
        <v>3775</v>
      </c>
      <c r="E266" s="333" t="s">
        <v>3776</v>
      </c>
      <c r="F266" s="333" t="s">
        <v>24</v>
      </c>
      <c r="G266" s="332">
        <v>11</v>
      </c>
      <c r="H266" s="332" t="s">
        <v>55</v>
      </c>
      <c r="I266" s="332" t="s">
        <v>36</v>
      </c>
      <c r="J266" s="332" t="s">
        <v>3777</v>
      </c>
      <c r="K266" s="332" t="s">
        <v>3778</v>
      </c>
      <c r="L266" s="340"/>
      <c r="M266" s="340"/>
      <c r="N266" s="334"/>
      <c r="O266" s="334" t="s">
        <v>148</v>
      </c>
      <c r="P266" s="334"/>
      <c r="Q266" s="332"/>
      <c r="R266" s="333" t="s">
        <v>3779</v>
      </c>
      <c r="S266" s="333" t="s">
        <v>3780</v>
      </c>
      <c r="T266" s="359" t="s">
        <v>3781</v>
      </c>
      <c r="U266" s="333" t="s">
        <v>3782</v>
      </c>
      <c r="V266" s="335">
        <v>30939</v>
      </c>
      <c r="W266" s="397" t="s">
        <v>3783</v>
      </c>
      <c r="X266" s="336" t="s">
        <v>3575</v>
      </c>
      <c r="Y266" s="334"/>
      <c r="Z266" s="334"/>
      <c r="AA266" s="332"/>
      <c r="AB266" s="365">
        <v>45777</v>
      </c>
      <c r="AC266" s="364">
        <v>45719</v>
      </c>
      <c r="AD266" s="332"/>
      <c r="AE266" s="332"/>
      <c r="AF266" s="332"/>
      <c r="AG266" s="332"/>
      <c r="AH266" s="337"/>
      <c r="AI266" s="332"/>
      <c r="AJ266" s="332"/>
      <c r="AK266" s="332"/>
      <c r="AL266" s="337"/>
      <c r="AM266" s="337"/>
      <c r="AN266" s="337"/>
      <c r="AO266" s="338"/>
      <c r="AP266" s="338"/>
      <c r="AQ266" s="338"/>
      <c r="AR266" s="337"/>
      <c r="AS266" s="332"/>
      <c r="AT266" s="430"/>
      <c r="AU266" s="332" t="s">
        <v>3784</v>
      </c>
      <c r="AV266" s="332"/>
      <c r="AW266" s="367">
        <v>45719</v>
      </c>
      <c r="AX266" s="332"/>
      <c r="AY266" s="337"/>
      <c r="AZ266" s="332"/>
      <c r="BA266" s="332"/>
      <c r="BB266" s="332"/>
      <c r="BC266" s="332"/>
      <c r="BD266" s="332"/>
      <c r="BE266" s="332"/>
      <c r="BF266" s="332"/>
      <c r="BG266" s="332"/>
      <c r="BH266" s="332"/>
      <c r="BI266" s="332"/>
      <c r="BJ266" s="332"/>
      <c r="BK266" s="335"/>
      <c r="BL266" s="369" t="s">
        <v>17</v>
      </c>
      <c r="BM266" s="337"/>
      <c r="BN266" s="337"/>
      <c r="BO266" s="332"/>
      <c r="BP266" s="332">
        <v>16</v>
      </c>
      <c r="BQ266" s="332"/>
      <c r="BR266" s="332"/>
      <c r="BS266" s="332"/>
      <c r="BT266" s="332"/>
      <c r="BU266" s="332"/>
      <c r="BV266" s="332"/>
      <c r="BW266" s="332"/>
      <c r="BX266" s="332"/>
      <c r="BY266" s="332"/>
      <c r="BZ266" s="332"/>
      <c r="CA266" s="332"/>
      <c r="CB266" s="332"/>
      <c r="CC266" s="332"/>
      <c r="CD266" s="332"/>
      <c r="CE266" s="332"/>
      <c r="CF266" s="386">
        <v>3</v>
      </c>
      <c r="CG266" s="388"/>
      <c r="CH266" s="388"/>
      <c r="CI266" s="388" t="s">
        <v>806</v>
      </c>
    </row>
    <row r="270" spans="1:87">
      <c r="A270" s="46" t="s">
        <v>3785</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3786</v>
      </c>
    </row>
    <row r="283" spans="1:2">
      <c r="A283" s="24" t="s">
        <v>165</v>
      </c>
      <c r="B283" s="47" t="s">
        <v>3787</v>
      </c>
    </row>
    <row r="284" spans="1:2">
      <c r="A284" s="292"/>
      <c r="B284" s="399" t="s">
        <v>3788</v>
      </c>
    </row>
  </sheetData>
  <autoFilter ref="A1:XCB266" xr:uid="{311EE11A-85EB-4BBE-AB02-7C9957BF4DA3}"/>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0" r:id="rId28" xr:uid="{00000000-0004-0000-0200-00001B000000}"/>
    <hyperlink ref="S197" r:id="rId29" xr:uid="{00000000-0004-0000-0200-00001C000000}"/>
    <hyperlink ref="R190" r:id="rId30" xr:uid="{00000000-0004-0000-0200-00001D000000}"/>
    <hyperlink ref="R152" r:id="rId31" xr:uid="{00000000-0004-0000-0200-00001E000000}"/>
    <hyperlink ref="S54" r:id="rId32" xr:uid="{00000000-0004-0000-0200-00001F000000}"/>
    <hyperlink ref="R84" r:id="rId33" xr:uid="{00000000-0004-0000-0200-000020000000}"/>
    <hyperlink ref="R98" r:id="rId34" xr:uid="{00000000-0004-0000-0200-000021000000}"/>
    <hyperlink ref="R108" r:id="rId35" xr:uid="{00000000-0004-0000-0200-000022000000}"/>
    <hyperlink ref="R142" r:id="rId36" xr:uid="{00000000-0004-0000-0200-000023000000}"/>
    <hyperlink ref="R66" r:id="rId37" xr:uid="{00000000-0004-0000-0200-000024000000}"/>
    <hyperlink ref="S87" r:id="rId38" display="mutua_mike@yahoo.com;_x000a_" xr:uid="{6B09AE7E-F6A4-4A34-8852-613E8CD82C32}"/>
    <hyperlink ref="R41" r:id="rId39" xr:uid="{F01F596E-3472-428A-9126-44A1F9ED4967}"/>
    <hyperlink ref="R97" r:id="rId40" xr:uid="{BED300F1-4F06-43B8-A31D-851CC0306C88}"/>
    <hyperlink ref="S258" r:id="rId41" xr:uid="{B4864E4F-F0F7-4C6C-9B66-85A2A2344B8D}"/>
    <hyperlink ref="S153" r:id="rId42" xr:uid="{62EF75FC-17D2-4CAC-B4EF-82AA9460E74B}"/>
    <hyperlink ref="S151" r:id="rId43" xr:uid="{F6C15C21-FC5F-4C79-92C3-37E1355E31E9}"/>
    <hyperlink ref="S36" r:id="rId44" xr:uid="{FF3EDF7C-7EE0-4249-8D43-11F676368418}"/>
    <hyperlink ref="S148" r:id="rId45" xr:uid="{08B3AFEE-B755-442A-88B5-C1053F990460}"/>
    <hyperlink ref="R16" r:id="rId46" xr:uid="{0D58A5AC-77F5-4BBC-A8A1-47512EC5DE92}"/>
    <hyperlink ref="R131" r:id="rId47" xr:uid="{424A726B-8519-4F14-8906-737CFAD607BD}"/>
    <hyperlink ref="S184" r:id="rId48" xr:uid="{9C9A25D1-2EC0-4D3A-A907-3231E68EE6AB}"/>
    <hyperlink ref="R62" r:id="rId49" xr:uid="{17DAE074-EB75-43E4-BB4C-4B85719CA954}"/>
    <hyperlink ref="R26" r:id="rId50" xr:uid="{B854027C-249B-4876-8BCD-EA7712F08DCA}"/>
    <hyperlink ref="R20" r:id="rId51" xr:uid="{EE4D878F-E759-4315-913D-FB2CAF9B05E5}"/>
    <hyperlink ref="R12" r:id="rId52" xr:uid="{63AE225F-88DC-43FC-B855-249AF126FEBB}"/>
    <hyperlink ref="R52" r:id="rId53" xr:uid="{4D51492E-D96E-4378-BED8-F3786F4D7D1D}"/>
    <hyperlink ref="R31" r:id="rId54" xr:uid="{6538C65A-36DA-443C-AE0F-99F3DDBBF7CF}"/>
    <hyperlink ref="R4" r:id="rId55" xr:uid="{19C2366E-9E33-4A44-A6AB-B84A6A0A16B6}"/>
    <hyperlink ref="R36" r:id="rId56" xr:uid="{2F34AC3C-CD7D-4569-9653-C107D11577AC}"/>
    <hyperlink ref="R49" r:id="rId57" xr:uid="{95C26CE2-2F59-4FE2-A9DA-82047D264551}"/>
    <hyperlink ref="R30" r:id="rId58" xr:uid="{26AFD150-82E1-453A-93EF-5E8A48A071FA}"/>
    <hyperlink ref="R42" r:id="rId59" xr:uid="{3EE32177-945B-46BD-AEA1-C42F671DE2AB}"/>
    <hyperlink ref="R9" r:id="rId60" xr:uid="{2BF5BA89-2C8C-4A7A-AF5D-05D67D3DB3BF}"/>
    <hyperlink ref="R58" r:id="rId61" xr:uid="{CABB3F21-2DAC-4C19-8114-EC15AF40E377}"/>
    <hyperlink ref="R57" r:id="rId62" xr:uid="{10F3D82D-C324-41A9-BE00-1E948C71FBC1}"/>
    <hyperlink ref="R59" r:id="rId63" xr:uid="{1D43DF32-46DE-44B5-9B4B-4EE9346716CA}"/>
    <hyperlink ref="R47" r:id="rId64" xr:uid="{27820F10-9615-40E4-9F71-B71A85D3A4B7}"/>
    <hyperlink ref="R5" r:id="rId65" xr:uid="{E6D38007-9086-4ABA-8D1F-8F3568BE6BCA}"/>
    <hyperlink ref="R51" r:id="rId66" xr:uid="{C03DC3AF-A2EF-41D8-A908-A8C519CBD85F}"/>
    <hyperlink ref="R15" r:id="rId67" xr:uid="{C3353C49-9232-4D82-8433-6C7C0449734B}"/>
    <hyperlink ref="R18" r:id="rId68" xr:uid="{6433788E-AFEE-4733-8539-B5F2481FDBE0}"/>
    <hyperlink ref="R48" r:id="rId69" xr:uid="{093672BB-DCFE-49FF-B787-A4569EE8C8D2}"/>
    <hyperlink ref="R40" r:id="rId70" xr:uid="{78D28CAB-9E9C-47DB-91A1-CA7B73A34CFA}"/>
    <hyperlink ref="R79" r:id="rId71" xr:uid="{9779C2B4-A305-4F48-B1A2-F15BAF44D1A0}"/>
    <hyperlink ref="R28" r:id="rId72" xr:uid="{B4A0050F-E40E-4A6D-A029-461D8D8EF9BA}"/>
    <hyperlink ref="R126" r:id="rId73" xr:uid="{71E5BA8F-C590-4E29-95E3-31FC957A69C4}"/>
    <hyperlink ref="R80" r:id="rId74" xr:uid="{1898C726-643E-412B-BBF7-64A9F9A5ACC1}"/>
    <hyperlink ref="R86" r:id="rId75" xr:uid="{458F9408-6DFD-4DBB-9525-3FBC171B8141}"/>
    <hyperlink ref="R100" r:id="rId76" xr:uid="{08D3999A-13D5-4BEF-98D5-FE7883F775B8}"/>
    <hyperlink ref="R11" r:id="rId77" xr:uid="{35C21B62-B668-4CE1-BEBE-9568BCF67682}"/>
    <hyperlink ref="R103" r:id="rId78" xr:uid="{B5EA70BB-6057-4777-B292-B8E6937674EA}"/>
    <hyperlink ref="R13" r:id="rId79" xr:uid="{9BA64370-F1B7-43A9-8679-B3536A42C3C3}"/>
    <hyperlink ref="R92" r:id="rId80" xr:uid="{79E4664A-DDAF-4D06-8FF3-F707011797C0}"/>
    <hyperlink ref="S161" r:id="rId81" xr:uid="{BF9A2BFC-1ADB-4B17-ADDF-9DE397F113EF}"/>
    <hyperlink ref="S126" r:id="rId82" xr:uid="{74C49840-8A7C-4F13-BA6D-2266546B5342}"/>
    <hyperlink ref="S218" r:id="rId83" xr:uid="{C4BAD285-94BE-4F89-B9E0-51F4046DD017}"/>
    <hyperlink ref="S210" r:id="rId84" xr:uid="{BD1C2116-EFCB-4F31-8456-0BF148004CFB}"/>
    <hyperlink ref="R195" r:id="rId85" xr:uid="{2390D6DE-56AD-4250-9F54-1DF5C7E51908}"/>
    <hyperlink ref="R204" r:id="rId86" xr:uid="{6D80A28E-65E9-496A-B9B2-984957020D2D}"/>
    <hyperlink ref="S147" r:id="rId87" xr:uid="{C7E369D5-60A8-48D9-810B-6718685E9252}"/>
    <hyperlink ref="R72" r:id="rId88" xr:uid="{017CF4E7-E9EE-4FA7-89AD-D92C6BC71FD5}"/>
    <hyperlink ref="S149" r:id="rId89" xr:uid="{4115AE8B-83D8-4924-82FC-2A4DE0B8D994}"/>
    <hyperlink ref="S230" r:id="rId90" xr:uid="{E5C0F08E-71B7-4C6B-985C-E71C0CACB89D}"/>
    <hyperlink ref="R145" r:id="rId91" xr:uid="{8A876F0B-D2B5-408D-AAD5-103502F5A5F8}"/>
    <hyperlink ref="R172" r:id="rId92" xr:uid="{BED36B3C-2A7F-43A6-B667-7D5CDB3BA7DB}"/>
    <hyperlink ref="R196" r:id="rId93" xr:uid="{C8B3A223-5AB9-4750-B5BE-0D94D52242AD}"/>
  </hyperlinks>
  <pageMargins left="0.7" right="0.7" top="0.75" bottom="0.75" header="0.3" footer="0.3"/>
  <pageSetup orientation="portrait" r:id="rId9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F41" activePane="bottomLeft" state="frozen"/>
      <selection pane="bottomLeft" activeCell="F41" sqref="F41"/>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3789</v>
      </c>
      <c r="B1" s="62" t="s">
        <v>3790</v>
      </c>
      <c r="C1" s="62" t="s">
        <v>3791</v>
      </c>
      <c r="D1" s="62" t="s">
        <v>26</v>
      </c>
      <c r="E1" s="63" t="s">
        <v>15</v>
      </c>
      <c r="F1" s="63" t="s">
        <v>3792</v>
      </c>
      <c r="G1" s="64" t="s">
        <v>3793</v>
      </c>
      <c r="H1" s="64" t="s">
        <v>3794</v>
      </c>
      <c r="I1" s="65" t="s">
        <v>3795</v>
      </c>
      <c r="J1" s="66" t="s">
        <v>3796</v>
      </c>
    </row>
    <row r="2" spans="1:10" ht="24.95" customHeight="1">
      <c r="A2" s="24">
        <v>1</v>
      </c>
      <c r="B2" s="24" t="s">
        <v>3797</v>
      </c>
      <c r="C2" s="24" t="s">
        <v>3798</v>
      </c>
      <c r="D2" s="24" t="s">
        <v>23</v>
      </c>
      <c r="E2" s="67">
        <v>3</v>
      </c>
      <c r="F2" s="67"/>
      <c r="G2" s="67">
        <v>2014</v>
      </c>
      <c r="H2" s="67">
        <v>2014</v>
      </c>
      <c r="I2" s="24" t="s">
        <v>3799</v>
      </c>
      <c r="J2" s="24"/>
    </row>
    <row r="3" spans="1:10" ht="24.95" customHeight="1">
      <c r="A3" s="24">
        <v>2</v>
      </c>
      <c r="B3" s="24" t="s">
        <v>3800</v>
      </c>
      <c r="C3" s="24" t="s">
        <v>36</v>
      </c>
      <c r="D3" s="24" t="s">
        <v>23</v>
      </c>
      <c r="E3" s="67">
        <v>3</v>
      </c>
      <c r="F3" s="67"/>
      <c r="G3" s="67">
        <v>2016</v>
      </c>
      <c r="H3" s="67">
        <v>2016</v>
      </c>
      <c r="I3" s="24" t="s">
        <v>3799</v>
      </c>
      <c r="J3" s="24"/>
    </row>
    <row r="4" spans="1:10" ht="24.95" customHeight="1">
      <c r="A4" s="24">
        <v>3</v>
      </c>
      <c r="B4" s="24" t="s">
        <v>3801</v>
      </c>
      <c r="C4" s="24" t="s">
        <v>38</v>
      </c>
      <c r="D4" s="24" t="s">
        <v>23</v>
      </c>
      <c r="E4" s="67">
        <v>1</v>
      </c>
      <c r="F4" s="67" t="s">
        <v>147</v>
      </c>
      <c r="G4" s="68">
        <v>42583</v>
      </c>
      <c r="H4" s="67">
        <v>2016</v>
      </c>
      <c r="I4" s="24" t="s">
        <v>3799</v>
      </c>
      <c r="J4" s="24"/>
    </row>
    <row r="5" spans="1:10" ht="24.95" customHeight="1">
      <c r="A5" s="24">
        <v>4</v>
      </c>
      <c r="B5" s="24" t="s">
        <v>3802</v>
      </c>
      <c r="C5" s="24" t="s">
        <v>38</v>
      </c>
      <c r="D5" s="24" t="s">
        <v>24</v>
      </c>
      <c r="E5" s="67">
        <v>2</v>
      </c>
      <c r="F5" s="67" t="s">
        <v>3803</v>
      </c>
      <c r="G5" s="67" t="s">
        <v>3804</v>
      </c>
      <c r="H5" s="67">
        <v>2016</v>
      </c>
      <c r="I5" s="24" t="s">
        <v>3805</v>
      </c>
      <c r="J5" s="24"/>
    </row>
    <row r="6" spans="1:10" ht="24.95" customHeight="1">
      <c r="A6" s="24">
        <v>5</v>
      </c>
      <c r="B6" s="24" t="s">
        <v>3806</v>
      </c>
      <c r="C6" s="24" t="s">
        <v>39</v>
      </c>
      <c r="D6" s="24" t="s">
        <v>23</v>
      </c>
      <c r="E6" s="67">
        <v>7</v>
      </c>
      <c r="F6" s="67" t="s">
        <v>3807</v>
      </c>
      <c r="G6" s="67">
        <v>2017</v>
      </c>
      <c r="H6" s="67">
        <v>2017</v>
      </c>
      <c r="I6" s="24" t="s">
        <v>3799</v>
      </c>
      <c r="J6" s="24"/>
    </row>
    <row r="7" spans="1:10" ht="24.95" customHeight="1">
      <c r="A7" s="24">
        <v>6</v>
      </c>
      <c r="B7" s="24" t="s">
        <v>3808</v>
      </c>
      <c r="C7" s="24" t="s">
        <v>42</v>
      </c>
      <c r="D7" s="24" t="s">
        <v>23</v>
      </c>
      <c r="E7" s="67">
        <v>5</v>
      </c>
      <c r="F7" s="67" t="s">
        <v>3809</v>
      </c>
      <c r="G7" s="67">
        <v>2017</v>
      </c>
      <c r="H7" s="67">
        <v>2017</v>
      </c>
      <c r="I7" s="24" t="s">
        <v>3810</v>
      </c>
      <c r="J7" s="24"/>
    </row>
    <row r="8" spans="1:10" ht="24.95" customHeight="1">
      <c r="A8" s="24">
        <v>7</v>
      </c>
      <c r="B8" s="24" t="s">
        <v>3811</v>
      </c>
      <c r="C8" s="24" t="s">
        <v>38</v>
      </c>
      <c r="D8" s="24" t="s">
        <v>24</v>
      </c>
      <c r="E8" s="67">
        <v>5</v>
      </c>
      <c r="F8" s="67" t="s">
        <v>3809</v>
      </c>
      <c r="G8" s="67">
        <v>2018</v>
      </c>
      <c r="H8" s="67">
        <v>2018</v>
      </c>
      <c r="I8" s="24" t="s">
        <v>3799</v>
      </c>
      <c r="J8" s="24"/>
    </row>
    <row r="9" spans="1:10" ht="24.95" customHeight="1">
      <c r="A9" s="24">
        <v>8</v>
      </c>
      <c r="B9" s="24" t="s">
        <v>3812</v>
      </c>
      <c r="C9" s="24" t="s">
        <v>33</v>
      </c>
      <c r="D9" s="24" t="s">
        <v>23</v>
      </c>
      <c r="E9" s="67">
        <v>6</v>
      </c>
      <c r="F9" s="67"/>
      <c r="G9" s="67">
        <v>2018</v>
      </c>
      <c r="H9" s="67">
        <v>2018</v>
      </c>
      <c r="I9" s="24" t="s">
        <v>3799</v>
      </c>
      <c r="J9" s="24"/>
    </row>
    <row r="10" spans="1:10" ht="24.95" customHeight="1">
      <c r="A10" s="24">
        <v>9</v>
      </c>
      <c r="B10" s="24" t="s">
        <v>3813</v>
      </c>
      <c r="C10" s="24" t="s">
        <v>37</v>
      </c>
      <c r="D10" s="24" t="s">
        <v>23</v>
      </c>
      <c r="E10" s="67">
        <v>5</v>
      </c>
      <c r="F10" s="67" t="s">
        <v>154</v>
      </c>
      <c r="G10" s="67">
        <v>2018</v>
      </c>
      <c r="H10" s="67">
        <v>2018</v>
      </c>
      <c r="I10" s="24" t="s">
        <v>3799</v>
      </c>
      <c r="J10" s="24"/>
    </row>
    <row r="11" spans="1:10" ht="24.95" customHeight="1">
      <c r="A11" s="24">
        <v>10</v>
      </c>
      <c r="B11" s="24" t="s">
        <v>3814</v>
      </c>
      <c r="C11" s="24" t="s">
        <v>38</v>
      </c>
      <c r="D11" s="24" t="s">
        <v>24</v>
      </c>
      <c r="E11" s="67">
        <v>1</v>
      </c>
      <c r="F11" s="67" t="s">
        <v>3815</v>
      </c>
      <c r="G11" s="67" t="s">
        <v>3816</v>
      </c>
      <c r="H11" s="67"/>
      <c r="I11" s="24" t="s">
        <v>3799</v>
      </c>
      <c r="J11" s="24"/>
    </row>
    <row r="12" spans="1:10" ht="24.95" customHeight="1">
      <c r="A12" s="24">
        <v>11</v>
      </c>
      <c r="B12" s="24" t="s">
        <v>3817</v>
      </c>
      <c r="C12" s="24" t="s">
        <v>37</v>
      </c>
      <c r="D12" s="24" t="s">
        <v>24</v>
      </c>
      <c r="E12" s="67">
        <v>1</v>
      </c>
      <c r="F12" s="67" t="s">
        <v>3818</v>
      </c>
      <c r="G12" s="67" t="s">
        <v>3816</v>
      </c>
      <c r="H12" s="67"/>
      <c r="I12" s="24" t="s">
        <v>3799</v>
      </c>
      <c r="J12" s="24"/>
    </row>
    <row r="13" spans="1:10" ht="24.95" customHeight="1">
      <c r="A13" s="24">
        <v>12</v>
      </c>
      <c r="B13" s="24" t="s">
        <v>3819</v>
      </c>
      <c r="C13" s="24" t="s">
        <v>42</v>
      </c>
      <c r="D13" s="24" t="s">
        <v>23</v>
      </c>
      <c r="E13" s="67">
        <v>4</v>
      </c>
      <c r="F13" s="67"/>
      <c r="G13" s="69">
        <v>43867</v>
      </c>
      <c r="H13" s="67">
        <v>2020</v>
      </c>
      <c r="I13" s="24" t="s">
        <v>3799</v>
      </c>
      <c r="J13" s="24"/>
    </row>
    <row r="14" spans="1:10" ht="24.95" customHeight="1">
      <c r="A14" s="24">
        <v>13</v>
      </c>
      <c r="B14" s="24" t="s">
        <v>3820</v>
      </c>
      <c r="C14" s="24" t="s">
        <v>31</v>
      </c>
      <c r="D14" s="24" t="s">
        <v>24</v>
      </c>
      <c r="E14" s="67">
        <v>8</v>
      </c>
      <c r="F14" s="67"/>
      <c r="G14" s="69">
        <v>43867</v>
      </c>
      <c r="H14" s="67">
        <v>2020</v>
      </c>
      <c r="I14" s="24" t="s">
        <v>3821</v>
      </c>
      <c r="J14" s="24" t="s">
        <v>3822</v>
      </c>
    </row>
    <row r="15" spans="1:10" ht="24.95" customHeight="1">
      <c r="A15" s="24">
        <v>14</v>
      </c>
      <c r="B15" s="24" t="s">
        <v>3823</v>
      </c>
      <c r="C15" s="24" t="s">
        <v>31</v>
      </c>
      <c r="D15" s="24" t="s">
        <v>23</v>
      </c>
      <c r="E15" s="67">
        <v>5</v>
      </c>
      <c r="F15" s="67"/>
      <c r="G15" s="69">
        <v>43930</v>
      </c>
      <c r="H15" s="67">
        <v>2020</v>
      </c>
      <c r="I15" s="24" t="s">
        <v>3799</v>
      </c>
      <c r="J15" s="24"/>
    </row>
    <row r="16" spans="1:10" ht="24.95" customHeight="1">
      <c r="A16" s="24">
        <v>15</v>
      </c>
      <c r="B16" s="24" t="s">
        <v>3824</v>
      </c>
      <c r="C16" s="24" t="s">
        <v>34</v>
      </c>
      <c r="D16" s="24" t="s">
        <v>23</v>
      </c>
      <c r="E16" s="67">
        <v>7</v>
      </c>
      <c r="F16" s="67"/>
      <c r="G16" s="69">
        <v>43930</v>
      </c>
      <c r="H16" s="67">
        <v>2020</v>
      </c>
      <c r="I16" s="24" t="s">
        <v>3799</v>
      </c>
      <c r="J16" s="70" t="s">
        <v>3825</v>
      </c>
    </row>
    <row r="17" spans="1:10" ht="24.95" customHeight="1">
      <c r="A17" s="24">
        <v>16</v>
      </c>
      <c r="B17" s="24" t="s">
        <v>3826</v>
      </c>
      <c r="C17" s="24" t="s">
        <v>38</v>
      </c>
      <c r="D17" s="24" t="s">
        <v>24</v>
      </c>
      <c r="E17" s="67">
        <v>7</v>
      </c>
      <c r="F17" s="67"/>
      <c r="G17" s="69">
        <v>44214</v>
      </c>
      <c r="H17" s="67">
        <v>2021</v>
      </c>
      <c r="I17" s="24" t="s">
        <v>3827</v>
      </c>
      <c r="J17" s="24" t="s">
        <v>3828</v>
      </c>
    </row>
    <row r="18" spans="1:10" ht="24.95" customHeight="1">
      <c r="A18" s="24">
        <v>17</v>
      </c>
      <c r="B18" s="24" t="s">
        <v>3829</v>
      </c>
      <c r="C18" s="24" t="s">
        <v>42</v>
      </c>
      <c r="D18" s="24" t="s">
        <v>23</v>
      </c>
      <c r="E18" s="67">
        <v>8</v>
      </c>
      <c r="F18" s="67"/>
      <c r="G18" s="69">
        <v>44400</v>
      </c>
      <c r="H18" s="67">
        <v>2021</v>
      </c>
      <c r="I18" s="24" t="s">
        <v>3799</v>
      </c>
      <c r="J18" s="24" t="s">
        <v>3830</v>
      </c>
    </row>
    <row r="19" spans="1:10" ht="24.95" customHeight="1">
      <c r="A19" s="24">
        <v>18</v>
      </c>
      <c r="B19" s="24" t="s">
        <v>3831</v>
      </c>
      <c r="C19" s="24" t="s">
        <v>31</v>
      </c>
      <c r="D19" s="24" t="s">
        <v>23</v>
      </c>
      <c r="E19" s="67">
        <v>8</v>
      </c>
      <c r="F19" s="67"/>
      <c r="G19" s="69">
        <v>44651</v>
      </c>
      <c r="H19" s="67">
        <v>2022</v>
      </c>
      <c r="I19" s="24" t="s">
        <v>3832</v>
      </c>
      <c r="J19" s="24" t="s">
        <v>3833</v>
      </c>
    </row>
    <row r="20" spans="1:10" ht="24.95" customHeight="1">
      <c r="A20" s="24">
        <v>19</v>
      </c>
      <c r="B20" s="24" t="s">
        <v>3834</v>
      </c>
      <c r="C20" s="24" t="s">
        <v>38</v>
      </c>
      <c r="D20" s="24" t="s">
        <v>24</v>
      </c>
      <c r="E20" s="67">
        <v>9</v>
      </c>
      <c r="F20" s="67"/>
      <c r="G20" s="69">
        <v>44818</v>
      </c>
      <c r="H20" s="67">
        <v>2022</v>
      </c>
      <c r="I20" s="24" t="s">
        <v>3827</v>
      </c>
      <c r="J20" s="24" t="s">
        <v>3835</v>
      </c>
    </row>
    <row r="21" spans="1:10" ht="24.95" customHeight="1">
      <c r="A21" s="24">
        <v>20</v>
      </c>
      <c r="B21" s="24" t="s">
        <v>3836</v>
      </c>
      <c r="C21" s="24" t="s">
        <v>31</v>
      </c>
      <c r="D21" s="24" t="s">
        <v>24</v>
      </c>
      <c r="E21" s="67">
        <v>9</v>
      </c>
      <c r="F21" s="67"/>
      <c r="G21" s="69">
        <v>44818</v>
      </c>
      <c r="H21" s="67">
        <v>2022</v>
      </c>
      <c r="I21" s="24" t="s">
        <v>3799</v>
      </c>
      <c r="J21" s="24" t="s">
        <v>3837</v>
      </c>
    </row>
    <row r="22" spans="1:10" ht="24.95" customHeight="1">
      <c r="A22" s="24">
        <v>21</v>
      </c>
      <c r="B22" s="296" t="s">
        <v>3838</v>
      </c>
      <c r="C22" s="296" t="s">
        <v>31</v>
      </c>
      <c r="D22" s="296" t="s">
        <v>23</v>
      </c>
      <c r="E22" s="297">
        <v>10</v>
      </c>
      <c r="F22" s="297"/>
      <c r="G22" s="298">
        <v>45107</v>
      </c>
      <c r="H22" s="297">
        <v>2023</v>
      </c>
      <c r="I22" s="296" t="s">
        <v>3799</v>
      </c>
      <c r="J22" s="296" t="s">
        <v>3839</v>
      </c>
    </row>
    <row r="23" spans="1:10" ht="24.95" customHeight="1">
      <c r="A23" s="24"/>
      <c r="B23" s="296" t="s">
        <v>3840</v>
      </c>
      <c r="C23" s="24" t="s">
        <v>3798</v>
      </c>
      <c r="D23" s="296"/>
      <c r="E23" s="297">
        <v>2</v>
      </c>
      <c r="F23" s="297"/>
      <c r="G23" s="298">
        <v>45741</v>
      </c>
      <c r="H23" s="297">
        <v>2025</v>
      </c>
      <c r="I23" s="296" t="s">
        <v>3841</v>
      </c>
      <c r="J23" s="296"/>
    </row>
    <row r="24" spans="1:10" ht="24.95" customHeight="1">
      <c r="A24" s="24">
        <v>22</v>
      </c>
      <c r="B24" s="296" t="s">
        <v>3842</v>
      </c>
      <c r="C24" s="24" t="s">
        <v>3798</v>
      </c>
      <c r="D24" s="296"/>
      <c r="E24" s="297">
        <v>2</v>
      </c>
      <c r="F24" s="297"/>
      <c r="G24" s="298">
        <v>45741</v>
      </c>
      <c r="H24" s="297">
        <v>2025</v>
      </c>
      <c r="I24" s="296" t="s">
        <v>3843</v>
      </c>
      <c r="J24" s="296"/>
    </row>
    <row r="25" spans="1:10" ht="24.95" customHeight="1">
      <c r="A25" s="24">
        <v>23</v>
      </c>
      <c r="B25" s="296" t="s">
        <v>3844</v>
      </c>
      <c r="C25" s="24" t="s">
        <v>3798</v>
      </c>
      <c r="D25" s="296"/>
      <c r="E25" s="297">
        <v>3</v>
      </c>
      <c r="F25" s="297"/>
      <c r="G25" s="298">
        <v>45741</v>
      </c>
      <c r="H25" s="297">
        <v>2025</v>
      </c>
      <c r="I25" s="296" t="s">
        <v>3845</v>
      </c>
      <c r="J25" s="296"/>
    </row>
    <row r="26" spans="1:10" ht="24.95" customHeight="1">
      <c r="A26" s="24"/>
      <c r="B26" s="296" t="s">
        <v>3846</v>
      </c>
      <c r="C26" s="24" t="s">
        <v>3798</v>
      </c>
      <c r="D26" s="296"/>
      <c r="E26" s="297">
        <v>5</v>
      </c>
      <c r="F26" s="297"/>
      <c r="G26" s="298">
        <v>45741</v>
      </c>
      <c r="H26" s="297">
        <v>2025</v>
      </c>
      <c r="I26" s="296" t="s">
        <v>3847</v>
      </c>
      <c r="J26" s="296"/>
    </row>
    <row r="40" spans="6:6">
      <c r="F40">
        <f>23/25</f>
        <v>0.92</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1" workbookViewId="0">
      <selection activeCell="E14" sqref="E14"/>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3848</v>
      </c>
    </row>
    <row r="4" spans="5:8">
      <c r="E4" s="54" t="s">
        <v>13</v>
      </c>
      <c r="F4" s="54" t="s">
        <v>26</v>
      </c>
      <c r="G4" s="54" t="s">
        <v>14</v>
      </c>
    </row>
    <row r="5" spans="5:8">
      <c r="F5" t="s">
        <v>24</v>
      </c>
      <c r="G5" t="s">
        <v>3849</v>
      </c>
      <c r="H5" t="s">
        <v>19</v>
      </c>
    </row>
    <row r="6" spans="5:8">
      <c r="E6" s="54" t="s">
        <v>30</v>
      </c>
      <c r="F6" t="s">
        <v>16</v>
      </c>
    </row>
    <row r="7" spans="5:8">
      <c r="E7" t="s">
        <v>33</v>
      </c>
      <c r="F7">
        <v>1</v>
      </c>
      <c r="G7">
        <v>1</v>
      </c>
      <c r="H7">
        <v>1</v>
      </c>
    </row>
    <row r="8" spans="5:8">
      <c r="E8" t="s">
        <v>35</v>
      </c>
      <c r="F8">
        <v>1</v>
      </c>
      <c r="G8">
        <v>1</v>
      </c>
      <c r="H8">
        <v>1</v>
      </c>
    </row>
    <row r="9" spans="5:8">
      <c r="E9" t="s">
        <v>28</v>
      </c>
      <c r="F9">
        <v>1</v>
      </c>
      <c r="G9">
        <v>1</v>
      </c>
      <c r="H9">
        <v>1</v>
      </c>
    </row>
    <row r="10" spans="5:8">
      <c r="E10" t="s">
        <v>38</v>
      </c>
      <c r="F10">
        <v>1</v>
      </c>
      <c r="G10">
        <v>1</v>
      </c>
      <c r="H10">
        <v>1</v>
      </c>
    </row>
    <row r="11" spans="5:8">
      <c r="E11" t="s">
        <v>41</v>
      </c>
      <c r="F11">
        <v>2</v>
      </c>
      <c r="G11">
        <v>2</v>
      </c>
      <c r="H11">
        <v>2</v>
      </c>
    </row>
    <row r="12" spans="5:8">
      <c r="E12" t="s">
        <v>19</v>
      </c>
      <c r="F12">
        <v>6</v>
      </c>
      <c r="G12">
        <v>6</v>
      </c>
      <c r="H12">
        <v>6</v>
      </c>
    </row>
    <row r="24" spans="5:8">
      <c r="E24" s="54" t="s">
        <v>14</v>
      </c>
      <c r="F24" t="s">
        <v>27</v>
      </c>
    </row>
    <row r="26" spans="5:8">
      <c r="E26" s="54" t="s">
        <v>58</v>
      </c>
      <c r="F26" s="54" t="s">
        <v>26</v>
      </c>
    </row>
    <row r="27" spans="5:8">
      <c r="E27" s="54" t="s">
        <v>30</v>
      </c>
      <c r="F27" t="s">
        <v>24</v>
      </c>
      <c r="G27" t="s">
        <v>23</v>
      </c>
      <c r="H27" t="s">
        <v>19</v>
      </c>
    </row>
    <row r="28" spans="5:8">
      <c r="E28" t="s">
        <v>32</v>
      </c>
      <c r="G28">
        <v>2</v>
      </c>
      <c r="H28">
        <v>2</v>
      </c>
    </row>
    <row r="29" spans="5:8">
      <c r="E29" t="s">
        <v>34</v>
      </c>
      <c r="F29">
        <v>1</v>
      </c>
      <c r="G29">
        <v>4</v>
      </c>
      <c r="H29">
        <v>5</v>
      </c>
    </row>
    <row r="30" spans="5:8">
      <c r="E30" t="s">
        <v>36</v>
      </c>
      <c r="F30">
        <v>6</v>
      </c>
      <c r="G30">
        <v>3</v>
      </c>
      <c r="H30">
        <v>9</v>
      </c>
    </row>
    <row r="31" spans="5:8">
      <c r="E31" t="s">
        <v>31</v>
      </c>
      <c r="F31">
        <v>11</v>
      </c>
      <c r="G31">
        <v>16</v>
      </c>
      <c r="H31">
        <v>27</v>
      </c>
    </row>
    <row r="32" spans="5:8">
      <c r="E32" t="s">
        <v>33</v>
      </c>
      <c r="F32">
        <v>16</v>
      </c>
      <c r="G32">
        <v>5</v>
      </c>
      <c r="H32">
        <v>21</v>
      </c>
    </row>
    <row r="33" spans="5:8">
      <c r="E33" t="s">
        <v>35</v>
      </c>
      <c r="F33">
        <v>18</v>
      </c>
      <c r="G33">
        <v>15</v>
      </c>
      <c r="H33">
        <v>33</v>
      </c>
    </row>
    <row r="34" spans="5:8">
      <c r="E34" t="s">
        <v>37</v>
      </c>
      <c r="F34">
        <v>3</v>
      </c>
      <c r="G34">
        <v>3</v>
      </c>
      <c r="H34">
        <v>6</v>
      </c>
    </row>
    <row r="35" spans="5:8">
      <c r="E35" t="s">
        <v>28</v>
      </c>
      <c r="F35">
        <v>23</v>
      </c>
      <c r="G35">
        <v>16</v>
      </c>
      <c r="H35">
        <v>39</v>
      </c>
    </row>
    <row r="36" spans="5:8">
      <c r="E36" t="s">
        <v>42</v>
      </c>
      <c r="F36">
        <v>12</v>
      </c>
      <c r="G36">
        <v>21</v>
      </c>
      <c r="H36">
        <v>33</v>
      </c>
    </row>
    <row r="37" spans="5:8">
      <c r="E37" t="s">
        <v>38</v>
      </c>
      <c r="F37">
        <v>23</v>
      </c>
      <c r="G37">
        <v>7</v>
      </c>
      <c r="H37">
        <v>30</v>
      </c>
    </row>
    <row r="38" spans="5:8">
      <c r="E38" t="s">
        <v>39</v>
      </c>
      <c r="F38">
        <v>11</v>
      </c>
      <c r="G38">
        <v>16</v>
      </c>
      <c r="H38">
        <v>27</v>
      </c>
    </row>
    <row r="39" spans="5:8">
      <c r="E39" t="s">
        <v>41</v>
      </c>
      <c r="F39">
        <v>22</v>
      </c>
      <c r="G39">
        <v>9</v>
      </c>
      <c r="H39">
        <v>31</v>
      </c>
    </row>
    <row r="40" spans="5:8">
      <c r="E40" t="s">
        <v>44</v>
      </c>
      <c r="F40">
        <v>1</v>
      </c>
      <c r="G40">
        <v>1</v>
      </c>
      <c r="H40">
        <v>2</v>
      </c>
    </row>
    <row r="41" spans="5:8">
      <c r="E41" t="s">
        <v>19</v>
      </c>
      <c r="F41">
        <v>147</v>
      </c>
      <c r="G41">
        <v>118</v>
      </c>
      <c r="H41">
        <v>265</v>
      </c>
    </row>
    <row r="46" spans="5:8">
      <c r="E46" s="54" t="s">
        <v>98</v>
      </c>
      <c r="F46" t="s">
        <v>27</v>
      </c>
    </row>
    <row r="48" spans="5:8">
      <c r="E48" s="54" t="s">
        <v>58</v>
      </c>
      <c r="F48" s="54" t="s">
        <v>26</v>
      </c>
    </row>
    <row r="49" spans="5:8">
      <c r="E49" s="54" t="s">
        <v>30</v>
      </c>
      <c r="F49" t="s">
        <v>24</v>
      </c>
      <c r="G49" t="s">
        <v>23</v>
      </c>
      <c r="H49" t="s">
        <v>19</v>
      </c>
    </row>
    <row r="50" spans="5:8">
      <c r="E50" t="s">
        <v>32</v>
      </c>
      <c r="G50">
        <v>2</v>
      </c>
      <c r="H50">
        <v>2</v>
      </c>
    </row>
    <row r="51" spans="5:8">
      <c r="E51" t="s">
        <v>34</v>
      </c>
      <c r="F51">
        <v>1</v>
      </c>
      <c r="G51">
        <v>4</v>
      </c>
      <c r="H51">
        <v>5</v>
      </c>
    </row>
    <row r="52" spans="5:8">
      <c r="E52" t="s">
        <v>36</v>
      </c>
      <c r="F52">
        <v>6</v>
      </c>
      <c r="G52">
        <v>3</v>
      </c>
      <c r="H52">
        <v>9</v>
      </c>
    </row>
    <row r="53" spans="5:8">
      <c r="E53" t="s">
        <v>31</v>
      </c>
      <c r="F53">
        <v>11</v>
      </c>
      <c r="G53">
        <v>16</v>
      </c>
      <c r="H53">
        <v>27</v>
      </c>
    </row>
    <row r="54" spans="5:8">
      <c r="E54" t="s">
        <v>33</v>
      </c>
      <c r="F54">
        <v>16</v>
      </c>
      <c r="G54">
        <v>5</v>
      </c>
      <c r="H54">
        <v>21</v>
      </c>
    </row>
    <row r="55" spans="5:8">
      <c r="E55" t="s">
        <v>35</v>
      </c>
      <c r="F55">
        <v>18</v>
      </c>
      <c r="G55">
        <v>15</v>
      </c>
      <c r="H55">
        <v>33</v>
      </c>
    </row>
    <row r="56" spans="5:8">
      <c r="E56" t="s">
        <v>44</v>
      </c>
      <c r="F56">
        <v>1</v>
      </c>
      <c r="G56">
        <v>1</v>
      </c>
      <c r="H56">
        <v>2</v>
      </c>
    </row>
    <row r="57" spans="5:8">
      <c r="E57" t="s">
        <v>37</v>
      </c>
      <c r="F57">
        <v>3</v>
      </c>
      <c r="G57">
        <v>3</v>
      </c>
      <c r="H57">
        <v>6</v>
      </c>
    </row>
    <row r="58" spans="5:8">
      <c r="E58" t="s">
        <v>28</v>
      </c>
      <c r="F58">
        <v>23</v>
      </c>
      <c r="G58">
        <v>16</v>
      </c>
      <c r="H58">
        <v>39</v>
      </c>
    </row>
    <row r="59" spans="5:8">
      <c r="E59" t="s">
        <v>42</v>
      </c>
      <c r="F59">
        <v>12</v>
      </c>
      <c r="G59">
        <v>21</v>
      </c>
      <c r="H59">
        <v>33</v>
      </c>
    </row>
    <row r="60" spans="5:8">
      <c r="E60" t="s">
        <v>38</v>
      </c>
      <c r="F60">
        <v>23</v>
      </c>
      <c r="G60">
        <v>7</v>
      </c>
      <c r="H60">
        <v>30</v>
      </c>
    </row>
    <row r="61" spans="5:8">
      <c r="E61" t="s">
        <v>39</v>
      </c>
      <c r="F61">
        <v>11</v>
      </c>
      <c r="G61">
        <v>16</v>
      </c>
      <c r="H61">
        <v>27</v>
      </c>
    </row>
    <row r="62" spans="5:8">
      <c r="E62" t="s">
        <v>41</v>
      </c>
      <c r="F62">
        <v>22</v>
      </c>
      <c r="G62">
        <v>9</v>
      </c>
      <c r="H62">
        <v>31</v>
      </c>
    </row>
    <row r="63" spans="5:8">
      <c r="E63" t="s">
        <v>19</v>
      </c>
      <c r="F63">
        <v>147</v>
      </c>
      <c r="G63">
        <v>118</v>
      </c>
      <c r="H63">
        <v>265</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2025-11-06T14:29:05Z</dcterms:modified>
  <cp:category/>
  <cp:contentStatus/>
</cp:coreProperties>
</file>
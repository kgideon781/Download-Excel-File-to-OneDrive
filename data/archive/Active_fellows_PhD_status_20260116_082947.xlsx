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01" documentId="13_ncr:1_{503F577C-3F40-4625-BC6E-453B42AAE264}" xr6:coauthVersionLast="47" xr6:coauthVersionMax="47" xr10:uidLastSave="{EC4AAFA5-23D1-44D6-8023-0752DBB892D6}"/>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4529" r:id="rId20"/>
    <pivotCache cacheId="4530" r:id="rId21"/>
    <pivotCache cacheId="4531" r:id="rId22"/>
    <pivotCache cacheId="4532"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<sst xmlns="http://schemas.openxmlformats.org/spreadsheetml/2006/main" count="2843" uniqueCount="946">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</sst>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c:v>
                </c:pt>
                <c:pt idx="3">
                  <c:v>8.6956521739130432E-2</c:v>
                </c:pt>
                <c:pt idx="4">
                  <c:v>0.3</c:v>
                </c:pt>
                <c:pt idx="5">
                  <c:v>6.0606060606060608E-2</c:v>
                </c:pt>
                <c:pt idx="6">
                  <c:v>0</c:v>
                </c:pt>
                <c:pt idx="7">
                  <c:v>0.10256410256410256</c:v>
                </c:pt>
                <c:pt idx="8">
                  <c:v>0.1</c:v>
                </c:pt>
                <c:pt idx="9">
                  <c:v>0.13043478260869565</c:v>
                </c:pt>
                <c:pt idx="10">
                  <c:v>0.15384615384615385</c:v>
                </c:pt>
                <c:pt idx="11">
                  <c:v>3.8461538461538464E-2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0.875</c:v>
                </c:pt>
                <c:pt idx="3">
                  <c:v>0.56521739130434778</c:v>
                </c:pt>
                <c:pt idx="4">
                  <c:v>0.4</c:v>
                </c:pt>
                <c:pt idx="5">
                  <c:v>0.24242424242424243</c:v>
                </c:pt>
                <c:pt idx="6">
                  <c:v>0.5</c:v>
                </c:pt>
                <c:pt idx="7">
                  <c:v>0.48717948717948717</c:v>
                </c:pt>
                <c:pt idx="8">
                  <c:v>0.53333333333333333</c:v>
                </c:pt>
                <c:pt idx="9">
                  <c:v>0.52173913043478259</c:v>
                </c:pt>
                <c:pt idx="10">
                  <c:v>0.69230769230769229</c:v>
                </c:pt>
                <c:pt idx="11">
                  <c:v>0.73076923076923073</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tring="0" containsBlank="1" containsNumber="1" containsInteger="1" minValue="22" maxValue="165"/>
    </cacheField>
    <cacheField name="Date of completion (Defended/Graduated)" numFmtId="0">
      <sharedItems containsNonDate="0" containsDate="1" containsString="0" containsBlank="1" minDate="2013-03-01T00:00:00" maxDate="2025-10-21T00:00:00"/>
    </cacheField>
    <cacheField name="Current PhD Status (Completed/In Progress)" numFmtId="0">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s v="Female"/>
    <n v="6"/>
    <s v="Nigeria"/>
    <s v="Obafemi Awolowo University"/>
    <s v="Obafemi Awolowo University"/>
    <d v="2014-09-26T00:00:00"/>
    <d v="2016-03-01T00:00:00"/>
    <d v="2025-11-05T00:00:00"/>
    <m/>
    <m/>
    <m/>
    <m/>
    <n v="28"/>
    <d v="2018-06-30T00:00:00"/>
    <s v="Completed"/>
    <n v="28"/>
    <s v=" Completed:On time"/>
    <n v="46"/>
  </r>
  <r>
    <n v="2"/>
    <s v="C9/015"/>
    <s v="Abiket"/>
    <s v="Nanfizat"/>
    <s v="Alamukii"/>
    <s v="Female"/>
    <n v="9"/>
    <s v="Nigeria"/>
    <s v="University of Ibadan"/>
    <s v="University of Ibadan"/>
    <d v="2016-02-17T00:00:00"/>
    <d v="2019-03-01T00:00:00"/>
    <d v="2025-11-05T00:00:00"/>
    <m/>
    <m/>
    <m/>
    <m/>
    <n v="54"/>
    <d v="2023-08-25T00:00:00"/>
    <s v="Completed"/>
    <n v="54"/>
    <s v="Completed:Delayed"/>
    <n v="91"/>
  </r>
  <r>
    <n v="3"/>
    <s v="C9/018"/>
    <s v="Abimbola  "/>
    <s v="Margaret"/>
    <s v="Obimakinde"/>
    <s v="Female"/>
    <n v="9"/>
    <s v="Nigeria"/>
    <s v="University of Ibadan"/>
    <s v="University of the Witwatersrand"/>
    <d v="2019-07-01T00:00:00"/>
    <d v="2019-03-01T00:00:00"/>
    <d v="2025-11-05T00:00:00"/>
    <m/>
    <m/>
    <m/>
    <m/>
    <n v="58"/>
    <d v="2023-12-20T00:00:00"/>
    <s v="Completed"/>
    <n v="58"/>
    <s v="Completed:Delayed"/>
    <n v="54"/>
  </r>
  <r>
    <n v="4"/>
    <s v="C2/013"/>
    <s v="Abiodun"/>
    <s v="Olufunke"/>
    <s v="Oluwatoba"/>
    <s v="Female"/>
    <n v="2"/>
    <s v="Nigeria"/>
    <s v="University of Ibadan"/>
    <s v="University of Ibadan"/>
    <d v="2012-01-12T00:00:00"/>
    <d v="2012-03-01T00:00:00"/>
    <d v="2025-11-05T00:00:00"/>
    <m/>
    <m/>
    <m/>
    <m/>
    <n v="93"/>
    <d v="2019-11-18T00:00:00"/>
    <s v="Completed"/>
    <n v="93"/>
    <s v="Completed:Delayed"/>
    <n v="95"/>
  </r>
  <r>
    <n v="5"/>
    <s v="C7/003"/>
    <s v="Abiola"/>
    <s v="Olubusola"/>
    <s v="Komolafe"/>
    <s v="Female"/>
    <n v="7"/>
    <s v="Nigeria"/>
    <s v="Obafemi Awolowo University"/>
    <s v="Obafemi Awolowo University"/>
    <d v="2016-03-29T00:00:00"/>
    <d v="2017-03-01T00:00:00"/>
    <d v="2025-11-05T00:00:00"/>
    <m/>
    <m/>
    <m/>
    <m/>
    <n v="34"/>
    <d v="2019-12-14T00:00:00"/>
    <s v="Completed"/>
    <n v="34"/>
    <s v=" Completed:On time"/>
    <n v="45"/>
  </r>
  <r>
    <n v="6"/>
    <s v="C2/001"/>
    <s v="Adebolajo"/>
    <m/>
    <s v="Adeyemo"/>
    <s v="Male"/>
    <n v="2"/>
    <s v="Nigeria"/>
    <s v="University of Ibadan"/>
    <s v="University of Ibadan"/>
    <d v="2012-01-16T00:00:00"/>
    <d v="2012-03-01T00:00:00"/>
    <d v="2025-11-05T00:00:00"/>
    <n v="165"/>
    <m/>
    <m/>
    <m/>
    <n v="165"/>
    <d v="2023-09-14T00:00:00"/>
    <s v="Completed"/>
    <n v="139"/>
    <s v="Completed:Delayed"/>
    <n v="140"/>
  </r>
  <r>
    <n v="7"/>
    <s v="C3/001"/>
    <s v="Adefolarin"/>
    <s v="Olufolake"/>
    <s v="Adeyinka"/>
    <s v="Female"/>
    <n v="3"/>
    <s v="Nigeria"/>
    <s v="University of Ibadan"/>
    <s v="University of Ibadan"/>
    <d v="2013-02-20T00:00:00"/>
    <d v="2013-03-01T00:00:00"/>
    <d v="2025-11-05T00:00:00"/>
    <m/>
    <m/>
    <m/>
    <m/>
    <n v="56"/>
    <d v="2017-10-30T00:00:00"/>
    <s v="Completed"/>
    <n v="56"/>
    <s v="Completed:Delayed"/>
    <n v="57"/>
  </r>
  <r>
    <n v="8"/>
    <s v="C8/002"/>
    <s v="Adeleye"/>
    <s v="Abiodun"/>
    <s v="Adeomi"/>
    <s v="Male"/>
    <n v="8"/>
    <s v="Nigeria"/>
    <s v="Obafemi Awolowo University"/>
    <s v="University of the Witwatersrand"/>
    <d v="2018-08-06T00:00:00"/>
    <d v="2018-03-01T00:00:00"/>
    <d v="2025-11-05T00:00:00"/>
    <m/>
    <m/>
    <m/>
    <m/>
    <n v="51"/>
    <d v="2022-05-01T00:00:00"/>
    <s v="Completed"/>
    <n v="51"/>
    <s v=" Completed:On time"/>
    <n v="45"/>
  </r>
  <r>
    <n v="9"/>
    <s v="C2/007"/>
    <s v="Adeniyi"/>
    <s v="Francis"/>
    <s v="Fagbamigbe"/>
    <s v="Male"/>
    <n v="2"/>
    <s v="Nigeria"/>
    <s v="University of Ibadan"/>
    <s v="University of Ibadan"/>
    <d v="2012-03-19T00:00:00"/>
    <d v="2012-03-01T00:00:00"/>
    <d v="2025-11-05T00:00:00"/>
    <m/>
    <m/>
    <m/>
    <m/>
    <n v="25"/>
    <d v="2014-03-31T00:00:00"/>
    <s v="Completed"/>
    <n v="25"/>
    <s v=" Completed:On time"/>
    <n v="25"/>
  </r>
  <r>
    <n v="10"/>
    <s v="C3/004"/>
    <s v="Adesola"/>
    <s v="Oluwafunmilola"/>
    <s v="Olumide"/>
    <s v="Female"/>
    <n v="3"/>
    <s v="Nigeria"/>
    <s v="University of Ibadan"/>
    <s v="University of Ibadan"/>
    <d v="2013-02-21T00:00:00"/>
    <d v="2013-03-01T00:00:00"/>
    <d v="2025-11-05T00:00:00"/>
    <m/>
    <m/>
    <m/>
    <m/>
    <n v="52"/>
    <d v="2017-06-30T00:00:00"/>
    <s v="Completed"/>
    <n v="52"/>
    <s v="Completed:Delayed"/>
    <n v="53"/>
  </r>
  <r>
    <n v="11"/>
    <s v="C4/002"/>
    <s v="Admire"/>
    <s v="Takuranhamo"/>
    <s v="Chikandiwa"/>
    <s v="Male"/>
    <n v="4"/>
    <s v="South Africa"/>
    <s v="University of the Witwatersrand"/>
    <s v="University of the Witwatersrand"/>
    <d v="2017-03-15T00:00:00"/>
    <d v="2014-03-01T00:00:00"/>
    <d v="2025-11-05T00:00:00"/>
    <m/>
    <m/>
    <m/>
    <m/>
    <n v="69"/>
    <d v="2019-11-30T00:00:00"/>
    <s v="Completed"/>
    <n v="69"/>
    <s v="Completed:Delayed"/>
    <n v="33"/>
  </r>
  <r>
    <n v="12"/>
    <s v="C9/021"/>
    <s v="Alex "/>
    <s v="John"/>
    <s v="Ntamatungiro"/>
    <s v="Male"/>
    <n v="9"/>
    <s v="Tanzania"/>
    <s v="Ifakara Health Institute"/>
    <s v="University of the Witwatersrand"/>
    <d v="2020-01-31T00:00:00"/>
    <d v="2019-03-01T00:00:00"/>
    <d v="2025-11-05T00:00:00"/>
    <m/>
    <m/>
    <m/>
    <m/>
    <n v="59"/>
    <d v="2024-01-22T00:00:00"/>
    <s v="Completed"/>
    <n v="59"/>
    <s v="Completed:Delayed"/>
    <n v="48"/>
  </r>
  <r>
    <n v="13"/>
    <s v="C7/002"/>
    <s v="Alexander"/>
    <s v="-"/>
    <s v="Kagaha"/>
    <s v="Male"/>
    <n v="7"/>
    <s v="Uganda"/>
    <s v="Makerere University"/>
    <s v="University of the Witwatersrand"/>
    <d v="2017-06-03T00:00:00"/>
    <d v="2017-03-01T00:00:00"/>
    <d v="2025-11-05T00:00:00"/>
    <m/>
    <m/>
    <m/>
    <m/>
    <n v="51"/>
    <d v="2021-05-18T00:00:00"/>
    <s v="Completed"/>
    <n v="51"/>
    <s v=" Completed:On time"/>
    <n v="48"/>
  </r>
  <r>
    <n v="14"/>
    <s v="C10/001"/>
    <s v="Alice"/>
    <m/>
    <s v="Muhayimana"/>
    <s v="Female"/>
    <n v="10"/>
    <s v="Rwanda"/>
    <s v="University of Rwanda"/>
    <s v="University of the Witwatersrand"/>
    <d v="2020-01-31T00:00:00"/>
    <d v="2020-03-01T00:00:00"/>
    <d v="2025-11-05T00:00:00"/>
    <n v="69"/>
    <m/>
    <m/>
    <m/>
    <n v="69"/>
    <d v="2024-09-03T00:00:00"/>
    <s v="Completed"/>
    <n v="55"/>
    <s v="Completed:Delayed"/>
    <n v="56"/>
  </r>
  <r>
    <n v="15"/>
    <s v="C2/002"/>
    <s v="Alinane Linda"/>
    <m/>
    <s v="Nyondo-Mipando"/>
    <s v="Female"/>
    <n v="2"/>
    <s v="Malawi"/>
    <s v="University of Malawi"/>
    <s v="University of Malawi"/>
    <d v="2012-01-09T00:00:00"/>
    <d v="2012-03-01T00:00:00"/>
    <d v="2025-11-05T00:00:00"/>
    <m/>
    <m/>
    <m/>
    <m/>
    <n v="49"/>
    <d v="2016-03-31T00:00:00"/>
    <s v="Completed"/>
    <n v="49"/>
    <s v=" Completed:On time"/>
    <n v="51"/>
  </r>
  <r>
    <n v="16"/>
    <s v="C4/003"/>
    <s v="Andrew"/>
    <s v="-"/>
    <s v="Tamale"/>
    <s v="Male"/>
    <n v="4"/>
    <s v="Uganda"/>
    <s v="Makerere University"/>
    <s v="Makerere University"/>
    <d v="2014-03-12T00:00:00"/>
    <d v="2014-03-01T00:00:00"/>
    <d v="2025-11-05T00:00:00"/>
    <m/>
    <m/>
    <m/>
    <m/>
    <n v="37"/>
    <d v="2017-03-30T00:00:00"/>
    <s v="Completed"/>
    <n v="37"/>
    <s v=" Completed:On time"/>
    <n v="37"/>
  </r>
  <r>
    <n v="17"/>
    <s v="C3/002"/>
    <s v="Angeline"/>
    <m/>
    <s v="Chepchirchir"/>
    <s v="Female"/>
    <n v="3"/>
    <s v="Kenya"/>
    <s v="University of Nairobi"/>
    <s v="University of Nairobi"/>
    <d v="2013-02-24T00:00:00"/>
    <d v="2013-03-01T00:00:00"/>
    <d v="2025-11-05T00:00:00"/>
    <m/>
    <m/>
    <m/>
    <m/>
    <n v="82"/>
    <d v="2019-12-20T00:00:00"/>
    <s v="Completed"/>
    <n v="82"/>
    <s v="Completed:Delayed"/>
    <n v="82"/>
  </r>
  <r>
    <n v="18"/>
    <s v="C3/020"/>
    <s v="Anitha"/>
    <s v="-"/>
    <s v="Philbert"/>
    <s v="Female"/>
    <n v="3"/>
    <s v="Tanzania"/>
    <s v="University of Dar es Salaam"/>
    <s v="University of Dar es Salaam"/>
    <d v="2012-10-23T00:00:00"/>
    <d v="2013-03-01T00:00:00"/>
    <d v="2025-11-05T00:00:00"/>
    <m/>
    <m/>
    <m/>
    <m/>
    <n v="42"/>
    <d v="2016-08-30T00:00:00"/>
    <s v="Completed"/>
    <n v="42"/>
    <s v=" Completed:On time"/>
    <n v="47"/>
  </r>
  <r>
    <n v="19"/>
    <s v="C3/003"/>
    <s v="Anne"/>
    <s v="Majuma"/>
    <s v="Khisa"/>
    <s v="Female"/>
    <n v="3"/>
    <s v="Kenya"/>
    <s v="University of Nairobi"/>
    <s v="University of Nairobi"/>
    <d v="2012-07-07T00:00:00"/>
    <d v="2013-03-01T00:00:00"/>
    <d v="2025-11-05T00:00:00"/>
    <m/>
    <m/>
    <m/>
    <m/>
    <n v="46"/>
    <d v="2016-12-31T00:00:00"/>
    <s v="Completed"/>
    <n v="46"/>
    <s v=" Completed:On time"/>
    <n v="54"/>
  </r>
  <r>
    <n v="20"/>
    <s v="C8/014"/>
    <s v="Atupele"/>
    <s v="Ngina"/>
    <s v="Mulaga"/>
    <s v="Female"/>
    <n v="8"/>
    <s v="Malawi"/>
    <s v="University of Malawi"/>
    <s v="University of Malawi"/>
    <d v="2018-04-01T00:00:00"/>
    <d v="2018-03-01T00:00:00"/>
    <d v="2025-11-05T00:00:00"/>
    <m/>
    <m/>
    <m/>
    <m/>
    <n v="58"/>
    <d v="2022-12-05T00:00:00"/>
    <s v="Completed"/>
    <n v="58"/>
    <s v="Completed:Delayed"/>
    <n v="57"/>
  </r>
  <r>
    <n v="21"/>
    <s v="C2/003"/>
    <s v="Austin"/>
    <s v="Henderson"/>
    <s v="Mtethiwa"/>
    <s v="Male"/>
    <n v="2"/>
    <s v="Malawi"/>
    <s v="University of Malawi"/>
    <s v="University of Malawi"/>
    <d v="2012-03-09T00:00:00"/>
    <d v="2012-03-01T00:00:00"/>
    <d v="2025-11-05T00:00:00"/>
    <m/>
    <m/>
    <m/>
    <m/>
    <n v="57"/>
    <d v="2016-11-30T00:00:00"/>
    <s v="Completed"/>
    <n v="57"/>
    <s v="Completed:Delayed"/>
    <n v="57"/>
  </r>
  <r>
    <n v="22"/>
    <s v="C4/001"/>
    <s v="Ayodele"/>
    <s v="John"/>
    <s v="Alonge"/>
    <s v="Male"/>
    <n v="4"/>
    <s v="Nigeria"/>
    <s v="University of Ibadan"/>
    <s v="University of Nairobi"/>
    <d v="2015-09-30T00:00:00"/>
    <d v="2014-03-01T00:00:00"/>
    <d v="2025-11-05T00:00:00"/>
    <m/>
    <m/>
    <m/>
    <m/>
    <n v="46"/>
    <d v="2017-12-20T00:00:00"/>
    <s v="Completed"/>
    <n v="46"/>
    <s v=" Completed:On time"/>
    <n v="27"/>
  </r>
  <r>
    <n v="23"/>
    <s v="C1/001"/>
    <s v="Babatunde"/>
    <s v="Olubayo"/>
    <s v="Adedokun"/>
    <s v="Male"/>
    <n v="1"/>
    <s v="Nigeria"/>
    <s v="University of Ibadan"/>
    <s v="University of Ibadan"/>
    <d v="2011-03-01T00:00:00"/>
    <d v="2011-04-01T00:00:00"/>
    <d v="2025-11-05T00:00:00"/>
    <m/>
    <m/>
    <m/>
    <m/>
    <n v="70"/>
    <d v="2017-01-31T00:00:00"/>
    <s v="Completed"/>
    <n v="70"/>
    <s v="Completed:Delayed"/>
    <n v="71"/>
  </r>
  <r>
    <n v="24"/>
    <s v="C6/001"/>
    <s v="Beatrice"/>
    <s v="Waitherero"/>
    <s v="Maina"/>
    <s v="Female"/>
    <n v="6"/>
    <s v="Kenya"/>
    <s v="APHRC"/>
    <s v="University of the Witwatersrand"/>
    <d v="2017-03-22T00:00:00"/>
    <d v="2016-03-01T00:00:00"/>
    <d v="2025-11-05T00:00:00"/>
    <m/>
    <m/>
    <m/>
    <m/>
    <n v="67"/>
    <d v="2021-09-22T00:00:00"/>
    <s v="Completed"/>
    <n v="67"/>
    <s v="Completed:Delayed"/>
    <n v="55"/>
  </r>
  <r>
    <n v="25"/>
    <s v="C10/006"/>
    <s v="Beryl"/>
    <s v="Chelangat"/>
    <s v="Maritim"/>
    <s v="Female"/>
    <n v="10"/>
    <s v="Kenya"/>
    <s v="Moi University"/>
    <s v="University of the Witwatersrand"/>
    <d v="2020-07-01T00:00:00"/>
    <d v="2020-03-01T00:00:00"/>
    <d v="2025-11-05T00:00:00"/>
    <m/>
    <m/>
    <m/>
    <m/>
    <n v="43"/>
    <d v="2023-09-19T00:00:00"/>
    <s v="Completed"/>
    <n v="43"/>
    <s v=" Completed:On time"/>
    <n v="39"/>
  </r>
  <r>
    <n v="26"/>
    <s v="C6/002"/>
    <s v="Betty"/>
    <s v="Karimi"/>
    <s v="Mwiti"/>
    <s v="Female"/>
    <n v="6"/>
    <s v="Kenya"/>
    <s v="University of Nairobi"/>
    <s v="University of Nairobi"/>
    <d v="2016-11-30T00:00:00"/>
    <d v="2016-03-01T00:00:00"/>
    <d v="2025-11-05T00:00:00"/>
    <m/>
    <d v="2020-04-20T00:00:00"/>
    <d v="2020-06-11T00:00:00"/>
    <n v="2"/>
    <n v="52"/>
    <d v="2020-08-26T00:00:00"/>
    <s v="Completed"/>
    <n v="52"/>
    <s v="Completed:Delayed"/>
    <n v="43"/>
  </r>
  <r>
    <n v="27"/>
    <s v="C7/004"/>
    <s v="Blessings"/>
    <s v="Nyasilia Kaunda"/>
    <s v="Kaunda-Khangamwa"/>
    <s v="Female"/>
    <n v="7"/>
    <s v="Malawi"/>
    <s v="University of Malawi"/>
    <s v="University of the Witwatersrand"/>
    <d v="2017-04-30T00:00:00"/>
    <d v="2017-03-01T00:00:00"/>
    <d v="2025-11-05T00:00:00"/>
    <m/>
    <m/>
    <m/>
    <m/>
    <n v="51"/>
    <d v="2021-05-18T00:00:00"/>
    <s v="Completed"/>
    <n v="51"/>
    <s v=" Completed:On time"/>
    <n v="49"/>
  </r>
  <r>
    <n v="28"/>
    <s v="C4/004"/>
    <s v="Boladale"/>
    <s v="Moyosore"/>
    <s v="Mapayi"/>
    <s v="Female"/>
    <n v="4"/>
    <s v="Nigeria"/>
    <s v="Obafemi Awolowo University"/>
    <s v="Obafemi Awolowo University"/>
    <d v="2013-03-15T00:00:00"/>
    <d v="2014-03-01T00:00:00"/>
    <d v="2025-11-05T00:00:00"/>
    <m/>
    <m/>
    <m/>
    <m/>
    <n v="37"/>
    <d v="2017-03-31T00:00:00"/>
    <s v="Completed"/>
    <n v="37"/>
    <s v=" Completed:On time"/>
    <n v="49"/>
  </r>
  <r>
    <n v="29"/>
    <s v="C2/008"/>
    <s v="Tumwine"/>
    <m/>
    <s v="Gabriel"/>
    <s v="Male"/>
    <n v="2"/>
    <s v="Uganda"/>
    <s v="Makerere University"/>
    <s v="Makerere University"/>
    <d v="2012-01-25T00:00:00"/>
    <d v="2012-03-01T00:00:00"/>
    <d v="2025-11-05T00:00:00"/>
    <n v="165"/>
    <m/>
    <m/>
    <m/>
    <n v="165"/>
    <m/>
    <s v="In progress"/>
    <s v="In progress: Above 60 months"/>
    <s v="In progress: Above 60 months"/>
    <m/>
  </r>
  <r>
    <n v="30"/>
    <s v="C4/005"/>
    <s v="Bolutife"/>
    <s v="Ayokunnu"/>
    <s v="Olusanya"/>
    <s v="Male"/>
    <n v="4"/>
    <s v="Nigeria"/>
    <s v="University of Ibadan"/>
    <s v="University of Ibadan"/>
    <d v="2014-07-10T00:00:00"/>
    <d v="2014-03-01T00:00:00"/>
    <d v="2025-11-05T00:00:00"/>
    <m/>
    <m/>
    <m/>
    <m/>
    <n v="85"/>
    <d v="2021-03-05T00:00:00"/>
    <s v="Completed"/>
    <n v="85"/>
    <s v="Completed:Delayed"/>
    <n v="80"/>
  </r>
  <r>
    <n v="31"/>
    <s v="C1/003"/>
    <s v="Caroline"/>
    <s v="Sultan"/>
    <s v="Sambai"/>
    <s v="Female"/>
    <n v="1"/>
    <s v="Kenya"/>
    <s v="Moi University"/>
    <s v="Moi University"/>
    <d v="2011-10-11T00:00:00"/>
    <d v="2011-04-01T00:00:00"/>
    <d v="2025-11-05T00:00:00"/>
    <m/>
    <m/>
    <m/>
    <m/>
    <n v="36"/>
    <d v="2014-03-31T00:00:00"/>
    <s v="Completed"/>
    <n v="36"/>
    <s v=" Completed:On time"/>
    <n v="30"/>
  </r>
  <r>
    <n v="32"/>
    <s v="C4/007"/>
    <s v="Caroline"/>
    <s v="Jepkoech"/>
    <s v="Sawe"/>
    <s v="Female"/>
    <n v="4"/>
    <s v="Kenya"/>
    <s v="Moi University"/>
    <s v="University of Nairobi"/>
    <d v="2014-04-01T00:00:00"/>
    <d v="2014-03-01T00:00:00"/>
    <d v="2025-11-05T00:00:00"/>
    <m/>
    <m/>
    <m/>
    <m/>
    <n v="91"/>
    <d v="2021-09-03T00:00:00"/>
    <s v="Completed"/>
    <n v="91"/>
    <s v="Completed:Delayed"/>
    <n v="90"/>
  </r>
  <r>
    <n v="33"/>
    <s v="C7/006"/>
    <s v="Catherine"/>
    <s v="Mawia"/>
    <s v="Musyoka"/>
    <s v="Female"/>
    <n v="7"/>
    <s v="Kenya"/>
    <s v="University of Nairobi"/>
    <s v="University of Nairobi"/>
    <d v="2017-06-30T00:00:00"/>
    <d v="2017-03-01T00:00:00"/>
    <d v="2025-11-05T00:00:00"/>
    <m/>
    <m/>
    <m/>
    <m/>
    <n v="55"/>
    <d v="2021-09-29T00:00:00"/>
    <s v="Completed"/>
    <n v="55"/>
    <s v="Completed:Delayed"/>
    <n v="51"/>
  </r>
  <r>
    <n v="34"/>
    <s v="C5/002"/>
    <s v="Celestin"/>
    <m/>
    <s v="Ndikumana"/>
    <s v="Male"/>
    <n v="5"/>
    <s v="Rwanda"/>
    <s v="University of Rwanda"/>
    <s v="Moi University"/>
    <d v="2017-09-15T00:00:00"/>
    <d v="2015-03-01T00:00:00"/>
    <d v="2025-11-05T00:00:00"/>
    <m/>
    <m/>
    <m/>
    <m/>
    <n v="58"/>
    <d v="2019-12-31T00:00:00"/>
    <s v="Completed"/>
    <n v="58"/>
    <s v="Completed:Delayed"/>
    <n v="28"/>
  </r>
  <r>
    <n v="35"/>
    <s v="C7/005"/>
    <s v="Celestin"/>
    <m/>
    <s v="Banamwana"/>
    <s v="Male"/>
    <n v="7"/>
    <s v="Rwanda"/>
    <s v="University of Rwanda"/>
    <s v="Makerere University"/>
    <d v="2017-04-30T00:00:00"/>
    <d v="2017-03-01T00:00:00"/>
    <d v="2025-11-05T00:00:00"/>
    <m/>
    <m/>
    <m/>
    <m/>
    <n v="82"/>
    <d v="2023-12-13T00:00:00"/>
    <s v="Completed"/>
    <n v="82"/>
    <s v="Completed:Delayed"/>
    <n v="80"/>
  </r>
  <r>
    <n v="36"/>
    <s v="C1/002"/>
    <s v="Celine"/>
    <m/>
    <s v="Niwemahoro"/>
    <s v="Female"/>
    <n v="1"/>
    <s v="Rwanda"/>
    <s v="University of Rwanda"/>
    <s v="University of Dar es Salaam"/>
    <d v="2011-03-14T00:00:00"/>
    <d v="2011-04-01T00:00:00"/>
    <d v="2025-11-05T00:00:00"/>
    <m/>
    <m/>
    <m/>
    <m/>
    <n v="79"/>
    <d v="2017-10-15T00:00:00"/>
    <s v="Completed"/>
    <n v="79"/>
    <s v="Completed:Delayed"/>
    <n v="80"/>
  </r>
  <r>
    <n v="37"/>
    <s v="C3/006"/>
    <s v="Charles"/>
    <s v="Masulani"/>
    <s v="Mwale"/>
    <s v="Male"/>
    <n v="3"/>
    <s v="Rwanda"/>
    <s v="University of Rwanda"/>
    <s v="University of Rwanda"/>
    <d v="2012-10-18T00:00:00"/>
    <d v="2013-03-01T00:00:00"/>
    <d v="2025-11-05T00:00:00"/>
    <m/>
    <m/>
    <m/>
    <m/>
    <n v="57"/>
    <d v="2017-11-30T00:00:00"/>
    <s v="Completed"/>
    <n v="57"/>
    <s v="Completed:Delayed"/>
    <n v="62"/>
  </r>
  <r>
    <n v="38"/>
    <s v="C9/008"/>
    <s v="Charles "/>
    <m/>
    <s v="Ssemugabo"/>
    <s v="Male"/>
    <n v="9"/>
    <s v="Uganda"/>
    <s v="Makerere University"/>
    <s v="Makerere University"/>
    <d v="2019-07-01T00:00:00"/>
    <d v="2019-03-01T00:00:00"/>
    <d v="2025-11-05T00:00:00"/>
    <m/>
    <m/>
    <m/>
    <m/>
    <n v="55"/>
    <d v="2023-09-05T00:00:00"/>
    <s v="Completed"/>
    <n v="55"/>
    <s v="Completed:Delayed"/>
    <n v="51"/>
  </r>
  <r>
    <n v="39"/>
    <s v="C5/001"/>
    <s v="Cheikh Mbacké"/>
    <m/>
    <s v="Faye"/>
    <s v="Male"/>
    <n v="5"/>
    <s v="Senegal"/>
    <s v="APHRC"/>
    <s v="University of the Witwatersrand"/>
    <d v="2016-01-01T00:00:00"/>
    <d v="2015-03-01T00:00:00"/>
    <d v="2025-11-05T00:00:00"/>
    <m/>
    <m/>
    <m/>
    <m/>
    <n v="52"/>
    <d v="2019-06-30T00:00:00"/>
    <s v="Completed"/>
    <n v="52"/>
    <s v="Completed:Delayed"/>
    <n v="42"/>
  </r>
  <r>
    <n v="40"/>
    <s v="C10/007"/>
    <s v="Chinenyenwa"/>
    <s v="Maria Dorathy"/>
    <s v="Ohia"/>
    <s v="Female"/>
    <n v="10"/>
    <s v="Nigeria"/>
    <s v="University of Ibadan"/>
    <s v="University of Ibadan"/>
    <m/>
    <d v="2020-03-01T00:00:00"/>
    <d v="2025-11-05T00:00:00"/>
    <m/>
    <m/>
    <m/>
    <m/>
    <n v="22"/>
    <d v="2021-12-13T00:00:00"/>
    <s v="Completed"/>
    <n v="22"/>
    <s v=" Completed:On time"/>
    <n v="1464"/>
  </r>
  <r>
    <n v="41"/>
    <s v="C4/006"/>
    <s v="Chrispus"/>
    <s v="-"/>
    <s v="Mayora"/>
    <s v="Male"/>
    <n v="4"/>
    <s v="Uganda"/>
    <s v="Makerere University"/>
    <s v="University of the Witwatersrand"/>
    <d v="2015-01-01T00:00:00"/>
    <d v="2014-03-01T00:00:00"/>
    <d v="2025-11-05T00:00:00"/>
    <m/>
    <m/>
    <m/>
    <m/>
    <n v="89"/>
    <d v="2021-07-15T00:00:00"/>
    <s v="Completed"/>
    <n v="89"/>
    <s v="Completed:Delayed"/>
    <n v="79"/>
  </r>
  <r>
    <n v="42"/>
    <s v="C8/008"/>
    <s v="Christine"/>
    <s v="Minoo"/>
    <s v="Mbindyo"/>
    <s v="Female"/>
    <n v="8"/>
    <s v="Kenya"/>
    <s v="University of Nairobi"/>
    <s v="University of Nairobi"/>
    <d v="2018-10-01T00:00:00"/>
    <d v="2018-03-01T00:00:00"/>
    <d v="2025-11-05T00:00:00"/>
    <m/>
    <m/>
    <m/>
    <m/>
    <n v="50"/>
    <d v="2022-04-28T00:00:00"/>
    <s v="Completed"/>
    <n v="50"/>
    <s v=" Completed:On time"/>
    <n v="43"/>
  </r>
  <r>
    <n v="43"/>
    <s v="C2/004"/>
    <s v="Diana"/>
    <s v="-"/>
    <s v="Menya"/>
    <s v="Female"/>
    <n v="2"/>
    <s v="Kenya"/>
    <s v="Moi University"/>
    <s v="Moi University"/>
    <d v="2013-03-01T00:00:00"/>
    <d v="2012-03-01T00:00:00"/>
    <d v="2025-11-05T00:00:00"/>
    <m/>
    <m/>
    <m/>
    <m/>
    <n v="57"/>
    <d v="2016-11-30T00:00:00"/>
    <s v="Completed"/>
    <n v="57"/>
    <s v="Completed:Delayed"/>
    <n v="45"/>
  </r>
  <r>
    <n v="44"/>
    <s v="C4/008"/>
    <s v="Dieter"/>
    <m/>
    <s v="Hartmann"/>
    <s v="Male"/>
    <n v="4"/>
    <s v="South Africa"/>
    <s v="University of the Witwatersrand"/>
    <s v="University of the Witwatersrand"/>
    <d v="2013-12-09T00:00:00"/>
    <d v="2014-03-01T00:00:00"/>
    <d v="2025-11-05T00:00:00"/>
    <m/>
    <m/>
    <m/>
    <m/>
    <n v="101"/>
    <d v="2022-07-04T00:00:00"/>
    <s v="Completed"/>
    <n v="101"/>
    <s v="Completed:Delayed"/>
    <n v="103"/>
  </r>
  <r>
    <n v="45"/>
    <s v="C3/009"/>
    <s v="Evangeline"/>
    <s v="Wawira"/>
    <s v="Njiru"/>
    <s v="Female"/>
    <n v="3"/>
    <s v="Kenya"/>
    <s v="Moi University"/>
    <s v="Moi University"/>
    <d v="2012-09-01T00:00:00"/>
    <d v="2013-03-01T00:00:00"/>
    <d v="2025-11-05T00:00:00"/>
    <n v="153"/>
    <m/>
    <m/>
    <m/>
    <n v="153"/>
    <m/>
    <s v="In progress"/>
    <s v="In progress: Above 60 months"/>
    <s v="In progress: Above 60 months"/>
    <m/>
  </r>
  <r>
    <n v="46"/>
    <s v="C1/004"/>
    <s v="Dieudonne"/>
    <m/>
    <s v="Uwizeye"/>
    <s v="Male"/>
    <n v="1"/>
    <s v="Rwanda"/>
    <s v="University of Rwanda"/>
    <s v="University of Dar es Salaam"/>
    <d v="2011-06-01T00:00:00"/>
    <d v="2011-04-01T00:00:00"/>
    <d v="2025-11-05T00:00:00"/>
    <m/>
    <m/>
    <m/>
    <m/>
    <n v="56"/>
    <d v="2015-11-30T00:00:00"/>
    <s v="Completed"/>
    <n v="56"/>
    <s v="Completed:Delayed"/>
    <n v="54"/>
  </r>
  <r>
    <n v="47"/>
    <s v="C3/011"/>
    <s v="Emmanuel"/>
    <m/>
    <s v="Shema"/>
    <s v="Male"/>
    <n v="3"/>
    <s v="Rwanda"/>
    <s v="University of Rwanda"/>
    <s v="Moi University"/>
    <d v="2013-03-27T00:00:00"/>
    <d v="2013-03-01T00:00:00"/>
    <d v="2025-11-05T00:00:00"/>
    <n v="153"/>
    <m/>
    <m/>
    <m/>
    <n v="153"/>
    <m/>
    <s v="In progress"/>
    <s v="In progress: Above 60 months"/>
    <s v="In progress: Above 60 months"/>
    <m/>
  </r>
  <r>
    <n v="48"/>
    <s v="C5/006"/>
    <s v="Emmanuel"/>
    <s v="Wilson"/>
    <s v="Kaindoa"/>
    <s v="Male"/>
    <n v="5"/>
    <s v="Tanzania"/>
    <s v="Ifakara Health Institute"/>
    <s v="University of the Witwatersrand"/>
    <d v="2015-08-15T00:00:00"/>
    <d v="2015-03-01T00:00:00"/>
    <d v="2025-11-05T00:00:00"/>
    <m/>
    <m/>
    <m/>
    <m/>
    <n v="58"/>
    <d v="2019-12-31T00:00:00"/>
    <s v="Completed"/>
    <n v="58"/>
    <s v="Completed:Delayed"/>
    <n v="53"/>
  </r>
  <r>
    <n v="49"/>
    <s v="C6/006"/>
    <s v="Eniola"/>
    <m/>
    <s v="Bambgboye"/>
    <s v="Male"/>
    <n v="6"/>
    <s v="Nigeria"/>
    <s v="University of Ibadan"/>
    <s v="University of Ibadan"/>
    <d v="2016-08-08T00:00:00"/>
    <d v="2016-03-01T00:00:00"/>
    <d v="2025-11-05T00:00:00"/>
    <m/>
    <d v="2020-03-17T00:00:00"/>
    <d v="2021-02-15T00:00:00"/>
    <n v="11"/>
    <n v="50"/>
    <d v="2021-03-21T00:00:00"/>
    <s v="Completed"/>
    <n v="50"/>
    <s v=" Completed:On time"/>
    <n v="45"/>
  </r>
  <r>
    <n v="50"/>
    <s v="C7/007"/>
    <s v="Eniola"/>
    <s v="Olubukola"/>
    <s v="Cadmus"/>
    <s v="Female"/>
    <n v="7"/>
    <s v="Nigeria"/>
    <s v="University of Ibadan"/>
    <s v="University of Ibadan"/>
    <d v="2017-09-04T00:00:00"/>
    <d v="2017-03-01T00:00:00"/>
    <d v="2025-11-05T00:00:00"/>
    <m/>
    <d v="2020-09-04T00:00:00"/>
    <d v="2021-03-01T00:00:00"/>
    <n v="6"/>
    <n v="49"/>
    <d v="2021-09-03T00:00:00"/>
    <s v="Completed"/>
    <n v="49"/>
    <s v=" Completed:On time"/>
    <n v="42"/>
  </r>
  <r>
    <n v="51"/>
    <s v="C9/001"/>
    <s v="Ernest"/>
    <s v="Yamie"/>
    <s v="Moya"/>
    <s v="Male"/>
    <n v="9"/>
    <s v="Malawi"/>
    <s v="University of Malawi"/>
    <s v="University of Malawi"/>
    <d v="2019-09-01T00:00:00"/>
    <d v="2019-03-01T00:00:00"/>
    <d v="2025-11-05T00:00:00"/>
    <m/>
    <m/>
    <m/>
    <m/>
    <n v="60"/>
    <d v="2024-02-15T00:00:00"/>
    <s v="Completed"/>
    <n v="60"/>
    <s v="Completed:Delayed"/>
    <n v="54"/>
  </r>
  <r>
    <n v="52"/>
    <s v="C1/007"/>
    <s v="Esnat"/>
    <s v="Dorothy"/>
    <s v="Chirwa"/>
    <s v="Female"/>
    <n v="1"/>
    <s v="Malawi"/>
    <s v="University of Malawi"/>
    <s v="University of the Witwatersrand"/>
    <d v="2011-02-03T00:00:00"/>
    <d v="2011-04-01T00:00:00"/>
    <d v="2025-11-05T00:00:00"/>
    <m/>
    <m/>
    <m/>
    <m/>
    <n v="67"/>
    <d v="2016-10-31T00:00:00"/>
    <s v="Completed"/>
    <n v="67"/>
    <s v="Completed:Delayed"/>
    <n v="69"/>
  </r>
  <r>
    <n v="53"/>
    <s v="C1/013"/>
    <s v="Esther"/>
    <s v="Clyde"/>
    <s v="Nabakwe"/>
    <s v="Female"/>
    <n v="1"/>
    <s v="Kenya"/>
    <s v="Moi University"/>
    <s v="Moi University"/>
    <d v="2011-03-03T00:00:00"/>
    <d v="2011-04-01T00:00:00"/>
    <d v="2025-11-05T00:00:00"/>
    <m/>
    <m/>
    <m/>
    <m/>
    <n v="101"/>
    <d v="2019-08-22T00:00:00"/>
    <s v="Completed"/>
    <n v="101"/>
    <s v="Completed:Delayed"/>
    <n v="102"/>
  </r>
  <r>
    <n v="54"/>
    <s v="C5/003"/>
    <s v="Esther"/>
    <s v="Kikelomo"/>
    <s v="Afolabi"/>
    <s v="Female"/>
    <n v="5"/>
    <s v="Nigeria"/>
    <s v="Obafemi Awolowo University"/>
    <s v="Obafemi Awolowo University"/>
    <d v="2014-04-19T00:00:00"/>
    <d v="2015-03-01T00:00:00"/>
    <d v="2025-11-05T00:00:00"/>
    <m/>
    <m/>
    <m/>
    <m/>
    <n v="39"/>
    <d v="2018-05-30T00:00:00"/>
    <s v="Completed"/>
    <n v="39"/>
    <s v=" Completed:On time"/>
    <n v="50"/>
  </r>
  <r>
    <n v="55"/>
    <s v="C2/005"/>
    <s v="Evaline"/>
    <m/>
    <s v="Mcharo"/>
    <s v="Female"/>
    <n v="2"/>
    <s v="Tanzania"/>
    <s v="University of Dar es Salaam"/>
    <s v="University of Nairobi"/>
    <d v="2012-02-07T00:00:00"/>
    <d v="2012-03-01T00:00:00"/>
    <d v="2025-11-05T00:00:00"/>
    <m/>
    <m/>
    <m/>
    <m/>
    <n v="58"/>
    <d v="2016-12-31T00:00:00"/>
    <s v="Completed"/>
    <n v="58"/>
    <s v="Completed:Delayed"/>
    <n v="59"/>
  </r>
  <r>
    <n v="56"/>
    <s v="C3/021"/>
    <s v="Providence"/>
    <s v="Jechirchir"/>
    <s v="Kiptoo"/>
    <s v="Female"/>
    <n v="3"/>
    <s v="Kenya"/>
    <s v="Moi University"/>
    <s v="Moi University"/>
    <d v="2012-09-01T00:00:00"/>
    <d v="2013-03-01T00:00:00"/>
    <d v="2025-11-05T00:00:00"/>
    <n v="153"/>
    <m/>
    <m/>
    <m/>
    <n v="153"/>
    <m/>
    <s v="In progress"/>
    <s v="In progress: Above 60 months"/>
    <s v="In progress: Above 60 months"/>
    <m/>
  </r>
  <r>
    <n v="57"/>
    <s v="C9/010"/>
    <s v="Evelyne"/>
    <m/>
    <s v="Kantarama"/>
    <s v="Female"/>
    <n v="9"/>
    <s v="Rwanda"/>
    <s v="University of Rwanda"/>
    <s v="University of Rwanda"/>
    <d v="2019-12-11T00:00:00"/>
    <d v="2019-03-01T00:00:00"/>
    <d v="2025-11-05T00:00:00"/>
    <m/>
    <m/>
    <m/>
    <m/>
    <n v="56"/>
    <d v="2023-10-30T00:00:00"/>
    <s v="Completed"/>
    <n v="56"/>
    <s v="Completed:Delayed"/>
    <n v="47"/>
  </r>
  <r>
    <n v="58"/>
    <s v="C8/020"/>
    <s v="Faustin"/>
    <m/>
    <s v="Ntirenganya"/>
    <s v="Male"/>
    <n v="8"/>
    <s v="Rwanda"/>
    <s v="University of Rwanda"/>
    <s v="University of Rwanda"/>
    <d v="2018-09-01T00:00:00"/>
    <d v="2018-03-01T00:00:00"/>
    <d v="2025-11-05T00:00:00"/>
    <n v="93"/>
    <m/>
    <m/>
    <m/>
    <n v="93"/>
    <d v="2023-11-17T00:00:00"/>
    <s v="Completed"/>
    <n v="69"/>
    <s v="Completed:Delayed"/>
    <n v="63"/>
  </r>
  <r>
    <n v="59"/>
    <s v="C7/011"/>
    <s v="Felishana"/>
    <s v="Jepkosgei"/>
    <s v="Cherop"/>
    <s v="Female"/>
    <n v="7"/>
    <s v="Kenya"/>
    <s v="Moi University"/>
    <s v="Moi University"/>
    <d v="2017-08-31T00:00:00"/>
    <d v="2017-03-01T00:00:00"/>
    <d v="2025-11-05T00:00:00"/>
    <m/>
    <m/>
    <m/>
    <m/>
    <n v="69"/>
    <d v="2022-11-14T00:00:00"/>
    <s v="Completed"/>
    <n v="69"/>
    <s v="Completed:Delayed"/>
    <n v="63"/>
  </r>
  <r>
    <n v="60"/>
    <s v="C5/009"/>
    <s v="Felix"/>
    <m/>
    <s v="Khuluza"/>
    <s v="Male"/>
    <n v="5"/>
    <s v="Malawi"/>
    <s v="University of Malawi"/>
    <s v="University of Malawi"/>
    <d v="2015-02-02T00:00:00"/>
    <d v="2015-03-01T00:00:00"/>
    <d v="2025-11-05T00:00:00"/>
    <m/>
    <m/>
    <m/>
    <m/>
    <n v="46"/>
    <d v="2018-12-31T00:00:00"/>
    <s v="Completed"/>
    <n v="46"/>
    <s v=" Completed:On time"/>
    <n v="47"/>
  </r>
  <r>
    <n v="61"/>
    <s v="C4/011"/>
    <s v="Flavia"/>
    <s v="Kiweewa"/>
    <s v="Matovu"/>
    <s v="Female"/>
    <n v="4"/>
    <s v="Uganda"/>
    <s v="Makerere University"/>
    <s v="University of the Witwatersrand"/>
    <d v="2017-05-31T00:00:00"/>
    <d v="2014-03-01T00:00:00"/>
    <d v="2025-11-05T00:00:00"/>
    <m/>
    <m/>
    <m/>
    <m/>
    <n v="93"/>
    <d v="2021-11-08T00:00:00"/>
    <s v="Completed"/>
    <n v="93"/>
    <s v="Completed:Delayed"/>
    <n v="54"/>
  </r>
  <r>
    <n v="62"/>
    <s v="C7/012"/>
    <s v="Folake"/>
    <s v="Barakat"/>
    <s v="Lawal"/>
    <s v="Female"/>
    <n v="7"/>
    <s v="Nigeria"/>
    <s v="University of Ibadan"/>
    <s v="University of Ibadan"/>
    <d v="2017-04-03T00:00:00"/>
    <d v="2017-03-01T00:00:00"/>
    <d v="2025-11-05T00:00:00"/>
    <m/>
    <d v="2020-09-03T00:00:00"/>
    <d v="2021-04-01T00:00:00"/>
    <n v="7"/>
    <n v="48"/>
    <d v="2021-09-21T00:00:00"/>
    <s v="Completed"/>
    <n v="48"/>
    <s v=" Completed:On time"/>
    <n v="47"/>
  </r>
  <r>
    <n v="63"/>
    <s v="C8/016"/>
    <s v="Folashayo"/>
    <s v="Ikenna Peter"/>
    <s v="Adeniji"/>
    <s v="Male"/>
    <n v="8"/>
    <s v="Nigeria"/>
    <s v="University of Ibadan"/>
    <s v="University of the Witwatersrand"/>
    <d v="2018-08-06T00:00:00"/>
    <d v="2018-03-01T00:00:00"/>
    <d v="2025-11-05T00:00:00"/>
    <m/>
    <m/>
    <m/>
    <m/>
    <n v="43"/>
    <d v="2021-09-02T00:00:00"/>
    <s v="Completed"/>
    <n v="43"/>
    <s v=" Completed:On time"/>
    <n v="37"/>
  </r>
  <r>
    <n v="64"/>
    <s v="C5/008"/>
    <s v="Folusho"/>
    <s v="Mubowale"/>
    <s v="Balogun"/>
    <s v="Female"/>
    <n v="5"/>
    <s v="Nigeria"/>
    <s v="University of Ibadan"/>
    <s v="University of Ibadan"/>
    <d v="2014-08-01T00:00:00"/>
    <d v="2015-03-01T00:00:00"/>
    <d v="2025-11-05T00:00:00"/>
    <m/>
    <m/>
    <m/>
    <m/>
    <n v="59"/>
    <d v="2020-01-02T00:00:00"/>
    <s v="Completed"/>
    <n v="59"/>
    <s v="Completed:Delayed"/>
    <n v="66"/>
  </r>
  <r>
    <n v="65"/>
    <s v="C8/021"/>
    <s v="Foluso"/>
    <s v="Ayobami"/>
    <s v="Atiba"/>
    <s v="Female"/>
    <n v="8"/>
    <s v="Nigeria"/>
    <s v="University of Ibadan"/>
    <s v="University of the Witwatersrand"/>
    <d v="2018-06-10T00:00:00"/>
    <d v="2018-03-01T00:00:00"/>
    <d v="2025-11-05T00:00:00"/>
    <n v="93"/>
    <m/>
    <m/>
    <m/>
    <n v="93"/>
    <d v="2024-07-25T00:00:00"/>
    <s v="Completed"/>
    <n v="77"/>
    <s v="Completed:Delayed"/>
    <n v="74"/>
  </r>
  <r>
    <n v="66"/>
    <s v="C1/010"/>
    <s v="François"/>
    <m/>
    <s v="Niragire"/>
    <s v="Male"/>
    <n v="1"/>
    <s v="Rwanda"/>
    <s v="University of Rwanda"/>
    <s v="University of Rwanda"/>
    <d v="2011-10-07T00:00:00"/>
    <d v="2011-04-01T00:00:00"/>
    <d v="2025-11-05T00:00:00"/>
    <m/>
    <m/>
    <m/>
    <m/>
    <n v="76"/>
    <d v="2017-07-31T00:00:00"/>
    <s v="Completed"/>
    <n v="76"/>
    <s v="Completed:Delayed"/>
    <n v="70"/>
  </r>
  <r>
    <n v="67"/>
    <s v="C5/010"/>
    <s v="Fred"/>
    <m/>
    <s v="Maniragaba"/>
    <s v="Male"/>
    <n v="5"/>
    <s v="Uganda"/>
    <s v="Makerere University"/>
    <s v="Makerere University"/>
    <d v="2015-05-01T00:00:00"/>
    <d v="2015-03-01T00:00:00"/>
    <d v="2025-11-05T00:00:00"/>
    <m/>
    <m/>
    <m/>
    <m/>
    <n v="53"/>
    <d v="2019-07-31T00:00:00"/>
    <s v="Completed"/>
    <n v="53"/>
    <s v="Completed:Delayed"/>
    <n v="51"/>
  </r>
  <r>
    <n v="68"/>
    <s v="C10/010"/>
    <s v="Frederick "/>
    <m/>
    <s v="Oporia"/>
    <s v="Male"/>
    <n v="10"/>
    <s v="Uganda"/>
    <s v="Makerere University"/>
    <s v="Makerere University"/>
    <d v="2020-08-31T00:00:00"/>
    <d v="2020-03-01T00:00:00"/>
    <d v="2025-11-05T00:00:00"/>
    <m/>
    <m/>
    <m/>
    <m/>
    <n v="45"/>
    <d v="2023-11-17T00:00:00"/>
    <s v="Completed"/>
    <n v="45"/>
    <s v=" Completed:On time"/>
    <n v="39"/>
  </r>
  <r>
    <n v="69"/>
    <s v="C3/012"/>
    <s v="Fredrick"/>
    <s v="Okoth"/>
    <s v="Okaka"/>
    <s v="Male"/>
    <n v="3"/>
    <s v="Kenya"/>
    <s v="Moi University"/>
    <s v="Moi University"/>
    <d v="2012-08-09T00:00:00"/>
    <d v="2013-03-01T00:00:00"/>
    <d v="2025-11-05T00:00:00"/>
    <m/>
    <m/>
    <m/>
    <m/>
    <n v="45"/>
    <d v="2016-11-04T00:00:00"/>
    <s v="Completed"/>
    <n v="45"/>
    <s v=" Completed:On time"/>
    <n v="51"/>
  </r>
  <r>
    <n v="70"/>
    <s v="C1/009"/>
    <s v="Fresier"/>
    <m/>
    <s v="Maseko"/>
    <s v="Male"/>
    <n v="1"/>
    <s v="Malawi"/>
    <s v="University of Malawi"/>
    <s v="University of Malawi"/>
    <d v="2011-01-01T00:00:00"/>
    <d v="2011-04-01T00:00:00"/>
    <d v="2025-11-05T00:00:00"/>
    <m/>
    <m/>
    <m/>
    <m/>
    <n v="65"/>
    <d v="2016-08-31T00:00:00"/>
    <s v="Completed"/>
    <n v="65"/>
    <s v="Completed:Delayed"/>
    <n v="68"/>
  </r>
  <r>
    <n v="71"/>
    <s v="C7/013"/>
    <s v="Funmilola"/>
    <s v="Folasade"/>
    <s v="Oyinlola"/>
    <s v="Female"/>
    <n v="7"/>
    <s v="Nigeria"/>
    <s v="Obafemi Awolowo University"/>
    <s v="Obafemi Awolowo University"/>
    <d v="2016-11-09T00:00:00"/>
    <d v="2017-03-01T00:00:00"/>
    <d v="2025-11-05T00:00:00"/>
    <m/>
    <m/>
    <m/>
    <m/>
    <n v="33"/>
    <d v="2019-11-14T00:00:00"/>
    <s v="Completed"/>
    <n v="33"/>
    <s v=" Completed:On time"/>
    <n v="37"/>
  </r>
  <r>
    <n v="72"/>
    <s v="C4/016"/>
    <s v="Jackline"/>
    <s v="Chepchirchir"/>
    <s v="Sitienei"/>
    <s v="Female"/>
    <n v="4"/>
    <s v="Kenya"/>
    <s v="Moi University"/>
    <s v="University of the Witwatersrand"/>
    <d v="2014-02-23T00:00:00"/>
    <d v="2014-03-01T00:00:00"/>
    <d v="2025-11-05T00:00:00"/>
    <n v="141"/>
    <m/>
    <m/>
    <m/>
    <n v="141"/>
    <m/>
    <s v="In progress"/>
    <s v="In progress: Above 60 months"/>
    <s v="In progress: Above 60 months"/>
    <m/>
  </r>
  <r>
    <n v="73"/>
    <s v="C9/013"/>
    <s v="Funmito"/>
    <s v="Omolola"/>
    <s v="Fehintola"/>
    <s v="Female"/>
    <n v="9"/>
    <s v="Nigeria"/>
    <s v="Obafemi Awolowo University"/>
    <s v="University of Ibadan"/>
    <d v="2019-04-15T00:00:00"/>
    <d v="2019-03-01T00:00:00"/>
    <d v="2025-11-05T00:00:00"/>
    <m/>
    <d v="2023-05-01T00:00:00"/>
    <d v="2023-10-30T00:00:00"/>
    <n v="6"/>
    <n v="50"/>
    <d v="2023-10-27T00:00:00"/>
    <s v="Completed"/>
    <n v="50"/>
    <s v=" Completed:On time"/>
    <n v="49"/>
  </r>
  <r>
    <n v="74"/>
    <s v="C8/013"/>
    <s v="Getrude"/>
    <s v="Shepelo"/>
    <s v="Peter"/>
    <s v="Female"/>
    <n v="8"/>
    <s v="Kenya"/>
    <s v="University of Nairobi"/>
    <s v="University of Nairobi"/>
    <d v="2018-03-01T00:00:00"/>
    <d v="2018-03-01T00:00:00"/>
    <d v="2025-11-05T00:00:00"/>
    <m/>
    <m/>
    <m/>
    <m/>
    <n v="33"/>
    <d v="2020-11-25T00:00:00"/>
    <s v="Completed"/>
    <n v="33"/>
    <s v=" Completed:On time"/>
    <n v="33"/>
  </r>
  <r>
    <n v="75"/>
    <s v="C6/008"/>
    <s v="Godwin"/>
    <m/>
    <s v="Anywar"/>
    <s v="Male"/>
    <n v="6"/>
    <s v="Uganda"/>
    <s v="Makerere University"/>
    <s v="Makerere University"/>
    <d v="2016-09-25T00:00:00"/>
    <d v="2016-03-01T00:00:00"/>
    <d v="2025-11-05T00:00:00"/>
    <m/>
    <m/>
    <m/>
    <m/>
    <n v="70"/>
    <d v="2021-12-09T00:00:00"/>
    <s v="Completed"/>
    <n v="70"/>
    <s v="Completed:Delayed"/>
    <n v="63"/>
  </r>
  <r>
    <n v="76"/>
    <s v="C4/012"/>
    <s v="Grace"/>
    <s v="Wambura"/>
    <s v="Mbuthia"/>
    <s v="Female"/>
    <n v="4"/>
    <s v="Kenya"/>
    <s v="Moi University"/>
    <s v="University of Nairobi"/>
    <d v="2014-10-01T00:00:00"/>
    <d v="2014-03-01T00:00:00"/>
    <d v="2025-11-05T00:00:00"/>
    <m/>
    <m/>
    <m/>
    <m/>
    <n v="51"/>
    <d v="2018-05-22T00:00:00"/>
    <s v="Completed"/>
    <n v="51"/>
    <s v=" Completed:On time"/>
    <n v="44"/>
  </r>
  <r>
    <n v="77"/>
    <s v="C5/011"/>
    <s v="Hellen"/>
    <s v="Jepngetich"/>
    <s v="Jepngetich"/>
    <s v="Female"/>
    <n v="5"/>
    <s v="Kenya"/>
    <s v="Moi University"/>
    <s v="Moi University"/>
    <d v="2015-09-10T00:00:00"/>
    <d v="2015-03-01T00:00:00"/>
    <d v="2025-11-05T00:00:00"/>
    <m/>
    <d v="2020-03-15T00:00:00"/>
    <d v="2020-08-06T00:00:00"/>
    <n v="5"/>
    <n v="64"/>
    <d v="2020-11-20T00:00:00"/>
    <s v="Completed"/>
    <n v="64"/>
    <s v="Completed:Delayed"/>
    <n v="58"/>
  </r>
  <r>
    <n v="78"/>
    <s v="C4/013"/>
    <s v="Henry"/>
    <m/>
    <s v="Zakumumpa"/>
    <s v="Male"/>
    <n v="4"/>
    <s v="Uganda"/>
    <s v="Makerere University"/>
    <s v="Makerere University"/>
    <d v="2013-11-26T00:00:00"/>
    <d v="2014-03-01T00:00:00"/>
    <d v="2025-11-05T00:00:00"/>
    <m/>
    <m/>
    <m/>
    <m/>
    <n v="56"/>
    <d v="2018-10-26T00:00:00"/>
    <s v="Completed"/>
    <n v="56"/>
    <s v="Completed:Delayed"/>
    <n v="60"/>
  </r>
  <r>
    <n v="79"/>
    <s v="C2/009"/>
    <s v="Herbert"/>
    <s v="Hudson"/>
    <s v="Longwe"/>
    <s v="Male"/>
    <n v="2"/>
    <s v="Malawi"/>
    <s v="University of Malawi"/>
    <s v="University of Malawi"/>
    <d v="2012-02-22T00:00:00"/>
    <d v="2012-03-01T00:00:00"/>
    <d v="2025-11-05T00:00:00"/>
    <m/>
    <m/>
    <m/>
    <m/>
    <n v="40"/>
    <d v="2015-06-30T00:00:00"/>
    <s v="Completed"/>
    <n v="40"/>
    <s v=" Completed:On time"/>
    <n v="41"/>
  </r>
  <r>
    <n v="80"/>
    <s v="C5/013"/>
    <s v="Ikeola"/>
    <s v="Adejoke"/>
    <s v="Adeoye"/>
    <s v="Female"/>
    <n v="5"/>
    <s v="Nigeria"/>
    <s v="University of Ibadan"/>
    <s v="University of Ibadan"/>
    <d v="2013-02-01T00:00:00"/>
    <d v="2015-03-01T00:00:00"/>
    <d v="2025-11-05T00:00:00"/>
    <m/>
    <d v="2017-03-01T00:00:00"/>
    <d v="2018-02-01T00:00:00"/>
    <n v="12"/>
    <n v="66"/>
    <d v="2021-08-03T00:00:00"/>
    <s v="Completed"/>
    <n v="66"/>
    <s v="Completed:Delayed"/>
    <n v="91"/>
  </r>
  <r>
    <n v="81"/>
    <s v="C4/014"/>
    <s v="Irene"/>
    <s v="Richard"/>
    <s v="Moshi"/>
    <s v="Female"/>
    <n v="4"/>
    <s v="Tanzania"/>
    <s v="Ifakara Health Institute"/>
    <s v="University of the Witwatersrand"/>
    <d v="2015-02-01T00:00:00"/>
    <d v="2014-03-01T00:00:00"/>
    <d v="2025-11-05T00:00:00"/>
    <m/>
    <m/>
    <m/>
    <m/>
    <n v="70"/>
    <d v="2019-12-31T00:00:00"/>
    <s v="Completed"/>
    <n v="70"/>
    <s v="Completed:Delayed"/>
    <n v="59"/>
  </r>
  <r>
    <n v="82"/>
    <s v="C8/005"/>
    <s v="Jacob"/>
    <s v="Wale"/>
    <s v="Mobolaji"/>
    <s v="Male"/>
    <n v="8"/>
    <s v="Nigeria"/>
    <s v="Obafemi Awolowo University"/>
    <s v="Obafemi Awolowo University"/>
    <d v="2017-05-15T00:00:00"/>
    <d v="2018-03-01T00:00:00"/>
    <d v="2025-11-05T00:00:00"/>
    <m/>
    <m/>
    <m/>
    <m/>
    <n v="43"/>
    <d v="2021-09-22T00:00:00"/>
    <s v="Completed"/>
    <n v="43"/>
    <s v=" Completed:On time"/>
    <n v="53"/>
  </r>
  <r>
    <n v="83"/>
    <s v="C10/011"/>
    <s v="James"/>
    <s v="Mburu"/>
    <s v="Kang'ethe"/>
    <s v="Male"/>
    <n v="10"/>
    <s v="Kenya"/>
    <s v="University of Nairobi"/>
    <s v="University of Nairobi"/>
    <d v="2021-02-18T00:00:00"/>
    <d v="2020-03-01T00:00:00"/>
    <d v="2025-11-05T00:00:00"/>
    <n v="69"/>
    <m/>
    <m/>
    <m/>
    <n v="69"/>
    <d v="2024-11-14T00:00:00"/>
    <s v="Completed"/>
    <n v="57"/>
    <s v="Completed:Delayed"/>
    <n v="45"/>
  </r>
  <r>
    <n v="84"/>
    <s v="C10/012"/>
    <s v="James"/>
    <m/>
    <s v="Muleme"/>
    <s v="Male"/>
    <n v="10"/>
    <s v="Uganda"/>
    <s v="Makerere University"/>
    <s v="Makerere University"/>
    <d v="2022-01-19T00:00:00"/>
    <d v="2020-03-01T00:00:00"/>
    <d v="2025-11-05T00:00:00"/>
    <m/>
    <m/>
    <m/>
    <m/>
    <n v="45"/>
    <d v="2023-11-24T00:00:00"/>
    <s v="Completed"/>
    <n v="45"/>
    <s v=" Completed:On time"/>
    <n v="23"/>
  </r>
  <r>
    <n v="85"/>
    <s v="C10/003"/>
    <s v="Jean de la Croix"/>
    <s v="Allen"/>
    <s v="Ingabire"/>
    <s v="Male"/>
    <n v="10"/>
    <s v="Rwanda"/>
    <s v="University of Rwanda"/>
    <s v="University of Rwanda"/>
    <d v="2020-01-10T00:00:00"/>
    <d v="2020-03-01T00:00:00"/>
    <d v="2025-11-05T00:00:00"/>
    <n v="69"/>
    <m/>
    <m/>
    <m/>
    <n v="69"/>
    <d v="2024-10-25T00:00:00"/>
    <s v="Completed"/>
    <n v="56"/>
    <s v="Completed:Delayed"/>
    <n v="58"/>
  </r>
  <r>
    <n v="86"/>
    <s v="C5/015"/>
    <s v="Jeanette"/>
    <m/>
    <s v="Dawa"/>
    <s v="Female"/>
    <n v="5"/>
    <s v="Kenya"/>
    <s v="University of Nairobi"/>
    <s v="University of Nairobi"/>
    <d v="2015-10-13T00:00:00"/>
    <d v="2015-03-01T00:00:00"/>
    <d v="2025-11-05T00:00:00"/>
    <m/>
    <m/>
    <m/>
    <m/>
    <n v="69"/>
    <d v="2020-11-25T00:00:00"/>
    <s v="Completed"/>
    <n v="69"/>
    <s v="Completed:Delayed"/>
    <n v="62"/>
  </r>
  <r>
    <n v="87"/>
    <s v="C5/016"/>
    <s v="Jepchirchir"/>
    <m/>
    <s v="Kiplagat"/>
    <s v="Female"/>
    <n v="5"/>
    <s v="Kenya"/>
    <s v="Moi University"/>
    <s v="University of the Witwatersrand"/>
    <d v="2015-08-06T00:00:00"/>
    <d v="2015-03-01T00:00:00"/>
    <d v="2025-11-05T00:00:00"/>
    <m/>
    <m/>
    <m/>
    <m/>
    <n v="56"/>
    <d v="2019-10-31T00:00:00"/>
    <s v="Completed"/>
    <n v="56"/>
    <s v="Completed:Delayed"/>
    <n v="51"/>
  </r>
  <r>
    <n v="88"/>
    <s v="C6/011"/>
    <s v="Joan"/>
    <s v="Nankya"/>
    <s v="Mutyoba"/>
    <s v="Female"/>
    <n v="6"/>
    <s v="Uganda"/>
    <s v="Makerere University"/>
    <s v="Makerere University"/>
    <d v="2016-04-04T00:00:00"/>
    <d v="2016-03-01T00:00:00"/>
    <d v="2025-11-05T00:00:00"/>
    <m/>
    <m/>
    <m/>
    <m/>
    <n v="72"/>
    <d v="2022-02-15T00:00:00"/>
    <s v="Completed"/>
    <n v="72"/>
    <s v="Completed:Delayed"/>
    <n v="71"/>
  </r>
  <r>
    <n v="89"/>
    <s v="C3/013"/>
    <s v="Joel"/>
    <s v="Olayiwola"/>
    <s v="Faronbi"/>
    <s v="Male"/>
    <n v="3"/>
    <s v="Nigeria"/>
    <s v="Obafemi Awolowo University"/>
    <s v="Obafemi Awolowo University"/>
    <d v="2012-09-26T00:00:00"/>
    <d v="2013-03-01T00:00:00"/>
    <d v="2025-11-05T00:00:00"/>
    <m/>
    <m/>
    <m/>
    <m/>
    <n v="34"/>
    <d v="2015-12-12T00:00:00"/>
    <s v="Completed"/>
    <n v="34"/>
    <s v=" Completed:On time"/>
    <n v="39"/>
  </r>
  <r>
    <n v="90"/>
    <s v="C6/009"/>
    <s v="John"/>
    <s v="Olugbenga"/>
    <s v="Abe"/>
    <s v="Male"/>
    <n v="6"/>
    <s v="Nigeria"/>
    <s v="Obafemi Awolowo University"/>
    <s v="Obafemi Awolowo University"/>
    <d v="2016-11-09T00:00:00"/>
    <d v="2016-03-01T00:00:00"/>
    <d v="2025-11-05T00:00:00"/>
    <m/>
    <m/>
    <m/>
    <m/>
    <n v="40"/>
    <d v="2019-06-21T00:00:00"/>
    <s v="Completed"/>
    <n v="40"/>
    <s v=" Completed:On time"/>
    <n v="32"/>
  </r>
  <r>
    <n v="91"/>
    <s v="C5/007"/>
    <s v="Esther"/>
    <s v="Wamuyu"/>
    <s v="Karumi"/>
    <s v="Female"/>
    <n v="5"/>
    <s v="Kenya"/>
    <s v="University of Nairobi"/>
    <s v="University of Nairobi"/>
    <d v="2015-09-08T00:00:00"/>
    <d v="2015-03-01T00:00:00"/>
    <d v="2025-11-05T00:00:00"/>
    <n v="129"/>
    <m/>
    <m/>
    <m/>
    <n v="129"/>
    <m/>
    <s v="In progress"/>
    <s v="In progress: Above 60 months"/>
    <s v="In progress: Above 60 months"/>
    <m/>
  </r>
  <r>
    <n v="92"/>
    <s v="C2/010"/>
    <s v="Joseph"/>
    <s v="Maurice"/>
    <s v="Mutisya"/>
    <s v="Male"/>
    <n v="2"/>
    <s v="Kenya"/>
    <s v="APHRC"/>
    <s v="University of the Witwatersrand"/>
    <d v="2012-03-19T00:00:00"/>
    <d v="2012-03-01T00:00:00"/>
    <d v="2025-11-05T00:00:00"/>
    <m/>
    <m/>
    <m/>
    <m/>
    <n v="82"/>
    <d v="2018-12-04T00:00:00"/>
    <s v="Completed"/>
    <n v="82"/>
    <s v="Completed:Delayed"/>
    <n v="81"/>
  </r>
  <r>
    <n v="93"/>
    <s v="C1/011"/>
    <s v="Joshua"/>
    <s v="Odunayo"/>
    <s v="Akinyemi"/>
    <s v="Male"/>
    <n v="1"/>
    <s v="Nigeria"/>
    <s v="University of Ibadan"/>
    <s v="University of Ibadan"/>
    <d v="2011-03-07T00:00:00"/>
    <d v="2011-04-01T00:00:00"/>
    <d v="2025-11-05T00:00:00"/>
    <m/>
    <m/>
    <m/>
    <m/>
    <n v="35"/>
    <d v="2014-02-01T00:00:00"/>
    <s v="Completed"/>
    <n v="35"/>
    <s v=" Completed:On time"/>
    <n v="35"/>
  </r>
  <r>
    <n v="94"/>
    <s v="C3/014"/>
    <s v="Judith"/>
    <s v="Nekesa"/>
    <s v="Mangeni"/>
    <s v="Female"/>
    <n v="3"/>
    <s v="Kenya"/>
    <s v="Moi University"/>
    <s v="University of Nairobi"/>
    <d v="2013-06-07T00:00:00"/>
    <d v="2013-03-01T00:00:00"/>
    <d v="2025-11-05T00:00:00"/>
    <m/>
    <m/>
    <m/>
    <m/>
    <n v="50"/>
    <d v="2017-04-30T00:00:00"/>
    <s v="Completed"/>
    <n v="50"/>
    <s v=" Completed:On time"/>
    <n v="47"/>
  </r>
  <r>
    <n v="95"/>
    <s v="C5/012"/>
    <s v="Hillary"/>
    <s v="Kipruto"/>
    <s v="Sang"/>
    <s v="Male"/>
    <n v="5"/>
    <s v="Kenya"/>
    <s v="Moi University"/>
    <s v="Moi University"/>
    <d v="2014-09-01T00:00:00"/>
    <d v="2015-03-01T00:00:00"/>
    <d v="2025-11-05T00:00:00"/>
    <n v="129"/>
    <m/>
    <m/>
    <m/>
    <n v="129"/>
    <m/>
    <s v="In progress"/>
    <s v="In progress: Above 60 months"/>
    <s v="In progress: Above 60 months"/>
    <m/>
  </r>
  <r>
    <n v="96"/>
    <s v="C7/015"/>
    <s v="Judith"/>
    <s v="Reegan Mulubwa"/>
    <s v="Mwansa-Kambafwile"/>
    <s v="Female"/>
    <n v="7"/>
    <s v="South Africa"/>
    <s v="University of the Witwatersrand"/>
    <s v="University of the Witwatersrand"/>
    <d v="2016-03-14T00:00:00"/>
    <d v="2017-03-01T00:00:00"/>
    <d v="2025-11-05T00:00:00"/>
    <m/>
    <m/>
    <m/>
    <m/>
    <n v="73"/>
    <d v="2023-03-10T00:00:00"/>
    <s v="Completed"/>
    <n v="73"/>
    <s v="Completed:Delayed"/>
    <n v="84"/>
  </r>
  <r>
    <n v="97"/>
    <s v="C8/004"/>
    <s v="Julienne"/>
    <m/>
    <s v="Murererehe"/>
    <s v="Female"/>
    <n v="8"/>
    <s v="Rwanda"/>
    <s v="University of Rwanda"/>
    <s v="University of the Witwatersrand"/>
    <d v="2018-10-30T00:00:00"/>
    <d v="2018-03-01T00:00:00"/>
    <d v="2025-11-05T00:00:00"/>
    <m/>
    <d v="2020-05-01T00:00:00"/>
    <d v="2020-07-31T00:00:00"/>
    <n v="3"/>
    <n v="72"/>
    <d v="2024-05-22T00:00:00"/>
    <s v="Completed"/>
    <n v="72"/>
    <s v="Completed:Delayed"/>
    <n v="64"/>
  </r>
  <r>
    <n v="98"/>
    <s v="C6/010"/>
    <s v="Justin"/>
    <m/>
    <s v="Kumala"/>
    <s v="Male"/>
    <n v="6"/>
    <s v="Malawi"/>
    <s v="University of Malawi"/>
    <s v="University of the Witwatersrand"/>
    <d v="2016-09-09T00:00:00"/>
    <d v="2016-03-01T00:00:00"/>
    <d v="2025-11-05T00:00:00"/>
    <n v="117"/>
    <m/>
    <m/>
    <m/>
    <n v="117"/>
    <d v="2024-11-14T00:00:00"/>
    <s v="Completed"/>
    <n v="105"/>
    <s v="Completed:Delayed"/>
    <n v="99"/>
  </r>
  <r>
    <n v="99"/>
    <s v="C5/014"/>
    <s v="Justine"/>
    <s v="Nnakate"/>
    <s v="Bukenya"/>
    <s v="Female"/>
    <n v="5"/>
    <s v="Uganda"/>
    <s v="Makerere University"/>
    <s v="Makerere University"/>
    <d v="2017-01-30T00:00:00"/>
    <d v="2015-03-01T00:00:00"/>
    <d v="2025-11-05T00:00:00"/>
    <m/>
    <m/>
    <m/>
    <m/>
    <n v="75"/>
    <d v="2021-05-17T00:00:00"/>
    <s v="Completed"/>
    <n v="75"/>
    <s v="Completed:Delayed"/>
    <n v="52"/>
  </r>
  <r>
    <n v="100"/>
    <s v="C4/017"/>
    <s v="Kaitesi"/>
    <s v="Batamuliza"/>
    <s v="Mukara"/>
    <s v="Female"/>
    <n v="4"/>
    <s v="Rwanda"/>
    <s v="University of Rwanda"/>
    <s v="Makerere University"/>
    <d v="2015-12-15T00:00:00"/>
    <d v="2014-03-01T00:00:00"/>
    <d v="2025-11-05T00:00:00"/>
    <m/>
    <m/>
    <m/>
    <m/>
    <n v="87"/>
    <d v="2021-05-17T00:00:00"/>
    <s v="Completed"/>
    <n v="87"/>
    <s v="Completed:Delayed"/>
    <n v="66"/>
  </r>
  <r>
    <n v="101"/>
    <s v="C3/005"/>
    <s v="Kato"/>
    <s v="Charles"/>
    <s v="Drago "/>
    <s v="Male"/>
    <n v="3"/>
    <s v="Uganda"/>
    <s v="Makerere University"/>
    <s v="Makerere University"/>
    <d v="2012-09-11T00:00:00"/>
    <d v="2013-03-01T00:00:00"/>
    <d v="2025-11-05T00:00:00"/>
    <m/>
    <m/>
    <m/>
    <m/>
    <n v="37"/>
    <d v="2016-03-31T00:00:00"/>
    <s v="Completed"/>
    <n v="37"/>
    <s v=" Completed:On time"/>
    <n v="43"/>
  </r>
  <r>
    <n v="102"/>
    <s v="C7/016"/>
    <s v="Kellen"/>
    <s v="Joyce"/>
    <s v="Karimi"/>
    <s v="Female"/>
    <n v="7"/>
    <s v="Kenya"/>
    <s v="University of Nairobi"/>
    <s v="University of the Witwatersrand"/>
    <d v="2017-06-30T00:00:00"/>
    <d v="2017-03-01T00:00:00"/>
    <d v="2025-11-05T00:00:00"/>
    <m/>
    <m/>
    <m/>
    <m/>
    <n v="79"/>
    <d v="2023-09-26T00:00:00"/>
    <s v="Completed"/>
    <n v="79"/>
    <s v="Completed:Delayed"/>
    <n v="75"/>
  </r>
  <r>
    <n v="103"/>
    <s v="C1/015"/>
    <s v="Kennedy"/>
    <s v="S.Naviava"/>
    <s v="Otwombe"/>
    <s v="Male"/>
    <n v="1"/>
    <s v="South Africa"/>
    <s v="University of the Witwatersrand"/>
    <s v="University of the Witwatersrand"/>
    <d v="2011-04-05T00:00:00"/>
    <d v="2011-04-01T00:00:00"/>
    <d v="2025-11-05T00:00:00"/>
    <m/>
    <m/>
    <m/>
    <m/>
    <n v="88"/>
    <d v="2018-07-04T00:00:00"/>
    <s v="Completed"/>
    <n v="88"/>
    <s v="Completed:Delayed"/>
    <n v="87"/>
  </r>
  <r>
    <n v="104"/>
    <s v="C10/013"/>
    <s v="Kganetso"/>
    <s v="-"/>
    <s v="Sekome"/>
    <s v="Male"/>
    <n v="10"/>
    <s v="South Africa"/>
    <s v="University of the Witwatersrand"/>
    <s v="University of the Witwatersrand"/>
    <d v="2019-07-14T00:00:00"/>
    <d v="2020-03-01T00:00:00"/>
    <d v="2025-11-05T00:00:00"/>
    <n v="69"/>
    <m/>
    <m/>
    <m/>
    <n v="69"/>
    <d v="2024-10-31T00:00:00"/>
    <s v="Completed"/>
    <n v="56"/>
    <s v="Completed:Delayed"/>
    <n v="64"/>
  </r>
  <r>
    <n v="105"/>
    <s v="C6/014"/>
    <s v="Khumbo"/>
    <s v="Michael"/>
    <s v="Kalulu"/>
    <s v="Male"/>
    <n v="6"/>
    <s v="Malawi"/>
    <s v="University of Malawi"/>
    <s v="University of Malawi"/>
    <d v="2014-07-08T00:00:00"/>
    <d v="2016-03-01T00:00:00"/>
    <d v="2025-11-05T00:00:00"/>
    <m/>
    <m/>
    <m/>
    <m/>
    <n v="50"/>
    <d v="2020-04-27T00:00:00"/>
    <s v="Completed"/>
    <n v="50"/>
    <s v=" Completed:On time"/>
    <n v="70"/>
  </r>
  <r>
    <n v="106"/>
    <s v="C5/017"/>
    <s v="Kikelomo"/>
    <s v="Abayowa"/>
    <s v="Mbada"/>
    <s v="Female"/>
    <n v="5"/>
    <s v="Nigeria"/>
    <s v="Obafemi Awolowo University"/>
    <s v="Obafemi Awolowo University"/>
    <d v="2014-04-15T00:00:00"/>
    <d v="2015-03-01T00:00:00"/>
    <d v="2025-11-05T00:00:00"/>
    <m/>
    <m/>
    <m/>
    <m/>
    <n v="42"/>
    <d v="2018-08-15T00:00:00"/>
    <s v="Completed"/>
    <n v="42"/>
    <s v=" Completed:On time"/>
    <n v="53"/>
  </r>
  <r>
    <n v="107"/>
    <s v="C9/012"/>
    <s v="Kirsty"/>
    <m/>
    <s v="Van Stormbroek"/>
    <s v="Female"/>
    <n v="9"/>
    <s v="South Africa"/>
    <s v="University of the Witwatersrand"/>
    <s v="University of the Witwatersrand"/>
    <d v="2019-03-04T00:00:00"/>
    <d v="2019-03-01T00:00:00"/>
    <d v="2025-11-05T00:00:00"/>
    <n v="81"/>
    <m/>
    <m/>
    <m/>
    <n v="81"/>
    <d v="2024-05-31T00:00:00"/>
    <s v="Completed"/>
    <n v="63"/>
    <s v="Completed:Delayed"/>
    <n v="63"/>
  </r>
  <r>
    <n v="108"/>
    <s v="C6/012"/>
    <s v="Kudus"/>
    <s v="Oluwatoyin"/>
    <s v="Adebayo"/>
    <s v="Male"/>
    <n v="6"/>
    <s v="Nigeria"/>
    <s v="University of Ibadan"/>
    <s v="University of Ibadan"/>
    <d v="2013-03-25T00:00:00"/>
    <d v="2016-03-01T00:00:00"/>
    <d v="2025-11-05T00:00:00"/>
    <m/>
    <m/>
    <m/>
    <m/>
    <n v="38"/>
    <d v="2019-04-30T00:00:00"/>
    <s v="Completed"/>
    <n v="38"/>
    <s v=" Completed:On time"/>
    <n v="74"/>
  </r>
  <r>
    <n v="109"/>
    <s v="C8/017"/>
    <s v="Lebogang"/>
    <s v="Johanna"/>
    <s v="Maseko"/>
    <s v="Female"/>
    <n v="8"/>
    <s v="South Africa"/>
    <s v="University of the Witwatersrand"/>
    <s v="University of the Witwatersrand"/>
    <d v="2018-08-01T00:00:00"/>
    <d v="2018-03-01T00:00:00"/>
    <d v="2025-11-05T00:00:00"/>
    <n v="93"/>
    <m/>
    <m/>
    <m/>
    <n v="93"/>
    <d v="2024-11-14T00:00:00"/>
    <s v="Completed"/>
    <n v="81"/>
    <s v="Completed:Delayed"/>
    <n v="76"/>
  </r>
  <r>
    <n v="110"/>
    <s v="C5/018"/>
    <s v="Lester"/>
    <m/>
    <s v="Kapanda"/>
    <s v="Male"/>
    <n v="5"/>
    <s v="Malawi"/>
    <s v="University of Malawi"/>
    <s v="University of Malawi"/>
    <d v="2015-03-16T00:00:00"/>
    <d v="2015-03-01T00:00:00"/>
    <d v="2025-11-05T00:00:00"/>
    <m/>
    <m/>
    <m/>
    <m/>
    <n v="61"/>
    <d v="2020-03-19T00:00:00"/>
    <s v="Completed"/>
    <n v="61"/>
    <s v="Completed:Delayed"/>
    <n v="61"/>
  </r>
  <r>
    <n v="111"/>
    <s v="C6/016"/>
    <s v="Macellina"/>
    <s v="Yinyinade"/>
    <s v="Ijadunola"/>
    <s v="Female"/>
    <n v="6"/>
    <s v="Nigeria"/>
    <s v="Obafemi Awolowo University"/>
    <s v="Obafemi Awolowo University"/>
    <d v="2014-08-11T00:00:00"/>
    <d v="2016-03-01T00:00:00"/>
    <d v="2025-11-05T00:00:00"/>
    <m/>
    <m/>
    <m/>
    <m/>
    <n v="46"/>
    <d v="2019-12-14T00:00:00"/>
    <s v="Completed"/>
    <n v="46"/>
    <s v=" Completed:On time"/>
    <n v="65"/>
  </r>
  <r>
    <n v="112"/>
    <s v="C7/009"/>
    <s v="Madalitso"/>
    <s v="Enock"/>
    <s v="Chisati"/>
    <s v="Male"/>
    <n v="7"/>
    <s v="Malawi"/>
    <s v="University of Malawi"/>
    <s v="University of Malawi"/>
    <d v="2016-11-30T00:00:00"/>
    <d v="2017-03-01T00:00:00"/>
    <d v="2025-11-05T00:00:00"/>
    <m/>
    <m/>
    <m/>
    <m/>
    <n v="46"/>
    <d v="2020-12-16T00:00:00"/>
    <s v="Completed"/>
    <n v="46"/>
    <s v=" Completed:On time"/>
    <n v="49"/>
  </r>
  <r>
    <n v="113"/>
    <s v="C4/015"/>
    <s v="Magutah"/>
    <s v="Joel"/>
    <s v="Karani"/>
    <s v="Male"/>
    <n v="4"/>
    <s v="Kenya"/>
    <s v="Moi University"/>
    <s v="University of Nairobi"/>
    <d v="2014-01-03T00:00:00"/>
    <d v="2014-03-01T00:00:00"/>
    <d v="2025-11-05T00:00:00"/>
    <m/>
    <m/>
    <m/>
    <m/>
    <n v="57"/>
    <d v="2018-11-30T00:00:00"/>
    <s v="Completed"/>
    <n v="57"/>
    <s v="Completed:Delayed"/>
    <n v="59"/>
  </r>
  <r>
    <n v="114"/>
    <s v="C6/019"/>
    <s v="Makhosazane"/>
    <s v="Nomhle"/>
    <s v="Khoza"/>
    <s v="Female"/>
    <n v="6"/>
    <s v="South Africa"/>
    <s v="University of the Witwatersrand"/>
    <s v="University of the Witwatersrand"/>
    <d v="2015-02-01T00:00:00"/>
    <d v="2016-03-01T00:00:00"/>
    <d v="2025-11-05T00:00:00"/>
    <m/>
    <m/>
    <m/>
    <m/>
    <n v="76"/>
    <d v="2022-06-06T00:00:00"/>
    <s v="Completed"/>
    <n v="76"/>
    <s v="Completed:Delayed"/>
    <n v="89"/>
  </r>
  <r>
    <n v="115"/>
    <s v="C7/017"/>
    <s v="Marceline"/>
    <s v="Francis"/>
    <s v="Finda"/>
    <s v="Female"/>
    <n v="7"/>
    <s v="Tanzania"/>
    <s v="Ifakara Health Institute"/>
    <s v="University of the Witwatersrand"/>
    <d v="2017-03-31T00:00:00"/>
    <d v="2017-03-01T00:00:00"/>
    <d v="2025-11-05T00:00:00"/>
    <m/>
    <m/>
    <m/>
    <m/>
    <n v="55"/>
    <d v="2021-09-30T00:00:00"/>
    <s v="Completed"/>
    <n v="55"/>
    <s v="Completed:Delayed"/>
    <n v="54"/>
  </r>
  <r>
    <n v="116"/>
    <s v="C8/010"/>
    <s v="Margaret"/>
    <s v="Omowaleola"/>
    <s v="Akinwaare"/>
    <s v="Female"/>
    <n v="8"/>
    <s v="Nigeria"/>
    <s v="University of Ibadan"/>
    <s v="University of Ibadan"/>
    <d v="2015-01-26T00:00:00"/>
    <d v="2018-03-01T00:00:00"/>
    <d v="2025-11-05T00:00:00"/>
    <m/>
    <m/>
    <m/>
    <m/>
    <n v="46"/>
    <d v="2021-12-14T00:00:00"/>
    <s v="Completed"/>
    <n v="46"/>
    <s v=" Completed:On time"/>
    <n v="83"/>
  </r>
  <r>
    <n v="117"/>
    <s v="C5/019"/>
    <s v="Maria"/>
    <s v="Chifuniro"/>
    <s v="Chikalipo"/>
    <s v="Female"/>
    <n v="5"/>
    <s v="Malawi"/>
    <s v="University of Malawi"/>
    <s v="University of Malawi"/>
    <d v="2015-12-14T00:00:00"/>
    <d v="2015-03-01T00:00:00"/>
    <d v="2025-11-05T00:00:00"/>
    <m/>
    <m/>
    <m/>
    <m/>
    <n v="57"/>
    <d v="2019-11-30T00:00:00"/>
    <s v="Completed"/>
    <n v="57"/>
    <s v="Completed:Delayed"/>
    <n v="48"/>
  </r>
  <r>
    <n v="118"/>
    <s v="C6/017"/>
    <s v="Marie Chantal"/>
    <m/>
    <s v="Uwimana"/>
    <s v="Female"/>
    <n v="6"/>
    <s v="Rwanda"/>
    <s v="University of Rwanda"/>
    <s v="University of the Witwatersrand"/>
    <d v="2017-02-16T00:00:00"/>
    <d v="2016-03-01T00:00:00"/>
    <d v="2025-11-05T00:00:00"/>
    <m/>
    <d v="2020-04-09T00:00:00"/>
    <d v="2020-07-23T00:00:00"/>
    <n v="4"/>
    <n v="50"/>
    <d v="2020-08-24T00:00:00"/>
    <s v="Completed"/>
    <n v="50"/>
    <s v=" Completed:On time"/>
    <n v="39"/>
  </r>
  <r>
    <n v="119"/>
    <s v="C7/019"/>
    <s v="Marie Claire"/>
    <s v="-"/>
    <s v="Uwamahoro"/>
    <s v="Female"/>
    <n v="7"/>
    <s v="Rwanda"/>
    <s v="University of Rwanda"/>
    <s v="University of the Witwatersrand"/>
    <d v="2017-07-01T00:00:00"/>
    <d v="2017-03-01T00:00:00"/>
    <d v="2025-11-05T00:00:00"/>
    <m/>
    <m/>
    <m/>
    <m/>
    <n v="51"/>
    <d v="2021-05-28T00:00:00"/>
    <s v="Completed"/>
    <n v="51"/>
    <s v=" Completed:On time"/>
    <n v="47"/>
  </r>
  <r>
    <n v="120"/>
    <s v="C10/014"/>
    <s v="Marifa"/>
    <m/>
    <s v="Muchemwa"/>
    <s v="Female"/>
    <n v="10"/>
    <s v="Zimbabwe"/>
    <s v="University of the Witwatersrand"/>
    <s v="University of the Witwatersrand"/>
    <d v="2020-02-04T00:00:00"/>
    <d v="2020-03-01T00:00:00"/>
    <d v="2025-11-05T00:00:00"/>
    <m/>
    <m/>
    <m/>
    <m/>
    <n v="44"/>
    <d v="2023-10-16T00:00:00"/>
    <s v="Completed"/>
    <n v="44"/>
    <s v=" Completed:On time"/>
    <n v="45"/>
  </r>
  <r>
    <n v="121"/>
    <s v="C3/016"/>
    <s v="Marjorie"/>
    <s v="Kyomuhendo"/>
    <s v="Niyitegeka"/>
    <s v="Female"/>
    <n v="3"/>
    <s v="Uganda"/>
    <s v="Makerere University"/>
    <s v="Makerere University"/>
    <d v="2013-02-20T00:00:00"/>
    <d v="2013-03-01T00:00:00"/>
    <d v="2025-11-05T00:00:00"/>
    <m/>
    <m/>
    <m/>
    <m/>
    <n v="107"/>
    <d v="2022-01-17T00:00:00"/>
    <s v="Completed"/>
    <n v="107"/>
    <s v="Completed:Delayed"/>
    <n v="107"/>
  </r>
  <r>
    <n v="122"/>
    <s v="C7/018"/>
    <s v="Martha"/>
    <s v="Kabudula"/>
    <s v="Makwero"/>
    <s v="Female"/>
    <n v="7"/>
    <s v="Malawi"/>
    <s v="University of Malawi"/>
    <s v="University of the Witwatersrand"/>
    <d v="2017-03-22T00:00:00"/>
    <d v="2017-03-01T00:00:00"/>
    <d v="2025-11-05T00:00:00"/>
    <n v="105"/>
    <m/>
    <m/>
    <m/>
    <n v="105"/>
    <d v="2024-10-30T00:00:00"/>
    <s v="Completed"/>
    <n v="92"/>
    <s v="Completed:Delayed"/>
    <n v="92"/>
  </r>
  <r>
    <n v="123"/>
    <s v="C2/012"/>
    <s v="Mary"/>
    <s v="Oluwafunke"/>
    <s v="Obiyan"/>
    <s v="Female"/>
    <n v="2"/>
    <s v="Nigeria"/>
    <s v="Obafemi Awolowo University"/>
    <s v="Obafemi Awolowo University"/>
    <d v="2012-02-22T00:00:00"/>
    <d v="2012-03-01T00:00:00"/>
    <d v="2025-11-05T00:00:00"/>
    <m/>
    <m/>
    <m/>
    <m/>
    <n v="25"/>
    <d v="2014-03-31T00:00:00"/>
    <s v="Completed"/>
    <n v="25"/>
    <s v=" Completed:On time"/>
    <n v="26"/>
  </r>
  <r>
    <n v="124"/>
    <s v="C6/018"/>
    <s v="Mary"/>
    <s v="Wanjira"/>
    <s v="Njue-Kamau"/>
    <s v="Female"/>
    <n v="6"/>
    <s v="Kenya"/>
    <s v="University of Nairobi"/>
    <s v="University of Nairobi"/>
    <d v="2015-09-25T00:00:00"/>
    <d v="2016-03-01T00:00:00"/>
    <d v="2025-11-05T00:00:00"/>
    <m/>
    <m/>
    <m/>
    <m/>
    <n v="46"/>
    <d v="2019-12-20T00:00:00"/>
    <s v="Completed"/>
    <n v="46"/>
    <s v=" Completed:On time"/>
    <n v="51"/>
  </r>
  <r>
    <n v="125"/>
    <s v="C4/020"/>
    <s v="Mbithi"/>
    <s v="Michael"/>
    <s v="Mutua"/>
    <s v="Male"/>
    <n v="4"/>
    <s v="Kenya"/>
    <s v="APHRC"/>
    <s v="University of the Witwatersrand"/>
    <d v="2014-04-27T00:00:00"/>
    <d v="2014-03-01T00:00:00"/>
    <d v="2025-11-05T00:00:00"/>
    <m/>
    <m/>
    <m/>
    <m/>
    <n v="65"/>
    <d v="2019-07-11T00:00:00"/>
    <s v="Completed"/>
    <n v="65"/>
    <s v="Completed:Delayed"/>
    <n v="63"/>
  </r>
  <r>
    <n v="126"/>
    <s v="C6/003"/>
    <s v="Chimwemwe"/>
    <s v="Chikoko"/>
    <s v="Kwanjo-Banda"/>
    <s v="Female"/>
    <n v="6"/>
    <s v="Malawi"/>
    <s v="University of Malawi"/>
    <s v="University of Malawi"/>
    <d v="2017-04-01T00:00:00"/>
    <d v="2016-03-01T00:00:00"/>
    <d v="2025-11-05T00:00:00"/>
    <n v="117"/>
    <m/>
    <m/>
    <m/>
    <n v="117"/>
    <d v="2025-08-29T00:00:00"/>
    <s v="Completed"/>
    <n v="114"/>
    <s v="Completed:Delayed"/>
    <n v="101"/>
  </r>
  <r>
    <n v="127"/>
    <s v="C4/021"/>
    <s v="Modupe"/>
    <s v="Oladunni"/>
    <s v="Taiwo"/>
    <s v="Female"/>
    <n v="4"/>
    <s v="Nigeria"/>
    <s v="Obafemi Awolowo University"/>
    <s v="Obafemi Awolowo University"/>
    <d v="2012-09-04T00:00:00"/>
    <d v="2014-03-01T00:00:00"/>
    <d v="2025-11-05T00:00:00"/>
    <m/>
    <m/>
    <m/>
    <m/>
    <n v="25"/>
    <d v="2016-03-31T00:00:00"/>
    <s v="Completed"/>
    <n v="25"/>
    <s v=" Completed:On time"/>
    <n v="43"/>
  </r>
  <r>
    <n v="128"/>
    <s v="C4/019"/>
    <s v="Mohamed"/>
    <s v="Kassim"/>
    <s v="Ally"/>
    <s v="Male"/>
    <n v="4"/>
    <s v="Tanzania"/>
    <s v="University of Dar es Salaam"/>
    <s v="University of Dar es Salaam"/>
    <d v="2014-04-01T00:00:00"/>
    <d v="2014-03-01T00:00:00"/>
    <d v="2025-11-05T00:00:00"/>
    <m/>
    <m/>
    <m/>
    <m/>
    <n v="50"/>
    <d v="2018-04-11T00:00:00"/>
    <s v="Completed"/>
    <n v="50"/>
    <s v=" Completed:On time"/>
    <n v="49"/>
  </r>
  <r>
    <n v="129"/>
    <s v="C1/012"/>
    <s v="Mphatso"/>
    <s v="Steve Wilbes"/>
    <s v="Kamndaya"/>
    <s v="Male"/>
    <n v="1"/>
    <s v="Malawi"/>
    <s v="University of Malawi"/>
    <s v="University of the Witwatersrand"/>
    <d v="2011-03-10T00:00:00"/>
    <d v="2011-04-01T00:00:00"/>
    <d v="2025-11-05T00:00:00"/>
    <m/>
    <m/>
    <m/>
    <m/>
    <n v="60"/>
    <d v="2016-03-31T00:00:00"/>
    <s v="Completed"/>
    <n v="60"/>
    <s v="Completed:Delayed"/>
    <n v="61"/>
  </r>
  <r>
    <n v="130"/>
    <s v="C7/001"/>
    <s v="Abigail"/>
    <s v="Ruth"/>
    <s v="Dreyer"/>
    <s v="Female"/>
    <n v="7"/>
    <s v="South Africa"/>
    <s v="University of the Witwatersrand"/>
    <s v="University of the Witwatersrand"/>
    <d v="2016-09-01T00:00:00"/>
    <d v="2017-03-01T00:00:00"/>
    <d v="2025-11-05T00:00:00"/>
    <n v="105"/>
    <m/>
    <m/>
    <m/>
    <n v="105"/>
    <d v="2025-07-14T00:00:00"/>
    <s v="Completed"/>
    <n v="101"/>
    <s v="Completed:Delayed"/>
    <n v="107"/>
  </r>
  <r>
    <n v="131"/>
    <s v="C6/023"/>
    <s v="Mpho"/>
    <s v="Primrose"/>
    <s v="Molete"/>
    <s v="Female"/>
    <n v="6"/>
    <s v="South Africa"/>
    <s v="University of the Witwatersrand"/>
    <s v="University of the Witwatersrand"/>
    <d v="2016-01-04T00:00:00"/>
    <d v="2016-03-01T00:00:00"/>
    <d v="2025-11-05T00:00:00"/>
    <m/>
    <m/>
    <m/>
    <m/>
    <n v="63"/>
    <d v="2021-05-04T00:00:00"/>
    <s v="Completed"/>
    <n v="63"/>
    <s v="Completed:Delayed"/>
    <n v="65"/>
  </r>
  <r>
    <n v="132"/>
    <s v="C6/015"/>
    <s v="Mumuni"/>
    <m/>
    <s v="Adejumo"/>
    <s v="Male"/>
    <n v="6"/>
    <s v="Nigeria"/>
    <s v="University of Ibadan"/>
    <s v="University of Ibadan"/>
    <d v="2013-05-09T00:00:00"/>
    <d v="2016-03-01T00:00:00"/>
    <d v="2025-11-05T00:00:00"/>
    <m/>
    <m/>
    <m/>
    <m/>
    <n v="67"/>
    <d v="2021-09-14T00:00:00"/>
    <s v="Completed"/>
    <n v="67"/>
    <s v="Completed:Delayed"/>
    <n v="101"/>
  </r>
  <r>
    <n v="133"/>
    <s v="C2/017"/>
    <s v="Nakubuluwa"/>
    <m/>
    <s v="Sarah"/>
    <s v="Female"/>
    <n v="2"/>
    <s v="Uganda"/>
    <s v="Makerere University"/>
    <s v="Makerere University"/>
    <d v="2012-01-23T00:00:00"/>
    <d v="2012-03-01T00:00:00"/>
    <d v="2025-11-05T00:00:00"/>
    <m/>
    <m/>
    <m/>
    <m/>
    <n v="59"/>
    <d v="2017-01-31T00:00:00"/>
    <s v="Completed"/>
    <n v="59"/>
    <s v="Completed:Delayed"/>
    <n v="61"/>
  </r>
  <r>
    <n v="134"/>
    <s v="C2/016"/>
    <s v="Nalugo"/>
    <s v="Scovia"/>
    <s v="Mbalinda"/>
    <s v="Female"/>
    <n v="2"/>
    <s v="Uganda"/>
    <s v="Makerere University"/>
    <s v="Makerere University"/>
    <d v="2011-11-20T00:00:00"/>
    <d v="2012-03-01T00:00:00"/>
    <d v="2025-11-05T00:00:00"/>
    <m/>
    <m/>
    <m/>
    <m/>
    <n v="71"/>
    <d v="2018-01-08T00:00:00"/>
    <s v="Completed"/>
    <n v="71"/>
    <s v="Completed:Delayed"/>
    <n v="74"/>
  </r>
  <r>
    <n v="135"/>
    <s v="C1/014"/>
    <s v="Nicole"/>
    <m/>
    <s v="De Wet"/>
    <s v="Female"/>
    <n v="1"/>
    <s v="South Africa"/>
    <s v="University of the Witwatersrand"/>
    <s v="University of the Witwatersrand"/>
    <d v="2011-03-03T00:00:00"/>
    <d v="2011-04-01T00:00:00"/>
    <d v="2025-11-05T00:00:00"/>
    <m/>
    <m/>
    <m/>
    <m/>
    <n v="32"/>
    <d v="2013-11-30T00:00:00"/>
    <s v="Completed"/>
    <n v="32"/>
    <s v=" Completed:On time"/>
    <n v="33"/>
  </r>
  <r>
    <n v="136"/>
    <s v="C4/023"/>
    <s v="Nilian"/>
    <s v="Ayuma"/>
    <s v="Mukungu"/>
    <s v="Female"/>
    <n v="4"/>
    <s v="Kenya"/>
    <s v="University of Nairobi"/>
    <s v="University of Nairobi"/>
    <d v="2015-03-02T00:00:00"/>
    <d v="2014-03-01T00:00:00"/>
    <d v="2025-11-05T00:00:00"/>
    <m/>
    <m/>
    <m/>
    <m/>
    <n v="103"/>
    <d v="2022-09-23T00:00:00"/>
    <s v="Completed"/>
    <n v="103"/>
    <s v="Completed:Delayed"/>
    <n v="91"/>
  </r>
  <r>
    <n v="137"/>
    <s v="C7/020"/>
    <s v="Nishimwe"/>
    <s v="Aurore"/>
    <s v="Aurore"/>
    <s v="Female"/>
    <n v="7"/>
    <s v="Rwanda"/>
    <s v="University of Rwanda"/>
    <s v="University of the Witwatersrand"/>
    <d v="2017-04-01T00:00:00"/>
    <d v="2017-03-01T00:00:00"/>
    <d v="2025-11-05T00:00:00"/>
    <m/>
    <m/>
    <m/>
    <m/>
    <n v="68"/>
    <d v="2022-10-17T00:00:00"/>
    <s v="Completed"/>
    <n v="68"/>
    <s v="Completed:Delayed"/>
    <n v="67"/>
  </r>
  <r>
    <n v="138"/>
    <s v="C2/011"/>
    <s v="Njuguna"/>
    <s v="John"/>
    <s v="Njenga"/>
    <s v="Male"/>
    <n v="2"/>
    <s v="Kenya"/>
    <s v="University of Nairobi"/>
    <s v="University of Nairobi"/>
    <d v="2012-02-20T00:00:00"/>
    <d v="2012-03-01T00:00:00"/>
    <d v="2025-11-05T00:00:00"/>
    <m/>
    <m/>
    <m/>
    <m/>
    <n v="58"/>
    <d v="2016-12-31T00:00:00"/>
    <s v="Completed"/>
    <n v="58"/>
    <s v="Completed:Delayed"/>
    <n v="59"/>
  </r>
  <r>
    <n v="139"/>
    <s v="C4/022"/>
    <s v="Nkosiyazi"/>
    <s v="-"/>
    <s v="Dube"/>
    <s v="Male"/>
    <n v="4"/>
    <s v="South Africa"/>
    <s v="University of the Witwatersrand"/>
    <s v="University of the Witwatersrand"/>
    <d v="2014-01-01T00:00:00"/>
    <d v="2014-03-01T00:00:00"/>
    <d v="2025-11-05T00:00:00"/>
    <m/>
    <m/>
    <m/>
    <m/>
    <n v="53"/>
    <d v="2018-07-04T00:00:00"/>
    <s v="Completed"/>
    <n v="53"/>
    <s v="Completed:Delayed"/>
    <n v="55"/>
  </r>
  <r>
    <n v="140"/>
    <s v="C6/007"/>
    <s v="Nomfundo"/>
    <s v="Nzuza"/>
    <s v="Moroe"/>
    <s v="Female"/>
    <n v="6"/>
    <s v="South Africa"/>
    <s v="University of the Witwatersrand"/>
    <s v="University of the Witwatersrand"/>
    <d v="2015-02-01T00:00:00"/>
    <d v="2016-03-01T00:00:00"/>
    <d v="2025-11-05T00:00:00"/>
    <m/>
    <m/>
    <m/>
    <m/>
    <n v="32"/>
    <d v="2018-10-25T00:00:00"/>
    <s v="Completed"/>
    <n v="32"/>
    <s v=" Completed:On time"/>
    <n v="45"/>
  </r>
  <r>
    <n v="141"/>
    <s v="C3/019"/>
    <s v="Obasola"/>
    <s v="Ireti"/>
    <s v="Oluwaseun"/>
    <s v="Female"/>
    <n v="3"/>
    <s v="Nigeria"/>
    <s v="University of Ibadan"/>
    <s v="University of Ibadan"/>
    <d v="2012-09-26T00:00:00"/>
    <d v="2013-03-01T00:00:00"/>
    <d v="2025-11-05T00:00:00"/>
    <m/>
    <m/>
    <m/>
    <m/>
    <n v="49"/>
    <d v="2017-03-31T00:00:00"/>
    <s v="Completed"/>
    <n v="49"/>
    <s v=" Completed:On time"/>
    <n v="55"/>
  </r>
  <r>
    <n v="142"/>
    <s v="C3/015"/>
    <s v="Ojo"/>
    <s v="Melvin"/>
    <s v="Agunbiade"/>
    <s v="Male"/>
    <n v="3"/>
    <s v="Nigeria"/>
    <s v="Obafemi Awolowo University"/>
    <s v="University of the Witwatersrand"/>
    <d v="2013-02-25T00:00:00"/>
    <d v="2013-03-01T00:00:00"/>
    <d v="2025-11-05T00:00:00"/>
    <m/>
    <m/>
    <m/>
    <m/>
    <n v="43"/>
    <d v="2016-09-07T00:00:00"/>
    <s v="Completed"/>
    <n v="43"/>
    <s v=" Completed:On time"/>
    <n v="43"/>
  </r>
  <r>
    <n v="143"/>
    <s v="C4/026"/>
    <s v="Oladapo"/>
    <s v="Oluwaseun"/>
    <s v="Akinyemi"/>
    <s v="Male"/>
    <n v="4"/>
    <s v="Nigeria"/>
    <s v="University of Ibadan"/>
    <s v="University of the Witwatersrand"/>
    <d v="2014-02-25T00:00:00"/>
    <d v="2014-03-01T00:00:00"/>
    <d v="2025-11-05T00:00:00"/>
    <m/>
    <m/>
    <m/>
    <m/>
    <n v="81"/>
    <d v="2020-11-02T00:00:00"/>
    <s v="Completed"/>
    <n v="81"/>
    <s v="Completed:Delayed"/>
    <n v="81"/>
  </r>
  <r>
    <n v="144"/>
    <s v="C9/016"/>
    <s v="Olindah"/>
    <s v="Mkhonto"/>
    <s v="Silaule"/>
    <s v="Female"/>
    <n v="9"/>
    <s v="South Africa"/>
    <s v="University of the Witwatersrand"/>
    <s v="University of the Witwatersrand"/>
    <d v="2020-01-31T00:00:00"/>
    <d v="2019-03-01T00:00:00"/>
    <d v="2025-11-05T00:00:00"/>
    <m/>
    <m/>
    <m/>
    <m/>
    <n v="63"/>
    <d v="2024-05-29T00:00:00"/>
    <s v="Completed"/>
    <n v="63"/>
    <s v="Completed:Delayed"/>
    <n v="52"/>
  </r>
  <r>
    <n v="145"/>
    <s v="C6/021"/>
    <s v="Olivia"/>
    <s v="Millicent Awino"/>
    <s v="Osiro"/>
    <s v="Female"/>
    <n v="6"/>
    <s v="Kenya"/>
    <s v="University of Nairobi"/>
    <s v="University of Nairobi"/>
    <d v="2016-10-06T00:00:00"/>
    <d v="2016-03-01T00:00:00"/>
    <d v="2025-11-05T00:00:00"/>
    <m/>
    <m/>
    <m/>
    <m/>
    <n v="45"/>
    <d v="2019-11-20T00:00:00"/>
    <s v="Completed"/>
    <n v="45"/>
    <s v=" Completed:On time"/>
    <n v="38"/>
  </r>
  <r>
    <n v="146"/>
    <s v="C7/021"/>
    <s v="Olufemi"/>
    <s v="Mayowa"/>
    <s v="Adetutu"/>
    <s v="Male"/>
    <n v="7"/>
    <s v="Nigeria"/>
    <s v="Obafemi Awolowo University"/>
    <s v="Obafemi Awolowo University"/>
    <d v="2016-11-09T00:00:00"/>
    <d v="2017-03-01T00:00:00"/>
    <d v="2025-11-05T00:00:00"/>
    <m/>
    <m/>
    <m/>
    <m/>
    <n v="34"/>
    <d v="2019-12-14T00:00:00"/>
    <s v="Completed"/>
    <n v="34"/>
    <s v=" Completed:On time"/>
    <n v="38"/>
  </r>
  <r>
    <n v="147"/>
    <s v="C3/018"/>
    <s v="Olufunmilayo"/>
    <s v="Olufunmilola"/>
    <s v="Banjo"/>
    <s v="Female"/>
    <n v="3"/>
    <s v="Nigeria"/>
    <s v="Obafemi Awolowo University"/>
    <s v="Obafemi Awolowo University"/>
    <d v="2013-01-30T00:00:00"/>
    <d v="2013-03-01T00:00:00"/>
    <d v="2025-11-05T00:00:00"/>
    <m/>
    <m/>
    <m/>
    <m/>
    <n v="27"/>
    <d v="2015-05-27T00:00:00"/>
    <s v="Completed"/>
    <n v="27"/>
    <s v=" Completed:On time"/>
    <n v="28"/>
  </r>
  <r>
    <n v="148"/>
    <s v="C7/022"/>
    <s v="Olufunmilola"/>
    <s v="Onabanjo"/>
    <s v="Ogun"/>
    <s v="Female"/>
    <n v="7"/>
    <s v="Nigeria"/>
    <s v="University of Ibadan"/>
    <s v="University of Ibadan"/>
    <d v="2017-10-30T00:00:00"/>
    <d v="2017-03-01T00:00:00"/>
    <d v="2025-11-05T00:00:00"/>
    <m/>
    <d v="2020-09-01T00:00:00"/>
    <d v="2021-05-01T00:00:00"/>
    <n v="8"/>
    <n v="50"/>
    <d v="2021-12-13T00:00:00"/>
    <s v="Completed"/>
    <n v="50"/>
    <s v=" Completed:On time"/>
    <n v="42"/>
  </r>
  <r>
    <n v="149"/>
    <s v="C9/002"/>
    <s v="Olujide"/>
    <s v="Olusesan"/>
    <s v="Arije"/>
    <s v="Male"/>
    <n v="9"/>
    <s v="Nigeria"/>
    <s v="Obafemi Awolowo University"/>
    <s v="University of the Witwatersrand"/>
    <d v="2020-01-07T00:00:00"/>
    <d v="2019-03-01T00:00:00"/>
    <d v="2025-11-05T00:00:00"/>
    <m/>
    <m/>
    <m/>
    <m/>
    <n v="56"/>
    <d v="2023-10-03T00:00:00"/>
    <s v="Completed"/>
    <n v="56"/>
    <s v="Completed:Delayed"/>
    <n v="45"/>
  </r>
  <r>
    <n v="150"/>
    <s v="C3/007"/>
    <s v="Olusegun"/>
    <s v="Emmanuel"/>
    <s v="Thomas"/>
    <s v="Male"/>
    <n v="3"/>
    <s v="Nigeria"/>
    <s v="University of Ibadan"/>
    <s v="University of Ibadan"/>
    <d v="2012-04-05T00:00:00"/>
    <d v="2013-03-01T00:00:00"/>
    <d v="2025-11-05T00:00:00"/>
    <m/>
    <m/>
    <m/>
    <m/>
    <n v="54"/>
    <d v="2017-08-31T00:00:00"/>
    <s v="Completed"/>
    <n v="54"/>
    <s v="Completed:Delayed"/>
    <n v="65"/>
  </r>
  <r>
    <n v="151"/>
    <s v="C7/023"/>
    <s v="Oluseye"/>
    <s v="Ademola"/>
    <s v="Okunola"/>
    <s v="Male"/>
    <n v="7"/>
    <s v="Nigeria"/>
    <s v="Obafemi Awolowo University"/>
    <s v="Obafemi Awolowo University"/>
    <d v="2017-04-12T00:00:00"/>
    <d v="2017-03-01T00:00:00"/>
    <d v="2025-11-05T00:00:00"/>
    <m/>
    <m/>
    <m/>
    <m/>
    <n v="54"/>
    <d v="2021-08-02T00:00:00"/>
    <s v="Completed"/>
    <n v="54"/>
    <s v="Completed:Delayed"/>
    <n v="52"/>
  </r>
  <r>
    <n v="152"/>
    <s v="C8/001"/>
    <s v=" Lindiwe"/>
    <m/>
    <s v="Farlane"/>
    <s v="Female"/>
    <n v="8"/>
    <s v="South Africa"/>
    <s v="University of the Witwatersrand"/>
    <s v="University of the Witwatersrand"/>
    <d v="2019-01-02T00:00:00"/>
    <d v="2018-03-01T00:00:00"/>
    <d v="2025-11-05T00:00:00"/>
    <n v="93"/>
    <m/>
    <m/>
    <m/>
    <n v="93"/>
    <d v="2025-04-29T00:00:00"/>
    <s v="Completed"/>
    <n v="86"/>
    <s v="Completed:Delayed"/>
    <n v="76"/>
  </r>
  <r>
    <n v="153"/>
    <s v="C7/024"/>
    <s v="Olusola"/>
    <s v="Oluyinka"/>
    <s v="Olawoye"/>
    <s v="Female"/>
    <n v="7"/>
    <s v="Nigeria"/>
    <s v="University of Ibadan"/>
    <s v="University of Ibadan"/>
    <d v="2015-10-30T00:00:00"/>
    <d v="2017-03-01T00:00:00"/>
    <d v="2025-11-05T00:00:00"/>
    <m/>
    <d v="2020-09-03T00:00:00"/>
    <d v="2021-06-01T00:00:00"/>
    <n v="9"/>
    <n v="44"/>
    <d v="2021-07-27T00:00:00"/>
    <s v="Completed"/>
    <n v="44"/>
    <s v=" Completed:On time"/>
    <n v="60"/>
  </r>
  <r>
    <n v="154"/>
    <s v="C8/003"/>
    <s v="Jean de Dieu"/>
    <m/>
    <s v="Habimana"/>
    <s v="Male"/>
    <n v="8"/>
    <s v="Rwanda"/>
    <s v="University of Rwanda"/>
    <s v="University of Rwanda"/>
    <d v="2018-03-01T00:00:00"/>
    <d v="2018-03-01T00:00:00"/>
    <d v="2025-11-05T00:00:00"/>
    <n v="93"/>
    <m/>
    <m/>
    <m/>
    <n v="93"/>
    <m/>
    <s v="In progress"/>
    <s v="In progress: Above 60 months"/>
    <s v="In progress: Above 60 months"/>
    <m/>
  </r>
  <r>
    <n v="155"/>
    <s v="C6/022"/>
    <s v="Olutoyin"/>
    <s v="Olubunmi"/>
    <s v="Sekoni"/>
    <s v="Female"/>
    <n v="6"/>
    <s v="Nigeria"/>
    <s v="University of Ibadan"/>
    <s v="University of the Witwatersrand"/>
    <d v="2017-06-05T00:00:00"/>
    <d v="2016-03-01T00:00:00"/>
    <d v="2025-11-05T00:00:00"/>
    <m/>
    <m/>
    <m/>
    <m/>
    <n v="88"/>
    <d v="2023-06-28T00:00:00"/>
    <s v="Completed"/>
    <n v="88"/>
    <s v="Completed:Delayed"/>
    <n v="73"/>
  </r>
  <r>
    <n v="156"/>
    <s v="C8/015"/>
    <s v="Oluwaseun"/>
    <s v="Taiwo"/>
    <s v="Esan"/>
    <s v="Female"/>
    <n v="8"/>
    <s v="Nigeria"/>
    <s v="Obafemi Awolowo University"/>
    <s v="University of the Witwatersrand"/>
    <d v="2018-05-01T00:00:00"/>
    <d v="2018-03-01T00:00:00"/>
    <d v="2025-11-05T00:00:00"/>
    <m/>
    <m/>
    <m/>
    <m/>
    <n v="55"/>
    <d v="2022-09-30T00:00:00"/>
    <s v="Completed"/>
    <n v="55"/>
    <s v="Completed:Delayed"/>
    <n v="53"/>
  </r>
  <r>
    <n v="157"/>
    <s v="C6/004"/>
    <s v="Oluwaseyi"/>
    <s v="Dolapo"/>
    <s v="Somefun"/>
    <s v="Female"/>
    <n v="6"/>
    <s v="Nigeria"/>
    <s v="University of the Witwatersrand"/>
    <s v="University of the Witwatersrand"/>
    <d v="2016-04-04T00:00:00"/>
    <d v="2016-03-01T00:00:00"/>
    <d v="2025-11-05T00:00:00"/>
    <m/>
    <d v="2022-12-01T00:00:00"/>
    <d v="2023-02-28T00:00:00"/>
    <n v="3"/>
    <n v="41"/>
    <d v="2019-10-30T00:00:00"/>
    <s v="Completed"/>
    <n v="41"/>
    <s v=" Completed:On time"/>
    <n v="40"/>
  </r>
  <r>
    <n v="158"/>
    <s v="C9/020"/>
    <s v="Omolayo "/>
    <s v="Bukola "/>
    <s v="Oluwatope"/>
    <s v="Female"/>
    <n v="9"/>
    <s v="Nigeria"/>
    <s v="Obafemi Awolowo University"/>
    <s v="Obafemi Awolowo University"/>
    <d v="2018-10-23T00:00:00"/>
    <d v="2019-03-01T00:00:00"/>
    <d v="2025-11-05T00:00:00"/>
    <m/>
    <m/>
    <m/>
    <m/>
    <n v="47"/>
    <d v="2023-01-12T00:00:00"/>
    <s v="Completed"/>
    <n v="47"/>
    <s v=" Completed:On time"/>
    <n v="51"/>
  </r>
  <r>
    <n v="159"/>
    <s v="C5/021"/>
    <s v="Oyewale"/>
    <s v="Mayowa"/>
    <s v="Morakinyo"/>
    <s v="Male"/>
    <n v="5"/>
    <s v="Nigeria"/>
    <s v="University of Ibadan"/>
    <s v="University of Ibadan"/>
    <d v="2013-07-04T00:00:00"/>
    <d v="2015-03-01T00:00:00"/>
    <d v="2025-11-05T00:00:00"/>
    <m/>
    <m/>
    <m/>
    <m/>
    <n v="95"/>
    <d v="2023-01-31T00:00:00"/>
    <s v="Completed"/>
    <n v="95"/>
    <s v="Completed:Delayed"/>
    <n v="115"/>
  </r>
  <r>
    <n v="160"/>
    <s v="C8/019"/>
    <s v="Oyeyemi"/>
    <s v="Olajumoke"/>
    <s v="Oyelade"/>
    <s v="Female"/>
    <n v="8"/>
    <s v="Nigeria"/>
    <s v="Obafemi Awolowo University"/>
    <s v="University of the Witwatersrand"/>
    <d v="2018-07-30T00:00:00"/>
    <d v="2018-03-01T00:00:00"/>
    <d v="2025-11-05T00:00:00"/>
    <m/>
    <m/>
    <m/>
    <m/>
    <n v="52"/>
    <d v="2022-06-29T00:00:00"/>
    <s v="Completed"/>
    <n v="52"/>
    <s v="Completed:Delayed"/>
    <n v="47"/>
  </r>
  <r>
    <n v="161"/>
    <s v="C8/011"/>
    <s v="Angella"/>
    <m/>
    <s v="Musewa"/>
    <s v="Female"/>
    <n v="8"/>
    <s v="Uganda"/>
    <s v="Makerere University"/>
    <s v="University of Nairobi"/>
    <d v="2019-01-28T00:00:00"/>
    <d v="2018-03-01T00:00:00"/>
    <d v="2025-11-05T00:00:00"/>
    <n v="93"/>
    <m/>
    <m/>
    <m/>
    <n v="93"/>
    <m/>
    <s v="In progress"/>
    <s v="In progress: Above 60 months"/>
    <s v="In progress: Above 60 months"/>
    <m/>
  </r>
  <r>
    <n v="162"/>
    <s v="C8/012"/>
    <s v="Robert"/>
    <m/>
    <s v="Rutayisire"/>
    <s v="Male"/>
    <n v="8"/>
    <s v="Rwanda"/>
    <s v="University of Rwanda"/>
    <s v="University of Nairobi"/>
    <d v="2018-08-13T00:00:00"/>
    <d v="2018-03-01T00:00:00"/>
    <d v="2025-11-05T00:00:00"/>
    <n v="93"/>
    <m/>
    <m/>
    <m/>
    <n v="93"/>
    <m/>
    <s v="In progress"/>
    <s v="In progress: Above 60 months"/>
    <s v="In progress: Above 60 months"/>
    <m/>
  </r>
  <r>
    <n v="163"/>
    <s v="C1/016"/>
    <s v="Peter"/>
    <s v="Suriwakenda"/>
    <s v="Nyasulu"/>
    <s v="Male"/>
    <n v="1"/>
    <s v="Malawi"/>
    <s v="University of the Witwatersrand"/>
    <s v="University of the Witwatersrand"/>
    <d v="2011-03-03T00:00:00"/>
    <d v="2011-04-01T00:00:00"/>
    <d v="2025-11-05T00:00:00"/>
    <m/>
    <m/>
    <m/>
    <m/>
    <n v="42"/>
    <d v="2014-09-30T00:00:00"/>
    <s v="Completed"/>
    <n v="42"/>
    <s v=" Completed:On time"/>
    <n v="43"/>
  </r>
  <r>
    <n v="164"/>
    <s v="C2/014"/>
    <s v="Peter"/>
    <s v="Mpasho"/>
    <s v="Mwamtobe"/>
    <s v="Male"/>
    <n v="2"/>
    <s v="Malawi"/>
    <s v="University of Malawi"/>
    <s v="University of Malawi"/>
    <d v="2012-10-04T00:00:00"/>
    <d v="2012-03-01T00:00:00"/>
    <d v="2025-11-05T00:00:00"/>
    <m/>
    <m/>
    <m/>
    <m/>
    <n v="37"/>
    <d v="2015-03-01T00:00:00"/>
    <s v="Completed"/>
    <n v="37"/>
    <s v=" Completed:On time"/>
    <n v="29"/>
  </r>
  <r>
    <n v="165"/>
    <s v="C9/005"/>
    <s v="Priscille"/>
    <m/>
    <s v="Musabirema"/>
    <s v="Female"/>
    <n v="9"/>
    <s v="Rwanda"/>
    <s v="University of Rwanda"/>
    <s v="University of the Witwatersrand"/>
    <d v="2020-01-10T00:00:00"/>
    <d v="2019-03-01T00:00:00"/>
    <d v="2025-11-05T00:00:00"/>
    <m/>
    <m/>
    <m/>
    <m/>
    <n v="57"/>
    <d v="2023-11-10T00:00:00"/>
    <s v="Completed"/>
    <n v="57"/>
    <s v="Completed:Delayed"/>
    <n v="47"/>
  </r>
  <r>
    <n v="166"/>
    <s v="C4/024"/>
    <s v="Respicius"/>
    <s v="Shombusho"/>
    <s v="Damian"/>
    <s v="Male"/>
    <n v="4"/>
    <s v="Tanzania"/>
    <s v="University of Dar es Salaam"/>
    <s v="University of Dar es Salaam"/>
    <d v="2014-04-17T00:00:00"/>
    <d v="2014-03-01T00:00:00"/>
    <d v="2025-11-05T00:00:00"/>
    <m/>
    <m/>
    <m/>
    <m/>
    <n v="57"/>
    <d v="2018-11-13T00:00:00"/>
    <s v="Completed"/>
    <n v="57"/>
    <s v="Completed:Delayed"/>
    <n v="55"/>
  </r>
  <r>
    <n v="167"/>
    <s v="C1/017"/>
    <s v="Rose"/>
    <s v="Okoyo"/>
    <s v="Opiyo"/>
    <s v="Female"/>
    <n v="1"/>
    <s v="Kenya"/>
    <s v="University of Nairobi"/>
    <s v="University of Nairobi"/>
    <d v="2011-09-15T00:00:00"/>
    <d v="2011-04-01T00:00:00"/>
    <d v="2025-11-05T00:00:00"/>
    <m/>
    <m/>
    <m/>
    <m/>
    <n v="54"/>
    <d v="2015-09-30T00:00:00"/>
    <s v="Completed"/>
    <n v="54"/>
    <s v="Completed:Delayed"/>
    <n v="49"/>
  </r>
  <r>
    <n v="168"/>
    <s v="C8/018"/>
    <s v="Anne"/>
    <s v="Njeri"/>
    <s v="Maina"/>
    <s v="Female"/>
    <n v="8"/>
    <s v="Kenya"/>
    <s v="University of Nairobi"/>
    <s v="University of Nairobi"/>
    <d v="2019-01-01T00:00:00"/>
    <d v="2018-03-01T00:00:00"/>
    <d v="2025-11-05T00:00:00"/>
    <n v="93"/>
    <m/>
    <m/>
    <m/>
    <n v="93"/>
    <m/>
    <s v="In progress"/>
    <s v="In progress: Above 60 months"/>
    <s v="In progress: Above 60 months"/>
    <m/>
  </r>
  <r>
    <n v="169"/>
    <s v="C3/010"/>
    <s v="Samanta"/>
    <s v="Tresha"/>
    <s v="Lalla-Edward"/>
    <s v="Female"/>
    <n v="3"/>
    <s v="South Africa"/>
    <s v="University of the Witwatersrand"/>
    <s v="University of the Witwatersrand"/>
    <d v="2013-10-01T00:00:00"/>
    <d v="2013-03-01T00:00:00"/>
    <d v="2025-11-05T00:00:00"/>
    <m/>
    <m/>
    <m/>
    <m/>
    <n v="65"/>
    <d v="2018-07-10T00:00:00"/>
    <s v="Completed"/>
    <n v="65"/>
    <s v="Completed:Delayed"/>
    <n v="58"/>
  </r>
  <r>
    <n v="170"/>
    <s v="C8/007"/>
    <s v="Samuel"/>
    <s v="Waweru"/>
    <s v="Mwaniki"/>
    <s v="Male"/>
    <n v="8"/>
    <s v="Kenya"/>
    <s v="University of Nairobi"/>
    <s v="University of the Witwatersrand"/>
    <d v="2018-09-30T00:00:00"/>
    <d v="2018-03-01T00:00:00"/>
    <d v="2025-11-05T00:00:00"/>
    <m/>
    <m/>
    <m/>
    <m/>
    <n v="64"/>
    <d v="2023-06-07T00:00:00"/>
    <s v="Completed"/>
    <n v="64"/>
    <s v="Completed:Delayed"/>
    <n v="57"/>
  </r>
  <r>
    <n v="171"/>
    <s v="C4/027"/>
    <s v="Sara"/>
    <s v="Jewett"/>
    <s v="Nieuwoudt"/>
    <s v="Female"/>
    <n v="4"/>
    <s v="South Africa"/>
    <s v="University of the Witwatersrand"/>
    <s v="University of the Witwatersrand"/>
    <d v="2014-08-16T00:00:00"/>
    <d v="2014-03-01T00:00:00"/>
    <d v="2025-11-05T00:00:00"/>
    <m/>
    <m/>
    <m/>
    <m/>
    <n v="65"/>
    <d v="2019-07-12T00:00:00"/>
    <s v="Completed"/>
    <n v="65"/>
    <s v="Completed:Delayed"/>
    <n v="59"/>
  </r>
  <r>
    <n v="172"/>
    <s v="C8/024"/>
    <s v="Oluwafemi"/>
    <s v="Akinyele"/>
    <s v="Popoola"/>
    <s v="Male"/>
    <n v="8"/>
    <s v="Nigeria"/>
    <s v="University of Ibadan"/>
    <s v="University of Ibadan"/>
    <d v="2018-11-01T00:00:00"/>
    <d v="2018-03-01T00:00:00"/>
    <d v="2025-11-05T00:00:00"/>
    <n v="93"/>
    <m/>
    <m/>
    <m/>
    <n v="93"/>
    <m/>
    <s v="In progress"/>
    <s v="In progress: Above 60 months"/>
    <s v="In progress: Above 60 months"/>
    <m/>
  </r>
  <r>
    <n v="173"/>
    <s v="C8/025"/>
    <s v="Catherine"/>
    <m/>
    <s v="Kafu"/>
    <s v="Female"/>
    <n v="8"/>
    <s v="Kenya"/>
    <s v="Moi University"/>
    <s v="University of the Witwatersrand"/>
    <d v="2018-09-03T00:00:00"/>
    <d v="2018-03-01T00:00:00"/>
    <d v="2025-11-05T00:00:00"/>
    <n v="93"/>
    <m/>
    <m/>
    <m/>
    <n v="93"/>
    <d v="2025-02-13T00:00:00"/>
    <s v="Completed"/>
    <n v="84"/>
    <s v="Completed:Delayed"/>
    <n v="78"/>
  </r>
  <r>
    <n v="174"/>
    <s v="C8/026"/>
    <s v="Agnes"/>
    <s v="Jemuge"/>
    <s v="Maleyo"/>
    <s v="Female"/>
    <n v="8"/>
    <s v="Kenya"/>
    <s v="Moi University"/>
    <s v="University of Nairobi"/>
    <d v="2016-08-12T00:00:00"/>
    <d v="2018-03-01T00:00:00"/>
    <d v="2025-11-05T00:00:00"/>
    <n v="93"/>
    <m/>
    <m/>
    <m/>
    <n v="93"/>
    <m/>
    <s v="In progress"/>
    <s v="In progress: Above 60 months"/>
    <s v="In progress: Above 60 months"/>
    <m/>
  </r>
  <r>
    <n v="175"/>
    <s v="C3/022"/>
    <s v="Save"/>
    <m/>
    <s v="Kumwenda"/>
    <s v="Male"/>
    <n v="3"/>
    <s v="Malawi"/>
    <s v="University of Malawi"/>
    <s v="University of Malawi"/>
    <d v="2013-11-01T00:00:00"/>
    <d v="2013-03-01T00:00:00"/>
    <d v="2025-11-05T00:00:00"/>
    <m/>
    <m/>
    <m/>
    <m/>
    <n v="74"/>
    <d v="2019-04-13T00:00:00"/>
    <s v="Completed"/>
    <n v="74"/>
    <s v="Completed:Delayed"/>
    <n v="66"/>
  </r>
  <r>
    <n v="176"/>
    <s v="C10/021"/>
    <s v="Shakeerah "/>
    <s v="Olaide"/>
    <s v="Gbadebo"/>
    <s v="Female"/>
    <n v="10"/>
    <s v="Nigeria"/>
    <s v="University of Ibadan"/>
    <s v="University of Ibadan"/>
    <d v="2020-12-17T00:00:00"/>
    <d v="2020-03-01T00:00:00"/>
    <d v="2025-11-05T00:00:00"/>
    <n v="69"/>
    <d v="2024-05-01T00:00:00"/>
    <d v="2024-08-31T00:00:00"/>
    <n v="4"/>
    <n v="69"/>
    <d v="2024-10-03T00:00:00"/>
    <s v="Completed"/>
    <n v="52"/>
    <s v="Completed:Delayed"/>
    <n v="42"/>
  </r>
  <r>
    <n v="177"/>
    <s v="C8/009"/>
    <s v="Siphamandla"/>
    <s v="Bonga"/>
    <s v="Gumede"/>
    <s v="Male"/>
    <n v="8"/>
    <s v="South Africa"/>
    <s v="University of the Witwatersrand"/>
    <s v="University of the Witwatersrand"/>
    <d v="2019-01-01T00:00:00"/>
    <d v="2018-03-01T00:00:00"/>
    <d v="2025-11-05T00:00:00"/>
    <n v="93"/>
    <m/>
    <m/>
    <m/>
    <n v="93"/>
    <d v="2024-11-14T00:00:00"/>
    <s v="Completed"/>
    <n v="81"/>
    <s v="Completed:Delayed"/>
    <n v="71"/>
  </r>
  <r>
    <n v="178"/>
    <s v="C9/004"/>
    <s v="Noel"/>
    <m/>
    <s v="Korukire"/>
    <s v="Male"/>
    <n v="9"/>
    <s v="Rwanda"/>
    <s v="University of Rwanda"/>
    <s v="University of Rwanda"/>
    <d v="2019-09-01T00:00:00"/>
    <d v="2019-03-01T00:00:00"/>
    <d v="2025-11-05T00:00:00"/>
    <n v="81"/>
    <m/>
    <m/>
    <m/>
    <n v="81"/>
    <d v="2025-08-20T00:00:00"/>
    <s v="Completed"/>
    <n v="78"/>
    <s v="Completed:Delayed"/>
    <n v="72"/>
  </r>
  <r>
    <n v="179"/>
    <s v="C9/003"/>
    <s v="Skye"/>
    <s v="Nandi"/>
    <s v="Adams"/>
    <s v="Female"/>
    <n v="9"/>
    <s v="South Africa"/>
    <s v="University of the Witwatersrand"/>
    <s v="University of the Witwatersrand"/>
    <d v="2018-05-22T00:00:00"/>
    <d v="2019-03-01T00:00:00"/>
    <d v="2025-11-05T00:00:00"/>
    <m/>
    <m/>
    <m/>
    <m/>
    <n v="44"/>
    <d v="2022-10-17T00:00:00"/>
    <s v="Completed"/>
    <n v="44"/>
    <s v=" Completed:On time"/>
    <n v="53"/>
  </r>
  <r>
    <n v="180"/>
    <s v="C9/006"/>
    <s v="Lilian"/>
    <s v="Nkirote"/>
    <s v="Njagi"/>
    <s v="Female"/>
    <n v="9"/>
    <s v="Kenya"/>
    <s v="University of Nairobi"/>
    <s v="University of Nairobi"/>
    <d v="2018-12-08T00:00:00"/>
    <d v="2019-03-01T00:00:00"/>
    <d v="2025-11-05T00:00:00"/>
    <n v="81"/>
    <d v="2023-09-01T00:00:00"/>
    <d v="2024-06-30T00:00:00"/>
    <n v="10"/>
    <n v="81"/>
    <d v="2024-12-14T00:00:00"/>
    <s v="Completed"/>
    <n v="60"/>
    <s v="Completed:Delayed"/>
    <m/>
  </r>
  <r>
    <n v="181"/>
    <s v="C9/007"/>
    <s v="Leonidas"/>
    <m/>
    <s v="Banamwana"/>
    <s v="Male"/>
    <n v="9"/>
    <s v="Rwanda"/>
    <s v="University of Rwanda"/>
    <s v="University of Rwanda"/>
    <d v="2019-10-20T00:00:00"/>
    <d v="2019-03-01T00:00:00"/>
    <d v="2025-11-05T00:00:00"/>
    <n v="81"/>
    <m/>
    <m/>
    <m/>
    <n v="81"/>
    <m/>
    <s v="In progress"/>
    <s v="In progress: Above 60 months"/>
    <s v="In progress: Above 60 months"/>
    <m/>
  </r>
  <r>
    <n v="182"/>
    <s v="C7/026"/>
    <s v="Sonti"/>
    <s v="Imogene"/>
    <s v="Pilusa"/>
    <s v="Female"/>
    <n v="7"/>
    <s v="South Africa"/>
    <s v="University of the Witwatersrand"/>
    <s v="University of the Witwatersrand"/>
    <d v="2017-02-03T00:00:00"/>
    <d v="2017-03-01T00:00:00"/>
    <d v="2025-11-05T00:00:00"/>
    <m/>
    <m/>
    <m/>
    <m/>
    <n v="57"/>
    <d v="2021-11-09T00:00:00"/>
    <s v="Completed"/>
    <n v="57"/>
    <s v="Completed:Delayed"/>
    <n v="58"/>
  </r>
  <r>
    <n v="183"/>
    <s v="C9/009"/>
    <s v="Cyril"/>
    <s v="Nyalik"/>
    <s v="Ogada"/>
    <s v="Male"/>
    <n v="9"/>
    <s v="Kenya"/>
    <s v="University of Nairobi"/>
    <s v="University of the Witwatersrand"/>
    <d v="2020-08-12T00:00:00"/>
    <d v="2019-03-01T00:00:00"/>
    <d v="2025-11-05T00:00:00"/>
    <n v="81"/>
    <m/>
    <m/>
    <m/>
    <n v="81"/>
    <m/>
    <s v="In progress"/>
    <s v="In progress: Above 60 months"/>
    <s v="In progress: Above 60 months"/>
    <m/>
  </r>
  <r>
    <n v="184"/>
    <s v="C2/006"/>
    <s v="Stephen"/>
    <s v="Ojiambo"/>
    <s v="Wandera"/>
    <s v="Male"/>
    <n v="2"/>
    <s v="Uganda"/>
    <s v="Makerere University"/>
    <s v="Makerere University"/>
    <d v="2012-02-07T00:00:00"/>
    <d v="2012-03-01T00:00:00"/>
    <d v="2025-11-05T00:00:00"/>
    <m/>
    <m/>
    <m/>
    <m/>
    <n v="49"/>
    <d v="2016-03-31T00:00:00"/>
    <s v="Completed"/>
    <n v="49"/>
    <s v=" Completed:On time"/>
    <n v="50"/>
  </r>
  <r>
    <n v="185"/>
    <s v="C7/025"/>
    <s v="Stevens"/>
    <s v="M.B"/>
    <s v="Kisaka"/>
    <s v="Male"/>
    <n v="7"/>
    <s v="Uganda"/>
    <s v="Makerere University"/>
    <s v="University of Nairobi"/>
    <d v="2017-06-01T00:00:00"/>
    <d v="2017-03-01T00:00:00"/>
    <d v="2025-11-05T00:00:00"/>
    <m/>
    <m/>
    <m/>
    <m/>
    <n v="70"/>
    <d v="2022-12-06T00:00:00"/>
    <s v="Completed"/>
    <n v="70"/>
    <s v="Completed:Delayed"/>
    <n v="67"/>
  </r>
  <r>
    <n v="186"/>
    <s v="C1/019"/>
    <s v="Sulaimon"/>
    <s v="Taiwo"/>
    <s v="Adedokun"/>
    <s v="Male"/>
    <n v="1"/>
    <s v="Nigeria"/>
    <s v="Obafemi Awolowo University"/>
    <s v="Obafemi Awolowo University"/>
    <d v="2011-03-01T00:00:00"/>
    <d v="2011-04-01T00:00:00"/>
    <d v="2025-11-05T00:00:00"/>
    <m/>
    <m/>
    <m/>
    <m/>
    <n v="26"/>
    <d v="2013-05-01T00:00:00"/>
    <s v="Completed"/>
    <n v="26"/>
    <s v=" Completed:On time"/>
    <n v="27"/>
  </r>
  <r>
    <n v="187"/>
    <s v="C1/020"/>
    <s v="Sulaimon"/>
    <s v="Atolagbe"/>
    <s v="Afolabi"/>
    <s v="Male"/>
    <n v="1"/>
    <s v="Nigeria"/>
    <s v="AGINCOURT"/>
    <s v="University of the Witwatersrand"/>
    <d v="2011-03-01T00:00:00"/>
    <d v="2011-04-01T00:00:00"/>
    <d v="2025-11-05T00:00:00"/>
    <m/>
    <m/>
    <m/>
    <m/>
    <n v="81"/>
    <d v="2017-12-04T00:00:00"/>
    <s v="Completed"/>
    <n v="81"/>
    <s v="Completed:Delayed"/>
    <n v="82"/>
  </r>
  <r>
    <n v="188"/>
    <s v="C9/014"/>
    <s v="OLUFUNMILOLA"/>
    <s v="BAMIDELE"/>
    <s v="MAKANJUOLA"/>
    <s v="Female"/>
    <n v="9"/>
    <s v="Nigeria"/>
    <s v="University of Ibadan"/>
    <s v="University of Ibadan"/>
    <d v="2019-01-07T00:00:00"/>
    <d v="2019-03-01T00:00:00"/>
    <d v="2025-11-05T00:00:00"/>
    <n v="81"/>
    <m/>
    <m/>
    <m/>
    <n v="81"/>
    <m/>
    <s v="In progress"/>
    <s v="In progress: Above 60 months"/>
    <s v="In progress: Above 60 months"/>
    <m/>
  </r>
  <r>
    <n v="189"/>
    <s v="C1/018"/>
    <s v="Sunday"/>
    <s v="Adepoju"/>
    <s v="Adedini"/>
    <s v="Male"/>
    <n v="1"/>
    <s v="Nigeria"/>
    <s v="Obafemi Awolowo University"/>
    <s v="University of the Witwatersrand"/>
    <d v="2011-02-08T00:00:00"/>
    <d v="2011-04-01T00:00:00"/>
    <d v="2025-11-05T00:00:00"/>
    <m/>
    <m/>
    <m/>
    <m/>
    <n v="24"/>
    <d v="2013-03-01T00:00:00"/>
    <s v="Completed"/>
    <n v="24"/>
    <s v=" Completed:On time"/>
    <n v="25"/>
  </r>
  <r>
    <n v="190"/>
    <s v="C4/025"/>
    <s v="Sunday"/>
    <s v="Joseph"/>
    <s v="Ayamolowo"/>
    <s v="Male"/>
    <n v="4"/>
    <s v="Nigeria"/>
    <s v="Obafemi Awolowo University"/>
    <s v="Obafemi Awolowo University"/>
    <d v="2014-08-15T00:00:00"/>
    <d v="2014-03-01T00:00:00"/>
    <d v="2025-11-05T00:00:00"/>
    <m/>
    <m/>
    <m/>
    <m/>
    <n v="57"/>
    <d v="2018-11-29T00:00:00"/>
    <s v="Completed"/>
    <n v="57"/>
    <s v="Completed:Delayed"/>
    <n v="52"/>
  </r>
  <r>
    <n v="191"/>
    <s v="C5/005"/>
    <s v="Taiwo"/>
    <s v="Akinyode"/>
    <s v="Obembe"/>
    <s v="Male"/>
    <n v="5"/>
    <s v="Nigeria"/>
    <s v="University of Ibadan"/>
    <s v="University of the Witwatersrand"/>
    <d v="2016-07-04T00:00:00"/>
    <d v="2015-03-01T00:00:00"/>
    <d v="2025-11-05T00:00:00"/>
    <m/>
    <m/>
    <m/>
    <m/>
    <n v="81"/>
    <d v="2021-11-29T00:00:00"/>
    <s v="Completed"/>
    <n v="81"/>
    <s v="Completed:Delayed"/>
    <n v="65"/>
  </r>
  <r>
    <n v="192"/>
    <s v="C9/019"/>
    <s v="Ronald"/>
    <s v="Kibet"/>
    <s v="Tonui"/>
    <s v="Male"/>
    <n v="9"/>
    <s v="Kenya"/>
    <s v="Moi University"/>
    <s v="University of the Witwatersrand"/>
    <d v="2020-01-01T00:00:00"/>
    <d v="2019-03-01T00:00:00"/>
    <d v="2025-11-05T00:00:00"/>
    <n v="81"/>
    <m/>
    <m/>
    <m/>
    <n v="81"/>
    <m/>
    <s v="In progress"/>
    <s v="In progress: Above 60 months"/>
    <s v="In progress: Above 60 months"/>
    <m/>
  </r>
  <r>
    <n v="193"/>
    <s v="C1/008"/>
    <s v="Taofeek"/>
    <s v="Oluwole"/>
    <s v="Awotidebe"/>
    <s v="Male"/>
    <n v="1"/>
    <s v="Nigeria"/>
    <s v="Obafemi Awolowo University"/>
    <s v="University of Ibadan"/>
    <d v="2011-07-15T00:00:00"/>
    <d v="2011-04-01T00:00:00"/>
    <d v="2025-11-05T00:00:00"/>
    <m/>
    <m/>
    <m/>
    <m/>
    <n v="56"/>
    <d v="2015-11-17T00:00:00"/>
    <s v="Completed"/>
    <n v="56"/>
    <s v="Completed:Delayed"/>
    <n v="53"/>
  </r>
  <r>
    <n v="194"/>
    <s v="C6/013"/>
    <s v="Taofeek"/>
    <s v="Kolawole"/>
    <s v="Aliyu"/>
    <s v="Male"/>
    <n v="6"/>
    <s v="Nigeria"/>
    <s v="Obafemi Awolowo University"/>
    <s v="Obafemi Awolowo University"/>
    <d v="2016-12-20T00:00:00"/>
    <d v="2016-03-01T00:00:00"/>
    <d v="2025-11-05T00:00:00"/>
    <m/>
    <m/>
    <m/>
    <m/>
    <n v="42"/>
    <d v="2019-08-01T00:00:00"/>
    <s v="Completed"/>
    <n v="42"/>
    <s v=" Completed:On time"/>
    <n v="32"/>
  </r>
  <r>
    <n v="195"/>
    <s v="C9/022"/>
    <s v="Glory "/>
    <m/>
    <s v="Mzembe"/>
    <s v="Female"/>
    <n v="9"/>
    <s v="Malawi"/>
    <s v="University of Malawi"/>
    <s v="University of Malawi"/>
    <d v="2019-12-16T00:00:00"/>
    <d v="2019-03-01T00:00:00"/>
    <d v="2025-11-05T00:00:00"/>
    <n v="81"/>
    <d v="2023-06-01T00:00:00"/>
    <d v="2024-05-31T00:00:00"/>
    <n v="12"/>
    <n v="81"/>
    <m/>
    <s v="In progress"/>
    <s v="In progress: Above 60 months"/>
    <s v="In progress: Above 60 months"/>
    <m/>
  </r>
  <r>
    <n v="196"/>
    <s v="C9/023"/>
    <s v="Temitope "/>
    <m/>
    <s v="Ilori"/>
    <s v="Female"/>
    <n v="9"/>
    <s v="Nigeria"/>
    <s v="University of Ibadan"/>
    <s v="University of Ibadan"/>
    <d v="2020-01-10T00:00:00"/>
    <d v="2019-03-01T00:00:00"/>
    <d v="2025-11-05T00:00:00"/>
    <n v="81"/>
    <m/>
    <m/>
    <m/>
    <n v="81"/>
    <m/>
    <s v="In progress"/>
    <s v="In progress: Above 60 months"/>
    <s v="In progress: Above 60 months"/>
    <m/>
  </r>
  <r>
    <n v="197"/>
    <s v="C3/008"/>
    <s v="Tonney"/>
    <s v="Stophen"/>
    <s v="Nyirenda"/>
    <s v="Male"/>
    <n v="3"/>
    <s v="Malawi"/>
    <s v="University of Malawi"/>
    <s v="University of Malawi"/>
    <d v="2011-11-01T00:00:00"/>
    <d v="2013-03-01T00:00:00"/>
    <d v="2025-11-05T00:00:00"/>
    <m/>
    <m/>
    <m/>
    <m/>
    <n v="28"/>
    <d v="2015-06-18T00:00:00"/>
    <s v="Completed"/>
    <n v="28"/>
    <s v=" Completed:On time"/>
    <n v="44"/>
  </r>
  <r>
    <n v="198"/>
    <s v="C10/002"/>
    <s v="Aline"/>
    <m/>
    <s v="Uwase"/>
    <s v="Female"/>
    <n v="10"/>
    <s v="Rwanda"/>
    <s v="University of Rwanda"/>
    <s v="University of the Witwatersrand"/>
    <d v="2019-12-16T00:00:00"/>
    <d v="2020-03-01T00:00:00"/>
    <d v="2025-11-05T00:00:00"/>
    <n v="69"/>
    <m/>
    <m/>
    <m/>
    <n v="69"/>
    <d v="2025-10-06T00:00:00"/>
    <s v="Completed"/>
    <n v="68"/>
    <s v="Completed:Delayed"/>
    <m/>
  </r>
  <r>
    <n v="199"/>
    <s v="C4/010"/>
    <s v="Tumaini"/>
    <s v="Chiseko"/>
    <s v="Malenga"/>
    <s v="Female"/>
    <n v="4"/>
    <s v="Malawi"/>
    <s v="University of Malawi"/>
    <s v="University of Malawi"/>
    <d v="2014-03-31T00:00:00"/>
    <d v="2014-03-01T00:00:00"/>
    <d v="2025-11-05T00:00:00"/>
    <m/>
    <m/>
    <m/>
    <m/>
    <n v="94"/>
    <d v="2021-12-09T00:00:00"/>
    <s v="Completed"/>
    <n v="94"/>
    <s v="Completed:Delayed"/>
    <n v="93"/>
  </r>
  <r>
    <n v="200"/>
    <s v="C10/004"/>
    <s v="Aneth"/>
    <s v="Vedastus"/>
    <s v="Kalinjuma"/>
    <s v="Female"/>
    <n v="10"/>
    <s v="Tanzania"/>
    <s v="Ifakara Health Institute"/>
    <s v="University of the Witwatersrand"/>
    <d v="2020-09-15T00:00:00"/>
    <d v="2020-03-01T00:00:00"/>
    <d v="2025-11-05T00:00:00"/>
    <n v="69"/>
    <m/>
    <m/>
    <m/>
    <n v="69"/>
    <m/>
    <s v="In progress"/>
    <s v="In progress: Above 60 months"/>
    <s v="In progress: Above 60 months"/>
    <m/>
  </r>
  <r>
    <n v="201"/>
    <s v="C10/005"/>
    <s v="Apatsa"/>
    <m/>
    <s v="Selemani"/>
    <s v="Male"/>
    <n v="10"/>
    <s v="Malawi"/>
    <s v="University of Malawi"/>
    <s v="University of the Witwatersrand"/>
    <d v="2021-08-16T00:00:00"/>
    <d v="2020-03-01T00:00:00"/>
    <d v="2025-11-05T00:00:00"/>
    <n v="69"/>
    <m/>
    <m/>
    <m/>
    <n v="69"/>
    <d v="2025-10-20T00:00:00"/>
    <s v="Completed"/>
    <n v="68"/>
    <s v="Completed:Delayed"/>
    <m/>
  </r>
  <r>
    <n v="202"/>
    <s v="C6/024"/>
    <s v="Tutu"/>
    <s v="Said"/>
    <s v="Mzee"/>
    <s v="Female"/>
    <n v="6"/>
    <s v="Tanzania"/>
    <s v="Ifakara Health Institute"/>
    <s v="University of Dar es Salaam"/>
    <d v="2016-10-20T00:00:00"/>
    <d v="2016-03-01T00:00:00"/>
    <d v="2025-11-05T00:00:00"/>
    <m/>
    <m/>
    <m/>
    <m/>
    <n v="99"/>
    <d v="2024-05-31T00:00:00"/>
    <s v="Completed"/>
    <n v="99"/>
    <s v="Completed:Delayed"/>
    <n v="92"/>
  </r>
  <r>
    <n v="203"/>
    <s v="C6/005"/>
    <s v="Valens"/>
    <m/>
    <s v="Mbarushimana"/>
    <s v="Male"/>
    <n v="6"/>
    <s v="Rwanda"/>
    <s v="University of Rwanda"/>
    <s v="University of the Witwatersrand"/>
    <d v="2017-03-16T00:00:00"/>
    <d v="2016-03-01T00:00:00"/>
    <d v="2025-11-05T00:00:00"/>
    <n v="117"/>
    <m/>
    <m/>
    <m/>
    <n v="117"/>
    <d v="2024-10-26T00:00:00"/>
    <s v="Completed"/>
    <n v="104"/>
    <s v="Completed:Delayed"/>
    <n v="92"/>
  </r>
  <r>
    <n v="204"/>
    <s v="C10/009"/>
    <s v="Emmanuel"/>
    <m/>
    <s v="Nzabonimana"/>
    <s v="Male"/>
    <n v="10"/>
    <s v="Rwanda"/>
    <s v="University of Rwanda"/>
    <s v="University of the Witwatersrand"/>
    <d v="2020-06-01T00:00:00"/>
    <d v="2020-03-01T00:00:00"/>
    <d v="2025-11-05T00:00:00"/>
    <n v="69"/>
    <m/>
    <m/>
    <m/>
    <n v="69"/>
    <d v="2024-12-22T00:00:00"/>
    <s v="Completed"/>
    <n v="58"/>
    <s v="Completed:Delayed"/>
    <n v="55"/>
  </r>
  <r>
    <n v="205"/>
    <s v="C1/006"/>
    <s v="Victoria"/>
    <s v="Mathew"/>
    <s v="Mwakalinga Chuma"/>
    <s v="Female"/>
    <n v="1"/>
    <s v="Tanzania"/>
    <s v="Ifakara Health Institute"/>
    <s v="University of the Witwatersrand"/>
    <d v="2011-03-07T00:00:00"/>
    <d v="2011-04-01T00:00:00"/>
    <d v="2025-11-05T00:00:00"/>
    <m/>
    <m/>
    <m/>
    <m/>
    <n v="81"/>
    <d v="2017-12-04T00:00:00"/>
    <s v="Completed"/>
    <n v="81"/>
    <s v="Completed:Delayed"/>
    <n v="81"/>
  </r>
  <r>
    <n v="206"/>
    <s v="C7/008"/>
    <s v="Wanangwa"/>
    <s v="Chimwaza"/>
    <s v="Manda"/>
    <s v="Female"/>
    <n v="7"/>
    <s v="Malawi"/>
    <s v="University of Malawi"/>
    <s v="University of the Witwatersrand"/>
    <d v="2017-09-21T00:00:00"/>
    <d v="2017-03-01T00:00:00"/>
    <d v="2025-11-05T00:00:00"/>
    <m/>
    <m/>
    <m/>
    <m/>
    <n v="81"/>
    <d v="2023-11-18T00:00:00"/>
    <s v="Completed"/>
    <n v="81"/>
    <s v="Completed:Delayed"/>
    <n v="74"/>
  </r>
  <r>
    <n v="207"/>
    <s v="C1/005"/>
    <s v="Wells"/>
    <m/>
    <s v="Utembe"/>
    <s v="Male"/>
    <n v="1"/>
    <s v="Malawi"/>
    <s v="University of Malawi"/>
    <s v="University of the Witwatersrand"/>
    <d v="2011-04-13T00:00:00"/>
    <d v="2011-04-01T00:00:00"/>
    <d v="2025-11-05T00:00:00"/>
    <m/>
    <m/>
    <m/>
    <m/>
    <n v="63"/>
    <d v="2016-06-30T00:00:00"/>
    <s v="Completed"/>
    <n v="63"/>
    <s v="Completed:Delayed"/>
    <n v="63"/>
  </r>
  <r>
    <n v="208"/>
    <s v="C9/011"/>
    <s v="Wilfred"/>
    <m/>
    <s v="Eneku"/>
    <s v="Male"/>
    <n v="9"/>
    <s v="Uganda"/>
    <s v="Makerere University"/>
    <s v="Makerere University"/>
    <d v="2019-04-01T00:00:00"/>
    <d v="2019-03-01T00:00:00"/>
    <d v="2025-11-05T00:00:00"/>
    <n v="81"/>
    <m/>
    <m/>
    <m/>
    <n v="81"/>
    <d v="2024-07-10T00:00:00"/>
    <s v="Completed"/>
    <n v="65"/>
    <s v="Completed:Delayed"/>
    <n v="64"/>
  </r>
  <r>
    <n v="209"/>
    <s v="C4/009"/>
    <s v="Winnie"/>
    <s v="Chepkurui"/>
    <s v="Mutai"/>
    <s v="Female"/>
    <n v="4"/>
    <s v="Kenya"/>
    <s v="University of Nairobi"/>
    <s v="University of Nairobi"/>
    <d v="2015-03-15T00:00:00"/>
    <d v="2014-03-01T00:00:00"/>
    <d v="2025-11-05T00:00:00"/>
    <m/>
    <m/>
    <m/>
    <m/>
    <n v="115"/>
    <d v="2023-09-22T00:00:00"/>
    <s v="Completed"/>
    <n v="115"/>
    <s v="Completed:Delayed"/>
    <n v="103"/>
  </r>
  <r>
    <n v="210"/>
    <s v="C10/015"/>
    <s v="Mary"/>
    <s v="Ogbenyi"/>
    <s v="Ugalahi"/>
    <s v="Female"/>
    <n v="10"/>
    <s v="Nigeria"/>
    <s v="University of Ibadan"/>
    <s v="University of Ibadan"/>
    <d v="2020-05-04T00:00:00"/>
    <d v="2020-03-01T00:00:00"/>
    <d v="2025-11-05T00:00:00"/>
    <n v="69"/>
    <m/>
    <m/>
    <m/>
    <n v="69"/>
    <d v="2025-03-01T00:00:00"/>
    <s v="Completed"/>
    <n v="61"/>
    <s v="Completed:Delayed"/>
    <n v="58"/>
  </r>
  <r>
    <n v="211"/>
    <s v="C10/016"/>
    <s v="Maureen"/>
    <s v="Daisy"/>
    <s v="Majamanda"/>
    <s v="Female"/>
    <n v="10"/>
    <s v="Malawi"/>
    <s v="University of Malawi"/>
    <s v="University of Malawi"/>
    <d v="2021-07-21T00:00:00"/>
    <d v="2020-03-01T00:00:00"/>
    <d v="2025-11-05T00:00:00"/>
    <n v="69"/>
    <m/>
    <m/>
    <m/>
    <n v="69"/>
    <m/>
    <s v="In progress"/>
    <s v="In progress: Above 60 months"/>
    <s v="In progress: Above 60 months"/>
    <m/>
  </r>
  <r>
    <n v="212"/>
    <s v="C10/017"/>
    <s v="Monday"/>
    <s v="Daniel"/>
    <s v="Olodu"/>
    <s v="Male"/>
    <n v="10"/>
    <s v="Nigeria"/>
    <s v="Obafemi Awolowo University"/>
    <s v="University of Ibadan"/>
    <d v="2021-03-12T00:00:00"/>
    <d v="2020-03-01T00:00:00"/>
    <d v="2025-11-05T00:00:00"/>
    <n v="69"/>
    <m/>
    <m/>
    <m/>
    <n v="69"/>
    <d v="2025-08-20T00:00:00"/>
    <s v="Completed"/>
    <n v="66"/>
    <s v="Completed:Delayed"/>
    <m/>
  </r>
  <r>
    <n v="213"/>
    <s v="C10/018"/>
    <s v="Oluwatosin"/>
    <s v="Eunice"/>
    <s v="Olorunmoteni"/>
    <s v="Female"/>
    <n v="10"/>
    <s v="Nigeria"/>
    <s v="Obafemi Awolowo University"/>
    <s v="Obafemi Awolowo University"/>
    <d v="2021-04-19T00:00:00"/>
    <d v="2020-03-01T00:00:00"/>
    <d v="2025-11-05T00:00:00"/>
    <n v="69"/>
    <m/>
    <m/>
    <m/>
    <n v="69"/>
    <d v="2025-03-31T00:00:00"/>
    <s v="Completed"/>
    <n v="61"/>
    <s v="Completed:Delayed"/>
    <m/>
  </r>
  <r>
    <n v="214"/>
    <s v="C10/019"/>
    <s v="Omotade"/>
    <s v="Adebimpe"/>
    <s v="Ijarotimi"/>
    <s v="Female"/>
    <n v="10"/>
    <s v="Nigeria"/>
    <s v="Obafemi Awolowo University"/>
    <s v="University of Ibadan"/>
    <d v="2021-01-21T00:00:00"/>
    <d v="2020-03-01T00:00:00"/>
    <d v="2025-11-05T00:00:00"/>
    <n v="69"/>
    <m/>
    <m/>
    <m/>
    <n v="69"/>
    <m/>
    <s v="In progress"/>
    <s v="In progress: Above 60 months"/>
    <s v="In progress: Above 60 months"/>
    <m/>
  </r>
  <r>
    <n v="215"/>
    <s v="C10/020"/>
    <s v="Patience"/>
    <m/>
    <s v="Shamu"/>
    <s v="Female"/>
    <n v="10"/>
    <s v="Zimbabwe"/>
    <s v="University of the Witwatersrand"/>
    <s v="University of the Witwatersrand"/>
    <d v="2021-03-10T00:00:00"/>
    <d v="2020-03-01T00:00:00"/>
    <d v="2025-11-05T00:00:00"/>
    <n v="69"/>
    <m/>
    <m/>
    <m/>
    <n v="69"/>
    <m/>
    <s v="In progress"/>
    <s v="In progress: Above 60 months"/>
    <s v="In progress: Above 60 months"/>
    <m/>
  </r>
  <r>
    <n v="216"/>
    <s v="C5/004"/>
    <s v="Yolanda"/>
    <s v="Malele"/>
    <s v="Kolisa"/>
    <s v="Female"/>
    <n v="5"/>
    <s v="South Africa"/>
    <s v="University of the Witwatersrand"/>
    <s v="University of the Witwatersrand"/>
    <d v="2016-03-01T00:00:00"/>
    <d v="2015-03-01T00:00:00"/>
    <d v="2025-11-05T00:00:00"/>
    <m/>
    <m/>
    <m/>
    <m/>
    <n v="75"/>
    <d v="2021-05-18T00:00:00"/>
    <s v="Completed"/>
    <n v="75"/>
    <s v="Completed:Delayed"/>
    <n v="63"/>
  </r>
  <r>
    <n v="217"/>
    <s v="C10/022"/>
    <s v="Stefanie"/>
    <m/>
    <s v="Vermaak"/>
    <s v="Female"/>
    <n v="10"/>
    <s v="South Africa"/>
    <s v="University of the Witwatersrand"/>
    <s v="University of the Witwatersrand"/>
    <d v="2019-08-01T00:00:00"/>
    <d v="2020-03-01T00:00:00"/>
    <d v="2025-11-05T00:00:00"/>
    <n v="69"/>
    <m/>
    <m/>
    <m/>
    <n v="69"/>
    <m/>
    <s v="In progress"/>
    <s v="In progress: Above 60 months"/>
    <s v="In progress: Above 60 months"/>
    <m/>
  </r>
  <r>
    <n v="218"/>
    <s v="C10/023"/>
    <s v="Takondwa"/>
    <s v="Connis"/>
    <s v="Bakuwa"/>
    <s v="Female"/>
    <n v="10"/>
    <s v="Malawi"/>
    <s v="University of Malawi"/>
    <s v="University of the Witwatersrand"/>
    <d v="2021-10-10T00:00:00"/>
    <d v="2020-03-01T00:00:00"/>
    <d v="2025-11-05T00:00:00"/>
    <n v="69"/>
    <m/>
    <m/>
    <m/>
    <n v="69"/>
    <m/>
    <s v="In progress"/>
    <s v="In progress: Above 60 months"/>
    <s v="In progress: Above 60 months"/>
    <m/>
  </r>
  <r>
    <n v="219"/>
    <s v="C10/024"/>
    <s v="Temitope"/>
    <s v="Olumuyiwa"/>
    <s v="Ojo"/>
    <s v="Male"/>
    <n v="10"/>
    <s v="Nigeria"/>
    <s v="Obafemi Awolowo University"/>
    <s v="University of the Witwatersrand"/>
    <d v="2022-03-02T00:00:00"/>
    <d v="2020-03-01T00:00:00"/>
    <d v="2025-11-05T00:00:00"/>
    <n v="69"/>
    <m/>
    <m/>
    <m/>
    <n v="69"/>
    <m/>
    <s v="In progress"/>
    <s v="In progress: Above 60 months"/>
    <s v="In progress: Above 60 months"/>
    <m/>
  </r>
  <r>
    <n v="220"/>
    <s v="C10/025"/>
    <s v="Yetunde"/>
    <s v="A"/>
    <s v="Onimode"/>
    <s v="Female"/>
    <n v="10"/>
    <s v="Nigeria"/>
    <s v="University of Ibadan"/>
    <s v="University of the Witwatersrand"/>
    <d v="2021-08-24T00:00:00"/>
    <d v="2020-03-01T00:00:00"/>
    <d v="2025-11-05T00:00:00"/>
    <n v="69"/>
    <m/>
    <m/>
    <m/>
    <n v="69"/>
    <m/>
    <s v="In progress"/>
    <s v="In progress: Above 60 months"/>
    <s v="In progress: Above 60 months"/>
    <m/>
  </r>
  <r>
    <n v="221"/>
    <s v="C11/001"/>
    <s v="Adeola"/>
    <s v="Temitope"/>
    <s v="Williams"/>
    <s v="Female"/>
    <n v="11"/>
    <s v="Nigeria"/>
    <s v="University of Ibadan"/>
    <s v="University of Ibadan"/>
    <m/>
    <d v="2025-03-01T00:00:00"/>
    <d v="2025-11-05T00:00:00"/>
    <n v="9"/>
    <m/>
    <m/>
    <m/>
    <m/>
    <m/>
    <s v="In progress"/>
    <s v="In progress: Below 60 Months"/>
    <s v="In progress: Below 60 Months"/>
    <m/>
  </r>
  <r>
    <n v="222"/>
    <s v="C11/002"/>
    <s v="Amina"/>
    <s v="Hassan"/>
    <s v="Hussein"/>
    <s v="Female"/>
    <n v="11"/>
    <s v="Somalia"/>
    <s v="Somali National University"/>
    <m/>
    <m/>
    <d v="2025-03-01T00:00:00"/>
    <d v="2025-11-05T00:00:00"/>
    <n v="9"/>
    <m/>
    <m/>
    <m/>
    <m/>
    <m/>
    <s v="In progress"/>
    <s v="In progress: Below 60 Months"/>
    <s v="In progress: Below 60 Months"/>
    <m/>
  </r>
  <r>
    <n v="223"/>
    <s v="C11/003"/>
    <s v="Christabellah"/>
    <m/>
    <s v="Namugenyi"/>
    <s v="Female"/>
    <n v="11"/>
    <s v="Uganda"/>
    <s v="Makerere University"/>
    <s v="Makerere University"/>
    <m/>
    <d v="2025-03-01T00:00:00"/>
    <d v="2025-11-05T00:00:00"/>
    <n v="9"/>
    <m/>
    <m/>
    <m/>
    <m/>
    <m/>
    <s v="In progress"/>
    <s v="In progress: Below 60 Months"/>
    <s v="In progress: Below 60 Months"/>
    <m/>
  </r>
  <r>
    <n v="224"/>
    <s v="C11/004"/>
    <s v="Cyril"/>
    <s v="Tamuka"/>
    <s v="Chironda"/>
    <s v="Male"/>
    <n v="11"/>
    <s v="Zimbabwe"/>
    <s v="AGINCOURT"/>
    <s v="University of the Witwatersrand"/>
    <m/>
    <d v="2025-03-01T00:00:00"/>
    <d v="2025-11-05T00:00:00"/>
    <n v="9"/>
    <m/>
    <m/>
    <m/>
    <m/>
    <m/>
    <s v="In progress"/>
    <s v="In progress: Below 60 Months"/>
    <s v="In progress: Below 60 Months"/>
    <m/>
  </r>
  <r>
    <n v="225"/>
    <s v="C11/005"/>
    <s v="Elizabeth"/>
    <s v="Oluwatoyin"/>
    <s v="Abe"/>
    <s v="Female"/>
    <n v="11"/>
    <s v="Nigeria"/>
    <s v="University of Ibadan"/>
    <s v="University of Ibadan"/>
    <m/>
    <d v="2025-03-01T00:00:00"/>
    <d v="2025-11-05T00:00:00"/>
    <n v="9"/>
    <m/>
    <m/>
    <m/>
    <m/>
    <m/>
    <s v="In progress"/>
    <s v="In progress: Below 60 Months"/>
    <s v="In progress: Below 60 Months"/>
    <m/>
  </r>
  <r>
    <n v="226"/>
    <s v="C11/006"/>
    <s v="Fanuel"/>
    <s v="Meckson"/>
    <s v="Bickton"/>
    <s v="Male"/>
    <n v="11"/>
    <s v="Malawi"/>
    <s v="University of Malawi"/>
    <m/>
    <m/>
    <d v="2025-03-01T00:00:00"/>
    <d v="2025-11-05T00:00:00"/>
    <n v="9"/>
    <m/>
    <m/>
    <m/>
    <m/>
    <m/>
    <s v="In progress"/>
    <s v="In progress: Below 60 Months"/>
    <s v="In progress: Below 60 Months"/>
    <m/>
  </r>
  <r>
    <n v="227"/>
    <s v="C11/007"/>
    <s v="Funmilola"/>
    <s v="Olanike"/>
    <s v="Wuraola"/>
    <s v="Female"/>
    <n v="11"/>
    <s v="Nigeria"/>
    <s v="Obafemi Awolowo University"/>
    <m/>
    <m/>
    <d v="2025-03-01T00:00:00"/>
    <d v="2025-11-05T00:00:00"/>
    <n v="9"/>
    <m/>
    <m/>
    <m/>
    <m/>
    <m/>
    <s v="In progress"/>
    <s v="In progress: Below 60 Months"/>
    <s v="In progress: Below 60 Months"/>
    <m/>
  </r>
  <r>
    <n v="228"/>
    <s v="C11/008"/>
    <s v="Gallad"/>
    <s v="Dahir"/>
    <s v="Hassan"/>
    <s v="Male"/>
    <n v="11"/>
    <s v="Somalia"/>
    <s v="Somali National University"/>
    <m/>
    <m/>
    <d v="2025-03-01T00:00:00"/>
    <d v="2025-11-05T00:00:00"/>
    <n v="9"/>
    <m/>
    <m/>
    <m/>
    <m/>
    <m/>
    <s v="In progress"/>
    <s v="In progress: Below 60 Months"/>
    <s v="In progress: Below 60 Months"/>
    <m/>
  </r>
  <r>
    <n v="229"/>
    <s v="C11/009"/>
    <s v="Justine "/>
    <m/>
    <s v="Okello"/>
    <s v="Male"/>
    <n v="11"/>
    <s v="Uganda"/>
    <s v="Makerere University"/>
    <s v="Makerere University"/>
    <m/>
    <d v="2025-03-01T00:00:00"/>
    <d v="2025-11-05T00:00:00"/>
    <n v="9"/>
    <m/>
    <m/>
    <m/>
    <m/>
    <m/>
    <s v="In progress"/>
    <s v="In progress: Below 60 Months"/>
    <s v="In progress: Below 60 Months"/>
    <m/>
  </r>
  <r>
    <n v="230"/>
    <s v="C11/010"/>
    <s v="Lydiah"/>
    <s v="Wanjiru"/>
    <s v="Njihia"/>
    <s v="Female"/>
    <n v="11"/>
    <s v="Kenya"/>
    <s v="University of Nairobi"/>
    <s v="University of Nairobi"/>
    <m/>
    <d v="2025-03-01T00:00:00"/>
    <d v="2025-11-05T00:00:00"/>
    <n v="9"/>
    <m/>
    <m/>
    <m/>
    <m/>
    <m/>
    <s v="In progress"/>
    <s v="In progress: Below 60 Months"/>
    <s v="In progress: Below 60 Months"/>
    <m/>
  </r>
  <r>
    <n v="231"/>
    <s v="C11/011"/>
    <s v="Mary"/>
    <s v="Nigandi"/>
    <s v="Kubo"/>
    <s v="Female"/>
    <n v="11"/>
    <s v="Kenya"/>
    <s v="University of Nairobi"/>
    <m/>
    <m/>
    <d v="2025-03-01T00:00:00"/>
    <d v="2025-11-05T00:00:00"/>
    <n v="9"/>
    <m/>
    <m/>
    <m/>
    <m/>
    <m/>
    <s v="In progress"/>
    <s v="In progress: Below 60 Months"/>
    <s v="In progress: Below 60 Months"/>
    <m/>
  </r>
  <r>
    <n v="232"/>
    <s v="C11/012"/>
    <s v="Miles-Dei"/>
    <s v="Benedict"/>
    <s v="Olufeagba"/>
    <s v="Male"/>
    <n v="11"/>
    <s v="Nigeria"/>
    <s v="University of Ibadan"/>
    <s v="University of Ibadan"/>
    <m/>
    <d v="2025-03-01T00:00:00"/>
    <d v="2025-11-05T00:00:00"/>
    <n v="9"/>
    <m/>
    <m/>
    <m/>
    <m/>
    <m/>
    <s v="In progress"/>
    <s v="In progress: Below 60 Months"/>
    <s v="In progress: Below 60 Months"/>
    <m/>
  </r>
  <r>
    <n v="233"/>
    <s v="C11/013"/>
    <s v="Molly"/>
    <s v="Mercy"/>
    <s v="Jerono"/>
    <s v="Female"/>
    <n v="11"/>
    <s v="Kenya"/>
    <s v="Moi University"/>
    <s v="Moi University"/>
    <m/>
    <d v="2025-03-01T00:00:00"/>
    <d v="2025-11-05T00:00:00"/>
    <n v="9"/>
    <m/>
    <m/>
    <m/>
    <m/>
    <m/>
    <s v="In progress"/>
    <s v="In progress: Below 60 Months"/>
    <s v="In progress: Below 60 Months"/>
    <m/>
  </r>
  <r>
    <n v="234"/>
    <s v="C11/014"/>
    <s v="Razak"/>
    <s v="Lewis"/>
    <s v="Mussa"/>
    <s v="Male"/>
    <n v="11"/>
    <s v="Malawi"/>
    <s v="University of Malawi"/>
    <s v="University of Malawi"/>
    <m/>
    <d v="2025-03-01T00:00:00"/>
    <d v="2025-11-05T00:00:00"/>
    <n v="9"/>
    <m/>
    <m/>
    <m/>
    <m/>
    <m/>
    <s v="In progress"/>
    <s v="In progress: Below 60 Months"/>
    <s v="In progress: Below 60 Months"/>
    <m/>
  </r>
  <r>
    <n v="235"/>
    <s v="C11/015"/>
    <s v="Nichodemus"/>
    <s v="Mutinda"/>
    <s v="Kamuti"/>
    <s v="Male"/>
    <n v="11"/>
    <s v="Kenya"/>
    <s v="University of Nairobi"/>
    <s v="University of Nairobi"/>
    <m/>
    <d v="2025-03-01T00:00:00"/>
    <d v="2025-11-05T00:00:00"/>
    <n v="9"/>
    <m/>
    <m/>
    <m/>
    <m/>
    <m/>
    <s v="In progress"/>
    <s v="In progress: Below 60 Months"/>
    <s v="In progress: Below 60 Months"/>
    <m/>
  </r>
  <r>
    <n v="236"/>
    <s v="C11/016"/>
    <s v="Ochuko"/>
    <s v="Maureen"/>
    <s v="Orherhe"/>
    <s v="Female"/>
    <n v="11"/>
    <s v="Nigeria"/>
    <s v="Obafemi Awolowo University"/>
    <s v="Obafemi Awolowo University"/>
    <m/>
    <d v="2025-03-01T00:00:00"/>
    <d v="2025-11-05T00:00:00"/>
    <n v="9"/>
    <m/>
    <m/>
    <m/>
    <m/>
    <m/>
    <s v="In progress"/>
    <s v="In progress: Below 60 Months"/>
    <s v="In progress: Below 60 Months"/>
    <m/>
  </r>
  <r>
    <n v="237"/>
    <s v="C11/017"/>
    <s v="Patani"/>
    <s v="George Wills"/>
    <s v="Mhango"/>
    <s v="Male"/>
    <n v="11"/>
    <s v="Malawi"/>
    <s v="University of Malawi"/>
    <m/>
    <m/>
    <d v="2025-03-01T00:00:00"/>
    <d v="2025-11-05T00:00:00"/>
    <n v="9"/>
    <m/>
    <m/>
    <m/>
    <m/>
    <m/>
    <s v="In progress"/>
    <s v="In progress: Below 60 Months"/>
    <s v="In progress: Below 60 Months"/>
    <m/>
  </r>
  <r>
    <n v="238"/>
    <s v="C11/018"/>
    <s v="Pierre Celestin"/>
    <m/>
    <s v="Munezero"/>
    <s v="Male"/>
    <n v="11"/>
    <s v="Rwanda"/>
    <s v="University of Rwanda"/>
    <m/>
    <m/>
    <d v="2025-03-01T00:00:00"/>
    <d v="2025-11-05T00:00:00"/>
    <n v="9"/>
    <m/>
    <m/>
    <m/>
    <m/>
    <m/>
    <s v="In progress"/>
    <s v="In progress: Below 60 Months"/>
    <s v="In progress: Below 60 Months"/>
    <m/>
  </r>
  <r>
    <n v="239"/>
    <s v="C11/019"/>
    <s v="Solange"/>
    <m/>
    <s v="Nikwigize"/>
    <s v="Female"/>
    <n v="11"/>
    <s v="Rwanda"/>
    <s v="University of Rwanda"/>
    <m/>
    <m/>
    <d v="2025-03-01T00:00:00"/>
    <d v="2025-11-05T00:00:00"/>
    <n v="9"/>
    <m/>
    <m/>
    <m/>
    <m/>
    <m/>
    <s v="In progress"/>
    <s v="In progress: Below 60 Months"/>
    <s v="In progress: Below 60 Months"/>
    <m/>
  </r>
  <r>
    <n v="240"/>
    <s v="C11/020"/>
    <s v="Winifrida"/>
    <s v="Paschal"/>
    <s v="Mponzi"/>
    <s v="Female"/>
    <n v="11"/>
    <s v="Tanzania"/>
    <s v="Ifakara Health Institute"/>
    <m/>
    <m/>
    <d v="2025-03-01T00:00:00"/>
    <d v="2025-11-05T00:00:00"/>
    <n v="9"/>
    <m/>
    <m/>
    <m/>
    <m/>
    <m/>
    <s v="In progress"/>
    <s v="In progress: Below 60 Months"/>
    <s v="In progress: Below 60 Months"/>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453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7">
      <pivotArea outline="0" fieldPosition="0">
        <references count="1">
          <reference field="4294967294" count="1">
            <x v="1"/>
          </reference>
        </references>
      </pivotArea>
    </format>
    <format dxfId="98">
      <pivotArea outline="0" collapsedLevelsAreSubtotals="1" fieldPosition="0"/>
    </format>
    <format dxfId="99">
      <pivotArea field="8" type="button" dataOnly="0" labelOnly="1" outline="0" axis="axisRow" fieldPosition="0"/>
    </format>
    <format dxfId="100">
      <pivotArea dataOnly="0" labelOnly="1" outline="0" fieldPosition="0">
        <references count="1">
          <reference field="4294967294" count="5">
            <x v="0"/>
            <x v="1"/>
            <x v="2"/>
            <x v="3"/>
            <x v="4"/>
          </reference>
        </references>
      </pivotArea>
    </format>
    <format dxfId="101">
      <pivotArea field="8" type="button" dataOnly="0" labelOnly="1" outline="0" axis="axisRow" fieldPosition="0"/>
    </format>
    <format dxfId="102">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5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4">
      <pivotArea outline="0" collapsedLevelsAreSubtotals="1" fieldPosition="0"/>
    </format>
    <format dxfId="95">
      <pivotArea dataOnly="0" labelOnly="1" grandRow="1" outline="0" fieldPosition="0"/>
    </format>
    <format dxfId="96">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45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453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453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45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45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45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45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453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45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453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453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453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453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453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9">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453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1">
      <pivotArea outline="0" collapsedLevelsAreSubtotals="1" fieldPosition="0"/>
    </format>
    <format dxfId="82">
      <pivotArea outline="0" fieldPosition="0">
        <references count="1">
          <reference field="4294967294" count="1">
            <x v="0"/>
          </reference>
        </references>
      </pivotArea>
    </format>
    <format dxfId="83">
      <pivotArea outline="0" fieldPosition="0">
        <references count="1">
          <reference field="4294967294" count="1">
            <x v="1"/>
          </reference>
        </references>
      </pivotArea>
    </format>
    <format dxfId="84">
      <pivotArea outline="0" fieldPosition="0">
        <references count="3">
          <reference field="4294967294" count="1" selected="0">
            <x v="1"/>
          </reference>
          <reference field="8" count="0" selected="0"/>
          <reference field="19" count="1" selected="0">
            <x v="0"/>
          </reference>
        </references>
      </pivotArea>
    </format>
    <format dxfId="85">
      <pivotArea outline="0" fieldPosition="0">
        <references count="3">
          <reference field="4294967294" count="1" selected="0">
            <x v="1"/>
          </reference>
          <reference field="8" count="0" selected="0"/>
          <reference field="19" count="1" selected="0">
            <x v="1"/>
          </reference>
        </references>
      </pivotArea>
    </format>
    <format dxfId="86">
      <pivotArea field="19" grandCol="1" outline="0" axis="axisCol" fieldPosition="0">
        <references count="1">
          <reference field="4294967294" count="1" selected="0">
            <x v="1"/>
          </reference>
        </references>
      </pivotArea>
    </format>
    <format dxfId="87">
      <pivotArea field="19" grandRow="1" outline="0" axis="axisCol" fieldPosition="0">
        <references count="2">
          <reference field="4294967294" count="1" selected="0">
            <x v="1"/>
          </reference>
          <reference field="19" count="1" selected="0">
            <x v="0"/>
          </reference>
        </references>
      </pivotArea>
    </format>
    <format dxfId="88">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453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5">
      <pivotArea outline="0" fieldPosition="0">
        <references count="3">
          <reference field="4294967294" count="1" selected="0">
            <x v="1"/>
          </reference>
          <reference field="8" count="1" selected="0">
            <x v="0"/>
          </reference>
          <reference field="21" count="1" selected="0">
            <x v="0"/>
          </reference>
        </references>
      </pivotArea>
    </format>
    <format dxfId="56">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7">
      <pivotArea field="21" grandRow="1" outline="0" axis="axisCol" fieldPosition="0">
        <references count="2">
          <reference field="4294967294" count="1" selected="0">
            <x v="1"/>
          </reference>
          <reference field="21" count="1" selected="0">
            <x v="0"/>
          </reference>
        </references>
      </pivotArea>
    </format>
    <format dxfId="58">
      <pivotArea outline="0" fieldPosition="0">
        <references count="2">
          <reference field="4294967294" count="1" selected="0">
            <x v="1"/>
          </reference>
          <reference field="21" count="1" selected="0">
            <x v="1"/>
          </reference>
        </references>
      </pivotArea>
    </format>
    <format dxfId="59">
      <pivotArea outline="0" fieldPosition="0">
        <references count="2">
          <reference field="4294967294" count="1" selected="0">
            <x v="1"/>
          </reference>
          <reference field="21" count="1" selected="0">
            <x v="2"/>
          </reference>
        </references>
      </pivotArea>
    </format>
    <format dxfId="60">
      <pivotArea outline="0" fieldPosition="0">
        <references count="2">
          <reference field="4294967294" count="1" selected="0">
            <x v="1"/>
          </reference>
          <reference field="21" count="1" selected="0">
            <x v="3"/>
          </reference>
        </references>
      </pivotArea>
    </format>
    <format dxfId="61">
      <pivotArea field="21" grandCol="1" outline="0" axis="axisCol" fieldPosition="0">
        <references count="1">
          <reference field="4294967294" count="1" selected="0">
            <x v="1"/>
          </reference>
        </references>
      </pivotArea>
    </format>
    <format dxfId="62">
      <pivotArea outline="0" fieldPosition="0">
        <references count="2">
          <reference field="4294967294" count="2" selected="0">
            <x v="0"/>
            <x v="1"/>
          </reference>
          <reference field="21" count="1" selected="0">
            <x v="0"/>
          </reference>
        </references>
      </pivotArea>
    </format>
    <format dxfId="63">
      <pivotArea dataOnly="0" labelOnly="1" outline="0" fieldPosition="0">
        <references count="1">
          <reference field="21" count="1">
            <x v="0"/>
          </reference>
        </references>
      </pivotArea>
    </format>
    <format dxfId="64">
      <pivotArea dataOnly="0" labelOnly="1" outline="0" fieldPosition="0">
        <references count="2">
          <reference field="4294967294" count="2">
            <x v="0"/>
            <x v="1"/>
          </reference>
          <reference field="21" count="1" selected="0">
            <x v="0"/>
          </reference>
        </references>
      </pivotArea>
    </format>
    <format dxfId="65">
      <pivotArea outline="0" fieldPosition="0">
        <references count="2">
          <reference field="4294967294" count="2" selected="0">
            <x v="0"/>
            <x v="1"/>
          </reference>
          <reference field="21" count="1" selected="0">
            <x v="1"/>
          </reference>
        </references>
      </pivotArea>
    </format>
    <format dxfId="66">
      <pivotArea dataOnly="0" labelOnly="1" outline="0" fieldPosition="0">
        <references count="1">
          <reference field="21" count="1">
            <x v="1"/>
          </reference>
        </references>
      </pivotArea>
    </format>
    <format dxfId="67">
      <pivotArea dataOnly="0" labelOnly="1" outline="0" fieldPosition="0">
        <references count="2">
          <reference field="4294967294" count="2">
            <x v="0"/>
            <x v="1"/>
          </reference>
          <reference field="21" count="1" selected="0">
            <x v="1"/>
          </reference>
        </references>
      </pivotArea>
    </format>
    <format dxfId="68">
      <pivotArea outline="0" fieldPosition="0">
        <references count="2">
          <reference field="4294967294" count="2" selected="0">
            <x v="0"/>
            <x v="1"/>
          </reference>
          <reference field="21" count="1" selected="0">
            <x v="2"/>
          </reference>
        </references>
      </pivotArea>
    </format>
    <format dxfId="69">
      <pivotArea dataOnly="0" labelOnly="1" outline="0" fieldPosition="0">
        <references count="1">
          <reference field="21" count="1">
            <x v="2"/>
          </reference>
        </references>
      </pivotArea>
    </format>
    <format dxfId="70">
      <pivotArea dataOnly="0" labelOnly="1" outline="0" fieldPosition="0">
        <references count="2">
          <reference field="4294967294" count="2">
            <x v="0"/>
            <x v="1"/>
          </reference>
          <reference field="21" count="1" selected="0">
            <x v="2"/>
          </reference>
        </references>
      </pivotArea>
    </format>
    <format dxfId="71">
      <pivotArea outline="0" fieldPosition="0">
        <references count="2">
          <reference field="4294967294" count="2" selected="0">
            <x v="0"/>
            <x v="1"/>
          </reference>
          <reference field="21" count="1" selected="0">
            <x v="3"/>
          </reference>
        </references>
      </pivotArea>
    </format>
    <format dxfId="72">
      <pivotArea dataOnly="0" labelOnly="1" outline="0" fieldPosition="0">
        <references count="1">
          <reference field="21" count="1">
            <x v="3"/>
          </reference>
        </references>
      </pivotArea>
    </format>
    <format dxfId="73">
      <pivotArea dataOnly="0" labelOnly="1" outline="0" fieldPosition="0">
        <references count="2">
          <reference field="4294967294" count="2">
            <x v="0"/>
            <x v="1"/>
          </reference>
          <reference field="21" count="1" selected="0">
            <x v="3"/>
          </reference>
        </references>
      </pivotArea>
    </format>
    <format dxfId="74">
      <pivotArea field="21" grandCol="1" outline="0" axis="axisCol" fieldPosition="0">
        <references count="1">
          <reference field="4294967294" count="2" selected="0">
            <x v="0"/>
            <x v="1"/>
          </reference>
        </references>
      </pivotArea>
    </format>
    <format dxfId="75">
      <pivotArea field="21" dataOnly="0" labelOnly="1" grandCol="1" outline="0" axis="axisCol" fieldPosition="0">
        <references count="1">
          <reference field="4294967294" count="1" selected="0">
            <x v="0"/>
          </reference>
        </references>
      </pivotArea>
    </format>
    <format dxfId="76">
      <pivotArea field="21" dataOnly="0" labelOnly="1" grandCol="1" outline="0" axis="axisCol" fieldPosition="0">
        <references count="1">
          <reference field="4294967294" count="1" selected="0">
            <x v="1"/>
          </reference>
        </references>
      </pivotArea>
    </format>
    <format dxfId="77">
      <pivotArea type="origin" dataOnly="0" labelOnly="1" outline="0" offset="A2" fieldPosition="0"/>
    </format>
    <format dxfId="78">
      <pivotArea field="8" type="button" dataOnly="0" labelOnly="1" outline="0" axis="axisRow" fieldPosition="0"/>
    </format>
    <format dxfId="79">
      <pivotArea dataOnly="0" labelOnly="1" outline="0" fieldPosition="0">
        <references count="1">
          <reference field="8" count="0"/>
        </references>
      </pivotArea>
    </format>
    <format dxfId="80">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453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453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453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453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453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45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453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453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453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38">
      <pivotArea field="6" type="button" dataOnly="0" labelOnly="1" outline="0" axis="axisRow"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 dxfId="43">
      <pivotArea dataOnly="0" labelOnly="1" outline="0" fieldPosition="0">
        <references count="1">
          <reference field="21" count="0"/>
        </references>
      </pivotArea>
    </format>
    <format dxfId="44">
      <pivotArea dataOnly="0" labelOnly="1" grandCol="1" outline="0" fieldPosition="0"/>
    </format>
    <format dxfId="45">
      <pivotArea dataOnly="0" labelOnly="1" outline="0" fieldPosition="0">
        <references count="1">
          <reference field="21" count="0"/>
        </references>
      </pivotArea>
    </format>
    <format dxfId="46">
      <pivotArea outline="0" fieldPosition="0">
        <references count="1">
          <reference field="4294967294" count="1">
            <x v="0"/>
          </reference>
        </references>
      </pivotArea>
    </format>
    <format dxfId="47">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45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9">
      <pivotArea field="6" type="button" dataOnly="0" labelOnly="1" outline="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45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24">
      <pivotArea field="6" type="button" dataOnly="0" labelOnly="1" outline="0"/>
    </format>
    <format dxfId="25">
      <pivotArea dataOnly="0" labelOnly="1" grandCol="1" outline="0" fieldPosition="0"/>
    </format>
    <format dxfId="26">
      <pivotArea dataOnly="0" labelOnly="1" grandCol="1" outline="0" fieldPosition="0"/>
    </format>
    <format dxfId="27">
      <pivotArea dataOnly="0" labelOnly="1" grandCol="1" outline="0" fieldPosition="0"/>
    </format>
    <format dxfId="2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45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45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453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45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4531"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18"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8" t="s">
        <v>23</v>
      </c>
      <c r="P40" s="78"/>
      <c r="Q40" s="47" t="s">
        <v>24</v>
      </c>
    </row>
    <row r="41" spans="6:22">
      <c r="F41" s="23"/>
      <c r="O41" s="51" t="s">
        <v>25</v>
      </c>
      <c r="P41" s="48">
        <f ca="1">AVERAGE(Fellows!U2:U221)</f>
        <v>60.271794871794874</v>
      </c>
      <c r="Q41" s="30">
        <f>GETPIVOTDATA("S.No.",'By Cohort'!$A$27,"Current PhD Status (Completed/In Progress)","Completed")</f>
        <v>195</v>
      </c>
    </row>
    <row r="42" spans="6:22">
      <c r="F42" s="23"/>
      <c r="O42" s="52" t="s">
        <v>26</v>
      </c>
      <c r="P42" s="49">
        <f ca="1">P41/12</f>
        <v>5.0226495726495726</v>
      </c>
    </row>
    <row r="43" spans="6:22">
      <c r="F43" s="23"/>
      <c r="O43" s="46" t="s">
        <v>27</v>
      </c>
      <c r="P43" s="49">
        <f ca="1">STDEV(Fellows!U2:U221)</f>
        <v>19.919243515398545</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J212" activePane="bottomLeft" state="frozen"/>
      <selection pane="bottomLeft" activeCell="I221" sqref="I22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46037</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46037</v>
      </c>
      <c r="N3" s="14"/>
      <c r="O3" s="43"/>
      <c r="P3" s="14"/>
      <c r="Q3" s="14"/>
      <c r="R3" s="12">
        <f t="shared" si="1"/>
        <v>54</v>
      </c>
      <c r="S3" s="25">
        <v>45163</v>
      </c>
      <c r="T3" s="12" t="s">
        <v>38</v>
      </c>
      <c r="U3" s="60">
        <f t="shared" si="2"/>
        <v>54</v>
      </c>
      <c r="V3" s="53" t="str">
        <f t="shared" si="3"/>
        <v>Completed:Delayed</v>
      </c>
      <c r="W3" s="56">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46037</v>
      </c>
      <c r="N4" s="14"/>
      <c r="O4" s="43"/>
      <c r="P4" s="14"/>
      <c r="Q4" s="14"/>
      <c r="R4" s="12">
        <f t="shared" si="1"/>
        <v>58</v>
      </c>
      <c r="S4" s="25">
        <v>45280</v>
      </c>
      <c r="T4" s="12" t="s">
        <v>38</v>
      </c>
      <c r="U4" s="60">
        <f t="shared" si="2"/>
        <v>58</v>
      </c>
      <c r="V4" s="53" t="str">
        <f t="shared" si="3"/>
        <v>Completed:Delayed</v>
      </c>
      <c r="W4" s="56">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46037</v>
      </c>
      <c r="N5" s="13"/>
      <c r="O5" s="13"/>
      <c r="P5" s="13"/>
      <c r="Q5" s="12"/>
      <c r="R5" s="12">
        <f t="shared" si="1"/>
        <v>93</v>
      </c>
      <c r="S5" s="25">
        <v>43787</v>
      </c>
      <c r="T5" s="12" t="s">
        <v>38</v>
      </c>
      <c r="U5" s="60">
        <f t="shared" si="2"/>
        <v>93</v>
      </c>
      <c r="V5" s="53" t="str">
        <f t="shared" si="3"/>
        <v>Completed:Delayed</v>
      </c>
      <c r="W5" s="56">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46037</v>
      </c>
      <c r="N6" s="13"/>
      <c r="O6" s="13"/>
      <c r="P6" s="13"/>
      <c r="Q6" s="12"/>
      <c r="R6" s="12">
        <f t="shared" si="1"/>
        <v>34</v>
      </c>
      <c r="S6" s="25">
        <v>43813</v>
      </c>
      <c r="T6" s="12" t="s">
        <v>38</v>
      </c>
      <c r="U6" s="60">
        <f t="shared" si="2"/>
        <v>34</v>
      </c>
      <c r="V6" s="53" t="str">
        <f t="shared" si="3"/>
        <v xml:space="preserve"> Completed:On time</v>
      </c>
      <c r="W6" s="56">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46037</v>
      </c>
      <c r="N7" s="14">
        <f ca="1">DATEDIF(L7,M7,"M") +1</f>
        <v>167</v>
      </c>
      <c r="O7" s="43"/>
      <c r="P7" s="14"/>
      <c r="Q7" s="14"/>
      <c r="R7" s="12">
        <f t="shared" ca="1" si="1"/>
        <v>167</v>
      </c>
      <c r="S7" s="25">
        <v>45183</v>
      </c>
      <c r="T7" s="12" t="s">
        <v>38</v>
      </c>
      <c r="U7" s="60">
        <f t="shared" si="2"/>
        <v>139</v>
      </c>
      <c r="V7" s="53" t="str">
        <f t="shared" si="3"/>
        <v>Completed:Delayed</v>
      </c>
      <c r="W7" s="56">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46037</v>
      </c>
      <c r="N8" s="13"/>
      <c r="O8" s="13"/>
      <c r="P8" s="13"/>
      <c r="Q8" s="12"/>
      <c r="R8" s="12">
        <f t="shared" si="1"/>
        <v>56</v>
      </c>
      <c r="S8" s="25">
        <v>43038</v>
      </c>
      <c r="T8" s="12" t="s">
        <v>38</v>
      </c>
      <c r="U8" s="60">
        <f t="shared" si="2"/>
        <v>56</v>
      </c>
      <c r="V8" s="53" t="str">
        <f t="shared" si="3"/>
        <v>Completed:Delayed</v>
      </c>
      <c r="W8" s="56">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46037</v>
      </c>
      <c r="N9" s="14"/>
      <c r="O9" s="43"/>
      <c r="P9" s="14"/>
      <c r="Q9" s="14"/>
      <c r="R9" s="12">
        <f t="shared" si="1"/>
        <v>51</v>
      </c>
      <c r="S9" s="25">
        <v>44682</v>
      </c>
      <c r="T9" s="12" t="s">
        <v>38</v>
      </c>
      <c r="U9" s="60">
        <f t="shared" si="2"/>
        <v>51</v>
      </c>
      <c r="V9" s="53" t="str">
        <f t="shared" si="3"/>
        <v xml:space="preserve"> Completed:On time</v>
      </c>
      <c r="W9" s="56">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46037</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hidden="1"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46037</v>
      </c>
      <c r="N11" s="13"/>
      <c r="O11" s="13"/>
      <c r="P11" s="13"/>
      <c r="Q11" s="12"/>
      <c r="R11" s="12">
        <f t="shared" si="1"/>
        <v>52</v>
      </c>
      <c r="S11" s="25">
        <v>42916</v>
      </c>
      <c r="T11" s="12" t="s">
        <v>38</v>
      </c>
      <c r="U11" s="60">
        <f t="shared" si="2"/>
        <v>52</v>
      </c>
      <c r="V11" s="53" t="str">
        <f t="shared" si="3"/>
        <v>Completed:Delayed</v>
      </c>
      <c r="W11" s="56">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46037</v>
      </c>
      <c r="N12" s="13"/>
      <c r="O12" s="13"/>
      <c r="P12" s="13"/>
      <c r="Q12" s="12"/>
      <c r="R12" s="12">
        <f t="shared" si="1"/>
        <v>69</v>
      </c>
      <c r="S12" s="25">
        <v>43799</v>
      </c>
      <c r="T12" s="12" t="s">
        <v>38</v>
      </c>
      <c r="U12" s="60">
        <f t="shared" si="2"/>
        <v>69</v>
      </c>
      <c r="V12" s="53" t="str">
        <f t="shared" si="3"/>
        <v>Completed:Delayed</v>
      </c>
      <c r="W12" s="56">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46037</v>
      </c>
      <c r="N13" s="14"/>
      <c r="O13" s="25"/>
      <c r="P13" s="25"/>
      <c r="Q13" s="14"/>
      <c r="R13" s="12">
        <f t="shared" si="1"/>
        <v>59</v>
      </c>
      <c r="S13" s="25">
        <v>45313</v>
      </c>
      <c r="T13" s="12" t="s">
        <v>38</v>
      </c>
      <c r="U13" s="60">
        <f t="shared" si="2"/>
        <v>59</v>
      </c>
      <c r="V13" s="53" t="str">
        <f t="shared" si="3"/>
        <v>Completed:Delayed</v>
      </c>
      <c r="W13" s="56">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46037</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46037</v>
      </c>
      <c r="N15" s="14">
        <f ca="1">DATEDIF(L15,M15,"M") +1</f>
        <v>71</v>
      </c>
      <c r="O15" s="43"/>
      <c r="P15" s="14"/>
      <c r="Q15" s="14"/>
      <c r="R15" s="12">
        <f t="shared" ca="1" si="1"/>
        <v>71</v>
      </c>
      <c r="S15" s="25">
        <v>45538</v>
      </c>
      <c r="T15" s="12" t="s">
        <v>38</v>
      </c>
      <c r="U15" s="60">
        <f t="shared" si="2"/>
        <v>55</v>
      </c>
      <c r="V15" s="53" t="str">
        <f t="shared" si="3"/>
        <v>Completed:Delayed</v>
      </c>
      <c r="W15" s="56">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46037</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46037</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46037</v>
      </c>
      <c r="N18" s="13"/>
      <c r="O18" s="13"/>
      <c r="P18" s="13"/>
      <c r="Q18" s="12"/>
      <c r="R18" s="12">
        <f t="shared" si="1"/>
        <v>82</v>
      </c>
      <c r="S18" s="25">
        <v>43819</v>
      </c>
      <c r="T18" s="12" t="s">
        <v>38</v>
      </c>
      <c r="U18" s="60">
        <f t="shared" si="2"/>
        <v>82</v>
      </c>
      <c r="V18" s="53" t="str">
        <f t="shared" si="3"/>
        <v>Completed:Delayed</v>
      </c>
      <c r="W18" s="56">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46037</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46037</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46037</v>
      </c>
      <c r="N21" s="14"/>
      <c r="O21" s="43"/>
      <c r="P21" s="14"/>
      <c r="Q21" s="14"/>
      <c r="R21" s="12">
        <f t="shared" si="1"/>
        <v>58</v>
      </c>
      <c r="S21" s="25">
        <v>44900</v>
      </c>
      <c r="T21" s="12" t="s">
        <v>38</v>
      </c>
      <c r="U21" s="60">
        <f t="shared" si="2"/>
        <v>58</v>
      </c>
      <c r="V21" s="53" t="str">
        <f t="shared" si="3"/>
        <v>Completed:Delayed</v>
      </c>
      <c r="W21" s="56">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46037</v>
      </c>
      <c r="N22" s="13"/>
      <c r="O22" s="13"/>
      <c r="P22" s="13"/>
      <c r="Q22" s="12"/>
      <c r="R22" s="12">
        <f t="shared" si="1"/>
        <v>57</v>
      </c>
      <c r="S22" s="25">
        <v>42704</v>
      </c>
      <c r="T22" s="12" t="s">
        <v>38</v>
      </c>
      <c r="U22" s="60">
        <f t="shared" si="2"/>
        <v>57</v>
      </c>
      <c r="V22" s="53" t="str">
        <f t="shared" si="3"/>
        <v>Completed:Delayed</v>
      </c>
      <c r="W22" s="56">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46037</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46037</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46037</v>
      </c>
      <c r="N25" s="14"/>
      <c r="O25" s="43"/>
      <c r="P25" s="14"/>
      <c r="Q25" s="14"/>
      <c r="R25" s="12">
        <f t="shared" si="1"/>
        <v>67</v>
      </c>
      <c r="S25" s="25">
        <v>44461</v>
      </c>
      <c r="T25" s="12" t="s">
        <v>38</v>
      </c>
      <c r="U25" s="60">
        <f t="shared" si="2"/>
        <v>67</v>
      </c>
      <c r="V25" s="53" t="str">
        <f t="shared" si="3"/>
        <v>Completed:Delayed</v>
      </c>
      <c r="W25" s="56">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46037</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46037</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46037</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46037</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hidden="1"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46037</v>
      </c>
      <c r="N30" s="14">
        <f ca="1">DATEDIF(L30,M30,"M") +1</f>
        <v>167</v>
      </c>
      <c r="O30" s="43"/>
      <c r="P30" s="14"/>
      <c r="Q30" s="14"/>
      <c r="R30" s="12">
        <f t="shared" ca="1" si="1"/>
        <v>167</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46037</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46037</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46037</v>
      </c>
      <c r="N33" s="14"/>
      <c r="O33" s="43"/>
      <c r="P33" s="14"/>
      <c r="Q33" s="14"/>
      <c r="R33" s="12">
        <f t="shared" si="1"/>
        <v>91</v>
      </c>
      <c r="S33" s="26">
        <v>44442</v>
      </c>
      <c r="T33" s="12" t="s">
        <v>38</v>
      </c>
      <c r="U33" s="60">
        <f t="shared" si="5"/>
        <v>91</v>
      </c>
      <c r="V33" s="53" t="str">
        <f t="shared" si="6"/>
        <v>Completed:Delayed</v>
      </c>
      <c r="W33" s="56">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46037</v>
      </c>
      <c r="N34" s="14"/>
      <c r="O34" s="43"/>
      <c r="P34" s="14"/>
      <c r="Q34" s="14"/>
      <c r="R34" s="12">
        <f t="shared" si="1"/>
        <v>55</v>
      </c>
      <c r="S34" s="25">
        <v>44468</v>
      </c>
      <c r="T34" s="12" t="s">
        <v>38</v>
      </c>
      <c r="U34" s="60">
        <f t="shared" si="5"/>
        <v>55</v>
      </c>
      <c r="V34" s="53" t="str">
        <f t="shared" si="6"/>
        <v>Completed:Delayed</v>
      </c>
      <c r="W34" s="56">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46037</v>
      </c>
      <c r="N35" s="13"/>
      <c r="O35" s="13"/>
      <c r="P35" s="13"/>
      <c r="Q35" s="12"/>
      <c r="R35" s="12">
        <f t="shared" si="1"/>
        <v>58</v>
      </c>
      <c r="S35" s="25">
        <v>43830</v>
      </c>
      <c r="T35" s="12" t="s">
        <v>38</v>
      </c>
      <c r="U35" s="60">
        <f t="shared" si="5"/>
        <v>58</v>
      </c>
      <c r="V35" s="53" t="str">
        <f t="shared" si="6"/>
        <v>Completed:Delayed</v>
      </c>
      <c r="W35" s="56">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46037</v>
      </c>
      <c r="N36" s="14"/>
      <c r="O36" s="43"/>
      <c r="P36" s="14"/>
      <c r="Q36" s="14"/>
      <c r="R36" s="12">
        <f t="shared" si="1"/>
        <v>82</v>
      </c>
      <c r="S36" s="25">
        <v>45273</v>
      </c>
      <c r="T36" s="12" t="s">
        <v>38</v>
      </c>
      <c r="U36" s="60">
        <f t="shared" si="5"/>
        <v>82</v>
      </c>
      <c r="V36" s="53" t="str">
        <f t="shared" si="6"/>
        <v>Completed:Delayed</v>
      </c>
      <c r="W36" s="56">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46037</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46037</v>
      </c>
      <c r="N38" s="13"/>
      <c r="O38" s="13"/>
      <c r="P38" s="13"/>
      <c r="Q38" s="12"/>
      <c r="R38" s="12">
        <f t="shared" si="1"/>
        <v>57</v>
      </c>
      <c r="S38" s="25">
        <v>43069</v>
      </c>
      <c r="T38" s="12" t="s">
        <v>38</v>
      </c>
      <c r="U38" s="60">
        <f t="shared" si="8"/>
        <v>57</v>
      </c>
      <c r="V38" s="53" t="str">
        <f t="shared" si="9"/>
        <v>Completed:Delayed</v>
      </c>
      <c r="W38" s="56">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46037</v>
      </c>
      <c r="N39" s="14"/>
      <c r="O39" s="43"/>
      <c r="P39" s="14"/>
      <c r="Q39" s="14"/>
      <c r="R39" s="12">
        <f t="shared" si="1"/>
        <v>55</v>
      </c>
      <c r="S39" s="25">
        <v>45174</v>
      </c>
      <c r="T39" s="12" t="s">
        <v>38</v>
      </c>
      <c r="U39" s="60">
        <f t="shared" si="8"/>
        <v>55</v>
      </c>
      <c r="V39" s="53" t="str">
        <f t="shared" si="9"/>
        <v>Completed:Delayed</v>
      </c>
      <c r="W39" s="56">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46037</v>
      </c>
      <c r="N40" s="13"/>
      <c r="O40" s="13"/>
      <c r="P40" s="13"/>
      <c r="Q40" s="12"/>
      <c r="R40" s="12">
        <f t="shared" si="1"/>
        <v>52</v>
      </c>
      <c r="S40" s="25">
        <v>43646</v>
      </c>
      <c r="T40" s="12" t="s">
        <v>38</v>
      </c>
      <c r="U40" s="60">
        <f t="shared" si="8"/>
        <v>52</v>
      </c>
      <c r="V40" s="53" t="str">
        <f t="shared" si="9"/>
        <v>Completed:Delayed</v>
      </c>
      <c r="W40" s="56">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46037</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46037</v>
      </c>
      <c r="N42" s="14"/>
      <c r="O42" s="43"/>
      <c r="P42" s="14"/>
      <c r="Q42" s="14"/>
      <c r="R42" s="12">
        <f t="shared" si="1"/>
        <v>89</v>
      </c>
      <c r="S42" s="25">
        <v>44392</v>
      </c>
      <c r="T42" s="12" t="s">
        <v>38</v>
      </c>
      <c r="U42" s="60">
        <f t="shared" si="8"/>
        <v>89</v>
      </c>
      <c r="V42" s="53" t="str">
        <f t="shared" si="9"/>
        <v>Completed:Delayed</v>
      </c>
      <c r="W42" s="56">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46037</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46037</v>
      </c>
      <c r="N44" s="13"/>
      <c r="O44" s="13"/>
      <c r="P44" s="13"/>
      <c r="Q44" s="12"/>
      <c r="R44" s="12">
        <f t="shared" si="1"/>
        <v>57</v>
      </c>
      <c r="S44" s="25">
        <v>42704</v>
      </c>
      <c r="T44" s="12" t="s">
        <v>38</v>
      </c>
      <c r="U44" s="60">
        <f t="shared" si="8"/>
        <v>57</v>
      </c>
      <c r="V44" s="53" t="str">
        <f t="shared" si="9"/>
        <v>Completed:Delayed</v>
      </c>
      <c r="W44" s="56">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46037</v>
      </c>
      <c r="N45" s="14"/>
      <c r="O45" s="43"/>
      <c r="P45" s="14"/>
      <c r="Q45" s="14"/>
      <c r="R45" s="12">
        <f t="shared" si="1"/>
        <v>101</v>
      </c>
      <c r="S45" s="25">
        <v>44746</v>
      </c>
      <c r="T45" s="12" t="s">
        <v>38</v>
      </c>
      <c r="U45" s="60">
        <f t="shared" si="8"/>
        <v>101</v>
      </c>
      <c r="V45" s="53" t="str">
        <f t="shared" si="9"/>
        <v>Completed:Delayed</v>
      </c>
      <c r="W45" s="56">
        <f t="shared" si="10"/>
        <v>103</v>
      </c>
    </row>
    <row r="46" spans="1:25" ht="25.35" hidden="1"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46037</v>
      </c>
      <c r="N46" s="14">
        <f ca="1">DATEDIF(L46,M46,"M") +1</f>
        <v>155</v>
      </c>
      <c r="O46" s="43"/>
      <c r="P46" s="14"/>
      <c r="Q46" s="14"/>
      <c r="R46" s="12">
        <f t="shared" ca="1" si="1"/>
        <v>155</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46037</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hidden="1"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46037</v>
      </c>
      <c r="N48" s="14">
        <f ca="1">DATEDIF(L48,M48,"M") +1</f>
        <v>155</v>
      </c>
      <c r="O48" s="43"/>
      <c r="P48" s="14"/>
      <c r="Q48" s="14"/>
      <c r="R48" s="12">
        <f t="shared" ca="1" si="1"/>
        <v>155</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46037</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46037</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46037</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46037</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46037</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46037</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46037</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46037</v>
      </c>
      <c r="N56" s="13"/>
      <c r="O56" s="13"/>
      <c r="P56" s="13"/>
      <c r="Q56" s="12"/>
      <c r="R56" s="12">
        <f t="shared" si="1"/>
        <v>58</v>
      </c>
      <c r="S56" s="25">
        <v>42735</v>
      </c>
      <c r="T56" s="12" t="s">
        <v>38</v>
      </c>
      <c r="U56" s="60">
        <f t="shared" si="11"/>
        <v>58</v>
      </c>
      <c r="V56" s="53" t="str">
        <f t="shared" si="12"/>
        <v>Completed:Delayed</v>
      </c>
      <c r="W56" s="56">
        <f t="shared" si="13"/>
        <v>59</v>
      </c>
    </row>
    <row r="57" spans="1:23" ht="25.35" hidden="1"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46037</v>
      </c>
      <c r="N57" s="14">
        <f ca="1">DATEDIF(L57,M57,"M") +1</f>
        <v>155</v>
      </c>
      <c r="O57" s="43"/>
      <c r="P57" s="14"/>
      <c r="Q57" s="14"/>
      <c r="R57" s="12">
        <f t="shared" ca="1" si="1"/>
        <v>155</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46037</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46037</v>
      </c>
      <c r="N59" s="14">
        <f ca="1">DATEDIF(L59,M59,"M") +1</f>
        <v>95</v>
      </c>
      <c r="O59" s="43"/>
      <c r="P59" s="14"/>
      <c r="Q59" s="14"/>
      <c r="R59" s="12">
        <f t="shared" ca="1" si="1"/>
        <v>95</v>
      </c>
      <c r="S59" s="25">
        <v>45247</v>
      </c>
      <c r="T59" s="12" t="s">
        <v>38</v>
      </c>
      <c r="U59" s="60">
        <f t="shared" si="14"/>
        <v>69</v>
      </c>
      <c r="V59" s="53" t="str">
        <f t="shared" si="15"/>
        <v>Completed:Delayed</v>
      </c>
      <c r="W59" s="56">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46037</v>
      </c>
      <c r="N60" s="14"/>
      <c r="O60" s="43"/>
      <c r="P60" s="14"/>
      <c r="Q60" s="14"/>
      <c r="R60" s="12">
        <f t="shared" si="1"/>
        <v>69</v>
      </c>
      <c r="S60" s="25">
        <v>44879</v>
      </c>
      <c r="T60" s="12" t="s">
        <v>38</v>
      </c>
      <c r="U60" s="60">
        <f t="shared" si="14"/>
        <v>69</v>
      </c>
      <c r="V60" s="53" t="str">
        <f t="shared" si="15"/>
        <v>Completed:Delayed</v>
      </c>
      <c r="W60" s="56">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46037</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46037</v>
      </c>
      <c r="N62" s="14"/>
      <c r="O62" s="43"/>
      <c r="P62" s="14"/>
      <c r="Q62" s="14"/>
      <c r="R62" s="12">
        <f t="shared" si="1"/>
        <v>93</v>
      </c>
      <c r="S62" s="25">
        <v>44508</v>
      </c>
      <c r="T62" s="12" t="s">
        <v>38</v>
      </c>
      <c r="U62" s="60">
        <f t="shared" si="14"/>
        <v>93</v>
      </c>
      <c r="V62" s="53" t="str">
        <f t="shared" si="15"/>
        <v>Completed:Delayed</v>
      </c>
      <c r="W62" s="56">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46037</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46037</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46037</v>
      </c>
      <c r="N65" s="13"/>
      <c r="O65" s="13"/>
      <c r="P65" s="13"/>
      <c r="Q65" s="12"/>
      <c r="R65" s="12">
        <f t="shared" si="18"/>
        <v>59</v>
      </c>
      <c r="S65" s="25">
        <v>43832</v>
      </c>
      <c r="T65" s="12" t="s">
        <v>38</v>
      </c>
      <c r="U65" s="60">
        <f t="shared" si="14"/>
        <v>59</v>
      </c>
      <c r="V65" s="53" t="str">
        <f t="shared" si="15"/>
        <v>Completed:Delayed</v>
      </c>
      <c r="W65" s="56">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46037</v>
      </c>
      <c r="N66" s="14">
        <f ca="1">DATEDIF(L66,M66,"M") +1</f>
        <v>95</v>
      </c>
      <c r="O66" s="43"/>
      <c r="P66" s="14"/>
      <c r="Q66" s="14"/>
      <c r="R66" s="12">
        <f t="shared" ca="1" si="18"/>
        <v>95</v>
      </c>
      <c r="S66" s="25">
        <v>45498</v>
      </c>
      <c r="T66" s="12" t="s">
        <v>38</v>
      </c>
      <c r="U66" s="60">
        <f t="shared" si="14"/>
        <v>77</v>
      </c>
      <c r="V66" s="53" t="str">
        <f t="shared" si="15"/>
        <v>Completed:Delayed</v>
      </c>
      <c r="W66" s="56">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46037</v>
      </c>
      <c r="N67" s="13"/>
      <c r="O67" s="13"/>
      <c r="P67" s="13"/>
      <c r="Q67" s="12"/>
      <c r="R67" s="12">
        <f t="shared" si="18"/>
        <v>76</v>
      </c>
      <c r="S67" s="25">
        <v>42947</v>
      </c>
      <c r="T67" s="12" t="s">
        <v>38</v>
      </c>
      <c r="U67" s="60">
        <f t="shared" si="14"/>
        <v>76</v>
      </c>
      <c r="V67" s="53" t="str">
        <f t="shared" si="15"/>
        <v>Completed:Delayed</v>
      </c>
      <c r="W67" s="56">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46037</v>
      </c>
      <c r="N68" s="13"/>
      <c r="O68" s="13"/>
      <c r="P68" s="13"/>
      <c r="Q68" s="12"/>
      <c r="R68" s="12">
        <f t="shared" si="18"/>
        <v>53</v>
      </c>
      <c r="S68" s="25">
        <v>43677</v>
      </c>
      <c r="T68" s="12" t="s">
        <v>38</v>
      </c>
      <c r="U68" s="60">
        <f t="shared" si="14"/>
        <v>53</v>
      </c>
      <c r="V68" s="53" t="str">
        <f t="shared" si="15"/>
        <v>Completed:Delayed</v>
      </c>
      <c r="W68" s="56">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46037</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46037</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46037</v>
      </c>
      <c r="N71" s="13"/>
      <c r="O71" s="13"/>
      <c r="P71" s="13"/>
      <c r="Q71" s="12"/>
      <c r="R71" s="12">
        <f t="shared" si="18"/>
        <v>65</v>
      </c>
      <c r="S71" s="25">
        <v>42613</v>
      </c>
      <c r="T71" s="12" t="s">
        <v>38</v>
      </c>
      <c r="U71" s="60">
        <f t="shared" si="14"/>
        <v>65</v>
      </c>
      <c r="V71" s="53" t="str">
        <f t="shared" si="15"/>
        <v>Completed:Delayed</v>
      </c>
      <c r="W71" s="56">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46037</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hidden="1"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46037</v>
      </c>
      <c r="N73" s="14">
        <f ca="1">DATEDIF(L73,M73,"M") +1</f>
        <v>143</v>
      </c>
      <c r="O73" s="43"/>
      <c r="P73" s="14"/>
      <c r="Q73" s="14"/>
      <c r="R73" s="12">
        <f t="shared" ca="1" si="18"/>
        <v>143</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46037</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46037</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46037</v>
      </c>
      <c r="N76" s="14"/>
      <c r="O76" s="43"/>
      <c r="P76" s="14"/>
      <c r="Q76" s="14"/>
      <c r="R76" s="12">
        <f t="shared" si="18"/>
        <v>70</v>
      </c>
      <c r="S76" s="25">
        <v>44539</v>
      </c>
      <c r="T76" s="12" t="s">
        <v>38</v>
      </c>
      <c r="U76" s="60">
        <f t="shared" si="19"/>
        <v>70</v>
      </c>
      <c r="V76" s="53" t="str">
        <f t="shared" si="20"/>
        <v>Completed:Delayed</v>
      </c>
      <c r="W76" s="56">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46037</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46037</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46037</v>
      </c>
      <c r="N79" s="13"/>
      <c r="O79" s="13"/>
      <c r="P79" s="13"/>
      <c r="Q79" s="12"/>
      <c r="R79" s="12">
        <f t="shared" si="18"/>
        <v>56</v>
      </c>
      <c r="S79" s="25">
        <v>43399</v>
      </c>
      <c r="T79" s="12" t="s">
        <v>38</v>
      </c>
      <c r="U79" s="60">
        <f t="shared" si="19"/>
        <v>56</v>
      </c>
      <c r="V79" s="53" t="str">
        <f t="shared" si="20"/>
        <v>Completed:Delayed</v>
      </c>
      <c r="W79" s="56">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46037</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46037</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46037</v>
      </c>
      <c r="N82" s="13"/>
      <c r="O82" s="13"/>
      <c r="P82" s="13"/>
      <c r="Q82" s="12"/>
      <c r="R82" s="12">
        <f t="shared" si="18"/>
        <v>70</v>
      </c>
      <c r="S82" s="25">
        <v>43830</v>
      </c>
      <c r="T82" s="12" t="s">
        <v>38</v>
      </c>
      <c r="U82" s="60">
        <f t="shared" si="19"/>
        <v>70</v>
      </c>
      <c r="V82" s="53" t="str">
        <f t="shared" si="20"/>
        <v>Completed:Delayed</v>
      </c>
      <c r="W82" s="56">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46037</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46037</v>
      </c>
      <c r="N84" s="14">
        <f ca="1">DATEDIF(L84,M84,"M") +1</f>
        <v>71</v>
      </c>
      <c r="O84" s="43"/>
      <c r="P84" s="14"/>
      <c r="Q84" s="14"/>
      <c r="R84" s="12">
        <f t="shared" ca="1" si="18"/>
        <v>71</v>
      </c>
      <c r="S84" s="25">
        <v>45610</v>
      </c>
      <c r="T84" s="12" t="s">
        <v>38</v>
      </c>
      <c r="U84" s="60">
        <f t="shared" si="19"/>
        <v>57</v>
      </c>
      <c r="V84" s="53" t="str">
        <f t="shared" si="20"/>
        <v>Completed:Delayed</v>
      </c>
      <c r="W84" s="56">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46037</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46037</v>
      </c>
      <c r="N86" s="14">
        <f ca="1">DATEDIF(L86,M86,"M") +1</f>
        <v>71</v>
      </c>
      <c r="O86" s="43"/>
      <c r="P86" s="14"/>
      <c r="Q86" s="14"/>
      <c r="R86" s="12">
        <f t="shared" ca="1" si="18"/>
        <v>71</v>
      </c>
      <c r="S86" s="25">
        <v>45590</v>
      </c>
      <c r="T86" s="12" t="s">
        <v>38</v>
      </c>
      <c r="U86" s="60">
        <f t="shared" si="19"/>
        <v>56</v>
      </c>
      <c r="V86" s="53" t="str">
        <f t="shared" si="20"/>
        <v>Completed:Delayed</v>
      </c>
      <c r="W86" s="56">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46037</v>
      </c>
      <c r="N87" s="13"/>
      <c r="O87" s="13"/>
      <c r="P87" s="13"/>
      <c r="Q87" s="12"/>
      <c r="R87" s="12">
        <f t="shared" si="18"/>
        <v>69</v>
      </c>
      <c r="S87" s="25">
        <v>44160</v>
      </c>
      <c r="T87" s="12" t="s">
        <v>38</v>
      </c>
      <c r="U87" s="60">
        <f t="shared" si="19"/>
        <v>69</v>
      </c>
      <c r="V87" s="53" t="str">
        <f t="shared" si="20"/>
        <v>Completed:Delayed</v>
      </c>
      <c r="W87" s="56">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46037</v>
      </c>
      <c r="N88" s="13"/>
      <c r="O88" s="13"/>
      <c r="P88" s="13"/>
      <c r="Q88" s="12"/>
      <c r="R88" s="12">
        <f t="shared" si="18"/>
        <v>56</v>
      </c>
      <c r="S88" s="25">
        <v>43769</v>
      </c>
      <c r="T88" s="12" t="s">
        <v>38</v>
      </c>
      <c r="U88" s="60">
        <f t="shared" si="19"/>
        <v>56</v>
      </c>
      <c r="V88" s="53" t="str">
        <f t="shared" si="20"/>
        <v>Completed:Delayed</v>
      </c>
      <c r="W88" s="56">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46037</v>
      </c>
      <c r="N89" s="14"/>
      <c r="O89" s="43"/>
      <c r="P89" s="14"/>
      <c r="Q89" s="14"/>
      <c r="R89" s="12">
        <f t="shared" si="18"/>
        <v>72</v>
      </c>
      <c r="S89" s="25">
        <v>44607</v>
      </c>
      <c r="T89" s="12" t="s">
        <v>38</v>
      </c>
      <c r="U89" s="60">
        <f t="shared" si="19"/>
        <v>72</v>
      </c>
      <c r="V89" s="53" t="str">
        <f t="shared" si="20"/>
        <v>Completed:Delayed</v>
      </c>
      <c r="W89" s="56">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46037</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46037</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hidden="1"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46037</v>
      </c>
      <c r="N92" s="14">
        <f ca="1">DATEDIF(L92,M92,"M") +1</f>
        <v>131</v>
      </c>
      <c r="O92" s="43"/>
      <c r="P92" s="14"/>
      <c r="Q92" s="14"/>
      <c r="R92" s="12">
        <f t="shared" ca="1" si="18"/>
        <v>131</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46037</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46037</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46037</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hidden="1"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46037</v>
      </c>
      <c r="N96" s="14">
        <f ca="1">DATEDIF(L96,M96,"M") +1</f>
        <v>131</v>
      </c>
      <c r="O96" s="43"/>
      <c r="P96" s="14"/>
      <c r="Q96" s="14"/>
      <c r="R96" s="12">
        <f t="shared" ca="1" si="18"/>
        <v>131</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46037</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46037</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46037</v>
      </c>
      <c r="N99" s="14">
        <f ca="1">DATEDIF(L99,M99,"M") +1</f>
        <v>119</v>
      </c>
      <c r="O99" s="43"/>
      <c r="P99" s="14"/>
      <c r="Q99" s="14"/>
      <c r="R99" s="12">
        <f t="shared" ca="1" si="18"/>
        <v>119</v>
      </c>
      <c r="S99" s="25">
        <v>45610</v>
      </c>
      <c r="T99" s="12" t="s">
        <v>38</v>
      </c>
      <c r="U99" s="60">
        <f>DATEDIF(L99,S99,"M")+1-Q99</f>
        <v>105</v>
      </c>
      <c r="V99" s="53" t="str">
        <f>IF(U99&gt;51,"Completed:Delayed"," Completed:On time")</f>
        <v>Completed:Delayed</v>
      </c>
      <c r="W99" s="56">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46037</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46037</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46037</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46037</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46037</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hidden="1"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46037</v>
      </c>
      <c r="N105" s="14">
        <f ca="1">DATEDIF(L105,M105,"M") +1</f>
        <v>71</v>
      </c>
      <c r="O105" s="43"/>
      <c r="P105" s="14"/>
      <c r="Q105" s="14"/>
      <c r="R105" s="12">
        <f t="shared" ca="1" si="18"/>
        <v>71</v>
      </c>
      <c r="S105" s="25">
        <v>45596</v>
      </c>
      <c r="T105" s="12" t="s">
        <v>38</v>
      </c>
      <c r="U105" s="60">
        <f t="shared" si="22"/>
        <v>56</v>
      </c>
      <c r="V105" s="53" t="str">
        <f t="shared" si="23"/>
        <v>Completed:Delayed</v>
      </c>
      <c r="W105" s="56">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46037</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46037</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46037</v>
      </c>
      <c r="N108" s="14">
        <f ca="1">DATEDIF(L108,M108,"M") +1</f>
        <v>83</v>
      </c>
      <c r="O108" s="43"/>
      <c r="P108" s="14"/>
      <c r="Q108" s="14"/>
      <c r="R108" s="12">
        <f t="shared" ca="1" si="18"/>
        <v>83</v>
      </c>
      <c r="S108" s="25">
        <v>45443</v>
      </c>
      <c r="T108" s="12" t="s">
        <v>38</v>
      </c>
      <c r="U108" s="60">
        <f t="shared" si="22"/>
        <v>63</v>
      </c>
      <c r="V108" s="53" t="str">
        <f t="shared" si="23"/>
        <v>Completed:Delayed</v>
      </c>
      <c r="W108" s="56">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46037</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46037</v>
      </c>
      <c r="N110" s="14">
        <f ca="1">DATEDIF(L110,M110,"M") +1</f>
        <v>95</v>
      </c>
      <c r="O110" s="43"/>
      <c r="P110" s="14"/>
      <c r="Q110" s="14"/>
      <c r="R110" s="12">
        <f t="shared" ca="1" si="18"/>
        <v>95</v>
      </c>
      <c r="S110" s="25">
        <v>45610</v>
      </c>
      <c r="T110" s="12" t="s">
        <v>38</v>
      </c>
      <c r="U110" s="60">
        <f t="shared" si="22"/>
        <v>81</v>
      </c>
      <c r="V110" s="53" t="str">
        <f t="shared" si="23"/>
        <v>Completed:Delayed</v>
      </c>
      <c r="W110" s="56">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46037</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46037</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46037</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46037</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46037</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46037</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46037</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46037</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46037</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46037</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hidden="1"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46037</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46037</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46037</v>
      </c>
      <c r="N123" s="14">
        <f ca="1">DATEDIF(L123,M123,"M") +1</f>
        <v>107</v>
      </c>
      <c r="O123" s="43"/>
      <c r="P123" s="14"/>
      <c r="Q123" s="14"/>
      <c r="R123" s="12">
        <f t="shared" ca="1" si="18"/>
        <v>107</v>
      </c>
      <c r="S123" s="25">
        <v>45595</v>
      </c>
      <c r="T123" s="12" t="s">
        <v>38</v>
      </c>
      <c r="U123" s="60">
        <f t="shared" si="22"/>
        <v>92</v>
      </c>
      <c r="V123" s="53" t="str">
        <f t="shared" si="23"/>
        <v>Completed:Delayed</v>
      </c>
      <c r="W123" s="56">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46037</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46037</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46037</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46037</v>
      </c>
      <c r="N127" s="14">
        <f ca="1">DATEDIF(L127,M127,"M") +1</f>
        <v>119</v>
      </c>
      <c r="O127" s="43"/>
      <c r="P127" s="14"/>
      <c r="Q127" s="14"/>
      <c r="R127" s="12">
        <f t="shared" ca="1" si="26"/>
        <v>119</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46037</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46037</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46037</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46037</v>
      </c>
      <c r="N131" s="14">
        <f ca="1">DATEDIF(L131,M131,"M") +1</f>
        <v>107</v>
      </c>
      <c r="O131" s="43"/>
      <c r="P131" s="14"/>
      <c r="Q131" s="14"/>
      <c r="R131" s="12">
        <f t="shared" ca="1" si="26"/>
        <v>107</v>
      </c>
      <c r="S131" s="25">
        <v>45852</v>
      </c>
      <c r="T131" s="12" t="s">
        <v>38</v>
      </c>
      <c r="U131" s="60">
        <f>DATEDIF(L131,S131,"M")+1-Q131</f>
        <v>101</v>
      </c>
      <c r="V131" s="53" t="str">
        <f>IF(U131&gt;51,"Completed:Delayed"," Completed:On time")</f>
        <v>Completed:Delayed</v>
      </c>
      <c r="W131" s="56">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46037</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46037</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46037</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46037</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46037</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46037</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46037</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46037</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46037</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46037</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46037</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46037</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46037</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46037</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46037</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46037</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46037</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46037</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46037</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46037</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46037</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46037</v>
      </c>
      <c r="N153" s="14">
        <f ca="1">DATEDIF(L153,M153,"M") +1</f>
        <v>95</v>
      </c>
      <c r="O153" s="43"/>
      <c r="P153" s="14"/>
      <c r="Q153" s="14"/>
      <c r="R153" s="12">
        <f t="shared" ca="1" si="26"/>
        <v>95</v>
      </c>
      <c r="S153" s="25">
        <v>45776</v>
      </c>
      <c r="T153" s="12" t="s">
        <v>38</v>
      </c>
      <c r="U153" s="60">
        <f t="shared" si="29"/>
        <v>86</v>
      </c>
      <c r="V153" s="53" t="str">
        <f t="shared" si="30"/>
        <v>Completed:Delayed</v>
      </c>
      <c r="W153" s="56">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46037</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hidden="1"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46037</v>
      </c>
      <c r="N155" s="14">
        <f ca="1">DATEDIF(L155,M155,"M") +1</f>
        <v>95</v>
      </c>
      <c r="O155" s="43"/>
      <c r="P155" s="14"/>
      <c r="Q155" s="14"/>
      <c r="R155" s="12">
        <f t="shared" ca="1" si="26"/>
        <v>95</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46037</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46037</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46037</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46037</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46037</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46037</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hidden="1"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46037</v>
      </c>
      <c r="N162" s="14">
        <f ca="1">DATEDIF(L162,M162,"M") +1</f>
        <v>95</v>
      </c>
      <c r="O162" s="43"/>
      <c r="P162" s="14"/>
      <c r="Q162" s="14"/>
      <c r="R162" s="12">
        <f t="shared" ca="1" si="26"/>
        <v>95</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hidden="1"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46037</v>
      </c>
      <c r="N163" s="14">
        <f ca="1">DATEDIF(L163,M163,"M") +1</f>
        <v>95</v>
      </c>
      <c r="O163" s="43"/>
      <c r="P163" s="14"/>
      <c r="Q163" s="14"/>
      <c r="R163" s="12">
        <f t="shared" ca="1" si="26"/>
        <v>95</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46037</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46037</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46037</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46037</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46037</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hidden="1"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46037</v>
      </c>
      <c r="N169" s="14">
        <f ca="1">DATEDIF(L169,M169,"M") +1</f>
        <v>95</v>
      </c>
      <c r="O169" s="43"/>
      <c r="P169" s="14"/>
      <c r="Q169" s="14"/>
      <c r="R169" s="12">
        <f t="shared" ca="1" si="26"/>
        <v>95</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46037</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46037</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46037</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hidden="1"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46037</v>
      </c>
      <c r="N173" s="14">
        <f ca="1">DATEDIF(L173,M173,"M") +1</f>
        <v>95</v>
      </c>
      <c r="O173" s="43"/>
      <c r="P173" s="14"/>
      <c r="Q173" s="14"/>
      <c r="R173" s="12">
        <f t="shared" ca="1" si="26"/>
        <v>95</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46037</v>
      </c>
      <c r="N174" s="14">
        <f ca="1">DATEDIF(L174,M174,"M") +1</f>
        <v>95</v>
      </c>
      <c r="O174" s="43"/>
      <c r="P174" s="14"/>
      <c r="Q174" s="14"/>
      <c r="R174" s="12">
        <f t="shared" ca="1" si="26"/>
        <v>95</v>
      </c>
      <c r="S174" s="25">
        <v>45701</v>
      </c>
      <c r="T174" s="12" t="s">
        <v>38</v>
      </c>
      <c r="U174" s="60">
        <f>DATEDIF(L174,S174,"M")+1-Q174</f>
        <v>84</v>
      </c>
      <c r="V174" s="53" t="str">
        <f>IF(U174&gt;51,"Completed:Delayed"," Completed:On time")</f>
        <v>Completed:Delayed</v>
      </c>
      <c r="W174" s="56">
        <f>DATEDIF(K174,S174,"M")+1-Q174</f>
        <v>78</v>
      </c>
    </row>
    <row r="175" spans="1:23" ht="25.35" hidden="1"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46037</v>
      </c>
      <c r="N175" s="14">
        <f ca="1">DATEDIF(L175,M175,"M") +1</f>
        <v>95</v>
      </c>
      <c r="O175" s="43"/>
      <c r="P175" s="14"/>
      <c r="Q175" s="14"/>
      <c r="R175" s="12">
        <f t="shared" ca="1" si="26"/>
        <v>95</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46037</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46037</v>
      </c>
      <c r="N177" s="14">
        <f ca="1">DATEDIF(L177,M177,"M") +1</f>
        <v>71</v>
      </c>
      <c r="O177" s="25">
        <v>45413</v>
      </c>
      <c r="P177" s="25">
        <v>45535</v>
      </c>
      <c r="Q177" s="14">
        <v>4</v>
      </c>
      <c r="R177" s="12">
        <f t="shared" ca="1" si="26"/>
        <v>71</v>
      </c>
      <c r="S177" s="25">
        <v>45568</v>
      </c>
      <c r="T177" s="12" t="s">
        <v>38</v>
      </c>
      <c r="U177" s="60">
        <f>DATEDIF(L177,S177,"M")+1-Q177</f>
        <v>52</v>
      </c>
      <c r="V177" s="53" t="str">
        <f>IF(U177&gt;51,"Completed:Delayed"," Completed:On time")</f>
        <v>Completed:Delayed</v>
      </c>
      <c r="W177" s="56">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46037</v>
      </c>
      <c r="N178" s="14">
        <f ca="1">DATEDIF(L178,M178,"M") +1</f>
        <v>95</v>
      </c>
      <c r="O178" s="43"/>
      <c r="P178" s="14"/>
      <c r="Q178" s="14"/>
      <c r="R178" s="12">
        <f t="shared" ca="1" si="26"/>
        <v>95</v>
      </c>
      <c r="S178" s="25">
        <v>45610</v>
      </c>
      <c r="T178" s="12" t="s">
        <v>38</v>
      </c>
      <c r="U178" s="60">
        <f>DATEDIF(L178,S178,"M")+1-Q178</f>
        <v>81</v>
      </c>
      <c r="V178" s="53" t="str">
        <f>IF(U178&gt;51,"Completed:Delayed"," Completed:On time")</f>
        <v>Completed:Delayed</v>
      </c>
      <c r="W178" s="56">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46037</v>
      </c>
      <c r="N179" s="14">
        <f ca="1">DATEDIF(L179,M179,"M") +1</f>
        <v>83</v>
      </c>
      <c r="O179" s="43"/>
      <c r="P179" s="14"/>
      <c r="Q179" s="14"/>
      <c r="R179" s="12">
        <f t="shared" ca="1" si="26"/>
        <v>83</v>
      </c>
      <c r="S179" s="25">
        <v>45889</v>
      </c>
      <c r="T179" s="12" t="s">
        <v>38</v>
      </c>
      <c r="U179" s="60">
        <f>DATEDIF(L179,S179,"M")+1-Q179</f>
        <v>78</v>
      </c>
      <c r="V179" s="53" t="str">
        <f>IF(U179&gt;51,"Completed:Delayed"," Completed:On time")</f>
        <v>Completed:Delayed</v>
      </c>
      <c r="W179" s="56">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46037</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46037</v>
      </c>
      <c r="N181" s="14">
        <f ca="1">DATEDIF(L181,M181,"M") +1</f>
        <v>83</v>
      </c>
      <c r="O181" s="25">
        <v>45170</v>
      </c>
      <c r="P181" s="25">
        <v>45473</v>
      </c>
      <c r="Q181" s="14">
        <v>10</v>
      </c>
      <c r="R181" s="12">
        <f t="shared" ca="1" si="26"/>
        <v>83</v>
      </c>
      <c r="S181" s="25">
        <v>45640</v>
      </c>
      <c r="T181" s="12" t="s">
        <v>38</v>
      </c>
      <c r="U181" s="60">
        <f>DATEDIF(L181,S181,"M")+1-Q181</f>
        <v>60</v>
      </c>
      <c r="V181" s="53" t="str">
        <f>IF(U181&gt;51,"Completed:Delayed"," Completed:On time")</f>
        <v>Completed:Delayed</v>
      </c>
      <c r="W181" s="56"/>
    </row>
    <row r="182" spans="1:23" ht="25.35" hidden="1"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46037</v>
      </c>
      <c r="N182" s="14">
        <f ca="1">DATEDIF(L182,M182,"M") +1</f>
        <v>83</v>
      </c>
      <c r="O182" s="43"/>
      <c r="P182" s="14"/>
      <c r="Q182" s="14"/>
      <c r="R182" s="12">
        <f t="shared" ca="1" si="26"/>
        <v>83</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46037</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hidden="1"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46037</v>
      </c>
      <c r="N184" s="14">
        <f ca="1">DATEDIF(L184,M184,"M") +1</f>
        <v>83</v>
      </c>
      <c r="O184" s="43"/>
      <c r="P184" s="14"/>
      <c r="Q184" s="14"/>
      <c r="R184" s="12">
        <f t="shared" ca="1" si="26"/>
        <v>83</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46037</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46037</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46037</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hidden="1"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46037</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hidden="1"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46037</v>
      </c>
      <c r="N189" s="14">
        <f ca="1">DATEDIF(L189,M189,"M") +1</f>
        <v>83</v>
      </c>
      <c r="O189" s="43"/>
      <c r="P189" s="14"/>
      <c r="Q189" s="14"/>
      <c r="R189" s="12">
        <f t="shared" ca="1" si="26"/>
        <v>83</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46037</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46037</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46037</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hidden="1"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46037</v>
      </c>
      <c r="N193" s="14">
        <f ca="1">DATEDIF(L193,M193,"M") +1</f>
        <v>83</v>
      </c>
      <c r="O193" s="43"/>
      <c r="P193" s="14"/>
      <c r="Q193" s="14"/>
      <c r="R193" s="12">
        <f t="shared" ca="1" si="36"/>
        <v>83</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46037</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46037</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hidden="1"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46037</v>
      </c>
      <c r="N196" s="14">
        <f ca="1">DATEDIF(L196,M196,"M") +1</f>
        <v>83</v>
      </c>
      <c r="O196" s="25">
        <v>45078</v>
      </c>
      <c r="P196" s="25">
        <v>45443</v>
      </c>
      <c r="Q196" s="14">
        <v>12</v>
      </c>
      <c r="R196" s="12">
        <f t="shared" ca="1" si="36"/>
        <v>83</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hidden="1"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46037</v>
      </c>
      <c r="N197" s="14">
        <f ca="1">DATEDIF(L197,M197,"M") +1</f>
        <v>83</v>
      </c>
      <c r="O197" s="43"/>
      <c r="P197" s="14"/>
      <c r="Q197" s="14"/>
      <c r="R197" s="12">
        <f t="shared" ca="1" si="36"/>
        <v>83</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46037</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46037</v>
      </c>
      <c r="N199" s="14">
        <f ca="1">DATEDIF(L199,M199,"M") +1</f>
        <v>71</v>
      </c>
      <c r="O199" s="43"/>
      <c r="P199" s="14"/>
      <c r="Q199" s="14"/>
      <c r="R199" s="12">
        <f t="shared" ca="1" si="36"/>
        <v>71</v>
      </c>
      <c r="S199" s="25">
        <v>45936</v>
      </c>
      <c r="T199" s="12" t="s">
        <v>38</v>
      </c>
      <c r="U199" s="60">
        <f>DATEDIF(L199,S199,"M")+1-Q199</f>
        <v>68</v>
      </c>
      <c r="V199" s="53" t="str">
        <f>IF(U199&gt;51,"Completed:Delayed"," Completed:On time")</f>
        <v>Completed:Delayed</v>
      </c>
      <c r="W199" s="56">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46037</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46037</v>
      </c>
      <c r="N201" s="14">
        <f ca="1">DATEDIF(L201,M201,"M") +1</f>
        <v>71</v>
      </c>
      <c r="O201" s="43"/>
      <c r="P201" s="14"/>
      <c r="Q201" s="14"/>
      <c r="R201" s="12">
        <f t="shared" ca="1" si="36"/>
        <v>71</v>
      </c>
      <c r="S201" s="25">
        <v>45929</v>
      </c>
      <c r="T201" s="12" t="s">
        <v>38</v>
      </c>
      <c r="U201" s="60">
        <f>DATEDIF(L201,S201,"M")+1-Q201</f>
        <v>67</v>
      </c>
      <c r="V201" s="53" t="str">
        <f>IF(U201&gt;51,"Completed:Delayed"," Completed:On time")</f>
        <v>Completed:Delayed</v>
      </c>
      <c r="W201" s="56">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46037</v>
      </c>
      <c r="N202" s="14">
        <f ca="1">DATEDIF(L202,M202,"M") +1</f>
        <v>71</v>
      </c>
      <c r="O202" s="43"/>
      <c r="P202" s="14"/>
      <c r="Q202" s="14"/>
      <c r="R202" s="12">
        <f t="shared" ca="1" si="36"/>
        <v>71</v>
      </c>
      <c r="S202" s="25">
        <v>45950</v>
      </c>
      <c r="T202" s="12" t="s">
        <v>38</v>
      </c>
      <c r="U202" s="60">
        <f>DATEDIF(L202,S202,"M")+1-Q202</f>
        <v>68</v>
      </c>
      <c r="V202" s="53" t="str">
        <f>IF(U202&gt;51,"Completed:Delayed"," Completed:On time")</f>
        <v>Completed:Delayed</v>
      </c>
      <c r="W202" s="56">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46037</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46037</v>
      </c>
      <c r="N204" s="14">
        <f ca="1">DATEDIF(L204,M204,"M") +1</f>
        <v>119</v>
      </c>
      <c r="O204" s="43"/>
      <c r="P204" s="14"/>
      <c r="Q204" s="14"/>
      <c r="R204" s="12">
        <f t="shared" ca="1" si="36"/>
        <v>119</v>
      </c>
      <c r="S204" s="25">
        <v>45591</v>
      </c>
      <c r="T204" s="12" t="s">
        <v>38</v>
      </c>
      <c r="U204" s="60">
        <f t="shared" si="37"/>
        <v>104</v>
      </c>
      <c r="V204" s="53" t="str">
        <f t="shared" si="38"/>
        <v>Completed:Delayed</v>
      </c>
      <c r="W204" s="56">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46037</v>
      </c>
      <c r="N205" s="14">
        <f ca="1">DATEDIF(L205,M205,"M") +1</f>
        <v>71</v>
      </c>
      <c r="O205" s="43"/>
      <c r="P205" s="14"/>
      <c r="Q205" s="14"/>
      <c r="R205" s="12">
        <f t="shared" ca="1" si="36"/>
        <v>71</v>
      </c>
      <c r="S205" s="25">
        <v>45648</v>
      </c>
      <c r="T205" s="12" t="s">
        <v>38</v>
      </c>
      <c r="U205" s="60">
        <f t="shared" si="37"/>
        <v>58</v>
      </c>
      <c r="V205" s="53" t="str">
        <f t="shared" si="38"/>
        <v>Completed:Delayed</v>
      </c>
      <c r="W205" s="56">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46037</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46037</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46037</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46037</v>
      </c>
      <c r="N209" s="14">
        <f ca="1">DATEDIF(L209,M209,"M") +1</f>
        <v>83</v>
      </c>
      <c r="O209" s="43"/>
      <c r="P209" s="14"/>
      <c r="Q209" s="14"/>
      <c r="R209" s="12">
        <f t="shared" ca="1" si="36"/>
        <v>83</v>
      </c>
      <c r="S209" s="25">
        <v>45483</v>
      </c>
      <c r="T209" s="12" t="s">
        <v>38</v>
      </c>
      <c r="U209" s="60">
        <f t="shared" si="37"/>
        <v>65</v>
      </c>
      <c r="V209" s="53" t="str">
        <f t="shared" si="38"/>
        <v>Completed:Delayed</v>
      </c>
      <c r="W209" s="56">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46037</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46037</v>
      </c>
      <c r="N211" s="14">
        <f t="shared" ref="N211:N216" ca="1" si="40">DATEDIF(L211,M211,"M") +1</f>
        <v>71</v>
      </c>
      <c r="O211" s="43"/>
      <c r="P211" s="14"/>
      <c r="Q211" s="14"/>
      <c r="R211" s="12">
        <f t="shared" ca="1" si="36"/>
        <v>71</v>
      </c>
      <c r="S211" s="25">
        <v>45717</v>
      </c>
      <c r="T211" s="12" t="s">
        <v>38</v>
      </c>
      <c r="U211" s="60">
        <f t="shared" ref="U211:U213" si="41">DATEDIF(L211,S211,"M")+1-Q211</f>
        <v>61</v>
      </c>
      <c r="V211" s="53" t="str">
        <f t="shared" ref="V211:V213" si="42">IF(U211&gt;51,"Completed:Delayed"," Completed:On time")</f>
        <v>Completed:Delayed</v>
      </c>
      <c r="W211" s="56">
        <f t="shared" ref="W211:W214" si="43">DATEDIF(K211,S211,"M")+1-Q211</f>
        <v>58</v>
      </c>
    </row>
    <row r="212" spans="1:23" ht="25.35" hidden="1"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46037</v>
      </c>
      <c r="N212" s="14">
        <f t="shared" ca="1" si="40"/>
        <v>71</v>
      </c>
      <c r="O212" s="43"/>
      <c r="P212" s="14"/>
      <c r="Q212" s="14"/>
      <c r="R212" s="12">
        <f t="shared" ca="1" si="36"/>
        <v>71</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46037</v>
      </c>
      <c r="N213" s="14">
        <f t="shared" ca="1" si="40"/>
        <v>71</v>
      </c>
      <c r="O213" s="43"/>
      <c r="P213" s="14"/>
      <c r="Q213" s="14"/>
      <c r="R213" s="12">
        <f t="shared" ca="1" si="36"/>
        <v>71</v>
      </c>
      <c r="S213" s="25">
        <v>45889</v>
      </c>
      <c r="T213" s="12" t="s">
        <v>38</v>
      </c>
      <c r="U213" s="60">
        <f t="shared" si="41"/>
        <v>66</v>
      </c>
      <c r="V213" s="53" t="str">
        <f t="shared" si="42"/>
        <v>Completed:Delayed</v>
      </c>
      <c r="W213" s="56">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46037</v>
      </c>
      <c r="N214" s="14">
        <f t="shared" ca="1" si="40"/>
        <v>71</v>
      </c>
      <c r="O214" s="43"/>
      <c r="P214" s="14"/>
      <c r="Q214" s="14"/>
      <c r="R214" s="12">
        <f t="shared" ca="1" si="36"/>
        <v>71</v>
      </c>
      <c r="S214" s="25">
        <v>45747</v>
      </c>
      <c r="T214" s="12" t="s">
        <v>38</v>
      </c>
      <c r="U214" s="60">
        <f>DATEDIF(L214,S214,"M")+1-Q214</f>
        <v>61</v>
      </c>
      <c r="V214" s="53" t="str">
        <f t="shared" ref="V214" si="46">IF(U214&gt;51,"Completed:Delayed"," Completed:On time")</f>
        <v>Completed:Delayed</v>
      </c>
      <c r="W214" s="56">
        <f t="shared" si="43"/>
        <v>48</v>
      </c>
    </row>
    <row r="215" spans="1:23" ht="25.35" hidden="1"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46037</v>
      </c>
      <c r="N215" s="14">
        <f t="shared" ca="1" si="40"/>
        <v>71</v>
      </c>
      <c r="O215" s="43"/>
      <c r="P215" s="14"/>
      <c r="Q215" s="14"/>
      <c r="R215" s="12">
        <f t="shared" ca="1" si="36"/>
        <v>71</v>
      </c>
      <c r="S215" s="25"/>
      <c r="T215" s="12" t="s">
        <v>44</v>
      </c>
      <c r="U215" s="53" t="str">
        <f t="shared" ca="1" si="44"/>
        <v>In progress: Above 60 months</v>
      </c>
      <c r="V215" s="53" t="str">
        <f t="shared" ca="1" si="45"/>
        <v>In progress: Above 60 months</v>
      </c>
      <c r="W215" s="56"/>
    </row>
    <row r="216" spans="1:23" ht="25.35" hidden="1"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46037</v>
      </c>
      <c r="N216" s="14">
        <f t="shared" ca="1" si="40"/>
        <v>71</v>
      </c>
      <c r="O216" s="43"/>
      <c r="P216" s="14"/>
      <c r="Q216" s="14"/>
      <c r="R216" s="12">
        <f t="shared" ca="1" si="36"/>
        <v>71</v>
      </c>
      <c r="S216" s="25">
        <v>45937</v>
      </c>
      <c r="T216" s="12" t="s">
        <v>38</v>
      </c>
      <c r="U216" s="60">
        <f>DATEDIF(L216,S216,"M")+1-Q216</f>
        <v>68</v>
      </c>
      <c r="V216" s="53" t="str">
        <f t="shared" ref="V216" si="47">IF(U216&gt;51,"Completed:Delayed"," Completed:On time")</f>
        <v>Completed:Delayed</v>
      </c>
      <c r="W216" s="56">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46037</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hidden="1"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46037</v>
      </c>
      <c r="N218" s="14">
        <f ca="1">DATEDIF(L218,M218,"M") +1</f>
        <v>71</v>
      </c>
      <c r="O218" s="43"/>
      <c r="P218" s="14"/>
      <c r="Q218" s="14"/>
      <c r="R218" s="12">
        <f t="shared" ca="1" si="36"/>
        <v>71</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hidden="1"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46037</v>
      </c>
      <c r="N219" s="14">
        <f ca="1">DATEDIF(L219,M219,"M") +1</f>
        <v>71</v>
      </c>
      <c r="O219" s="43"/>
      <c r="P219" s="14"/>
      <c r="Q219" s="14"/>
      <c r="R219" s="12">
        <f t="shared" ca="1" si="36"/>
        <v>71</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hidden="1"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46037</v>
      </c>
      <c r="N220" s="14">
        <f ca="1">DATEDIF(L220,M220,"M") +1</f>
        <v>71</v>
      </c>
      <c r="O220" s="43"/>
      <c r="P220" s="14"/>
      <c r="Q220" s="14"/>
      <c r="R220" s="12">
        <f t="shared" ca="1" si="36"/>
        <v>71</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hidden="1"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46037</v>
      </c>
      <c r="N221" s="14">
        <f ca="1">DATEDIF(L221,M221,"M") +1</f>
        <v>71</v>
      </c>
      <c r="O221" s="43"/>
      <c r="P221" s="14"/>
      <c r="Q221" s="14"/>
      <c r="R221" s="12">
        <f t="shared" ca="1" si="36"/>
        <v>71</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46037</v>
      </c>
      <c r="N222" s="14">
        <f ca="1">DATEDIF(L222,M222,"M") +1</f>
        <v>11</v>
      </c>
      <c r="O222" s="43"/>
      <c r="P222" s="14"/>
      <c r="Q222" s="14"/>
      <c r="R222" s="12">
        <f t="shared" ca="1" si="36"/>
        <v>11</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hidden="1">
      <c r="A223" s="63">
        <v>222</v>
      </c>
      <c r="B223" s="63" t="s">
        <v>852</v>
      </c>
      <c r="C223" s="63" t="s">
        <v>853</v>
      </c>
      <c r="D223" s="63" t="s">
        <v>854</v>
      </c>
      <c r="E223" s="63" t="s">
        <v>855</v>
      </c>
      <c r="F223" s="63" t="s">
        <v>41</v>
      </c>
      <c r="G223" s="63">
        <v>11</v>
      </c>
      <c r="H223" s="63" t="s">
        <v>856</v>
      </c>
      <c r="I223" s="63" t="s">
        <v>857</v>
      </c>
      <c r="J223" s="63"/>
      <c r="K223" s="65"/>
      <c r="L223" s="65">
        <v>45717</v>
      </c>
      <c r="M223" s="15">
        <f t="shared" ca="1" si="35"/>
        <v>46037</v>
      </c>
      <c r="N223" s="14">
        <f t="shared" ref="N223:N241" ca="1" si="49">DATEDIF(L223,M223,"M") +1</f>
        <v>11</v>
      </c>
      <c r="O223" s="65"/>
      <c r="P223" s="65"/>
      <c r="Q223" s="63"/>
      <c r="R223" s="12">
        <f t="shared" ca="1" si="36"/>
        <v>11</v>
      </c>
      <c r="S223" s="65"/>
      <c r="T223" s="63" t="s">
        <v>44</v>
      </c>
      <c r="U223" s="64" t="str">
        <f t="shared" ref="U223:U241" ca="1" si="50">IF(N223&gt;60,"In progress: Above 60 months","In progress: Below 60 Months")</f>
        <v>In progress: Below 60 Months</v>
      </c>
      <c r="V223" s="64" t="str">
        <f t="shared" ref="V223:V241" ca="1" si="51">IF(N223&gt;60,"In progress: Above 60 months","In progress: Below 60 Months")</f>
        <v>In progress: Below 60 Months</v>
      </c>
      <c r="W223" s="54"/>
    </row>
    <row r="224" spans="1:23" ht="15.95" hidden="1">
      <c r="A224" s="63">
        <v>223</v>
      </c>
      <c r="B224" s="63" t="s">
        <v>858</v>
      </c>
      <c r="C224" s="63" t="s">
        <v>859</v>
      </c>
      <c r="D224" s="63"/>
      <c r="E224" s="63" t="s">
        <v>860</v>
      </c>
      <c r="F224" s="63" t="s">
        <v>41</v>
      </c>
      <c r="G224" s="63">
        <v>11</v>
      </c>
      <c r="H224" s="63" t="s">
        <v>117</v>
      </c>
      <c r="I224" s="63" t="s">
        <v>11</v>
      </c>
      <c r="J224" s="63" t="s">
        <v>11</v>
      </c>
      <c r="K224" s="65"/>
      <c r="L224" s="65">
        <v>45717</v>
      </c>
      <c r="M224" s="15">
        <f t="shared" ca="1" si="35"/>
        <v>46037</v>
      </c>
      <c r="N224" s="14">
        <f t="shared" ca="1" si="49"/>
        <v>11</v>
      </c>
      <c r="O224" s="65"/>
      <c r="P224" s="65"/>
      <c r="Q224" s="63"/>
      <c r="R224" s="12">
        <f t="shared" ca="1" si="36"/>
        <v>11</v>
      </c>
      <c r="S224" s="65"/>
      <c r="T224" s="63" t="s">
        <v>44</v>
      </c>
      <c r="U224" s="64" t="str">
        <f t="shared" ca="1" si="50"/>
        <v>In progress: Below 60 Months</v>
      </c>
      <c r="V224" s="64" t="str">
        <f t="shared" ca="1" si="51"/>
        <v>In progress: Below 60 Months</v>
      </c>
      <c r="W224" s="57"/>
    </row>
    <row r="225" spans="1:22" ht="15.95" hidden="1">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46037</v>
      </c>
      <c r="N225" s="14">
        <f t="shared" ca="1" si="49"/>
        <v>11</v>
      </c>
      <c r="O225" s="65"/>
      <c r="P225" s="65"/>
      <c r="Q225" s="63"/>
      <c r="R225" s="12">
        <f t="shared" ca="1" si="36"/>
        <v>11</v>
      </c>
      <c r="S225" s="65"/>
      <c r="T225" s="63" t="s">
        <v>44</v>
      </c>
      <c r="U225" s="64" t="str">
        <f t="shared" ca="1" si="50"/>
        <v>In progress: Below 60 Months</v>
      </c>
      <c r="V225" s="64" t="str">
        <f t="shared" ca="1" si="51"/>
        <v>In progress: Below 60 Months</v>
      </c>
    </row>
    <row r="226" spans="1:22" ht="15.95" hidden="1">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46037</v>
      </c>
      <c r="N226" s="14">
        <f t="shared" ca="1" si="49"/>
        <v>11</v>
      </c>
      <c r="O226" s="65"/>
      <c r="P226" s="65"/>
      <c r="Q226" s="63"/>
      <c r="R226" s="12">
        <f t="shared" ca="1" si="36"/>
        <v>11</v>
      </c>
      <c r="S226" s="65"/>
      <c r="T226" s="63" t="s">
        <v>44</v>
      </c>
      <c r="U226" s="64" t="str">
        <f t="shared" ca="1" si="50"/>
        <v>In progress: Below 60 Months</v>
      </c>
      <c r="V226" s="64" t="str">
        <f t="shared" ca="1" si="51"/>
        <v>In progress: Below 60 Months</v>
      </c>
    </row>
    <row r="227" spans="1:22" ht="15.95" hidden="1">
      <c r="A227" s="63">
        <v>226</v>
      </c>
      <c r="B227" s="63" t="s">
        <v>866</v>
      </c>
      <c r="C227" s="63" t="s">
        <v>867</v>
      </c>
      <c r="D227" s="63" t="s">
        <v>868</v>
      </c>
      <c r="E227" s="63" t="s">
        <v>869</v>
      </c>
      <c r="F227" s="63" t="s">
        <v>42</v>
      </c>
      <c r="G227" s="63">
        <v>11</v>
      </c>
      <c r="H227" s="63" t="s">
        <v>125</v>
      </c>
      <c r="I227" s="63" t="s">
        <v>16</v>
      </c>
      <c r="J227" s="63"/>
      <c r="K227" s="65"/>
      <c r="L227" s="65">
        <v>45717</v>
      </c>
      <c r="M227" s="15">
        <f t="shared" ca="1" si="35"/>
        <v>46037</v>
      </c>
      <c r="N227" s="14">
        <f t="shared" ca="1" si="49"/>
        <v>11</v>
      </c>
      <c r="O227" s="65"/>
      <c r="P227" s="65"/>
      <c r="Q227" s="63"/>
      <c r="R227" s="12">
        <f t="shared" ca="1" si="36"/>
        <v>11</v>
      </c>
      <c r="S227" s="65"/>
      <c r="T227" s="63" t="s">
        <v>44</v>
      </c>
      <c r="U227" s="64" t="str">
        <f t="shared" ca="1" si="50"/>
        <v>In progress: Below 60 Months</v>
      </c>
      <c r="V227" s="64" t="str">
        <f t="shared" ca="1" si="51"/>
        <v>In progress: Below 60 Months</v>
      </c>
    </row>
    <row r="228" spans="1:22" ht="15.95" hidden="1">
      <c r="A228" s="63">
        <v>227</v>
      </c>
      <c r="B228" s="63" t="s">
        <v>870</v>
      </c>
      <c r="C228" s="63" t="s">
        <v>325</v>
      </c>
      <c r="D228" s="63" t="s">
        <v>871</v>
      </c>
      <c r="E228" s="63" t="s">
        <v>872</v>
      </c>
      <c r="F228" s="63" t="s">
        <v>41</v>
      </c>
      <c r="G228" s="63">
        <v>11</v>
      </c>
      <c r="H228" s="63" t="s">
        <v>68</v>
      </c>
      <c r="I228" s="63" t="s">
        <v>13</v>
      </c>
      <c r="J228" s="63"/>
      <c r="K228" s="65"/>
      <c r="L228" s="65">
        <v>45717</v>
      </c>
      <c r="M228" s="15">
        <f t="shared" ca="1" si="35"/>
        <v>46037</v>
      </c>
      <c r="N228" s="14">
        <f t="shared" ca="1" si="49"/>
        <v>11</v>
      </c>
      <c r="O228" s="65"/>
      <c r="P228" s="65"/>
      <c r="Q228" s="63"/>
      <c r="R228" s="12">
        <f t="shared" ca="1" si="36"/>
        <v>11</v>
      </c>
      <c r="S228" s="65"/>
      <c r="T228" s="63" t="s">
        <v>44</v>
      </c>
      <c r="U228" s="64" t="str">
        <f t="shared" ca="1" si="50"/>
        <v>In progress: Below 60 Months</v>
      </c>
      <c r="V228" s="64" t="str">
        <f t="shared" ca="1" si="51"/>
        <v>In progress: Below 60 Months</v>
      </c>
    </row>
    <row r="229" spans="1:22" ht="15.95" hidden="1">
      <c r="A229" s="63">
        <v>228</v>
      </c>
      <c r="B229" s="63" t="s">
        <v>873</v>
      </c>
      <c r="C229" s="63" t="s">
        <v>874</v>
      </c>
      <c r="D229" s="63" t="s">
        <v>875</v>
      </c>
      <c r="E229" s="63" t="s">
        <v>854</v>
      </c>
      <c r="F229" s="63" t="s">
        <v>42</v>
      </c>
      <c r="G229" s="63">
        <v>11</v>
      </c>
      <c r="H229" s="63" t="s">
        <v>856</v>
      </c>
      <c r="I229" s="63" t="s">
        <v>857</v>
      </c>
      <c r="J229" s="63"/>
      <c r="K229" s="65"/>
      <c r="L229" s="65">
        <v>45717</v>
      </c>
      <c r="M229" s="15">
        <f t="shared" ca="1" si="35"/>
        <v>46037</v>
      </c>
      <c r="N229" s="14">
        <f t="shared" ca="1" si="49"/>
        <v>11</v>
      </c>
      <c r="O229" s="65"/>
      <c r="P229" s="65"/>
      <c r="Q229" s="63"/>
      <c r="R229" s="12">
        <f t="shared" ca="1" si="36"/>
        <v>11</v>
      </c>
      <c r="S229" s="65"/>
      <c r="T229" s="63" t="s">
        <v>44</v>
      </c>
      <c r="U229" s="64" t="str">
        <f t="shared" ca="1" si="50"/>
        <v>In progress: Below 60 Months</v>
      </c>
      <c r="V229" s="64" t="str">
        <f t="shared" ca="1" si="51"/>
        <v>In progress: Below 60 Months</v>
      </c>
    </row>
    <row r="230" spans="1:22" ht="15.95" hidden="1">
      <c r="A230" s="63">
        <v>229</v>
      </c>
      <c r="B230" s="63" t="s">
        <v>876</v>
      </c>
      <c r="C230" s="63" t="s">
        <v>877</v>
      </c>
      <c r="D230" s="63"/>
      <c r="E230" s="63" t="s">
        <v>878</v>
      </c>
      <c r="F230" s="63" t="s">
        <v>42</v>
      </c>
      <c r="G230" s="63">
        <v>11</v>
      </c>
      <c r="H230" s="63" t="s">
        <v>117</v>
      </c>
      <c r="I230" s="63" t="s">
        <v>11</v>
      </c>
      <c r="J230" s="63" t="s">
        <v>11</v>
      </c>
      <c r="K230" s="65"/>
      <c r="L230" s="65">
        <v>45717</v>
      </c>
      <c r="M230" s="15">
        <f t="shared" ca="1" si="35"/>
        <v>46037</v>
      </c>
      <c r="N230" s="14">
        <f t="shared" ca="1" si="49"/>
        <v>11</v>
      </c>
      <c r="O230" s="65"/>
      <c r="P230" s="65"/>
      <c r="Q230" s="63"/>
      <c r="R230" s="12">
        <f t="shared" ca="1" si="36"/>
        <v>11</v>
      </c>
      <c r="S230" s="65"/>
      <c r="T230" s="63" t="s">
        <v>44</v>
      </c>
      <c r="U230" s="64" t="str">
        <f t="shared" ca="1" si="50"/>
        <v>In progress: Below 60 Months</v>
      </c>
      <c r="V230" s="64" t="str">
        <f t="shared" ca="1" si="51"/>
        <v>In progress: Below 60 Months</v>
      </c>
    </row>
    <row r="231" spans="1:22" ht="15.95" hidden="1">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46037</v>
      </c>
      <c r="N231" s="14">
        <f t="shared" ca="1" si="49"/>
        <v>11</v>
      </c>
      <c r="O231" s="65"/>
      <c r="P231" s="65"/>
      <c r="Q231" s="63"/>
      <c r="R231" s="12">
        <f t="shared" ca="1" si="36"/>
        <v>11</v>
      </c>
      <c r="S231" s="65"/>
      <c r="T231" s="63" t="s">
        <v>44</v>
      </c>
      <c r="U231" s="64" t="str">
        <f t="shared" ca="1" si="50"/>
        <v>In progress: Below 60 Months</v>
      </c>
      <c r="V231" s="64" t="str">
        <f t="shared" ca="1" si="51"/>
        <v>In progress: Below 60 Months</v>
      </c>
    </row>
    <row r="232" spans="1:22" ht="15.95" hidden="1">
      <c r="A232" s="63">
        <v>231</v>
      </c>
      <c r="B232" s="63" t="s">
        <v>883</v>
      </c>
      <c r="C232" s="63" t="s">
        <v>508</v>
      </c>
      <c r="D232" s="63" t="s">
        <v>884</v>
      </c>
      <c r="E232" s="63" t="s">
        <v>885</v>
      </c>
      <c r="F232" s="63" t="s">
        <v>41</v>
      </c>
      <c r="G232" s="63">
        <v>11</v>
      </c>
      <c r="H232" s="63" t="s">
        <v>132</v>
      </c>
      <c r="I232" s="63" t="s">
        <v>17</v>
      </c>
      <c r="J232" s="63"/>
      <c r="K232" s="65"/>
      <c r="L232" s="65">
        <v>45717</v>
      </c>
      <c r="M232" s="15">
        <f t="shared" ca="1" si="35"/>
        <v>46037</v>
      </c>
      <c r="N232" s="14">
        <f t="shared" ca="1" si="49"/>
        <v>11</v>
      </c>
      <c r="O232" s="65"/>
      <c r="P232" s="65"/>
      <c r="Q232" s="63"/>
      <c r="R232" s="12">
        <f t="shared" ca="1" si="36"/>
        <v>11</v>
      </c>
      <c r="S232" s="65"/>
      <c r="T232" s="63" t="s">
        <v>44</v>
      </c>
      <c r="U232" s="64" t="str">
        <f t="shared" ca="1" si="50"/>
        <v>In progress: Below 60 Months</v>
      </c>
      <c r="V232" s="64" t="str">
        <f t="shared" ca="1" si="51"/>
        <v>In progress: Below 60 Months</v>
      </c>
    </row>
    <row r="233" spans="1:22" ht="15.95" hidden="1">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46037</v>
      </c>
      <c r="N233" s="14">
        <f t="shared" ca="1" si="49"/>
        <v>11</v>
      </c>
      <c r="O233" s="65"/>
      <c r="P233" s="65"/>
      <c r="Q233" s="63"/>
      <c r="R233" s="12">
        <f t="shared" ca="1" si="36"/>
        <v>11</v>
      </c>
      <c r="S233" s="65"/>
      <c r="T233" s="63" t="s">
        <v>44</v>
      </c>
      <c r="U233" s="64" t="str">
        <f t="shared" ca="1" si="50"/>
        <v>In progress: Below 60 Months</v>
      </c>
      <c r="V233" s="64" t="str">
        <f t="shared" ca="1" si="51"/>
        <v>In progress: Below 60 Months</v>
      </c>
    </row>
    <row r="234" spans="1:22" ht="15.95" hidden="1">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46037</v>
      </c>
      <c r="N234" s="14">
        <f t="shared" ca="1" si="49"/>
        <v>11</v>
      </c>
      <c r="O234" s="65"/>
      <c r="P234" s="65"/>
      <c r="Q234" s="63"/>
      <c r="R234" s="12">
        <f t="shared" ca="1" si="36"/>
        <v>11</v>
      </c>
      <c r="S234" s="65"/>
      <c r="T234" s="63" t="s">
        <v>44</v>
      </c>
      <c r="U234" s="64" t="str">
        <f t="shared" ca="1" si="50"/>
        <v>In progress: Below 60 Months</v>
      </c>
      <c r="V234" s="64" t="str">
        <f t="shared" ca="1" si="51"/>
        <v>In progress: Below 60 Months</v>
      </c>
    </row>
    <row r="235" spans="1:22" ht="15.95" hidden="1">
      <c r="A235" s="63">
        <v>234</v>
      </c>
      <c r="B235" s="63" t="s">
        <v>894</v>
      </c>
      <c r="C235" s="63" t="s">
        <v>895</v>
      </c>
      <c r="D235" s="63" t="s">
        <v>896</v>
      </c>
      <c r="E235" s="63" t="s">
        <v>897</v>
      </c>
      <c r="F235" s="63" t="s">
        <v>42</v>
      </c>
      <c r="G235" s="63">
        <v>11</v>
      </c>
      <c r="H235" s="63" t="s">
        <v>125</v>
      </c>
      <c r="I235" s="63" t="s">
        <v>16</v>
      </c>
      <c r="J235" s="63" t="s">
        <v>16</v>
      </c>
      <c r="K235" s="65"/>
      <c r="L235" s="65">
        <v>45717</v>
      </c>
      <c r="M235" s="15">
        <f t="shared" ca="1" si="35"/>
        <v>46037</v>
      </c>
      <c r="N235" s="14">
        <f t="shared" ca="1" si="49"/>
        <v>11</v>
      </c>
      <c r="O235" s="65"/>
      <c r="P235" s="65"/>
      <c r="Q235" s="63"/>
      <c r="R235" s="12">
        <f t="shared" ca="1" si="36"/>
        <v>11</v>
      </c>
      <c r="S235" s="65"/>
      <c r="T235" s="63" t="s">
        <v>44</v>
      </c>
      <c r="U235" s="64" t="str">
        <f t="shared" ca="1" si="50"/>
        <v>In progress: Below 60 Months</v>
      </c>
      <c r="V235" s="64" t="str">
        <f t="shared" ca="1" si="51"/>
        <v>In progress: Below 60 Months</v>
      </c>
    </row>
    <row r="236" spans="1:22" ht="15.95" hidden="1">
      <c r="A236" s="63">
        <v>235</v>
      </c>
      <c r="B236" s="63" t="s">
        <v>898</v>
      </c>
      <c r="C236" s="63" t="s">
        <v>899</v>
      </c>
      <c r="D236" s="63" t="s">
        <v>900</v>
      </c>
      <c r="E236" s="63" t="s">
        <v>901</v>
      </c>
      <c r="F236" s="63" t="s">
        <v>42</v>
      </c>
      <c r="G236" s="63">
        <v>11</v>
      </c>
      <c r="H236" s="63" t="s">
        <v>132</v>
      </c>
      <c r="I236" s="63" t="s">
        <v>17</v>
      </c>
      <c r="J236" s="63" t="s">
        <v>17</v>
      </c>
      <c r="K236" s="65"/>
      <c r="L236" s="65">
        <v>45717</v>
      </c>
      <c r="M236" s="15">
        <f t="shared" ca="1" si="35"/>
        <v>46037</v>
      </c>
      <c r="N236" s="14">
        <f t="shared" ca="1" si="49"/>
        <v>11</v>
      </c>
      <c r="O236" s="65"/>
      <c r="P236" s="65"/>
      <c r="Q236" s="63"/>
      <c r="R236" s="12">
        <f t="shared" ca="1" si="36"/>
        <v>11</v>
      </c>
      <c r="S236" s="65"/>
      <c r="T236" s="63" t="s">
        <v>44</v>
      </c>
      <c r="U236" s="64" t="str">
        <f t="shared" ca="1" si="50"/>
        <v>In progress: Below 60 Months</v>
      </c>
      <c r="V236" s="64" t="str">
        <f t="shared" ca="1" si="51"/>
        <v>In progress: Below 60 Months</v>
      </c>
    </row>
    <row r="237" spans="1:22" ht="15.95" hidden="1">
      <c r="A237" s="63">
        <v>236</v>
      </c>
      <c r="B237" s="63" t="s">
        <v>902</v>
      </c>
      <c r="C237" s="63" t="s">
        <v>903</v>
      </c>
      <c r="D237" s="63" t="s">
        <v>813</v>
      </c>
      <c r="E237" s="63" t="s">
        <v>904</v>
      </c>
      <c r="F237" s="63" t="s">
        <v>41</v>
      </c>
      <c r="G237" s="63">
        <v>11</v>
      </c>
      <c r="H237" s="63" t="s">
        <v>68</v>
      </c>
      <c r="I237" s="63" t="s">
        <v>13</v>
      </c>
      <c r="J237" s="63" t="s">
        <v>13</v>
      </c>
      <c r="K237" s="65"/>
      <c r="L237" s="65">
        <v>45717</v>
      </c>
      <c r="M237" s="15">
        <f t="shared" ca="1" si="35"/>
        <v>46037</v>
      </c>
      <c r="N237" s="14">
        <f t="shared" ca="1" si="49"/>
        <v>11</v>
      </c>
      <c r="O237" s="65"/>
      <c r="P237" s="65"/>
      <c r="Q237" s="63"/>
      <c r="R237" s="12">
        <f t="shared" ca="1" si="36"/>
        <v>11</v>
      </c>
      <c r="S237" s="65"/>
      <c r="T237" s="63" t="s">
        <v>44</v>
      </c>
      <c r="U237" s="64" t="str">
        <f t="shared" ca="1" si="50"/>
        <v>In progress: Below 60 Months</v>
      </c>
      <c r="V237" s="64" t="str">
        <f t="shared" ca="1" si="51"/>
        <v>In progress: Below 60 Months</v>
      </c>
    </row>
    <row r="238" spans="1:22" ht="15.95" hidden="1">
      <c r="A238" s="63">
        <v>237</v>
      </c>
      <c r="B238" s="63" t="s">
        <v>905</v>
      </c>
      <c r="C238" s="63" t="s">
        <v>906</v>
      </c>
      <c r="D238" s="63" t="s">
        <v>907</v>
      </c>
      <c r="E238" s="63" t="s">
        <v>908</v>
      </c>
      <c r="F238" s="63" t="s">
        <v>42</v>
      </c>
      <c r="G238" s="63">
        <v>11</v>
      </c>
      <c r="H238" s="63" t="s">
        <v>125</v>
      </c>
      <c r="I238" s="63" t="s">
        <v>16</v>
      </c>
      <c r="J238" s="63"/>
      <c r="K238" s="65"/>
      <c r="L238" s="65">
        <v>45717</v>
      </c>
      <c r="M238" s="15">
        <f t="shared" ca="1" si="35"/>
        <v>46037</v>
      </c>
      <c r="N238" s="14">
        <f t="shared" ca="1" si="49"/>
        <v>11</v>
      </c>
      <c r="O238" s="65"/>
      <c r="P238" s="65"/>
      <c r="Q238" s="63"/>
      <c r="R238" s="12">
        <f t="shared" ca="1" si="36"/>
        <v>11</v>
      </c>
      <c r="S238" s="65"/>
      <c r="T238" s="63" t="s">
        <v>44</v>
      </c>
      <c r="U238" s="64" t="str">
        <f t="shared" ca="1" si="50"/>
        <v>In progress: Below 60 Months</v>
      </c>
      <c r="V238" s="64" t="str">
        <f t="shared" ca="1" si="51"/>
        <v>In progress: Below 60 Months</v>
      </c>
    </row>
    <row r="239" spans="1:22" ht="15.95" hidden="1">
      <c r="A239" s="63">
        <v>238</v>
      </c>
      <c r="B239" s="63" t="s">
        <v>909</v>
      </c>
      <c r="C239" s="63" t="s">
        <v>910</v>
      </c>
      <c r="D239" s="63"/>
      <c r="E239" s="63" t="s">
        <v>911</v>
      </c>
      <c r="F239" s="63" t="s">
        <v>42</v>
      </c>
      <c r="G239" s="63">
        <v>11</v>
      </c>
      <c r="H239" s="63" t="s">
        <v>121</v>
      </c>
      <c r="I239" s="63" t="s">
        <v>18</v>
      </c>
      <c r="J239" s="63"/>
      <c r="K239" s="65"/>
      <c r="L239" s="65">
        <v>45717</v>
      </c>
      <c r="M239" s="15">
        <f t="shared" ca="1" si="35"/>
        <v>46037</v>
      </c>
      <c r="N239" s="14">
        <f t="shared" ca="1" si="49"/>
        <v>11</v>
      </c>
      <c r="O239" s="65"/>
      <c r="P239" s="65"/>
      <c r="Q239" s="63"/>
      <c r="R239" s="12">
        <f t="shared" ca="1" si="36"/>
        <v>11</v>
      </c>
      <c r="S239" s="65"/>
      <c r="T239" s="63" t="s">
        <v>44</v>
      </c>
      <c r="U239" s="64" t="str">
        <f t="shared" ca="1" si="50"/>
        <v>In progress: Below 60 Months</v>
      </c>
      <c r="V239" s="64" t="str">
        <f t="shared" ca="1" si="51"/>
        <v>In progress: Below 60 Months</v>
      </c>
    </row>
    <row r="240" spans="1:22" ht="15.95" hidden="1">
      <c r="A240" s="63">
        <v>239</v>
      </c>
      <c r="B240" s="63" t="s">
        <v>912</v>
      </c>
      <c r="C240" s="63" t="s">
        <v>913</v>
      </c>
      <c r="D240" s="63"/>
      <c r="E240" s="63" t="s">
        <v>914</v>
      </c>
      <c r="F240" s="63" t="s">
        <v>41</v>
      </c>
      <c r="G240" s="63">
        <v>11</v>
      </c>
      <c r="H240" s="63" t="s">
        <v>121</v>
      </c>
      <c r="I240" s="63" t="s">
        <v>18</v>
      </c>
      <c r="J240" s="63"/>
      <c r="K240" s="65"/>
      <c r="L240" s="65">
        <v>45717</v>
      </c>
      <c r="M240" s="15">
        <f t="shared" ca="1" si="35"/>
        <v>46037</v>
      </c>
      <c r="N240" s="14">
        <f t="shared" ca="1" si="49"/>
        <v>11</v>
      </c>
      <c r="O240" s="65"/>
      <c r="P240" s="65"/>
      <c r="Q240" s="63"/>
      <c r="R240" s="12">
        <f t="shared" ca="1" si="36"/>
        <v>11</v>
      </c>
      <c r="S240" s="65"/>
      <c r="T240" s="63" t="s">
        <v>44</v>
      </c>
      <c r="U240" s="64" t="str">
        <f t="shared" ca="1" si="50"/>
        <v>In progress: Below 60 Months</v>
      </c>
      <c r="V240" s="64" t="str">
        <f t="shared" ca="1" si="51"/>
        <v>In progress: Below 60 Months</v>
      </c>
    </row>
    <row r="241" spans="1:22" ht="15.95" hidden="1">
      <c r="A241" s="63">
        <v>240</v>
      </c>
      <c r="B241" s="63" t="s">
        <v>915</v>
      </c>
      <c r="C241" s="63" t="s">
        <v>916</v>
      </c>
      <c r="D241" s="63" t="s">
        <v>917</v>
      </c>
      <c r="E241" s="63" t="s">
        <v>918</v>
      </c>
      <c r="F241" s="63" t="s">
        <v>41</v>
      </c>
      <c r="G241" s="63">
        <v>11</v>
      </c>
      <c r="H241" s="63" t="s">
        <v>112</v>
      </c>
      <c r="I241" s="63" t="s">
        <v>10</v>
      </c>
      <c r="J241" s="63"/>
      <c r="K241" s="65"/>
      <c r="L241" s="65">
        <v>45717</v>
      </c>
      <c r="M241" s="15">
        <f t="shared" ca="1" si="35"/>
        <v>46037</v>
      </c>
      <c r="N241" s="14">
        <f t="shared" ca="1" si="49"/>
        <v>11</v>
      </c>
      <c r="O241" s="65"/>
      <c r="P241" s="65"/>
      <c r="Q241" s="63"/>
      <c r="R241" s="12">
        <f t="shared" ca="1" si="36"/>
        <v>11</v>
      </c>
      <c r="S241" s="65"/>
      <c r="T241" s="63" t="s">
        <v>44</v>
      </c>
      <c r="U241" s="64" t="str">
        <f t="shared" ca="1" si="50"/>
        <v>In progress: Below 60 Months</v>
      </c>
      <c r="V241" s="64" t="str">
        <f t="shared" ca="1" si="51"/>
        <v>In progress: Below 60 Months</v>
      </c>
    </row>
  </sheetData>
  <autoFilter ref="A1:Y241" xr:uid="{00000000-0001-0000-0100-000000000000}">
    <filterColumn colId="6">
      <filters>
        <filter val="10"/>
      </filters>
    </filterColumn>
    <filterColumn colId="8">
      <filters>
        <filter val="Ifakara Health Institute"/>
        <filter val="Makerere University"/>
        <filter val="Moi University"/>
        <filter val="Obafemi Awolowo University"/>
        <filter val="University of Ibadan"/>
        <filter val="University of Malawi"/>
        <filter val="University of Nairobi"/>
        <filter val="University of Rwanda"/>
      </filters>
    </filterColumn>
    <filterColumn colId="19">
      <filters>
        <filter val="Completed"/>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919</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920</v>
      </c>
    </row>
    <row r="69" spans="1:4">
      <c r="A69" s="2" t="s">
        <v>2</v>
      </c>
      <c r="B69" t="s">
        <v>920</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920</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920</v>
      </c>
    </row>
    <row r="6" spans="1:4">
      <c r="A6" s="2" t="s">
        <v>1</v>
      </c>
      <c r="B6" s="2" t="s">
        <v>50</v>
      </c>
    </row>
    <row r="7" spans="1:4">
      <c r="A7" s="2" t="s">
        <v>61</v>
      </c>
      <c r="B7" t="s">
        <v>41</v>
      </c>
      <c r="C7" t="s">
        <v>42</v>
      </c>
      <c r="D7" t="s">
        <v>7</v>
      </c>
    </row>
    <row r="8" spans="1:4">
      <c r="A8" t="s">
        <v>921</v>
      </c>
      <c r="B8">
        <v>26</v>
      </c>
      <c r="C8">
        <v>19</v>
      </c>
      <c r="D8">
        <v>45</v>
      </c>
    </row>
    <row r="9" spans="1:4">
      <c r="A9" t="s">
        <v>922</v>
      </c>
      <c r="B9">
        <v>1</v>
      </c>
      <c r="C9">
        <v>2</v>
      </c>
      <c r="D9">
        <v>3</v>
      </c>
    </row>
    <row r="10" spans="1:4">
      <c r="A10" t="s">
        <v>923</v>
      </c>
      <c r="B10">
        <v>2</v>
      </c>
      <c r="C10">
        <v>3</v>
      </c>
      <c r="D10">
        <v>5</v>
      </c>
    </row>
    <row r="11" spans="1:4">
      <c r="A11" t="s">
        <v>924</v>
      </c>
      <c r="B11">
        <v>2</v>
      </c>
      <c r="C11">
        <v>6</v>
      </c>
      <c r="D11">
        <v>8</v>
      </c>
    </row>
    <row r="12" spans="1:4">
      <c r="A12" t="s">
        <v>925</v>
      </c>
      <c r="B12">
        <v>7</v>
      </c>
      <c r="C12">
        <v>9</v>
      </c>
      <c r="D12">
        <v>16</v>
      </c>
    </row>
    <row r="13" spans="1:4">
      <c r="A13" t="s">
        <v>926</v>
      </c>
      <c r="B13">
        <v>8</v>
      </c>
      <c r="C13">
        <v>7</v>
      </c>
      <c r="D13">
        <v>15</v>
      </c>
    </row>
    <row r="14" spans="1:4">
      <c r="A14" t="s">
        <v>927</v>
      </c>
      <c r="B14">
        <v>7</v>
      </c>
      <c r="C14">
        <v>9</v>
      </c>
      <c r="D14">
        <v>16</v>
      </c>
    </row>
    <row r="15" spans="1:4">
      <c r="A15" t="s">
        <v>928</v>
      </c>
      <c r="B15">
        <v>13</v>
      </c>
      <c r="C15">
        <v>11</v>
      </c>
      <c r="D15">
        <v>24</v>
      </c>
    </row>
    <row r="16" spans="1:4">
      <c r="A16" t="s">
        <v>929</v>
      </c>
      <c r="B16">
        <v>6</v>
      </c>
      <c r="C16">
        <v>4</v>
      </c>
      <c r="D16">
        <v>10</v>
      </c>
    </row>
    <row r="17" spans="1:4">
      <c r="A17" t="s">
        <v>930</v>
      </c>
      <c r="B17">
        <v>20</v>
      </c>
      <c r="C17">
        <v>10</v>
      </c>
      <c r="D17">
        <v>30</v>
      </c>
    </row>
    <row r="18" spans="1:4">
      <c r="A18" t="s">
        <v>931</v>
      </c>
      <c r="B18">
        <v>11</v>
      </c>
      <c r="C18">
        <v>3</v>
      </c>
      <c r="D18">
        <v>14</v>
      </c>
    </row>
    <row r="19" spans="1:4">
      <c r="A19" t="s">
        <v>932</v>
      </c>
      <c r="B19">
        <v>13</v>
      </c>
      <c r="C19">
        <v>9</v>
      </c>
      <c r="D19">
        <v>22</v>
      </c>
    </row>
    <row r="20" spans="1:4">
      <c r="A20" t="s">
        <v>933</v>
      </c>
      <c r="B20">
        <v>10</v>
      </c>
      <c r="C20">
        <v>10</v>
      </c>
      <c r="D20">
        <v>20</v>
      </c>
    </row>
    <row r="21" spans="1:4">
      <c r="A21" t="s">
        <v>934</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920</v>
      </c>
    </row>
    <row r="3" spans="1:20">
      <c r="J3" s="2" t="s">
        <v>37</v>
      </c>
      <c r="K3" t="s">
        <v>920</v>
      </c>
    </row>
    <row r="4" spans="1:20">
      <c r="B4" s="2" t="s">
        <v>37</v>
      </c>
      <c r="C4" s="2" t="s">
        <v>935</v>
      </c>
    </row>
    <row r="5" spans="1:20" ht="15">
      <c r="B5" t="s">
        <v>38</v>
      </c>
      <c r="D5" t="s">
        <v>44</v>
      </c>
      <c r="F5" t="s">
        <v>936</v>
      </c>
      <c r="G5" t="s">
        <v>937</v>
      </c>
      <c r="K5" s="2" t="s">
        <v>2</v>
      </c>
      <c r="L5" s="2" t="s">
        <v>935</v>
      </c>
    </row>
    <row r="6" spans="1:20" ht="15">
      <c r="A6" s="2" t="s">
        <v>3</v>
      </c>
      <c r="B6" t="s">
        <v>938</v>
      </c>
      <c r="C6" t="s">
        <v>939</v>
      </c>
      <c r="D6" t="s">
        <v>938</v>
      </c>
      <c r="E6" t="s">
        <v>939</v>
      </c>
      <c r="H6" s="8"/>
      <c r="J6" s="39"/>
      <c r="K6" s="39" t="s">
        <v>4</v>
      </c>
      <c r="L6" s="40"/>
      <c r="M6" s="41" t="s">
        <v>919</v>
      </c>
      <c r="N6" s="40"/>
      <c r="O6" s="41" t="s">
        <v>5</v>
      </c>
      <c r="P6" s="40"/>
      <c r="Q6" s="41" t="s">
        <v>6</v>
      </c>
      <c r="R6" s="40"/>
      <c r="S6" s="33" t="s">
        <v>936</v>
      </c>
      <c r="T6" s="33" t="s">
        <v>937</v>
      </c>
    </row>
    <row r="7" spans="1:20" ht="15">
      <c r="A7" t="s">
        <v>8</v>
      </c>
      <c r="B7">
        <v>1</v>
      </c>
      <c r="C7" s="8">
        <v>0.5</v>
      </c>
      <c r="D7">
        <v>1</v>
      </c>
      <c r="E7" s="8">
        <v>0.5</v>
      </c>
      <c r="F7">
        <v>2</v>
      </c>
      <c r="G7" s="8">
        <v>1</v>
      </c>
      <c r="H7" s="8"/>
      <c r="J7" s="42" t="s">
        <v>3</v>
      </c>
      <c r="K7" s="39" t="s">
        <v>938</v>
      </c>
      <c r="L7" s="40" t="s">
        <v>939</v>
      </c>
      <c r="M7" s="41" t="s">
        <v>938</v>
      </c>
      <c r="N7" s="40" t="s">
        <v>939</v>
      </c>
      <c r="O7" s="41" t="s">
        <v>938</v>
      </c>
      <c r="P7" s="40" t="s">
        <v>939</v>
      </c>
      <c r="Q7" s="41" t="s">
        <v>938</v>
      </c>
      <c r="R7" s="40" t="s">
        <v>939</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7</v>
      </c>
      <c r="C9" s="8">
        <v>0.875</v>
      </c>
      <c r="D9">
        <v>1</v>
      </c>
      <c r="E9" s="8">
        <v>0.125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c r="L10" s="35">
        <v>0</v>
      </c>
      <c r="M10">
        <v>1</v>
      </c>
      <c r="N10" s="35">
        <v>0.125</v>
      </c>
      <c r="O10">
        <v>7</v>
      </c>
      <c r="P10" s="35">
        <v>0.875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25</v>
      </c>
      <c r="C18" s="8">
        <v>0.96153846153846156</v>
      </c>
      <c r="D18">
        <v>1</v>
      </c>
      <c r="E18" s="8">
        <v>3.8461538461538464E-2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1</v>
      </c>
      <c r="L19" s="35">
        <v>3.8461538461538464E-2</v>
      </c>
      <c r="N19" s="35">
        <v>0</v>
      </c>
      <c r="O19">
        <v>19</v>
      </c>
      <c r="P19" s="35">
        <v>0.73076923076923073</v>
      </c>
      <c r="Q19">
        <v>6</v>
      </c>
      <c r="R19" s="35">
        <v>0.23076923076923078</v>
      </c>
      <c r="S19">
        <v>26</v>
      </c>
      <c r="T19" s="35">
        <v>1</v>
      </c>
    </row>
    <row r="20" spans="1:20" ht="15">
      <c r="A20" t="s">
        <v>7</v>
      </c>
      <c r="B20">
        <v>195</v>
      </c>
      <c r="C20" s="8">
        <v>0.8125</v>
      </c>
      <c r="D20">
        <v>45</v>
      </c>
      <c r="E20" s="8">
        <v>0.1875</v>
      </c>
      <c r="F20">
        <v>240</v>
      </c>
      <c r="G20" s="8">
        <v>1</v>
      </c>
      <c r="J20" s="36" t="s">
        <v>857</v>
      </c>
      <c r="K20" s="34"/>
      <c r="L20" s="66">
        <v>0</v>
      </c>
      <c r="M20">
        <v>2</v>
      </c>
      <c r="N20" s="35">
        <v>1</v>
      </c>
      <c r="P20" s="35">
        <v>0</v>
      </c>
      <c r="R20" s="35">
        <v>0</v>
      </c>
      <c r="S20">
        <v>2</v>
      </c>
      <c r="T20" s="35">
        <v>1</v>
      </c>
    </row>
    <row r="21" spans="1:20" ht="15">
      <c r="J21" s="39" t="s">
        <v>7</v>
      </c>
      <c r="K21" s="36">
        <v>25</v>
      </c>
      <c r="L21" s="37">
        <v>0.10416666666666667</v>
      </c>
      <c r="M21" s="77">
        <v>20</v>
      </c>
      <c r="N21" s="37">
        <v>8.3333333333333329E-2</v>
      </c>
      <c r="O21" s="77">
        <v>127</v>
      </c>
      <c r="P21" s="37">
        <v>0.52916666666666667</v>
      </c>
      <c r="Q21" s="77">
        <v>68</v>
      </c>
      <c r="R21" s="37">
        <v>0.28333333333333333</v>
      </c>
      <c r="S21" s="77">
        <v>240</v>
      </c>
      <c r="T21" s="37">
        <v>1</v>
      </c>
    </row>
    <row r="22" spans="1:20" ht="15"/>
    <row r="23" spans="1:20">
      <c r="A23" s="2" t="s">
        <v>2</v>
      </c>
      <c r="B23" t="s">
        <v>39</v>
      </c>
    </row>
    <row r="25" spans="1:20">
      <c r="A25" s="2" t="s">
        <v>938</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919</v>
      </c>
      <c r="M28" t="s">
        <v>5</v>
      </c>
      <c r="N28" t="s">
        <v>6</v>
      </c>
      <c r="O28" t="s">
        <v>7</v>
      </c>
    </row>
    <row r="29" spans="1:20">
      <c r="A29" t="s">
        <v>10</v>
      </c>
      <c r="B29">
        <v>5</v>
      </c>
      <c r="C29">
        <v>2</v>
      </c>
      <c r="D29">
        <v>7</v>
      </c>
      <c r="J29" t="s">
        <v>8</v>
      </c>
      <c r="L29">
        <v>1</v>
      </c>
      <c r="M29">
        <v>1</v>
      </c>
      <c r="O29">
        <v>2</v>
      </c>
    </row>
    <row r="30" spans="1:20">
      <c r="A30" t="s">
        <v>11</v>
      </c>
      <c r="B30">
        <v>6</v>
      </c>
      <c r="C30">
        <v>13</v>
      </c>
      <c r="D30">
        <v>19</v>
      </c>
      <c r="J30" t="s">
        <v>9</v>
      </c>
      <c r="M30">
        <v>4</v>
      </c>
      <c r="O30">
        <v>4</v>
      </c>
    </row>
    <row r="31" spans="1:20">
      <c r="A31" t="s">
        <v>12</v>
      </c>
      <c r="B31">
        <v>11</v>
      </c>
      <c r="C31">
        <v>2</v>
      </c>
      <c r="D31">
        <v>13</v>
      </c>
      <c r="J31" t="s">
        <v>10</v>
      </c>
      <c r="L31">
        <v>1</v>
      </c>
      <c r="M31">
        <v>7</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940</v>
      </c>
      <c r="C3" t="s">
        <v>33</v>
      </c>
      <c r="D3" t="s">
        <v>34</v>
      </c>
      <c r="E3" t="s">
        <v>35</v>
      </c>
      <c r="F3" t="s">
        <v>36</v>
      </c>
      <c r="G3" t="s">
        <v>941</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topLeftCell="C10" workbookViewId="0">
      <selection activeCell="C10" sqref="C10"/>
    </sheetView>
  </sheetViews>
  <sheetFormatPr defaultRowHeight="14.45"/>
  <cols>
    <col min="1" max="1" width="11.7109375" bestFit="1" customWidth="1"/>
    <col min="2" max="2" width="14.14062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920</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938</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922</v>
      </c>
      <c r="B48">
        <v>1</v>
      </c>
      <c r="C48">
        <v>2</v>
      </c>
      <c r="D48">
        <v>3</v>
      </c>
    </row>
    <row r="49" spans="1:4">
      <c r="A49" t="s">
        <v>923</v>
      </c>
      <c r="B49">
        <v>2</v>
      </c>
      <c r="C49">
        <v>3</v>
      </c>
      <c r="D49">
        <v>5</v>
      </c>
    </row>
    <row r="50" spans="1:4">
      <c r="A50" t="s">
        <v>924</v>
      </c>
      <c r="B50">
        <v>2</v>
      </c>
      <c r="C50">
        <v>6</v>
      </c>
      <c r="D50">
        <v>8</v>
      </c>
    </row>
    <row r="51" spans="1:4">
      <c r="A51" t="s">
        <v>925</v>
      </c>
      <c r="B51">
        <v>7</v>
      </c>
      <c r="C51">
        <v>9</v>
      </c>
      <c r="D51">
        <v>16</v>
      </c>
    </row>
    <row r="52" spans="1:4">
      <c r="A52" t="s">
        <v>926</v>
      </c>
      <c r="B52">
        <v>8</v>
      </c>
      <c r="C52">
        <v>7</v>
      </c>
      <c r="D52">
        <v>15</v>
      </c>
    </row>
    <row r="53" spans="1:4">
      <c r="A53" t="s">
        <v>927</v>
      </c>
      <c r="B53">
        <v>7</v>
      </c>
      <c r="C53">
        <v>9</v>
      </c>
      <c r="D53">
        <v>16</v>
      </c>
    </row>
    <row r="54" spans="1:4">
      <c r="A54" t="s">
        <v>928</v>
      </c>
      <c r="B54">
        <v>13</v>
      </c>
      <c r="C54">
        <v>11</v>
      </c>
      <c r="D54">
        <v>24</v>
      </c>
    </row>
    <row r="55" spans="1:4">
      <c r="A55" t="s">
        <v>929</v>
      </c>
      <c r="B55">
        <v>6</v>
      </c>
      <c r="C55">
        <v>4</v>
      </c>
      <c r="D55">
        <v>10</v>
      </c>
    </row>
    <row r="56" spans="1:4">
      <c r="A56" t="s">
        <v>930</v>
      </c>
      <c r="B56">
        <v>20</v>
      </c>
      <c r="C56">
        <v>10</v>
      </c>
      <c r="D56">
        <v>30</v>
      </c>
    </row>
    <row r="57" spans="1:4">
      <c r="A57" t="s">
        <v>931</v>
      </c>
      <c r="B57">
        <v>11</v>
      </c>
      <c r="C57">
        <v>3</v>
      </c>
      <c r="D57">
        <v>14</v>
      </c>
    </row>
    <row r="58" spans="1:4">
      <c r="A58" t="s">
        <v>932</v>
      </c>
      <c r="B58">
        <v>13</v>
      </c>
      <c r="C58">
        <v>9</v>
      </c>
      <c r="D58">
        <v>22</v>
      </c>
    </row>
    <row r="59" spans="1:4">
      <c r="A59" t="s">
        <v>933</v>
      </c>
      <c r="B59">
        <v>10</v>
      </c>
      <c r="C59">
        <v>10</v>
      </c>
      <c r="D59">
        <v>20</v>
      </c>
    </row>
    <row r="60" spans="1:4">
      <c r="A60" t="s">
        <v>934</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920</v>
      </c>
    </row>
    <row r="2" spans="2:12">
      <c r="B2" s="2" t="s">
        <v>2</v>
      </c>
      <c r="C2" t="s">
        <v>920</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2026-01-15T11:19:28Z</dcterms:modified>
  <cp:category/>
  <cp:contentStatus/>
</cp:coreProperties>
</file>
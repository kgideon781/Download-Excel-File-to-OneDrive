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085" documentId="13_ncr:1_{503F577C-3F40-4625-BC6E-453B42AAE264}" xr6:coauthVersionLast="47" xr6:coauthVersionMax="47" xr10:uidLastSave="{83CFA287-FE45-4187-9DB9-BD8FD75B6296}"/>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Av time to completion" sheetId="20" r:id="rId12"/>
    <sheet name="Institution of employment" sheetId="6"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Fellows!$A$1:$Y$240</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491" r:id="rId20"/>
    <pivotCache cacheId="492" r:id="rId21"/>
    <pivotCache cacheId="493" r:id="rId22"/>
    <pivotCache cacheId="494"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0" i="1"/>
  <c r="N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0" i="1"/>
  <c r="R240" i="1"/>
  <c r="U222" i="1"/>
  <c r="R222" i="1"/>
  <c r="V224" i="1"/>
  <c r="U224" i="1"/>
  <c r="U232" i="1"/>
  <c r="V232" i="1"/>
  <c r="V239" i="1"/>
  <c r="U239" i="1"/>
  <c r="V230" i="1"/>
  <c r="U230" i="1"/>
  <c r="U238" i="1"/>
  <c r="V238" i="1"/>
  <c r="U223" i="1"/>
  <c r="V223" i="1"/>
  <c r="V234" i="1"/>
  <c r="U236" i="1"/>
  <c r="V228" i="1"/>
  <c r="U226" i="1"/>
  <c r="V222" i="1"/>
  <c r="U227" i="1"/>
  <c r="U235" i="1"/>
  <c r="V231" i="1"/>
  <c r="U229" i="1"/>
  <c r="U237" i="1"/>
  <c r="V225" i="1"/>
  <c r="V233" i="1"/>
  <c r="V240"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<sst xmlns="http://schemas.openxmlformats.org/spreadsheetml/2006/main" count="2827" uniqueCount="943">
  <si>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</si>
  <si>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</si>
  <si>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</si>
  <si>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</si>
  <si>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</si>
  <si>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</si>
  <si>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</si>
  <si>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</si>
  <si>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</si>
  <si>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</si>
  <si>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</si>
  <si>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</si>
  <si>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</si>
  <si>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</si>
  <si>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</si>
  <si>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</si>
  <si>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</si>
  <si>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</si>
  <si>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</si>
  <si>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</si>
  <si>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</si>
  <si>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</si>
  <si>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</si>
  <si>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</si>
  <si>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</si>
  <si>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</si>
  <si>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</si>
  <si>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</si>
  <si>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</si>
  <si>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</si>
  <si>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</si>
  <si>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</si>
  <si>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</si>
  <si>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</si>
  <si>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</si>
  <si>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</si>
  <si>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</si>
  <si>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</si>
  <si>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</si>
  <si>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</si>
  <si>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</si>
  <si>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</si>
  <si>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</si>
  <si>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</si>
  <si>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</si>
  <si>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</si>
  <si>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</si>
  <si>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</si>
  <si>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</si>
  <si>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</si>
  <si>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</si>
  <si>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</si>
  <si>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</si>
  <si>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</si>
  <si>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</si>
  <si>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</si>
  <si>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</si>
  <si>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</si>
  <si>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</si>
  <si>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</si>
  <si>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</si>
  <si>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</si>
  <si>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</si>
  <si>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</si>
  <si>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</si>
  <si>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</si>
  <si>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</si>
  <si>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</si>
  <si>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</si>
  <si>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</si>
  <si>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</si>
  <si>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</si>
  <si>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</si>
  <si>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</si>
  <si>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</si>
  <si>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</si>
  <si>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</si>
  <si>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</si>
  <si>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</si>
  <si>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</si>
  <si>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</si>
  <si>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</si>
  <si>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</si>
  <si>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</si>
  <si>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</si>
  <si>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</si>
  <si>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</si>
  <si>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</si>
  <si>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</si>
  <si>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</si>
  <si>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</si>
  <si>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</si>
  <si>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</si>
  <si>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</si>
  <si>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</si>
  <si>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</si>
  <si>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</si>
  <si>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</si>
  <si>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</si>
  <si>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</si>
  <si>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</si>
  <si>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</si>
  <si>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</si>
  <si>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</si>
  <si>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</si>
  <si>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</si>
  <si>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</si>
  <si>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</si>
  <si>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</si>
  <si>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</si>
  <si>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</si>
  <si>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</si>
  <si>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</si>
  <si>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</si>
  <si>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</si>
  <si>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</si>
  <si>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</si>
  <si>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</si>
  <si>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</si>
  <si>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</si>
  <si>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</si>
  <si>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</si>
  <si>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</si>
  <si>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</si>
  <si>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</si>
  <si>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</si>
  <si>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</si>
  <si>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</si>
  <si>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</si>
  <si>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</si>
  <si>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</si>
  <si>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</si>
  <si>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</si>
  <si>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</si>
  <si>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</si>
  <si>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</si>
  <si>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</si>
  <si>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</si>
  <si>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</si>
  <si>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</si>
  <si>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</si>
  <si>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</si>
  <si>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</si>
  <si>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</si>
  <si>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</si>
  <si>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</si>
  <si>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</si>
  <si>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</si>
  <si>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</si>
  <si>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</si>
  <si>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</si>
  <si>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</si>
  <si>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</si>
  <si>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</si>
  <si>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</si>
  <si>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</si>
  <si>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</si>
  <si>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</si>
  <si>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</si>
  <si>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</si>
  <si>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</si>
  <si>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</si>
  <si>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</si>
  <si>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</si>
  <si>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</si>
  <si>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</si>
  <si>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</si>
  <si>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</si>
  <si>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</si>
  <si>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</si>
  <si>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</si>
  <si>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</si>
  <si>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</si>
  <si>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</si>
  <si>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</si>
  <si>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</si>
  <si>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</si>
  <si>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</si>
  <si>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</si>
  <si>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</si>
  <si>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</si>
  <si>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</si>
  <si>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</si>
  <si>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</si>
  <si>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</si>
  <si>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</si>
  <si>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</si>
  <si>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</si>
  <si>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</si>
  <si>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</si>
  <si>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</si>
  <si>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</si>
  <si>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</si>
  <si>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</si>
  <si>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</si>
  <si>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</si>
  <si>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</si>
  <si>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</si>
  <si>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</si>
  <si>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</si>
  <si>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</si>
  <si>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</si>
  <si>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</si>
  <si>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</si>
  <si>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</si>
  <si>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</si>
  <si>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</si>
  <si>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</si>
  <si>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</si>
  <si>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</si>
  <si>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</si>
  <si>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</si>
  <si>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</si>
  <si>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</si>
  <si>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</si>
  <si>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</si>
  <si>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</si>
  <si>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</si>
  <si>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</si>
  <si>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</si>
  <si>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</si>
  <si>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</si>
  <si>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</si>
  <si>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</si>
  <si>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</si>
  <si>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</si>
  <si>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</si>
  <si>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</si>
  <si>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</si>
  <si>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</si>
  <si>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</si>
  <si>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</si>
  <si>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</si>
  <si>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</si>
  <si>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</si>
  <si>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</si>
  <si>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</si>
  <si>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</si>
  <si>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</si>
  <si>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</si>
  <si>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</si>
  <si>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</si>
  <si>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</si>
  <si>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</si>
  <si>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</si>
  <si>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</si>
  <si>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</si>
  <si>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</si>
  <si>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</si>
  <si>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</si>
  <si>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</si>
  <si>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</si>
  <si>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</si>
  <si>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</si>
  <si>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</si>
  <si>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</si>
  <si>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</si>
  <si>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</si>
  <si>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</si>
  <si>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</si>
  <si>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</si>
  <si>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</si>
  <si>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</si>
  <si>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</si>
  <si>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</si>
  <si>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</si>
  <si>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</si>
  <si>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</si>
  <si>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</si>
  <si>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</si>
  <si>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</si>
  <si>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</si>
  <si>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</si>
  <si>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</si>
  <si>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</si>
  <si>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</si>
  <si>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</si>
  <si>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</si>
  <si>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</si>
  <si>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</si>
  <si>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</si>
  <si>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</si>
  <si>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</si>
  <si>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</si>
  <si>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</si>
  <si>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</si>
  <si>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</si>
  <si>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</si>
  <si>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</si>
  <si>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</si>
  <si>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</si>
  <si>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</si>
  <si>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</si>
  <si>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</si>
  <si>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</si>
  <si>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</si>
  <si>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</si>
  <si>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</si>
  <si>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</si>
  <si>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</si>
  <si>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</si>
  <si>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</si>
  <si>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</si>
  <si>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</si>
  <si>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</si>
  <si>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</si>
  <si>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</si>
  <si>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</si>
  <si>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</si>
  <si>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</si>
  <si>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</si>
  <si>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</si>
  <si>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</si>
  <si>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</si>
  <si>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</si>
  <si>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</si>
  <si>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</si>
  <si>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</si>
  <si>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</si>
  <si>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</si>
  <si>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</si>
  <si>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</si>
  <si>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</si>
  <si>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</si>
  <si>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</si>
  <si>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</si>
  <si>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</si>
  <si>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</si>
  <si>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</si>
  <si>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</si>
  <si>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</si>
  <si>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</si>
  <si>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</si>
  <si>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</si>
  <si>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</si>
  <si>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</si>
  <si>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</si>
  <si>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</si>
  <si>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</si>
  <si>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</si>
  <si>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</si>
  <si>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</si>
  <si>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</si>
  <si>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</si>
  <si>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</si>
  <si>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</si>
  <si>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</si>
  <si>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</si>
  <si>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</si>
  <si>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</si>
  <si>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</si>
  <si>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</si>
  <si>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</si>
  <si>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</si>
  <si>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</si>
  <si>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</si>
  <si>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</si>
  <si>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</si>
  <si>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</si>
  <si>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</si>
  <si>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</si>
  <si>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</si>
  <si>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</si>
  <si>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</si>
  <si>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</si>
  <si>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</si>
  <si>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</si>
  <si>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</si>
  <si>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</si>
  <si>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</si>
  <si>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</si>
  <si>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</si>
  <si>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</si>
  <si>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</si>
  <si>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</si>
  <si>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</si>
  <si>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</si>
  <si>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</si>
  <si>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</si>
  <si>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</si>
  <si>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</si>
  <si>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</si>
  <si>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</si>
  <si>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</si>
  <si>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</si>
  <si>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</si>
  <si>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</si>
  <si>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</si>
  <si>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</si>
  <si>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</si>
  <si>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</si>
  <si>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</si>
  <si>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</si>
  <si>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</si>
  <si>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</si>
  <si>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</si>
  <si>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</si>
  <si>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</si>
  <si>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</si>
  <si>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</si>
  <si>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</si>
  <si>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</si>
  <si>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</si>
  <si>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</si>
  <si>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</si>
  <si>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</si>
  <si>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</si>
  <si>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</si>
  <si>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</si>
  <si>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</si>
  <si>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</si>
  <si>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</si>
  <si>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</si>
  <si>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</si>
  <si>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</si>
  <si>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</si>
  <si>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</si>
  <si>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</si>
  <si>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</si>
  <si>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</si>
  <si>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</si>
  <si>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</si>
  <si>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</si>
  <si>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</si>
  <si>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</si>
  <si>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</si>
  <si>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</si>
  <si>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</si>
  <si>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</si>
  <si>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</si>
  <si>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</si>
  <si>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</si>
  <si>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</si>
  <si>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</si>
  <si>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</si>
  <si>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</si>
  <si>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</si>
  <si>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</si>
  <si>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</si>
  <si>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</si>
  <si>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</si>
  <si>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</si>
  <si>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</si>
  <si>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</si>
  <si>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</si>
  <si>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</si>
  <si>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</si>
  <si>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</si>
  <si>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</si>
  <si>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</si>
  <si>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</si>
  <si>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</si>
  <si>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</si>
  <si>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</si>
  <si>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</si>
  <si>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</si>
  <si>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</si>
  <si>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</si>
  <si>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</si>
  <si>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</si>
  <si>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</si>
  <si>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</si>
  <si>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</si>
  <si>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</si>
  <si>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</si>
  <si>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</si>
  <si>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</si>
  <si>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</si>
  <si>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</si>
  <si>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</si>
  <si>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</si>
  <si>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</si>
  <si>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</si>
  <si>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</si>
  <si>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</si>
  <si>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</si>
  <si>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</si>
  <si>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</si>
  <si>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</si>
  <si>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</si>
  <si>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</si>
  <si>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</si>
  <si>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</si>
  <si>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</si>
  <si>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</si>
  <si>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</si>
  <si>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</si>
  <si>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</si>
  <si>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</si>
  <si>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</si>
  <si>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</si>
  <si>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</si>
  <si>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</si>
  <si>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</si>
  <si>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</si>
  <si>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</si>
  <si>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</si>
  <si>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</si>
  <si>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</si>
  <si>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</si>
  <si>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</si>
  <si>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</si>
  <si>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</si>
  <si>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</si>
  <si>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</si>
  <si>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</si>
  <si>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</si>
  <si>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</si>
  <si>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</si>
  <si>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</si>
  <si>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</si>
  <si>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</si>
  <si>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</si>
  <si>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</si>
  <si>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</si>
  <si>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</si>
  <si>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</si>
  <si>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</si>
  <si>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</si>
  <si>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</si>
  <si>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</si>
  <si>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</si>
  <si>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</si>
  <si>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</si>
  <si>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</si>
  <si>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</si>
  <si>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</si>
  <si>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</si>
  <si>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</si>
  <si>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</si>
  <si>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</si>
  <si>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</si>
  <si>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</si>
  <si>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</si>
  <si>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</si>
  <si>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</si>
  <si>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</si>
  <si>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</si>
  <si>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</si>
  <si>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</si>
  <si>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</si>
  <si>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</si>
  <si>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</si>
  <si>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</si>
  <si>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</si>
  <si>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</si>
  <si>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</si>
  <si>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</si>
  <si>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</si>
  <si>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</si>
  <si>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</si>
  <si>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</si>
  <si>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</si>
  <si>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</si>
  <si>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</si>
  <si>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</si>
  <si>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</si>
  <si>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</si>
  <si>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</si>
  <si>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</si>
  <si>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</si>
  <si>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</si>
  <si>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</si>
  <si>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</si>
  <si>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</si>
  <si>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</si>
  <si>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</si>
  <si>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</si>
  <si>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</si>
  <si>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</si>
  <si>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</si>
  <si>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</si>
  <si>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</si>
  <si>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</si>
  <si>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</si>
  <si>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</si>
  <si>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</si>
  <si>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</si>
  <si>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</si>
  <si>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</si>
  <si>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</si>
  <si>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</si>
  <si>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</si>
  <si>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</si>
  <si>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</si>
  <si>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</si>
  <si>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</si>
  <si>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</si>
  <si>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</si>
  <si>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</si>
  <si>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</si>
  <si>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</si>
  <si>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</si>
  <si>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</si>
  <si>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</si>
  <si>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</si>
  <si>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</si>
  <si>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</si>
  <si>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</si>
  <si>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</si>
  <si>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</si>
  <si>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</si>
  <si>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</si>
  <si>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</si>
  <si>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</si>
  <si>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</si>
  <si>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</si>
  <si>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</si>
  <si>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</si>
  <si>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</si>
  <si>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</si>
  <si>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</si>
  <si>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</si>
  <si>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</si>
  <si>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</si>
  <si>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</si>
  <si>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</si>
  <si>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</si>
  <si>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</si>
  <si>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</si>
  <si>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</si>
  <si>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</si>
  <si>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</si>
  <si>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</si>
  <si>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</si>
  <si>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</si>
  <si>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</si>
  <si>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</si>
  <si>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</si>
  <si>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</si>
  <si>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</si>
  <si>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</si>
  <si>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</si>
  <si>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</si>
  <si>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</si>
  <si>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</si>
  <si>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</si>
  <si>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</si>
  <si>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</si>
  <si>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</si>
  <si>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</si>
  <si>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</si>
  <si>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</si>
  <si>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</si>
  <si>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</si>
  <si>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</si>
  <si>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</si>
  <si>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</si>
  <si>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</si>
  <si>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</si>
  <si>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</si>
  <si>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</si>
  <si>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</si>
  <si>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</si>
  <si>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</si>
  <si>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</si>
  <si>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</si>
  <si>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</si>
  <si>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</si>
  <si>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</si>
  <si>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</si>
  <si>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</si>
  <si>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</si>
  <si>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</si>
  <si>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</si>
  <si>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</si>
  <si>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</si>
  <si>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</si>
  <si>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</si>
  <si>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</si>
  <si>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</si>
  <si>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</si>
  <si>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</si>
  <si>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</si>
  <si>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</si>
  <si>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</si>
  <si>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</si>
  <si>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</si>
  <si>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</si>
  <si>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</si>
  <si>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</si>
  <si>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</si>
  <si>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</si>
  <si>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</si>
  <si>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</si>
  <si>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</si>
  <si>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</si>
  <si>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</si>
  <si>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</si>
  <si>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</si>
  <si>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</si>
  <si>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</si>
  <si>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</si>
  <si>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</si>
  <si>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</si>
  <si>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</si>
  <si>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</si>
  <si>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</si>
  <si>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</si>
  <si>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</si>
  <si>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</si>
  <si>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</si>
  <si>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</si>
  <si>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</si>
  <si>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</si>
  <si>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</si>
  <si>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</si>
  <si>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</si>
  <si>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</si>
  <si>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</si>
  <si>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</si>
  <si>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</si>
  <si>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</si>
  <si>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</si>
  <si>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</si>
  <si>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</si>
  <si>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</si>
  <si>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</si>
  <si>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</si>
  <si>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</si>
  <si>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</si>
  <si>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</si>
  <si>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</si>
  <si>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</si>
  <si>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</si>
  <si>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</si>
  <si>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</si>
  <si>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</si>
  <si>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</si>
  <si>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</si>
  <si>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</si>
  <si>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</si>
  <si>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</si>
  <si>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</si>
  <si>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</si>
  <si>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</si>
  <si>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</si>
  <si>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</si>
  <si>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</si>
  <si>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</si>
  <si>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</si>
  <si>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</si>
  <si>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</si>
  <si>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</si>
  <si>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</si>
  <si>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</si>
  <si>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</si>
  <si>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</si>
  <si>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</si>
  <si>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</si>
  <si>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</si>
  <si>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</si>
  <si>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</si>
  <si>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</si>
  <si>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</si>
  <si>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</si>
  <si>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</si>
  <si>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</si>
  <si>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</si>
  <si>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</si>
  <si>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</si>
  <si>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</si>
  <si>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</si>
  <si>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</si>
  <si>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</si>
  <si>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</si>
  <si>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</si>
  <si>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</si>
  <si>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</si>
  <si>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</si>
  <si>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</si>
  <si>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</si>
  <si>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</si>
  <si>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</si>
  <si>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</si>
  <si>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</si>
  <si>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</si>
  <si>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</si>
  <si>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</si>
  <si>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</si>
  <si>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</si>
  <si>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</si>
  <si>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</si>
  <si>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</si>
  <si>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</si>
  <si>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</si>
  <si>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</si>
  <si>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</si>
  <si>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</si>
  <si>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</si>
  <si>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</si>
  <si>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</si>
  <si>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</si>
  <si>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</si>
  <si>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</si>
  <si>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</si>
  <si>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</si>
  <si>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</si>
  <si>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</si>
  <si>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</si>
  <si>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</si>
  <si>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</si>
  <si>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</si>
  <si>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</si>
  <si>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</si>
  <si>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</si>
  <si>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</si>
  <si>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</si>
  <si>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</si>
  <si>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</si>
  <si>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</si>
  <si>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</si>
  <si>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</si>
  <si>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</si>
  <si>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</si>
  <si>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</si>
  <si>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</si>
  <si>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</si>
  <si>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</si>
  <si>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</si>
  <si>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</si>
  <si>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</si>
  <si>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</si>
  <si>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</si>
  <si>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</si>
  <si>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</si>
  <si>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</si>
  <si>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</si>
  <si>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</si>
  <si>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</si>
  <si>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</si>
  <si>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</si>
  <si>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</si>
  <si>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</si>
  <si>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</si>
  <si>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</si>
  <si>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</si>
  <si>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</si>
  <si>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</si>
  <si>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</si>
  <si>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</si>
  <si>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</si>
  <si>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</si>
  <si>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</si>
  <si>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</si>
  <si>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</si>
  <si>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</si>
  <si>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</si>
  <si>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</si>
  <si>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</si>
  <si>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</si>
  <si>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</si>
  <si>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</si>
  <si>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</si>
  <si>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</si>
  <si>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</si>
  <si>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</si>
  <si>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</si>
  <si>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</si>
  <si>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</si>
  <si>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</si>
  <si>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</si>
  <si>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</si>
  <si>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</si>
  <si>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</si>
  <si>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</si>
  <si>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</si>
  <si>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</si>
  <si>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</si>
  <si>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</si>
  <si>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</si>
  <si>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</si>
  <si>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</si>
  <si>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</si>
  <si>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</si>
  <si>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</si>
  <si>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</si>
  <si>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</si>
  <si>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</si>
  <si>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</si>
  <si>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</si>
  <si>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</si>
  <si>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</si>
  <si>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</si>
  <si>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</si>
  <si>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</si>
  <si>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</si>
  <si>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</si>
  <si>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</si>
  <si>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</si>
  <si>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</si>
  <si>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</si>
  <si>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</si>
  <si>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</si>
  <si>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</si>
  <si>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</si>
  <si>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</si>
  <si>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</si>
  <si>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</si>
  <si>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</si>
  <si>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</si>
  <si>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</si>
  <si>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</si>
  <si>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</si>
  <si>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</si>
  <si>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</si>
  <si>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</si>
  <si>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</si>
  <si>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</si>
  <si>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</si>
  <si>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</si>
  <si>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</si>
  <si>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</si>
  <si>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</si>
  <si>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</si>
  <si>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</si>
  <si>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</si>
  <si>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</si>
  <si>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</si>
  <si>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</si>
  <si>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</si>
  <si>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</si>
  <si>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</si>
  <si>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</si>
  <si>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</si>
  <si>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</si>
  <si>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</si>
  <si>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</si>
  <si>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</si>
  <si>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</si>
  <si>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</si>
  <si>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</si>
  <si>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</si>
  <si>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 xml:space="preserve">No. of fellows (Months) </t>
  </si>
  <si>
    <t>Median time to completion</t>
  </si>
  <si>
    <t>Values</t>
  </si>
  <si>
    <t>Total No.</t>
  </si>
  <si>
    <t>Total %</t>
  </si>
  <si>
    <t>%</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</si>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</sst>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numFmt numFmtId="13" formatCode="0%"/>
    </dxf>
    <dxf>
      <numFmt numFmtId="13" formatCode="0%"/>
    </dxf>
    <dxf>
      <numFmt numFmtId="0" formatCode="General"/>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2" formatCode="0.00"/>
    </dxf>
    <dxf>
      <numFmt numFmtId="166" formatCode="0.0"/>
    </dxf>
    <dxf>
      <numFmt numFmtId="2" formatCode="0.00"/>
    </dxf>
    <dxf>
      <numFmt numFmtId="166" formatCode="0.0"/>
    </dxf>
    <dxf>
      <numFmt numFmtId="13" formatCode="0%"/>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0"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0"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49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2">
      <pivotArea outline="0" collapsedLevelsAreSubtotals="1" fieldPosition="0"/>
    </format>
    <format dxfId="93">
      <pivotArea dataOnly="0" labelOnly="1" grandRow="1" outline="0" fieldPosition="0"/>
    </format>
    <format dxfId="94">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49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9">
      <pivotArea outline="0" collapsedLevelsAreSubtotals="1" fieldPosition="0"/>
    </format>
    <format dxfId="90">
      <pivotArea dataOnly="0" labelOnly="1" grandRow="1" outline="0" fieldPosition="0"/>
    </format>
    <format dxfId="91">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49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3">
      <pivotArea outline="0" fieldPosition="0">
        <references count="1">
          <reference field="4294967294" count="1">
            <x v="1"/>
          </reference>
        </references>
      </pivotArea>
    </format>
    <format dxfId="84">
      <pivotArea outline="0" collapsedLevelsAreSubtotals="1" fieldPosition="0"/>
    </format>
    <format dxfId="85">
      <pivotArea field="8" type="button" dataOnly="0" labelOnly="1" outline="0" axis="axisRow" fieldPosition="0"/>
    </format>
    <format dxfId="86">
      <pivotArea dataOnly="0" labelOnly="1" outline="0" fieldPosition="0">
        <references count="1">
          <reference field="4294967294" count="5">
            <x v="0"/>
            <x v="1"/>
            <x v="2"/>
            <x v="3"/>
            <x v="4"/>
          </reference>
        </references>
      </pivotArea>
    </format>
    <format dxfId="87">
      <pivotArea field="8" type="button" dataOnly="0" labelOnly="1" outline="0" axis="axisRow" fieldPosition="0"/>
    </format>
    <format dxfId="88">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49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49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4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49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4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49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49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49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49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49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49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49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49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80">
      <pivotArea outline="0" collapsedLevelsAreSubtotals="1" fieldPosition="0"/>
    </format>
    <format dxfId="81">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49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78">
      <pivotArea outline="0" collapsedLevelsAreSubtotals="1" fieldPosition="0"/>
    </format>
    <format dxfId="79">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49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60">
      <pivotArea outline="0" fieldPosition="0">
        <references count="2">
          <reference field="4294967294" count="1" selected="0">
            <x v="0"/>
          </reference>
          <reference field="21" count="1" selected="0">
            <x v="0"/>
          </reference>
        </references>
      </pivotArea>
    </format>
    <format dxfId="61">
      <pivotArea dataOnly="0" labelOnly="1" outline="0" fieldPosition="0">
        <references count="1">
          <reference field="21" count="1">
            <x v="0"/>
          </reference>
        </references>
      </pivotArea>
    </format>
    <format dxfId="62">
      <pivotArea dataOnly="0" labelOnly="1" outline="0" fieldPosition="0">
        <references count="2">
          <reference field="4294967294" count="1">
            <x v="0"/>
          </reference>
          <reference field="21" count="1" selected="0">
            <x v="0"/>
          </reference>
        </references>
      </pivotArea>
    </format>
    <format dxfId="63">
      <pivotArea outline="0" fieldPosition="0">
        <references count="2">
          <reference field="4294967294" count="1" selected="0">
            <x v="0"/>
          </reference>
          <reference field="21" count="1" selected="0">
            <x v="1"/>
          </reference>
        </references>
      </pivotArea>
    </format>
    <format dxfId="64">
      <pivotArea dataOnly="0" labelOnly="1" outline="0" fieldPosition="0">
        <references count="1">
          <reference field="21" count="1">
            <x v="1"/>
          </reference>
        </references>
      </pivotArea>
    </format>
    <format dxfId="65">
      <pivotArea dataOnly="0" labelOnly="1" outline="0" fieldPosition="0">
        <references count="2">
          <reference field="4294967294" count="1">
            <x v="0"/>
          </reference>
          <reference field="21" count="1" selected="0">
            <x v="1"/>
          </reference>
        </references>
      </pivotArea>
    </format>
    <format dxfId="66">
      <pivotArea outline="0" fieldPosition="0">
        <references count="2">
          <reference field="4294967294" count="1" selected="0">
            <x v="0"/>
          </reference>
          <reference field="21" count="1" selected="0">
            <x v="2"/>
          </reference>
        </references>
      </pivotArea>
    </format>
    <format dxfId="67">
      <pivotArea dataOnly="0" labelOnly="1" outline="0" fieldPosition="0">
        <references count="1">
          <reference field="21" count="1">
            <x v="2"/>
          </reference>
        </references>
      </pivotArea>
    </format>
    <format dxfId="68">
      <pivotArea dataOnly="0" labelOnly="1" outline="0" fieldPosition="0">
        <references count="2">
          <reference field="4294967294" count="1">
            <x v="0"/>
          </reference>
          <reference field="21" count="1" selected="0">
            <x v="2"/>
          </reference>
        </references>
      </pivotArea>
    </format>
    <format dxfId="69">
      <pivotArea outline="0" fieldPosition="0">
        <references count="2">
          <reference field="4294967294" count="1" selected="0">
            <x v="0"/>
          </reference>
          <reference field="21" count="1" selected="0">
            <x v="3"/>
          </reference>
        </references>
      </pivotArea>
    </format>
    <format dxfId="70">
      <pivotArea dataOnly="0" labelOnly="1" outline="0" fieldPosition="0">
        <references count="1">
          <reference field="21" count="1">
            <x v="3"/>
          </reference>
        </references>
      </pivotArea>
    </format>
    <format dxfId="71">
      <pivotArea dataOnly="0" labelOnly="1" outline="0" fieldPosition="0">
        <references count="2">
          <reference field="4294967294" count="1">
            <x v="0"/>
          </reference>
          <reference field="21" count="1" selected="0">
            <x v="3"/>
          </reference>
        </references>
      </pivotArea>
    </format>
    <format dxfId="72">
      <pivotArea field="21" grandCol="1" outline="0" axis="axisCol" fieldPosition="0">
        <references count="1">
          <reference field="4294967294" count="1" selected="0">
            <x v="0"/>
          </reference>
        </references>
      </pivotArea>
    </format>
    <format dxfId="73">
      <pivotArea field="21" dataOnly="0" labelOnly="1" grandCol="1" outline="0" axis="axisCol" fieldPosition="0">
        <references count="1">
          <reference field="4294967294" count="1" selected="0">
            <x v="0"/>
          </reference>
        </references>
      </pivotArea>
    </format>
    <format dxfId="74">
      <pivotArea type="origin" dataOnly="0" labelOnly="1" outline="0" offset="A2" fieldPosition="0"/>
    </format>
    <format dxfId="75">
      <pivotArea field="8" type="button" dataOnly="0" labelOnly="1" outline="0" axis="axisRow" fieldPosition="0"/>
    </format>
    <format dxfId="76">
      <pivotArea dataOnly="0" labelOnly="1" outline="0" fieldPosition="0">
        <references count="1">
          <reference field="8" count="0"/>
        </references>
      </pivotArea>
    </format>
    <format dxfId="77">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49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49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59">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49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51">
      <pivotArea outline="0" collapsedLevelsAreSubtotals="1" fieldPosition="0"/>
    </format>
    <format dxfId="52">
      <pivotArea outline="0" fieldPosition="0">
        <references count="1">
          <reference field="4294967294" count="1">
            <x v="0"/>
          </reference>
        </references>
      </pivotArea>
    </format>
    <format dxfId="53">
      <pivotArea outline="0" fieldPosition="0">
        <references count="1">
          <reference field="4294967294" count="1">
            <x v="1"/>
          </reference>
        </references>
      </pivotArea>
    </format>
    <format dxfId="54">
      <pivotArea outline="0" fieldPosition="0">
        <references count="3">
          <reference field="4294967294" count="1" selected="0">
            <x v="1"/>
          </reference>
          <reference field="8" count="0" selected="0"/>
          <reference field="19" count="1" selected="0">
            <x v="0"/>
          </reference>
        </references>
      </pivotArea>
    </format>
    <format dxfId="55">
      <pivotArea outline="0" fieldPosition="0">
        <references count="3">
          <reference field="4294967294" count="1" selected="0">
            <x v="1"/>
          </reference>
          <reference field="8" count="0" selected="0"/>
          <reference field="19" count="1" selected="0">
            <x v="1"/>
          </reference>
        </references>
      </pivotArea>
    </format>
    <format dxfId="56">
      <pivotArea field="19" grandCol="1" outline="0" axis="axisCol" fieldPosition="0">
        <references count="1">
          <reference field="4294967294" count="1" selected="0">
            <x v="1"/>
          </reference>
        </references>
      </pivotArea>
    </format>
    <format dxfId="57">
      <pivotArea field="19" grandRow="1" outline="0" axis="axisCol" fieldPosition="0">
        <references count="2">
          <reference field="4294967294" count="1" selected="0">
            <x v="1"/>
          </reference>
          <reference field="19" count="1" selected="0">
            <x v="0"/>
          </reference>
        </references>
      </pivotArea>
    </format>
    <format dxfId="58">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49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49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49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49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49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49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43">
      <pivotArea field="6" type="button" dataOnly="0" labelOnly="1" outline="0"/>
    </format>
    <format dxfId="44">
      <pivotArea dataOnly="0" labelOnly="1" grandCol="1" outline="0" fieldPosition="0"/>
    </format>
    <format dxfId="45">
      <pivotArea dataOnly="0" labelOnly="1" grandCol="1" outline="0" fieldPosition="0"/>
    </format>
    <format dxfId="46">
      <pivotArea dataOnly="0" labelOnly="1" grandCol="1" outline="0" fieldPosition="0"/>
    </format>
    <format dxfId="47">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49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4">
      <pivotArea field="6" type="button" dataOnly="0" labelOnly="1" outline="0" axis="axisRow" fieldPosition="0"/>
    </format>
    <format dxfId="35">
      <pivotArea dataOnly="0" labelOnly="1" outline="0" fieldPosition="0">
        <references count="1">
          <reference field="21" count="0"/>
        </references>
      </pivotArea>
    </format>
    <format dxfId="36">
      <pivotArea dataOnly="0" labelOnly="1" grandCol="1" outline="0" fieldPosition="0"/>
    </format>
    <format dxfId="37">
      <pivotArea dataOnly="0" labelOnly="1" outline="0" fieldPosition="0">
        <references count="1">
          <reference field="21" count="0"/>
        </references>
      </pivotArea>
    </format>
    <format dxfId="38">
      <pivotArea dataOnly="0" labelOnly="1" grandCol="1" outline="0" fieldPosition="0"/>
    </format>
    <format dxfId="39">
      <pivotArea dataOnly="0" labelOnly="1" outline="0" fieldPosition="0">
        <references count="1">
          <reference field="21" count="0"/>
        </references>
      </pivotArea>
    </format>
    <format dxfId="40">
      <pivotArea dataOnly="0" labelOnly="1" grandCol="1" outline="0" fieldPosition="0"/>
    </format>
    <format dxfId="41">
      <pivotArea dataOnly="0" labelOnly="1" outline="0" fieldPosition="0">
        <references count="1">
          <reference field="21" count="0"/>
        </references>
      </pivotArea>
    </format>
    <format dxfId="42">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49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5">
      <pivotArea field="6" type="button" dataOnly="0" labelOnly="1" outline="0" axis="axisRow"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49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15">
      <pivotArea field="6" type="button" dataOnly="0" labelOnly="1" outline="0" axis="axisRow"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 dxfId="20">
      <pivotArea dataOnly="0" labelOnly="1" outline="0" fieldPosition="0">
        <references count="1">
          <reference field="21" count="0"/>
        </references>
      </pivotArea>
    </format>
    <format dxfId="21">
      <pivotArea dataOnly="0" labelOnly="1" grandCol="1" outline="0" fieldPosition="0"/>
    </format>
    <format dxfId="22">
      <pivotArea dataOnly="0" labelOnly="1" outline="0" fieldPosition="0">
        <references count="1">
          <reference field="21" count="0"/>
        </references>
      </pivotArea>
    </format>
    <format dxfId="23">
      <pivotArea outline="0" fieldPosition="0">
        <references count="1">
          <reference field="4294967294" count="1">
            <x v="0"/>
          </reference>
        </references>
      </pivotArea>
    </format>
    <format dxfId="24">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49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49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49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494"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5" Type="http://schemas.openxmlformats.org/officeDocument/2006/relationships/drawing" Target="../drawings/drawing5.xml"/><Relationship Id="rId4" Type="http://schemas.openxmlformats.org/officeDocument/2006/relationships/pivotTable" Target="../pivotTables/pivotTable21.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I1" zoomScale="48" zoomScaleNormal="48" workbookViewId="0">
      <selection activeCell="P9" sqref="P9"/>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Q6">
        <v>7</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1</v>
      </c>
      <c r="Q15">
        <v>19</v>
      </c>
      <c r="R15">
        <v>6</v>
      </c>
      <c r="S15">
        <v>26</v>
      </c>
    </row>
    <row r="16" spans="15:19">
      <c r="O16" s="31" t="s">
        <v>7</v>
      </c>
      <c r="P16" s="30">
        <v>25</v>
      </c>
      <c r="Q16" s="30">
        <v>127</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7</v>
      </c>
      <c r="Q33">
        <v>58</v>
      </c>
      <c r="R33">
        <v>15</v>
      </c>
      <c r="S33">
        <v>80</v>
      </c>
    </row>
    <row r="34" spans="6:22">
      <c r="O34" t="s">
        <v>16</v>
      </c>
      <c r="P34">
        <v>2</v>
      </c>
      <c r="Q34">
        <v>9</v>
      </c>
      <c r="R34">
        <v>7</v>
      </c>
      <c r="S34">
        <v>18</v>
      </c>
    </row>
    <row r="35" spans="6:22">
      <c r="O35" s="30" t="s">
        <v>7</v>
      </c>
      <c r="P35" s="30">
        <v>25</v>
      </c>
      <c r="Q35" s="30">
        <v>127</v>
      </c>
      <c r="R35" s="30">
        <v>68</v>
      </c>
      <c r="S35" s="30">
        <v>220</v>
      </c>
    </row>
    <row r="40" spans="6:22">
      <c r="F40" s="23"/>
      <c r="O40" s="76" t="s">
        <v>23</v>
      </c>
      <c r="P40" s="76"/>
      <c r="Q40" s="43" t="s">
        <v>24</v>
      </c>
    </row>
    <row r="41" spans="6:22">
      <c r="F41" s="23"/>
      <c r="O41" s="47" t="s">
        <v>25</v>
      </c>
      <c r="P41" s="44">
        <f ca="1">AVERAGE(Fellows!U2:U221)</f>
        <v>60.271794871794874</v>
      </c>
      <c r="Q41" s="30">
        <f>GETPIVOTDATA("S.No.",'By Cohort'!$A$27,"Current PhD Status (Completed/In Progress)","Completed")</f>
        <v>195</v>
      </c>
    </row>
    <row r="42" spans="6:22">
      <c r="F42" s="23"/>
      <c r="O42" s="48" t="s">
        <v>26</v>
      </c>
      <c r="P42" s="45">
        <f ca="1">P41/12</f>
        <v>5.0226495726495726</v>
      </c>
    </row>
    <row r="43" spans="6:22">
      <c r="F43" s="23"/>
      <c r="O43" s="42" t="s">
        <v>27</v>
      </c>
      <c r="P43" s="45">
        <f ca="1">STDEV(Fellows!U2:U221)</f>
        <v>19.919243515398545</v>
      </c>
    </row>
    <row r="44" spans="6:22">
      <c r="F44" s="23"/>
      <c r="O44" s="42" t="s">
        <v>28</v>
      </c>
      <c r="P44" s="46">
        <f ca="1">MEDIAN(Fellows!U2:U221)</f>
        <v>57</v>
      </c>
      <c r="Q44" s="3" t="s">
        <v>29</v>
      </c>
      <c r="R44">
        <f ca="1">MAX(Fellows!U2:U221)</f>
        <v>139</v>
      </c>
    </row>
    <row r="45" spans="6:22">
      <c r="F45" s="23"/>
      <c r="O45" s="42" t="s">
        <v>30</v>
      </c>
      <c r="P45" s="45">
        <f ca="1">P44/12</f>
        <v>4.75</v>
      </c>
      <c r="Q45" s="3" t="s">
        <v>31</v>
      </c>
      <c r="R45">
        <f ca="1">MIN(Fellows!U2:U221)</f>
        <v>22</v>
      </c>
    </row>
    <row r="46" spans="6:22">
      <c r="F46" s="23"/>
    </row>
    <row r="47" spans="6:22" ht="106.5">
      <c r="F47" s="23"/>
      <c r="Q47" s="58" t="s">
        <v>3</v>
      </c>
      <c r="R47" s="6" t="s">
        <v>32</v>
      </c>
      <c r="S47" s="6" t="s">
        <v>33</v>
      </c>
      <c r="T47" s="6" t="s">
        <v>34</v>
      </c>
      <c r="U47" s="6" t="s">
        <v>35</v>
      </c>
      <c r="V47" s="6" t="s">
        <v>36</v>
      </c>
    </row>
    <row r="48" spans="6:22">
      <c r="F48" s="23"/>
      <c r="Q48" t="s">
        <v>8</v>
      </c>
      <c r="R48" s="57">
        <v>1</v>
      </c>
      <c r="S48" s="57">
        <v>81</v>
      </c>
      <c r="T48" s="57" t="e">
        <v>#DIV/0!</v>
      </c>
      <c r="U48" s="57">
        <v>81</v>
      </c>
      <c r="V48" s="57">
        <v>81</v>
      </c>
    </row>
    <row r="49" spans="6:22">
      <c r="F49" s="23"/>
      <c r="Q49" t="s">
        <v>9</v>
      </c>
      <c r="R49" s="57">
        <v>4</v>
      </c>
      <c r="S49" s="57">
        <v>66.5</v>
      </c>
      <c r="T49" s="57">
        <v>12.288205727444508</v>
      </c>
      <c r="U49" s="57">
        <v>82</v>
      </c>
      <c r="V49" s="57">
        <v>52</v>
      </c>
    </row>
    <row r="50" spans="6:22">
      <c r="Q50" t="s">
        <v>10</v>
      </c>
      <c r="R50" s="57">
        <v>7</v>
      </c>
      <c r="S50" s="57">
        <v>69.857142857142861</v>
      </c>
      <c r="T50" s="57">
        <v>15.603723609324501</v>
      </c>
      <c r="U50" s="57">
        <v>99</v>
      </c>
      <c r="V50" s="57">
        <v>55</v>
      </c>
    </row>
    <row r="51" spans="6:22">
      <c r="Q51" t="s">
        <v>11</v>
      </c>
      <c r="R51" s="57">
        <v>21</v>
      </c>
      <c r="S51" s="57">
        <v>63.10526315789474</v>
      </c>
      <c r="T51" s="57">
        <v>18.961641797300228</v>
      </c>
      <c r="U51" s="57">
        <v>107</v>
      </c>
      <c r="V51" s="57">
        <v>37</v>
      </c>
    </row>
    <row r="52" spans="6:22">
      <c r="Q52" t="s">
        <v>12</v>
      </c>
      <c r="R52" s="57">
        <v>19</v>
      </c>
      <c r="S52" s="57">
        <v>61.846153846153847</v>
      </c>
      <c r="T52" s="57">
        <v>19.527101482495862</v>
      </c>
      <c r="U52" s="57">
        <v>101</v>
      </c>
      <c r="V52" s="57">
        <v>36</v>
      </c>
    </row>
    <row r="53" spans="6:22">
      <c r="Q53" t="s">
        <v>13</v>
      </c>
      <c r="R53" s="57">
        <v>31</v>
      </c>
      <c r="S53" s="57">
        <v>42.310344827586206</v>
      </c>
      <c r="T53" s="57">
        <v>12.015179233773605</v>
      </c>
      <c r="U53" s="57">
        <v>66</v>
      </c>
      <c r="V53" s="57">
        <v>24</v>
      </c>
    </row>
    <row r="54" spans="6:22">
      <c r="Q54" t="s">
        <v>14</v>
      </c>
      <c r="R54" s="57">
        <v>4</v>
      </c>
      <c r="S54" s="57">
        <v>51.75</v>
      </c>
      <c r="T54" s="57">
        <v>7.4105780251385696</v>
      </c>
      <c r="U54" s="57">
        <v>58</v>
      </c>
      <c r="V54" s="57">
        <v>42</v>
      </c>
    </row>
    <row r="55" spans="6:22">
      <c r="Q55" t="s">
        <v>15</v>
      </c>
      <c r="R55" s="57">
        <v>36</v>
      </c>
      <c r="S55" s="57">
        <v>60.40625</v>
      </c>
      <c r="T55" s="57">
        <v>23.305626310870419</v>
      </c>
      <c r="U55" s="57">
        <v>139</v>
      </c>
      <c r="V55" s="57">
        <v>22</v>
      </c>
    </row>
    <row r="56" spans="6:22">
      <c r="Q56" t="s">
        <v>16</v>
      </c>
      <c r="R56" s="57">
        <v>27</v>
      </c>
      <c r="S56" s="57">
        <v>63.458333333333336</v>
      </c>
      <c r="T56" s="57">
        <v>21.149528038041034</v>
      </c>
      <c r="U56" s="57">
        <v>114</v>
      </c>
      <c r="V56" s="57">
        <v>28</v>
      </c>
    </row>
    <row r="57" spans="6:22">
      <c r="Q57" t="s">
        <v>17</v>
      </c>
      <c r="R57" s="57">
        <v>20</v>
      </c>
      <c r="S57" s="57">
        <v>62.823529411764703</v>
      </c>
      <c r="T57" s="57">
        <v>21.307965922741342</v>
      </c>
      <c r="U57" s="57">
        <v>115</v>
      </c>
      <c r="V57" s="57">
        <v>33</v>
      </c>
    </row>
    <row r="58" spans="6:22">
      <c r="Q58" t="s">
        <v>18</v>
      </c>
      <c r="R58" s="57">
        <v>24</v>
      </c>
      <c r="S58" s="57">
        <v>66.849999999999994</v>
      </c>
      <c r="T58" s="57">
        <v>14.113356868770211</v>
      </c>
      <c r="U58" s="57">
        <v>104</v>
      </c>
      <c r="V58" s="57">
        <v>50</v>
      </c>
    </row>
    <row r="59" spans="6:22">
      <c r="Q59" t="s">
        <v>19</v>
      </c>
      <c r="R59" s="57">
        <v>26</v>
      </c>
      <c r="S59" s="57">
        <v>64.760000000000005</v>
      </c>
      <c r="T59" s="57">
        <v>19.201302039184736</v>
      </c>
      <c r="U59" s="57">
        <v>101</v>
      </c>
      <c r="V59" s="57">
        <v>32</v>
      </c>
    </row>
    <row r="60" spans="6:22">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108</v>
      </c>
      <c r="C5">
        <v>87</v>
      </c>
      <c r="D5">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41"/>
  <sheetViews>
    <sheetView tabSelected="1" zoomScaleNormal="100" workbookViewId="0">
      <pane ySplit="1" topLeftCell="A113" activePane="bottomLeft" state="frozen"/>
      <selection pane="bottomLeft" activeCell="C102" sqref="C102"/>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0"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46133</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35" customHeight="1">
      <c r="A3" s="12">
        <v>2</v>
      </c>
      <c r="B3" s="12" t="s">
        <v>69</v>
      </c>
      <c r="C3" s="12" t="s">
        <v>70</v>
      </c>
      <c r="D3" s="12" t="s">
        <v>71</v>
      </c>
      <c r="E3" s="12" t="s">
        <v>72</v>
      </c>
      <c r="F3" s="12" t="s">
        <v>41</v>
      </c>
      <c r="G3" s="12">
        <v>9</v>
      </c>
      <c r="H3" s="12" t="s">
        <v>68</v>
      </c>
      <c r="I3" s="12" t="s">
        <v>15</v>
      </c>
      <c r="J3" s="12" t="s">
        <v>15</v>
      </c>
      <c r="K3" s="13">
        <v>42417</v>
      </c>
      <c r="L3" s="13">
        <v>43525</v>
      </c>
      <c r="M3" s="15">
        <f t="shared" ca="1" si="0"/>
        <v>46133</v>
      </c>
      <c r="N3" s="14"/>
      <c r="O3" s="39"/>
      <c r="P3" s="14"/>
      <c r="Q3" s="14"/>
      <c r="R3" s="12">
        <f t="shared" si="1"/>
        <v>54</v>
      </c>
      <c r="S3" s="25">
        <v>45163</v>
      </c>
      <c r="T3" s="12" t="s">
        <v>38</v>
      </c>
      <c r="U3" s="56">
        <f t="shared" si="2"/>
        <v>54</v>
      </c>
      <c r="V3" s="49" t="str">
        <f t="shared" si="3"/>
        <v>Completed:Delayed</v>
      </c>
      <c r="W3" s="52">
        <f t="shared" si="4"/>
        <v>91</v>
      </c>
    </row>
    <row r="4" spans="1:23" ht="25.35" customHeight="1">
      <c r="A4" s="12">
        <v>3</v>
      </c>
      <c r="B4" s="12" t="s">
        <v>73</v>
      </c>
      <c r="C4" s="12" t="s">
        <v>74</v>
      </c>
      <c r="D4" s="12" t="s">
        <v>75</v>
      </c>
      <c r="E4" s="12" t="s">
        <v>76</v>
      </c>
      <c r="F4" s="12" t="s">
        <v>41</v>
      </c>
      <c r="G4" s="12">
        <v>9</v>
      </c>
      <c r="H4" s="12" t="s">
        <v>68</v>
      </c>
      <c r="I4" s="12" t="s">
        <v>15</v>
      </c>
      <c r="J4" s="12" t="s">
        <v>19</v>
      </c>
      <c r="K4" s="13">
        <v>43647</v>
      </c>
      <c r="L4" s="13">
        <v>43525</v>
      </c>
      <c r="M4" s="15">
        <f t="shared" ca="1" si="0"/>
        <v>46133</v>
      </c>
      <c r="N4" s="14"/>
      <c r="O4" s="39"/>
      <c r="P4" s="14"/>
      <c r="Q4" s="14"/>
      <c r="R4" s="12">
        <f t="shared" si="1"/>
        <v>58</v>
      </c>
      <c r="S4" s="25">
        <v>45280</v>
      </c>
      <c r="T4" s="12" t="s">
        <v>38</v>
      </c>
      <c r="U4" s="56">
        <f t="shared" si="2"/>
        <v>58</v>
      </c>
      <c r="V4" s="49" t="str">
        <f t="shared" si="3"/>
        <v>Completed:Delayed</v>
      </c>
      <c r="W4" s="52">
        <f t="shared" si="4"/>
        <v>54</v>
      </c>
    </row>
    <row r="5" spans="1:23" ht="25.35" customHeight="1">
      <c r="A5" s="12">
        <v>4</v>
      </c>
      <c r="B5" s="12" t="s">
        <v>77</v>
      </c>
      <c r="C5" s="12" t="s">
        <v>78</v>
      </c>
      <c r="D5" s="12" t="s">
        <v>79</v>
      </c>
      <c r="E5" s="12" t="s">
        <v>80</v>
      </c>
      <c r="F5" s="12" t="s">
        <v>41</v>
      </c>
      <c r="G5" s="12">
        <v>2</v>
      </c>
      <c r="H5" s="12" t="s">
        <v>68</v>
      </c>
      <c r="I5" s="12" t="s">
        <v>15</v>
      </c>
      <c r="J5" s="12" t="s">
        <v>15</v>
      </c>
      <c r="K5" s="13">
        <v>40920</v>
      </c>
      <c r="L5" s="13">
        <v>40969</v>
      </c>
      <c r="M5" s="15">
        <f t="shared" ca="1" si="0"/>
        <v>46133</v>
      </c>
      <c r="N5" s="13"/>
      <c r="O5" s="13"/>
      <c r="P5" s="13"/>
      <c r="Q5" s="12"/>
      <c r="R5" s="12">
        <f t="shared" si="1"/>
        <v>93</v>
      </c>
      <c r="S5" s="25">
        <v>43787</v>
      </c>
      <c r="T5" s="12" t="s">
        <v>38</v>
      </c>
      <c r="U5" s="56">
        <f t="shared" si="2"/>
        <v>93</v>
      </c>
      <c r="V5" s="49" t="str">
        <f t="shared" si="3"/>
        <v>Completed:Delayed</v>
      </c>
      <c r="W5" s="52">
        <f t="shared" si="4"/>
        <v>95</v>
      </c>
    </row>
    <row r="6" spans="1:23" ht="25.35" customHeight="1">
      <c r="A6" s="12">
        <v>5</v>
      </c>
      <c r="B6" s="12" t="s">
        <v>81</v>
      </c>
      <c r="C6" s="12" t="s">
        <v>82</v>
      </c>
      <c r="D6" s="12" t="s">
        <v>83</v>
      </c>
      <c r="E6" s="12" t="s">
        <v>84</v>
      </c>
      <c r="F6" s="12" t="s">
        <v>41</v>
      </c>
      <c r="G6" s="12">
        <v>7</v>
      </c>
      <c r="H6" s="12" t="s">
        <v>68</v>
      </c>
      <c r="I6" s="12" t="s">
        <v>13</v>
      </c>
      <c r="J6" s="12" t="s">
        <v>13</v>
      </c>
      <c r="K6" s="13">
        <v>42458</v>
      </c>
      <c r="L6" s="13">
        <v>42795</v>
      </c>
      <c r="M6" s="15">
        <f t="shared" ca="1" si="0"/>
        <v>46133</v>
      </c>
      <c r="N6" s="13"/>
      <c r="O6" s="13"/>
      <c r="P6" s="13"/>
      <c r="Q6" s="12"/>
      <c r="R6" s="12">
        <f t="shared" si="1"/>
        <v>34</v>
      </c>
      <c r="S6" s="25">
        <v>43813</v>
      </c>
      <c r="T6" s="12" t="s">
        <v>38</v>
      </c>
      <c r="U6" s="56">
        <f t="shared" si="2"/>
        <v>34</v>
      </c>
      <c r="V6" s="49" t="str">
        <f t="shared" si="3"/>
        <v xml:space="preserve"> Completed:On time</v>
      </c>
      <c r="W6" s="52">
        <f t="shared" si="4"/>
        <v>45</v>
      </c>
    </row>
    <row r="7" spans="1:23" ht="25.35" customHeight="1">
      <c r="A7" s="12">
        <v>6</v>
      </c>
      <c r="B7" s="12" t="s">
        <v>85</v>
      </c>
      <c r="C7" s="12" t="s">
        <v>86</v>
      </c>
      <c r="D7" s="12"/>
      <c r="E7" s="12" t="s">
        <v>87</v>
      </c>
      <c r="F7" s="12" t="s">
        <v>42</v>
      </c>
      <c r="G7" s="12">
        <v>2</v>
      </c>
      <c r="H7" s="12" t="s">
        <v>68</v>
      </c>
      <c r="I7" s="12" t="s">
        <v>15</v>
      </c>
      <c r="J7" s="12" t="s">
        <v>15</v>
      </c>
      <c r="K7" s="13">
        <v>40924</v>
      </c>
      <c r="L7" s="13">
        <v>40969</v>
      </c>
      <c r="M7" s="15">
        <f t="shared" ca="1" si="0"/>
        <v>46133</v>
      </c>
      <c r="N7" s="14">
        <f ca="1">DATEDIF(L7,M7,"M") +1</f>
        <v>170</v>
      </c>
      <c r="O7" s="39"/>
      <c r="P7" s="14"/>
      <c r="Q7" s="14"/>
      <c r="R7" s="12">
        <f t="shared" ca="1" si="1"/>
        <v>170</v>
      </c>
      <c r="S7" s="25">
        <v>45183</v>
      </c>
      <c r="T7" s="12" t="s">
        <v>38</v>
      </c>
      <c r="U7" s="56">
        <f t="shared" si="2"/>
        <v>139</v>
      </c>
      <c r="V7" s="49" t="str">
        <f t="shared" si="3"/>
        <v>Completed:Delayed</v>
      </c>
      <c r="W7" s="52">
        <f t="shared" si="4"/>
        <v>140</v>
      </c>
    </row>
    <row r="8" spans="1:23" ht="25.35" customHeight="1">
      <c r="A8" s="12">
        <v>7</v>
      </c>
      <c r="B8" s="12" t="s">
        <v>88</v>
      </c>
      <c r="C8" s="12" t="s">
        <v>89</v>
      </c>
      <c r="D8" s="12" t="s">
        <v>90</v>
      </c>
      <c r="E8" s="12" t="s">
        <v>91</v>
      </c>
      <c r="F8" s="12" t="s">
        <v>41</v>
      </c>
      <c r="G8" s="12">
        <v>3</v>
      </c>
      <c r="H8" s="12" t="s">
        <v>68</v>
      </c>
      <c r="I8" s="12" t="s">
        <v>15</v>
      </c>
      <c r="J8" s="12" t="s">
        <v>15</v>
      </c>
      <c r="K8" s="13">
        <v>41325</v>
      </c>
      <c r="L8" s="13">
        <v>41334</v>
      </c>
      <c r="M8" s="15">
        <f t="shared" ca="1" si="0"/>
        <v>46133</v>
      </c>
      <c r="N8" s="13"/>
      <c r="O8" s="13"/>
      <c r="P8" s="13"/>
      <c r="Q8" s="12"/>
      <c r="R8" s="12">
        <f t="shared" si="1"/>
        <v>56</v>
      </c>
      <c r="S8" s="25">
        <v>43038</v>
      </c>
      <c r="T8" s="12" t="s">
        <v>38</v>
      </c>
      <c r="U8" s="56">
        <f t="shared" si="2"/>
        <v>56</v>
      </c>
      <c r="V8" s="49" t="str">
        <f t="shared" si="3"/>
        <v>Completed:Delayed</v>
      </c>
      <c r="W8" s="52">
        <f t="shared" si="4"/>
        <v>57</v>
      </c>
    </row>
    <row r="9" spans="1:23" ht="25.35" customHeight="1">
      <c r="A9" s="12">
        <v>8</v>
      </c>
      <c r="B9" s="12" t="s">
        <v>92</v>
      </c>
      <c r="C9" s="12" t="s">
        <v>93</v>
      </c>
      <c r="D9" s="12" t="s">
        <v>78</v>
      </c>
      <c r="E9" s="12" t="s">
        <v>94</v>
      </c>
      <c r="F9" s="12" t="s">
        <v>42</v>
      </c>
      <c r="G9" s="12">
        <v>8</v>
      </c>
      <c r="H9" s="12" t="s">
        <v>68</v>
      </c>
      <c r="I9" s="12" t="s">
        <v>13</v>
      </c>
      <c r="J9" s="12" t="s">
        <v>19</v>
      </c>
      <c r="K9" s="13">
        <v>43318</v>
      </c>
      <c r="L9" s="13">
        <v>43160</v>
      </c>
      <c r="M9" s="15">
        <f t="shared" ca="1" si="0"/>
        <v>46133</v>
      </c>
      <c r="N9" s="14"/>
      <c r="O9" s="39"/>
      <c r="P9" s="14"/>
      <c r="Q9" s="14"/>
      <c r="R9" s="12">
        <f t="shared" si="1"/>
        <v>51</v>
      </c>
      <c r="S9" s="25">
        <v>44682</v>
      </c>
      <c r="T9" s="12" t="s">
        <v>38</v>
      </c>
      <c r="U9" s="56">
        <f t="shared" si="2"/>
        <v>51</v>
      </c>
      <c r="V9" s="49" t="str">
        <f t="shared" si="3"/>
        <v xml:space="preserve"> Completed:On time</v>
      </c>
      <c r="W9" s="52">
        <f t="shared" si="4"/>
        <v>45</v>
      </c>
    </row>
    <row r="10" spans="1:23" ht="25.35"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46133</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35" customHeight="1">
      <c r="A11" s="12">
        <v>10</v>
      </c>
      <c r="B11" s="12" t="s">
        <v>99</v>
      </c>
      <c r="C11" s="12" t="s">
        <v>100</v>
      </c>
      <c r="D11" s="12" t="s">
        <v>101</v>
      </c>
      <c r="E11" s="12" t="s">
        <v>102</v>
      </c>
      <c r="F11" s="12" t="s">
        <v>42</v>
      </c>
      <c r="G11" s="12">
        <v>3</v>
      </c>
      <c r="H11" s="12" t="s">
        <v>68</v>
      </c>
      <c r="I11" s="12" t="s">
        <v>15</v>
      </c>
      <c r="J11" s="12" t="s">
        <v>15</v>
      </c>
      <c r="K11" s="13">
        <v>41326</v>
      </c>
      <c r="L11" s="13">
        <v>41334</v>
      </c>
      <c r="M11" s="15">
        <f t="shared" ca="1" si="0"/>
        <v>46133</v>
      </c>
      <c r="N11" s="13"/>
      <c r="O11" s="13"/>
      <c r="P11" s="13"/>
      <c r="Q11" s="12"/>
      <c r="R11" s="12">
        <f t="shared" si="1"/>
        <v>52</v>
      </c>
      <c r="S11" s="25">
        <v>42916</v>
      </c>
      <c r="T11" s="12" t="s">
        <v>38</v>
      </c>
      <c r="U11" s="56">
        <f t="shared" si="2"/>
        <v>52</v>
      </c>
      <c r="V11" s="49" t="str">
        <f t="shared" si="3"/>
        <v>Completed:Delayed</v>
      </c>
      <c r="W11" s="52">
        <f t="shared" si="4"/>
        <v>53</v>
      </c>
    </row>
    <row r="12" spans="1:23" ht="25.35"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46133</v>
      </c>
      <c r="N12" s="13"/>
      <c r="O12" s="13"/>
      <c r="P12" s="13"/>
      <c r="Q12" s="12"/>
      <c r="R12" s="12">
        <f t="shared" si="1"/>
        <v>69</v>
      </c>
      <c r="S12" s="25">
        <v>43799</v>
      </c>
      <c r="T12" s="12" t="s">
        <v>38</v>
      </c>
      <c r="U12" s="56">
        <f t="shared" si="2"/>
        <v>69</v>
      </c>
      <c r="V12" s="49" t="str">
        <f t="shared" si="3"/>
        <v>Completed:Delayed</v>
      </c>
      <c r="W12" s="52">
        <f t="shared" si="4"/>
        <v>33</v>
      </c>
    </row>
    <row r="13" spans="1:23" ht="25.35"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46133</v>
      </c>
      <c r="N13" s="14"/>
      <c r="O13" s="25"/>
      <c r="P13" s="25"/>
      <c r="Q13" s="14"/>
      <c r="R13" s="12">
        <f t="shared" si="1"/>
        <v>59</v>
      </c>
      <c r="S13" s="25">
        <v>45313</v>
      </c>
      <c r="T13" s="12" t="s">
        <v>38</v>
      </c>
      <c r="U13" s="56">
        <f t="shared" si="2"/>
        <v>59</v>
      </c>
      <c r="V13" s="49" t="str">
        <f t="shared" si="3"/>
        <v>Completed:Delayed</v>
      </c>
      <c r="W13" s="52">
        <f t="shared" si="4"/>
        <v>48</v>
      </c>
    </row>
    <row r="14" spans="1:23" ht="25.35"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46133</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46133</v>
      </c>
      <c r="N15" s="14">
        <f ca="1">DATEDIF(L15,M15,"M") +1</f>
        <v>74</v>
      </c>
      <c r="O15" s="39"/>
      <c r="P15" s="14"/>
      <c r="Q15" s="14"/>
      <c r="R15" s="12">
        <f t="shared" ca="1" si="1"/>
        <v>74</v>
      </c>
      <c r="S15" s="25">
        <v>45538</v>
      </c>
      <c r="T15" s="12" t="s">
        <v>38</v>
      </c>
      <c r="U15" s="56">
        <f t="shared" si="2"/>
        <v>55</v>
      </c>
      <c r="V15" s="49" t="str">
        <f t="shared" si="3"/>
        <v>Completed:Delayed</v>
      </c>
      <c r="W15" s="52">
        <f t="shared" si="4"/>
        <v>56</v>
      </c>
    </row>
    <row r="16" spans="1:23" ht="25.35"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46133</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35"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46133</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35"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46133</v>
      </c>
      <c r="N18" s="13"/>
      <c r="O18" s="13"/>
      <c r="P18" s="13"/>
      <c r="Q18" s="12"/>
      <c r="R18" s="12">
        <f t="shared" si="1"/>
        <v>82</v>
      </c>
      <c r="S18" s="25">
        <v>43819</v>
      </c>
      <c r="T18" s="12" t="s">
        <v>38</v>
      </c>
      <c r="U18" s="56">
        <f t="shared" si="2"/>
        <v>82</v>
      </c>
      <c r="V18" s="49" t="str">
        <f t="shared" si="3"/>
        <v>Completed:Delayed</v>
      </c>
      <c r="W18" s="52">
        <f t="shared" si="4"/>
        <v>82</v>
      </c>
    </row>
    <row r="19" spans="1:25" ht="25.35"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46133</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35"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46133</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35"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46133</v>
      </c>
      <c r="N21" s="14"/>
      <c r="O21" s="39"/>
      <c r="P21" s="14"/>
      <c r="Q21" s="14"/>
      <c r="R21" s="12">
        <f t="shared" si="1"/>
        <v>58</v>
      </c>
      <c r="S21" s="25">
        <v>44900</v>
      </c>
      <c r="T21" s="12" t="s">
        <v>38</v>
      </c>
      <c r="U21" s="56">
        <f t="shared" si="2"/>
        <v>58</v>
      </c>
      <c r="V21" s="49" t="str">
        <f t="shared" si="3"/>
        <v>Completed:Delayed</v>
      </c>
      <c r="W21" s="52">
        <f t="shared" si="4"/>
        <v>57</v>
      </c>
    </row>
    <row r="22" spans="1:25" ht="25.35"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46133</v>
      </c>
      <c r="N22" s="13"/>
      <c r="O22" s="13"/>
      <c r="P22" s="13"/>
      <c r="Q22" s="12"/>
      <c r="R22" s="12">
        <f t="shared" si="1"/>
        <v>57</v>
      </c>
      <c r="S22" s="25">
        <v>42704</v>
      </c>
      <c r="T22" s="12" t="s">
        <v>38</v>
      </c>
      <c r="U22" s="56">
        <f t="shared" si="2"/>
        <v>57</v>
      </c>
      <c r="V22" s="49" t="str">
        <f t="shared" si="3"/>
        <v>Completed:Delayed</v>
      </c>
      <c r="W22" s="52">
        <f t="shared" si="4"/>
        <v>57</v>
      </c>
    </row>
    <row r="23" spans="1:25" ht="25.35"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46133</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35"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46133</v>
      </c>
      <c r="N24" s="13"/>
      <c r="O24" s="13"/>
      <c r="P24" s="13"/>
      <c r="Q24" s="12"/>
      <c r="R24" s="12">
        <f t="shared" si="1"/>
        <v>70</v>
      </c>
      <c r="S24" s="25">
        <v>42766</v>
      </c>
      <c r="T24" s="12" t="s">
        <v>38</v>
      </c>
      <c r="U24" s="56">
        <f t="shared" si="2"/>
        <v>70</v>
      </c>
      <c r="V24" s="49" t="str">
        <f t="shared" si="3"/>
        <v>Completed:Delayed</v>
      </c>
      <c r="W24" s="52">
        <f t="shared" si="4"/>
        <v>71</v>
      </c>
      <c r="X24" s="22" t="s">
        <v>155</v>
      </c>
    </row>
    <row r="25" spans="1:25" ht="25.35"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46133</v>
      </c>
      <c r="N25" s="14"/>
      <c r="O25" s="39"/>
      <c r="P25" s="14"/>
      <c r="Q25" s="14"/>
      <c r="R25" s="12">
        <f t="shared" si="1"/>
        <v>67</v>
      </c>
      <c r="S25" s="25">
        <v>44461</v>
      </c>
      <c r="T25" s="12" t="s">
        <v>38</v>
      </c>
      <c r="U25" s="56">
        <f t="shared" si="2"/>
        <v>67</v>
      </c>
      <c r="V25" s="49" t="str">
        <f t="shared" si="3"/>
        <v>Completed:Delayed</v>
      </c>
      <c r="W25" s="52">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46133</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35"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46133</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35"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46133</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35"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46133</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46133</v>
      </c>
      <c r="N30" s="14">
        <f ca="1">DATEDIF(L30,M30,"M") +1</f>
        <v>170</v>
      </c>
      <c r="O30" s="39"/>
      <c r="P30" s="14"/>
      <c r="Q30" s="14"/>
      <c r="R30" s="12">
        <f t="shared" ca="1" si="1"/>
        <v>170</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35"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46133</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35"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46133</v>
      </c>
      <c r="N32" s="13"/>
      <c r="O32" s="13"/>
      <c r="P32" s="13"/>
      <c r="Q32" s="12"/>
      <c r="R32" s="12">
        <f t="shared" si="1"/>
        <v>36</v>
      </c>
      <c r="S32" s="25">
        <v>41729</v>
      </c>
      <c r="T32" s="12" t="s">
        <v>38</v>
      </c>
      <c r="U32" s="56">
        <f t="shared" si="5"/>
        <v>36</v>
      </c>
      <c r="V32" s="49" t="str">
        <f t="shared" si="6"/>
        <v xml:space="preserve"> Completed:On time</v>
      </c>
      <c r="W32" s="52">
        <f t="shared" si="7"/>
        <v>30</v>
      </c>
      <c r="X32" s="17"/>
      <c r="Y32" t="s">
        <v>187</v>
      </c>
    </row>
    <row r="33" spans="1:25" ht="25.35"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46133</v>
      </c>
      <c r="N33" s="14"/>
      <c r="O33" s="39"/>
      <c r="P33" s="14"/>
      <c r="Q33" s="14"/>
      <c r="R33" s="12">
        <f t="shared" si="1"/>
        <v>91</v>
      </c>
      <c r="S33" s="26">
        <v>44442</v>
      </c>
      <c r="T33" s="12" t="s">
        <v>38</v>
      </c>
      <c r="U33" s="56">
        <f t="shared" si="5"/>
        <v>91</v>
      </c>
      <c r="V33" s="49" t="str">
        <f t="shared" si="6"/>
        <v>Completed:Delayed</v>
      </c>
      <c r="W33" s="52">
        <f t="shared" si="7"/>
        <v>90</v>
      </c>
    </row>
    <row r="34" spans="1:25" ht="25.35"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46133</v>
      </c>
      <c r="N34" s="14"/>
      <c r="O34" s="39"/>
      <c r="P34" s="14"/>
      <c r="Q34" s="14"/>
      <c r="R34" s="12">
        <f t="shared" si="1"/>
        <v>55</v>
      </c>
      <c r="S34" s="25">
        <v>44468</v>
      </c>
      <c r="T34" s="12" t="s">
        <v>38</v>
      </c>
      <c r="U34" s="56">
        <f t="shared" si="5"/>
        <v>55</v>
      </c>
      <c r="V34" s="49" t="str">
        <f t="shared" si="6"/>
        <v>Completed:Delayed</v>
      </c>
      <c r="W34" s="52">
        <f t="shared" si="7"/>
        <v>51</v>
      </c>
    </row>
    <row r="35" spans="1:25" ht="25.35"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46133</v>
      </c>
      <c r="N35" s="13"/>
      <c r="O35" s="13"/>
      <c r="P35" s="13"/>
      <c r="Q35" s="12"/>
      <c r="R35" s="12">
        <f t="shared" si="1"/>
        <v>58</v>
      </c>
      <c r="S35" s="25">
        <v>43830</v>
      </c>
      <c r="T35" s="12" t="s">
        <v>38</v>
      </c>
      <c r="U35" s="56">
        <f t="shared" si="5"/>
        <v>58</v>
      </c>
      <c r="V35" s="49" t="str">
        <f t="shared" si="6"/>
        <v>Completed:Delayed</v>
      </c>
      <c r="W35" s="52">
        <f t="shared" si="7"/>
        <v>28</v>
      </c>
    </row>
    <row r="36" spans="1:25" ht="25.35"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46133</v>
      </c>
      <c r="N36" s="14"/>
      <c r="O36" s="39"/>
      <c r="P36" s="14"/>
      <c r="Q36" s="14"/>
      <c r="R36" s="12">
        <f t="shared" si="1"/>
        <v>82</v>
      </c>
      <c r="S36" s="25">
        <v>45273</v>
      </c>
      <c r="T36" s="12" t="s">
        <v>38</v>
      </c>
      <c r="U36" s="56">
        <f t="shared" si="5"/>
        <v>82</v>
      </c>
      <c r="V36" s="49" t="str">
        <f t="shared" si="6"/>
        <v>Completed:Delayed</v>
      </c>
      <c r="W36" s="52">
        <f t="shared" si="7"/>
        <v>80</v>
      </c>
    </row>
    <row r="37" spans="1:25" ht="25.35"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46133</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customHeight="1">
      <c r="A38" s="12">
        <v>37</v>
      </c>
      <c r="B38" s="12" t="s">
        <v>204</v>
      </c>
      <c r="C38" s="12" t="s">
        <v>205</v>
      </c>
      <c r="D38" s="12" t="s">
        <v>206</v>
      </c>
      <c r="E38" s="12" t="s">
        <v>207</v>
      </c>
      <c r="F38" s="12" t="s">
        <v>42</v>
      </c>
      <c r="G38" s="12">
        <v>3</v>
      </c>
      <c r="H38" s="12" t="s">
        <v>125</v>
      </c>
      <c r="I38" s="12" t="s">
        <v>16</v>
      </c>
      <c r="J38" s="12" t="s">
        <v>16</v>
      </c>
      <c r="K38" s="13">
        <v>41200</v>
      </c>
      <c r="L38" s="13">
        <v>41334</v>
      </c>
      <c r="M38" s="15">
        <f t="shared" ca="1" si="0"/>
        <v>46133</v>
      </c>
      <c r="N38" s="13"/>
      <c r="O38" s="13"/>
      <c r="P38" s="13"/>
      <c r="Q38" s="12"/>
      <c r="R38" s="12">
        <f t="shared" si="1"/>
        <v>57</v>
      </c>
      <c r="S38" s="25">
        <v>43069</v>
      </c>
      <c r="T38" s="12" t="s">
        <v>38</v>
      </c>
      <c r="U38" s="56">
        <f t="shared" si="8"/>
        <v>57</v>
      </c>
      <c r="V38" s="49" t="str">
        <f t="shared" si="9"/>
        <v>Completed:Delayed</v>
      </c>
      <c r="W38" s="52">
        <f t="shared" si="10"/>
        <v>62</v>
      </c>
    </row>
    <row r="39" spans="1:25" ht="25.35"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46133</v>
      </c>
      <c r="N39" s="14"/>
      <c r="O39" s="39"/>
      <c r="P39" s="14"/>
      <c r="Q39" s="14"/>
      <c r="R39" s="12">
        <f t="shared" si="1"/>
        <v>55</v>
      </c>
      <c r="S39" s="25">
        <v>45174</v>
      </c>
      <c r="T39" s="12" t="s">
        <v>38</v>
      </c>
      <c r="U39" s="56">
        <f t="shared" si="8"/>
        <v>55</v>
      </c>
      <c r="V39" s="49" t="str">
        <f t="shared" si="9"/>
        <v>Completed:Delayed</v>
      </c>
      <c r="W39" s="52">
        <f t="shared" si="10"/>
        <v>51</v>
      </c>
    </row>
    <row r="40" spans="1:25" ht="25.35"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46133</v>
      </c>
      <c r="N40" s="13"/>
      <c r="O40" s="13"/>
      <c r="P40" s="13"/>
      <c r="Q40" s="12"/>
      <c r="R40" s="12">
        <f t="shared" si="1"/>
        <v>52</v>
      </c>
      <c r="S40" s="25">
        <v>43646</v>
      </c>
      <c r="T40" s="12" t="s">
        <v>38</v>
      </c>
      <c r="U40" s="56">
        <f t="shared" si="8"/>
        <v>52</v>
      </c>
      <c r="V40" s="49" t="str">
        <f t="shared" si="9"/>
        <v>Completed:Delayed</v>
      </c>
      <c r="W40" s="52">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46133</v>
      </c>
      <c r="N41" s="14"/>
      <c r="O41" s="39"/>
      <c r="P41" s="14"/>
      <c r="Q41" s="14"/>
      <c r="R41" s="12">
        <f t="shared" si="1"/>
        <v>22</v>
      </c>
      <c r="S41" s="25">
        <v>44543</v>
      </c>
      <c r="T41" s="12" t="s">
        <v>38</v>
      </c>
      <c r="U41" s="56">
        <f t="shared" si="8"/>
        <v>22</v>
      </c>
      <c r="V41" s="49" t="str">
        <f t="shared" si="9"/>
        <v xml:space="preserve"> Completed:On time</v>
      </c>
      <c r="W41" s="52">
        <f t="shared" si="10"/>
        <v>1464</v>
      </c>
      <c r="X41" t="s">
        <v>219</v>
      </c>
    </row>
    <row r="42" spans="1:25" ht="25.35"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46133</v>
      </c>
      <c r="N42" s="14"/>
      <c r="O42" s="39"/>
      <c r="P42" s="14"/>
      <c r="Q42" s="14"/>
      <c r="R42" s="12">
        <f t="shared" si="1"/>
        <v>89</v>
      </c>
      <c r="S42" s="25">
        <v>44392</v>
      </c>
      <c r="T42" s="12" t="s">
        <v>38</v>
      </c>
      <c r="U42" s="56">
        <f t="shared" si="8"/>
        <v>89</v>
      </c>
      <c r="V42" s="49" t="str">
        <f t="shared" si="9"/>
        <v>Completed:Delayed</v>
      </c>
      <c r="W42" s="52">
        <f t="shared" si="10"/>
        <v>79</v>
      </c>
    </row>
    <row r="43" spans="1:25" ht="25.35"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46133</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35"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46133</v>
      </c>
      <c r="N44" s="13"/>
      <c r="O44" s="13"/>
      <c r="P44" s="13"/>
      <c r="Q44" s="12"/>
      <c r="R44" s="12">
        <f t="shared" si="1"/>
        <v>57</v>
      </c>
      <c r="S44" s="25">
        <v>42704</v>
      </c>
      <c r="T44" s="12" t="s">
        <v>38</v>
      </c>
      <c r="U44" s="56">
        <f t="shared" si="8"/>
        <v>57</v>
      </c>
      <c r="V44" s="49" t="str">
        <f t="shared" si="9"/>
        <v>Completed:Delayed</v>
      </c>
      <c r="W44" s="52">
        <f t="shared" si="10"/>
        <v>45</v>
      </c>
    </row>
    <row r="45" spans="1:25" ht="15">
      <c r="A45" s="12">
        <v>44</v>
      </c>
      <c r="B45" s="12" t="s">
        <v>230</v>
      </c>
      <c r="C45" s="12" t="s">
        <v>231</v>
      </c>
      <c r="D45" s="12"/>
      <c r="E45" s="12" t="s">
        <v>232</v>
      </c>
      <c r="F45" s="12" t="s">
        <v>42</v>
      </c>
      <c r="G45" s="12">
        <v>4</v>
      </c>
      <c r="H45" s="12" t="s">
        <v>107</v>
      </c>
      <c r="I45" s="12" t="s">
        <v>19</v>
      </c>
      <c r="J45" s="12" t="s">
        <v>19</v>
      </c>
      <c r="K45" s="13">
        <v>41617</v>
      </c>
      <c r="L45" s="13">
        <v>41699</v>
      </c>
      <c r="M45" s="15">
        <f t="shared" ca="1" si="0"/>
        <v>46133</v>
      </c>
      <c r="N45" s="14"/>
      <c r="O45" s="39"/>
      <c r="P45" s="14"/>
      <c r="Q45" s="14"/>
      <c r="R45" s="12">
        <f t="shared" si="1"/>
        <v>101</v>
      </c>
      <c r="S45" s="25">
        <v>44746</v>
      </c>
      <c r="T45" s="12" t="s">
        <v>38</v>
      </c>
      <c r="U45" s="56">
        <f t="shared" si="8"/>
        <v>101</v>
      </c>
      <c r="V45" s="49" t="str">
        <f t="shared" si="9"/>
        <v>Completed:Delayed</v>
      </c>
      <c r="W45" s="52">
        <f t="shared" si="10"/>
        <v>103</v>
      </c>
    </row>
    <row r="46" spans="1:25" ht="25.35"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46133</v>
      </c>
      <c r="N46" s="14">
        <f ca="1">DATEDIF(L46,M46,"M") +1</f>
        <v>158</v>
      </c>
      <c r="O46" s="39"/>
      <c r="P46" s="14"/>
      <c r="Q46" s="14"/>
      <c r="R46" s="12">
        <f t="shared" ca="1" si="1"/>
        <v>158</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35"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46133</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240</v>
      </c>
    </row>
    <row r="48" spans="1:25" ht="25.35"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46133</v>
      </c>
      <c r="N48" s="14">
        <f ca="1">DATEDIF(L48,M48,"M") +1</f>
        <v>158</v>
      </c>
      <c r="O48" s="39"/>
      <c r="P48" s="14"/>
      <c r="Q48" s="14"/>
      <c r="R48" s="12">
        <f t="shared" ca="1" si="1"/>
        <v>158</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35"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46133</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35"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46133</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35"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46133</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35"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46133</v>
      </c>
      <c r="N52" s="14"/>
      <c r="O52" s="39"/>
      <c r="P52" s="14"/>
      <c r="Q52" s="14"/>
      <c r="R52" s="12">
        <f t="shared" si="1"/>
        <v>60</v>
      </c>
      <c r="S52" s="25">
        <v>45337</v>
      </c>
      <c r="T52" s="12" t="s">
        <v>38</v>
      </c>
      <c r="U52" s="56">
        <f t="shared" si="11"/>
        <v>60</v>
      </c>
      <c r="V52" s="49" t="str">
        <f t="shared" si="12"/>
        <v>Completed:Delayed</v>
      </c>
      <c r="W52" s="52">
        <f t="shared" si="13"/>
        <v>54</v>
      </c>
    </row>
    <row r="53" spans="1:23" ht="25.35"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46133</v>
      </c>
      <c r="N53" s="13"/>
      <c r="O53" s="13"/>
      <c r="P53" s="13"/>
      <c r="Q53" s="12"/>
      <c r="R53" s="12">
        <f t="shared" si="1"/>
        <v>67</v>
      </c>
      <c r="S53" s="25">
        <v>42674</v>
      </c>
      <c r="T53" s="12" t="s">
        <v>38</v>
      </c>
      <c r="U53" s="56">
        <f t="shared" si="11"/>
        <v>67</v>
      </c>
      <c r="V53" s="49" t="str">
        <f t="shared" si="12"/>
        <v>Completed:Delayed</v>
      </c>
      <c r="W53" s="52">
        <f t="shared" si="13"/>
        <v>69</v>
      </c>
    </row>
    <row r="54" spans="1:23" ht="25.35"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46133</v>
      </c>
      <c r="N54" s="13"/>
      <c r="O54" s="13"/>
      <c r="P54" s="13"/>
      <c r="Q54" s="12"/>
      <c r="R54" s="12">
        <f t="shared" si="1"/>
        <v>101</v>
      </c>
      <c r="S54" s="25">
        <v>43699</v>
      </c>
      <c r="T54" s="12" t="s">
        <v>38</v>
      </c>
      <c r="U54" s="56">
        <f t="shared" si="11"/>
        <v>101</v>
      </c>
      <c r="V54" s="49" t="str">
        <f t="shared" si="12"/>
        <v>Completed:Delayed</v>
      </c>
      <c r="W54" s="52">
        <f t="shared" si="13"/>
        <v>102</v>
      </c>
    </row>
    <row r="55" spans="1:23" ht="25.35"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46133</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35"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46133</v>
      </c>
      <c r="N56" s="13"/>
      <c r="O56" s="13"/>
      <c r="P56" s="13"/>
      <c r="Q56" s="12"/>
      <c r="R56" s="12">
        <f t="shared" si="1"/>
        <v>58</v>
      </c>
      <c r="S56" s="25">
        <v>42735</v>
      </c>
      <c r="T56" s="12" t="s">
        <v>38</v>
      </c>
      <c r="U56" s="56">
        <f t="shared" si="11"/>
        <v>58</v>
      </c>
      <c r="V56" s="49" t="str">
        <f t="shared" si="12"/>
        <v>Completed:Delayed</v>
      </c>
      <c r="W56" s="52">
        <f t="shared" si="13"/>
        <v>59</v>
      </c>
    </row>
    <row r="57" spans="1:23" ht="25.35"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46133</v>
      </c>
      <c r="N57" s="14">
        <f ca="1">DATEDIF(L57,M57,"M") +1</f>
        <v>158</v>
      </c>
      <c r="O57" s="39"/>
      <c r="P57" s="14"/>
      <c r="Q57" s="14"/>
      <c r="R57" s="12">
        <f t="shared" ca="1" si="1"/>
        <v>158</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35"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46133</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35"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46133</v>
      </c>
      <c r="N59" s="14">
        <f ca="1">DATEDIF(L59,M59,"M") +1</f>
        <v>98</v>
      </c>
      <c r="O59" s="39"/>
      <c r="P59" s="14"/>
      <c r="Q59" s="14"/>
      <c r="R59" s="12">
        <f t="shared" ca="1" si="1"/>
        <v>98</v>
      </c>
      <c r="S59" s="25">
        <v>45247</v>
      </c>
      <c r="T59" s="12" t="s">
        <v>38</v>
      </c>
      <c r="U59" s="56">
        <f t="shared" si="14"/>
        <v>69</v>
      </c>
      <c r="V59" s="49" t="str">
        <f t="shared" si="15"/>
        <v>Completed:Delayed</v>
      </c>
      <c r="W59" s="52">
        <f t="shared" si="16"/>
        <v>63</v>
      </c>
    </row>
    <row r="60" spans="1:23" ht="25.35"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46133</v>
      </c>
      <c r="N60" s="14"/>
      <c r="O60" s="39"/>
      <c r="P60" s="14"/>
      <c r="Q60" s="14"/>
      <c r="R60" s="12">
        <f t="shared" si="1"/>
        <v>69</v>
      </c>
      <c r="S60" s="25">
        <v>44879</v>
      </c>
      <c r="T60" s="12" t="s">
        <v>38</v>
      </c>
      <c r="U60" s="56">
        <f t="shared" si="14"/>
        <v>69</v>
      </c>
      <c r="V60" s="49" t="str">
        <f t="shared" si="15"/>
        <v>Completed:Delayed</v>
      </c>
      <c r="W60" s="52">
        <f t="shared" si="16"/>
        <v>63</v>
      </c>
    </row>
    <row r="61" spans="1:23" ht="25.35"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46133</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35"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46133</v>
      </c>
      <c r="N62" s="14"/>
      <c r="O62" s="39"/>
      <c r="P62" s="14"/>
      <c r="Q62" s="14"/>
      <c r="R62" s="12">
        <f t="shared" si="1"/>
        <v>93</v>
      </c>
      <c r="S62" s="25">
        <v>44508</v>
      </c>
      <c r="T62" s="12" t="s">
        <v>38</v>
      </c>
      <c r="U62" s="56">
        <f t="shared" si="14"/>
        <v>93</v>
      </c>
      <c r="V62" s="49" t="str">
        <f t="shared" si="15"/>
        <v>Completed:Delayed</v>
      </c>
      <c r="W62" s="52">
        <f t="shared" si="16"/>
        <v>54</v>
      </c>
    </row>
    <row r="63" spans="1:23" ht="25.35"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46133</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35"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46133</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35"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46133</v>
      </c>
      <c r="N65" s="13"/>
      <c r="O65" s="13"/>
      <c r="P65" s="13"/>
      <c r="Q65" s="12"/>
      <c r="R65" s="12">
        <f t="shared" si="18"/>
        <v>59</v>
      </c>
      <c r="S65" s="25">
        <v>43832</v>
      </c>
      <c r="T65" s="12" t="s">
        <v>38</v>
      </c>
      <c r="U65" s="56">
        <f t="shared" si="14"/>
        <v>59</v>
      </c>
      <c r="V65" s="49" t="str">
        <f t="shared" si="15"/>
        <v>Completed:Delayed</v>
      </c>
      <c r="W65" s="52">
        <f t="shared" si="16"/>
        <v>66</v>
      </c>
    </row>
    <row r="66" spans="1:23" ht="25.35"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46133</v>
      </c>
      <c r="N66" s="14">
        <f ca="1">DATEDIF(L66,M66,"M") +1</f>
        <v>98</v>
      </c>
      <c r="O66" s="39"/>
      <c r="P66" s="14"/>
      <c r="Q66" s="14"/>
      <c r="R66" s="12">
        <f t="shared" ca="1" si="18"/>
        <v>98</v>
      </c>
      <c r="S66" s="25">
        <v>45498</v>
      </c>
      <c r="T66" s="12" t="s">
        <v>38</v>
      </c>
      <c r="U66" s="56">
        <f t="shared" si="14"/>
        <v>77</v>
      </c>
      <c r="V66" s="49" t="str">
        <f t="shared" si="15"/>
        <v>Completed:Delayed</v>
      </c>
      <c r="W66" s="52">
        <f t="shared" si="16"/>
        <v>74</v>
      </c>
    </row>
    <row r="67" spans="1:23" ht="25.35"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46133</v>
      </c>
      <c r="N67" s="13"/>
      <c r="O67" s="13"/>
      <c r="P67" s="13"/>
      <c r="Q67" s="12"/>
      <c r="R67" s="12">
        <f t="shared" si="18"/>
        <v>76</v>
      </c>
      <c r="S67" s="25">
        <v>42947</v>
      </c>
      <c r="T67" s="12" t="s">
        <v>38</v>
      </c>
      <c r="U67" s="56">
        <f t="shared" si="14"/>
        <v>76</v>
      </c>
      <c r="V67" s="49" t="str">
        <f t="shared" si="15"/>
        <v>Completed:Delayed</v>
      </c>
      <c r="W67" s="52">
        <f t="shared" si="16"/>
        <v>70</v>
      </c>
    </row>
    <row r="68" spans="1:23" ht="25.35"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46133</v>
      </c>
      <c r="N68" s="13"/>
      <c r="O68" s="13"/>
      <c r="P68" s="13"/>
      <c r="Q68" s="12"/>
      <c r="R68" s="12">
        <f t="shared" si="18"/>
        <v>53</v>
      </c>
      <c r="S68" s="25">
        <v>43677</v>
      </c>
      <c r="T68" s="12" t="s">
        <v>38</v>
      </c>
      <c r="U68" s="56">
        <f t="shared" si="14"/>
        <v>53</v>
      </c>
      <c r="V68" s="49" t="str">
        <f t="shared" si="15"/>
        <v>Completed:Delayed</v>
      </c>
      <c r="W68" s="52">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46133</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35"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46133</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35"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46133</v>
      </c>
      <c r="N71" s="13"/>
      <c r="O71" s="13"/>
      <c r="P71" s="13"/>
      <c r="Q71" s="12"/>
      <c r="R71" s="12">
        <f t="shared" si="18"/>
        <v>65</v>
      </c>
      <c r="S71" s="25">
        <v>42613</v>
      </c>
      <c r="T71" s="12" t="s">
        <v>38</v>
      </c>
      <c r="U71" s="56">
        <f t="shared" si="14"/>
        <v>65</v>
      </c>
      <c r="V71" s="49" t="str">
        <f t="shared" si="15"/>
        <v>Completed:Delayed</v>
      </c>
      <c r="W71" s="52">
        <f t="shared" si="16"/>
        <v>68</v>
      </c>
    </row>
    <row r="72" spans="1:23" ht="25.35"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46133</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35"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46133</v>
      </c>
      <c r="N73" s="14">
        <f ca="1">DATEDIF(L73,M73,"M") +1</f>
        <v>146</v>
      </c>
      <c r="O73" s="39"/>
      <c r="P73" s="14"/>
      <c r="Q73" s="14"/>
      <c r="R73" s="12">
        <f t="shared" ca="1" si="18"/>
        <v>146</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35"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46133</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35"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46133</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35"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46133</v>
      </c>
      <c r="N76" s="14"/>
      <c r="O76" s="39"/>
      <c r="P76" s="14"/>
      <c r="Q76" s="14"/>
      <c r="R76" s="12">
        <f t="shared" si="18"/>
        <v>70</v>
      </c>
      <c r="S76" s="25">
        <v>44539</v>
      </c>
      <c r="T76" s="12" t="s">
        <v>38</v>
      </c>
      <c r="U76" s="56">
        <f t="shared" si="19"/>
        <v>70</v>
      </c>
      <c r="V76" s="49" t="str">
        <f t="shared" si="20"/>
        <v>Completed:Delayed</v>
      </c>
      <c r="W76" s="52">
        <f t="shared" si="21"/>
        <v>63</v>
      </c>
    </row>
    <row r="77" spans="1:23" ht="25.35"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46133</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35"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46133</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35"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46133</v>
      </c>
      <c r="N79" s="13"/>
      <c r="O79" s="13"/>
      <c r="P79" s="13"/>
      <c r="Q79" s="12"/>
      <c r="R79" s="12">
        <f t="shared" si="18"/>
        <v>56</v>
      </c>
      <c r="S79" s="25">
        <v>43399</v>
      </c>
      <c r="T79" s="12" t="s">
        <v>38</v>
      </c>
      <c r="U79" s="56">
        <f t="shared" si="19"/>
        <v>56</v>
      </c>
      <c r="V79" s="49" t="str">
        <f t="shared" si="20"/>
        <v>Completed:Delayed</v>
      </c>
      <c r="W79" s="52">
        <f t="shared" si="21"/>
        <v>60</v>
      </c>
    </row>
    <row r="80" spans="1:23" ht="25.35"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46133</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35"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46133</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35"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46133</v>
      </c>
      <c r="N82" s="13"/>
      <c r="O82" s="13"/>
      <c r="P82" s="13"/>
      <c r="Q82" s="12"/>
      <c r="R82" s="12">
        <f t="shared" si="18"/>
        <v>70</v>
      </c>
      <c r="S82" s="25">
        <v>43830</v>
      </c>
      <c r="T82" s="12" t="s">
        <v>38</v>
      </c>
      <c r="U82" s="56">
        <f t="shared" si="19"/>
        <v>70</v>
      </c>
      <c r="V82" s="49" t="str">
        <f t="shared" si="20"/>
        <v>Completed:Delayed</v>
      </c>
      <c r="W82" s="52">
        <f t="shared" si="21"/>
        <v>59</v>
      </c>
    </row>
    <row r="83" spans="1:23" ht="25.35"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46133</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46133</v>
      </c>
      <c r="N84" s="14">
        <f ca="1">DATEDIF(L84,M84,"M") +1</f>
        <v>74</v>
      </c>
      <c r="O84" s="39"/>
      <c r="P84" s="14"/>
      <c r="Q84" s="14"/>
      <c r="R84" s="12">
        <f t="shared" ca="1" si="18"/>
        <v>74</v>
      </c>
      <c r="S84" s="25">
        <v>45610</v>
      </c>
      <c r="T84" s="12" t="s">
        <v>38</v>
      </c>
      <c r="U84" s="56">
        <f t="shared" si="19"/>
        <v>57</v>
      </c>
      <c r="V84" s="49" t="str">
        <f t="shared" si="20"/>
        <v>Completed:Delayed</v>
      </c>
      <c r="W84" s="52">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46133</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46133</v>
      </c>
      <c r="N86" s="14">
        <f ca="1">DATEDIF(L86,M86,"M") +1</f>
        <v>74</v>
      </c>
      <c r="O86" s="39"/>
      <c r="P86" s="14"/>
      <c r="Q86" s="14"/>
      <c r="R86" s="12">
        <f t="shared" ca="1" si="18"/>
        <v>74</v>
      </c>
      <c r="S86" s="25">
        <v>45590</v>
      </c>
      <c r="T86" s="12" t="s">
        <v>38</v>
      </c>
      <c r="U86" s="56">
        <f t="shared" si="19"/>
        <v>56</v>
      </c>
      <c r="V86" s="49" t="str">
        <f t="shared" si="20"/>
        <v>Completed:Delayed</v>
      </c>
      <c r="W86" s="52">
        <f t="shared" si="21"/>
        <v>58</v>
      </c>
    </row>
    <row r="87" spans="1:23" ht="25.35"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46133</v>
      </c>
      <c r="N87" s="13"/>
      <c r="O87" s="13"/>
      <c r="P87" s="13"/>
      <c r="Q87" s="12"/>
      <c r="R87" s="12">
        <f t="shared" si="18"/>
        <v>69</v>
      </c>
      <c r="S87" s="25">
        <v>44160</v>
      </c>
      <c r="T87" s="12" t="s">
        <v>38</v>
      </c>
      <c r="U87" s="56">
        <f t="shared" si="19"/>
        <v>69</v>
      </c>
      <c r="V87" s="49" t="str">
        <f t="shared" si="20"/>
        <v>Completed:Delayed</v>
      </c>
      <c r="W87" s="52">
        <f t="shared" si="21"/>
        <v>62</v>
      </c>
    </row>
    <row r="88" spans="1:23" ht="25.35"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46133</v>
      </c>
      <c r="N88" s="13"/>
      <c r="O88" s="13"/>
      <c r="P88" s="13"/>
      <c r="Q88" s="12"/>
      <c r="R88" s="12">
        <f t="shared" si="18"/>
        <v>56</v>
      </c>
      <c r="S88" s="25">
        <v>43769</v>
      </c>
      <c r="T88" s="12" t="s">
        <v>38</v>
      </c>
      <c r="U88" s="56">
        <f t="shared" si="19"/>
        <v>56</v>
      </c>
      <c r="V88" s="49" t="str">
        <f t="shared" si="20"/>
        <v>Completed:Delayed</v>
      </c>
      <c r="W88" s="52">
        <f t="shared" si="21"/>
        <v>51</v>
      </c>
    </row>
    <row r="89" spans="1:23" ht="25.35"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46133</v>
      </c>
      <c r="N89" s="14"/>
      <c r="O89" s="39"/>
      <c r="P89" s="14"/>
      <c r="Q89" s="14"/>
      <c r="R89" s="12">
        <f t="shared" si="18"/>
        <v>72</v>
      </c>
      <c r="S89" s="25">
        <v>44607</v>
      </c>
      <c r="T89" s="12" t="s">
        <v>38</v>
      </c>
      <c r="U89" s="56">
        <f t="shared" si="19"/>
        <v>72</v>
      </c>
      <c r="V89" s="49" t="str">
        <f t="shared" si="20"/>
        <v>Completed:Delayed</v>
      </c>
      <c r="W89" s="52">
        <f t="shared" si="21"/>
        <v>71</v>
      </c>
    </row>
    <row r="90" spans="1:23" ht="25.35"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46133</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35"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46133</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35"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46133</v>
      </c>
      <c r="N92" s="14">
        <f ca="1">DATEDIF(L92,M92,"M") +1</f>
        <v>134</v>
      </c>
      <c r="O92" s="39"/>
      <c r="P92" s="14"/>
      <c r="Q92" s="14"/>
      <c r="R92" s="12">
        <f t="shared" ca="1" si="18"/>
        <v>134</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35"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46133</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35"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46133</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35"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46133</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35"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46133</v>
      </c>
      <c r="N96" s="14">
        <f ca="1">DATEDIF(L96,M96,"M") +1</f>
        <v>134</v>
      </c>
      <c r="O96" s="39"/>
      <c r="P96" s="14"/>
      <c r="Q96" s="14"/>
      <c r="R96" s="12">
        <f t="shared" ca="1" si="18"/>
        <v>134</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35"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46133</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35"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46133</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35"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46133</v>
      </c>
      <c r="N99" s="14">
        <f ca="1">DATEDIF(L99,M99,"M") +1</f>
        <v>122</v>
      </c>
      <c r="O99" s="39"/>
      <c r="P99" s="14"/>
      <c r="Q99" s="14"/>
      <c r="R99" s="12">
        <f t="shared" ca="1" si="18"/>
        <v>122</v>
      </c>
      <c r="S99" s="25">
        <v>45610</v>
      </c>
      <c r="T99" s="12" t="s">
        <v>38</v>
      </c>
      <c r="U99" s="56">
        <f>DATEDIF(L99,S99,"M")+1-Q99</f>
        <v>105</v>
      </c>
      <c r="V99" s="49" t="str">
        <f>IF(U99&gt;51,"Completed:Delayed"," Completed:On time")</f>
        <v>Completed:Delayed</v>
      </c>
      <c r="W99" s="52">
        <f>DATEDIF(K99,S99,"M")+1-Q99</f>
        <v>99</v>
      </c>
    </row>
    <row r="100" spans="1:23" ht="25.35"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46133</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35"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46133</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35"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46133</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46133</v>
      </c>
      <c r="N103" s="14"/>
      <c r="O103" s="39"/>
      <c r="P103" s="14"/>
      <c r="Q103" s="14"/>
      <c r="R103" s="12">
        <f t="shared" si="18"/>
        <v>79</v>
      </c>
      <c r="S103" s="25">
        <v>45195</v>
      </c>
      <c r="T103" s="12" t="s">
        <v>38</v>
      </c>
      <c r="U103" s="56">
        <f t="shared" si="22"/>
        <v>79</v>
      </c>
      <c r="V103" s="49" t="str">
        <f t="shared" si="23"/>
        <v>Completed:Delayed</v>
      </c>
      <c r="W103" s="52">
        <f t="shared" si="24"/>
        <v>75</v>
      </c>
    </row>
    <row r="104" spans="1:23" ht="25.35"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46133</v>
      </c>
      <c r="N104" s="13"/>
      <c r="O104" s="13"/>
      <c r="P104" s="13"/>
      <c r="Q104" s="12"/>
      <c r="R104" s="12">
        <f t="shared" si="18"/>
        <v>88</v>
      </c>
      <c r="S104" s="25">
        <v>43285</v>
      </c>
      <c r="T104" s="12" t="s">
        <v>38</v>
      </c>
      <c r="U104" s="56">
        <f t="shared" si="22"/>
        <v>88</v>
      </c>
      <c r="V104" s="49" t="str">
        <f t="shared" si="23"/>
        <v>Completed:Delayed</v>
      </c>
      <c r="W104" s="52">
        <f t="shared" si="24"/>
        <v>87</v>
      </c>
    </row>
    <row r="105" spans="1:23" ht="25.35"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46133</v>
      </c>
      <c r="N105" s="14">
        <f ca="1">DATEDIF(L105,M105,"M") +1</f>
        <v>74</v>
      </c>
      <c r="O105" s="39"/>
      <c r="P105" s="14"/>
      <c r="Q105" s="14"/>
      <c r="R105" s="12">
        <f t="shared" ca="1" si="18"/>
        <v>74</v>
      </c>
      <c r="S105" s="25">
        <v>45596</v>
      </c>
      <c r="T105" s="12" t="s">
        <v>38</v>
      </c>
      <c r="U105" s="56">
        <f t="shared" si="22"/>
        <v>56</v>
      </c>
      <c r="V105" s="49" t="str">
        <f t="shared" si="23"/>
        <v>Completed:Delayed</v>
      </c>
      <c r="W105" s="52">
        <f t="shared" si="24"/>
        <v>64</v>
      </c>
    </row>
    <row r="106" spans="1:23" ht="25.35"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46133</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35"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46133</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35"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46133</v>
      </c>
      <c r="N108" s="14">
        <f ca="1">DATEDIF(L108,M108,"M") +1</f>
        <v>86</v>
      </c>
      <c r="O108" s="39"/>
      <c r="P108" s="14"/>
      <c r="Q108" s="14"/>
      <c r="R108" s="12">
        <f t="shared" ca="1" si="18"/>
        <v>86</v>
      </c>
      <c r="S108" s="25">
        <v>45443</v>
      </c>
      <c r="T108" s="12" t="s">
        <v>38</v>
      </c>
      <c r="U108" s="56">
        <f t="shared" si="22"/>
        <v>63</v>
      </c>
      <c r="V108" s="49" t="str">
        <f t="shared" si="23"/>
        <v>Completed:Delayed</v>
      </c>
      <c r="W108" s="52">
        <f t="shared" si="24"/>
        <v>63</v>
      </c>
    </row>
    <row r="109" spans="1:23" ht="25.35"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46133</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35"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46133</v>
      </c>
      <c r="N110" s="14">
        <f ca="1">DATEDIF(L110,M110,"M") +1</f>
        <v>98</v>
      </c>
      <c r="O110" s="39"/>
      <c r="P110" s="14"/>
      <c r="Q110" s="14"/>
      <c r="R110" s="12">
        <f t="shared" ca="1" si="18"/>
        <v>98</v>
      </c>
      <c r="S110" s="25">
        <v>45610</v>
      </c>
      <c r="T110" s="12" t="s">
        <v>38</v>
      </c>
      <c r="U110" s="56">
        <f t="shared" si="22"/>
        <v>81</v>
      </c>
      <c r="V110" s="49" t="str">
        <f t="shared" si="23"/>
        <v>Completed:Delayed</v>
      </c>
      <c r="W110" s="52">
        <f t="shared" si="24"/>
        <v>76</v>
      </c>
    </row>
    <row r="111" spans="1:23" ht="25.35"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46133</v>
      </c>
      <c r="N111" s="13"/>
      <c r="O111" s="13"/>
      <c r="P111" s="13"/>
      <c r="Q111" s="12"/>
      <c r="R111" s="12">
        <f t="shared" si="18"/>
        <v>61</v>
      </c>
      <c r="S111" s="25">
        <v>43909</v>
      </c>
      <c r="T111" s="12" t="s">
        <v>38</v>
      </c>
      <c r="U111" s="56">
        <f t="shared" si="22"/>
        <v>61</v>
      </c>
      <c r="V111" s="49" t="str">
        <f t="shared" si="23"/>
        <v>Completed:Delayed</v>
      </c>
      <c r="W111" s="52">
        <f t="shared" si="24"/>
        <v>61</v>
      </c>
    </row>
    <row r="112" spans="1:23" ht="25.35"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46133</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35"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46133</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35"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46133</v>
      </c>
      <c r="N114" s="13"/>
      <c r="O114" s="13"/>
      <c r="P114" s="13"/>
      <c r="Q114" s="12"/>
      <c r="R114" s="12">
        <f t="shared" si="18"/>
        <v>57</v>
      </c>
      <c r="S114" s="25">
        <v>43434</v>
      </c>
      <c r="T114" s="12" t="s">
        <v>38</v>
      </c>
      <c r="U114" s="56">
        <f t="shared" si="22"/>
        <v>57</v>
      </c>
      <c r="V114" s="49" t="str">
        <f t="shared" si="23"/>
        <v>Completed:Delayed</v>
      </c>
      <c r="W114" s="52">
        <f t="shared" si="24"/>
        <v>59</v>
      </c>
    </row>
    <row r="115" spans="1:23" ht="25.35"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46133</v>
      </c>
      <c r="N115" s="14"/>
      <c r="O115" s="39"/>
      <c r="P115" s="14"/>
      <c r="Q115" s="14"/>
      <c r="R115" s="12">
        <f t="shared" si="18"/>
        <v>76</v>
      </c>
      <c r="S115" s="25">
        <v>44718</v>
      </c>
      <c r="T115" s="12" t="s">
        <v>38</v>
      </c>
      <c r="U115" s="56">
        <f t="shared" si="22"/>
        <v>76</v>
      </c>
      <c r="V115" s="49" t="str">
        <f t="shared" si="23"/>
        <v>Completed:Delayed</v>
      </c>
      <c r="W115" s="52">
        <f t="shared" si="24"/>
        <v>89</v>
      </c>
    </row>
    <row r="116" spans="1:23" ht="25.35"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46133</v>
      </c>
      <c r="N116" s="14"/>
      <c r="O116" s="39"/>
      <c r="P116" s="14"/>
      <c r="Q116" s="14"/>
      <c r="R116" s="12">
        <f t="shared" si="18"/>
        <v>55</v>
      </c>
      <c r="S116" s="25">
        <v>44469</v>
      </c>
      <c r="T116" s="12" t="s">
        <v>38</v>
      </c>
      <c r="U116" s="56">
        <f t="shared" si="22"/>
        <v>55</v>
      </c>
      <c r="V116" s="49" t="str">
        <f t="shared" si="23"/>
        <v>Completed:Delayed</v>
      </c>
      <c r="W116" s="52">
        <f t="shared" si="24"/>
        <v>54</v>
      </c>
    </row>
    <row r="117" spans="1:23" ht="25.35" customHeight="1">
      <c r="A117" s="12">
        <v>116</v>
      </c>
      <c r="B117" s="12" t="s">
        <v>482</v>
      </c>
      <c r="C117" s="12" t="s">
        <v>75</v>
      </c>
      <c r="D117" s="12" t="s">
        <v>483</v>
      </c>
      <c r="E117" s="12" t="s">
        <v>484</v>
      </c>
      <c r="F117" s="12" t="s">
        <v>41</v>
      </c>
      <c r="G117" s="12">
        <v>8</v>
      </c>
      <c r="H117" s="12" t="s">
        <v>68</v>
      </c>
      <c r="I117" s="12" t="s">
        <v>15</v>
      </c>
      <c r="J117" s="12" t="s">
        <v>15</v>
      </c>
      <c r="K117" s="55">
        <v>42030</v>
      </c>
      <c r="L117" s="13">
        <v>43160</v>
      </c>
      <c r="M117" s="15">
        <f t="shared" ca="1" si="17"/>
        <v>46133</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35"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46133</v>
      </c>
      <c r="N118" s="13"/>
      <c r="O118" s="13"/>
      <c r="P118" s="13"/>
      <c r="Q118" s="12"/>
      <c r="R118" s="12">
        <f t="shared" si="18"/>
        <v>57</v>
      </c>
      <c r="S118" s="25">
        <v>43799</v>
      </c>
      <c r="T118" s="12" t="s">
        <v>38</v>
      </c>
      <c r="U118" s="56">
        <f t="shared" si="22"/>
        <v>57</v>
      </c>
      <c r="V118" s="49" t="str">
        <f t="shared" si="23"/>
        <v>Completed:Delayed</v>
      </c>
      <c r="W118" s="52">
        <f t="shared" si="24"/>
        <v>48</v>
      </c>
    </row>
    <row r="119" spans="1:23" ht="25.35"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46133</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35"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46133</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35"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46133</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35"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46133</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35"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46133</v>
      </c>
      <c r="N123" s="14">
        <f ca="1">DATEDIF(L123,M123,"M") +1</f>
        <v>110</v>
      </c>
      <c r="O123" s="39"/>
      <c r="P123" s="14"/>
      <c r="Q123" s="14"/>
      <c r="R123" s="12">
        <f t="shared" ca="1" si="18"/>
        <v>110</v>
      </c>
      <c r="S123" s="25">
        <v>45595</v>
      </c>
      <c r="T123" s="12" t="s">
        <v>38</v>
      </c>
      <c r="U123" s="56">
        <f t="shared" si="22"/>
        <v>92</v>
      </c>
      <c r="V123" s="49" t="str">
        <f t="shared" si="23"/>
        <v>Completed:Delayed</v>
      </c>
      <c r="W123" s="52">
        <f t="shared" si="24"/>
        <v>92</v>
      </c>
    </row>
    <row r="124" spans="1:23" ht="25.35"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46133</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35"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46133</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35"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46133</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35"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46133</v>
      </c>
      <c r="N127" s="14">
        <f ca="1">DATEDIF(L127,M127,"M") +1</f>
        <v>122</v>
      </c>
      <c r="O127" s="39"/>
      <c r="P127" s="14"/>
      <c r="Q127" s="14"/>
      <c r="R127" s="12">
        <f t="shared" ca="1" si="26"/>
        <v>122</v>
      </c>
      <c r="S127" s="25">
        <v>45898</v>
      </c>
      <c r="T127" s="12" t="s">
        <v>38</v>
      </c>
      <c r="U127" s="56">
        <f t="shared" ref="U127" si="27">DATEDIF(L127,S127,"M")+1-Q127</f>
        <v>114</v>
      </c>
      <c r="V127" s="49" t="str">
        <f t="shared" ref="V127" si="28">IF(U127&gt;51,"Completed:Delayed"," Completed:On time")</f>
        <v>Completed:Delayed</v>
      </c>
      <c r="W127" s="52">
        <f t="shared" si="24"/>
        <v>101</v>
      </c>
    </row>
    <row r="128" spans="1:23" ht="25.35"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46133</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35"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46133</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35"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46133</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35"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46133</v>
      </c>
      <c r="N131" s="14">
        <f ca="1">DATEDIF(L131,M131,"M") +1</f>
        <v>110</v>
      </c>
      <c r="O131" s="39"/>
      <c r="P131" s="14"/>
      <c r="Q131" s="14"/>
      <c r="R131" s="12">
        <f t="shared" ca="1" si="26"/>
        <v>110</v>
      </c>
      <c r="S131" s="25">
        <v>45852</v>
      </c>
      <c r="T131" s="12" t="s">
        <v>38</v>
      </c>
      <c r="U131" s="56">
        <f>DATEDIF(L131,S131,"M")+1-Q131</f>
        <v>101</v>
      </c>
      <c r="V131" s="49" t="str">
        <f>IF(U131&gt;51,"Completed:Delayed"," Completed:On time")</f>
        <v>Completed:Delayed</v>
      </c>
      <c r="W131" s="52">
        <f>DATEDIF(K131,S131,"M")+1-Q131</f>
        <v>107</v>
      </c>
    </row>
    <row r="132" spans="1:23" ht="25.35"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46133</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35"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46133</v>
      </c>
      <c r="N133" s="14"/>
      <c r="O133" s="39"/>
      <c r="P133" s="14"/>
      <c r="Q133" s="14"/>
      <c r="R133" s="12">
        <f t="shared" si="26"/>
        <v>67</v>
      </c>
      <c r="S133" s="25">
        <v>44453</v>
      </c>
      <c r="T133" s="12" t="s">
        <v>38</v>
      </c>
      <c r="U133" s="56">
        <f t="shared" si="29"/>
        <v>67</v>
      </c>
      <c r="V133" s="49" t="str">
        <f t="shared" si="30"/>
        <v>Completed:Delayed</v>
      </c>
      <c r="W133" s="52">
        <f t="shared" si="31"/>
        <v>101</v>
      </c>
    </row>
    <row r="134" spans="1:23" ht="25.35"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46133</v>
      </c>
      <c r="N134" s="13"/>
      <c r="O134" s="13"/>
      <c r="P134" s="13"/>
      <c r="Q134" s="12"/>
      <c r="R134" s="12">
        <f t="shared" si="26"/>
        <v>59</v>
      </c>
      <c r="S134" s="25">
        <v>42766</v>
      </c>
      <c r="T134" s="12" t="s">
        <v>38</v>
      </c>
      <c r="U134" s="56">
        <f t="shared" si="29"/>
        <v>59</v>
      </c>
      <c r="V134" s="49" t="str">
        <f t="shared" si="30"/>
        <v>Completed:Delayed</v>
      </c>
      <c r="W134" s="52">
        <f t="shared" si="31"/>
        <v>61</v>
      </c>
    </row>
    <row r="135" spans="1:23" ht="25.35"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46133</v>
      </c>
      <c r="N135" s="13"/>
      <c r="O135" s="13"/>
      <c r="P135" s="13"/>
      <c r="Q135" s="12"/>
      <c r="R135" s="12">
        <f t="shared" si="26"/>
        <v>71</v>
      </c>
      <c r="S135" s="25">
        <v>43108</v>
      </c>
      <c r="T135" s="12" t="s">
        <v>38</v>
      </c>
      <c r="U135" s="56">
        <f t="shared" si="29"/>
        <v>71</v>
      </c>
      <c r="V135" s="49" t="str">
        <f t="shared" si="30"/>
        <v>Completed:Delayed</v>
      </c>
      <c r="W135" s="52">
        <f t="shared" si="31"/>
        <v>74</v>
      </c>
    </row>
    <row r="136" spans="1:23" ht="25.35"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46133</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35"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46133</v>
      </c>
      <c r="N137" s="14"/>
      <c r="O137" s="39"/>
      <c r="P137" s="14"/>
      <c r="Q137" s="14"/>
      <c r="R137" s="12">
        <f t="shared" si="26"/>
        <v>103</v>
      </c>
      <c r="S137" s="25">
        <v>44827</v>
      </c>
      <c r="T137" s="12" t="s">
        <v>38</v>
      </c>
      <c r="U137" s="56">
        <f t="shared" si="29"/>
        <v>103</v>
      </c>
      <c r="V137" s="49" t="str">
        <f t="shared" si="30"/>
        <v>Completed:Delayed</v>
      </c>
      <c r="W137" s="52">
        <f t="shared" si="31"/>
        <v>91</v>
      </c>
    </row>
    <row r="138" spans="1:23" ht="25.35"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46133</v>
      </c>
      <c r="N138" s="14"/>
      <c r="O138" s="39"/>
      <c r="P138" s="14"/>
      <c r="Q138" s="14"/>
      <c r="R138" s="12">
        <f t="shared" si="26"/>
        <v>68</v>
      </c>
      <c r="S138" s="25">
        <v>44851</v>
      </c>
      <c r="T138" s="12" t="s">
        <v>38</v>
      </c>
      <c r="U138" s="56">
        <f t="shared" si="29"/>
        <v>68</v>
      </c>
      <c r="V138" s="49" t="str">
        <f t="shared" si="30"/>
        <v>Completed:Delayed</v>
      </c>
      <c r="W138" s="52">
        <f t="shared" si="31"/>
        <v>67</v>
      </c>
    </row>
    <row r="139" spans="1:23" ht="25.35"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46133</v>
      </c>
      <c r="N139" s="13"/>
      <c r="O139" s="13"/>
      <c r="P139" s="13"/>
      <c r="Q139" s="12"/>
      <c r="R139" s="12">
        <f t="shared" si="26"/>
        <v>58</v>
      </c>
      <c r="S139" s="25">
        <v>42735</v>
      </c>
      <c r="T139" s="12" t="s">
        <v>38</v>
      </c>
      <c r="U139" s="56">
        <f t="shared" si="29"/>
        <v>58</v>
      </c>
      <c r="V139" s="49" t="str">
        <f t="shared" si="30"/>
        <v>Completed:Delayed</v>
      </c>
      <c r="W139" s="52">
        <f t="shared" si="31"/>
        <v>59</v>
      </c>
    </row>
    <row r="140" spans="1:23" ht="25.35"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46133</v>
      </c>
      <c r="N140" s="13"/>
      <c r="O140" s="13"/>
      <c r="P140" s="13"/>
      <c r="Q140" s="12"/>
      <c r="R140" s="12">
        <f t="shared" si="26"/>
        <v>53</v>
      </c>
      <c r="S140" s="25">
        <v>43285</v>
      </c>
      <c r="T140" s="12" t="s">
        <v>38</v>
      </c>
      <c r="U140" s="56">
        <f t="shared" si="29"/>
        <v>53</v>
      </c>
      <c r="V140" s="49" t="str">
        <f t="shared" si="30"/>
        <v>Completed:Delayed</v>
      </c>
      <c r="W140" s="52">
        <f t="shared" si="31"/>
        <v>55</v>
      </c>
    </row>
    <row r="141" spans="1:23" ht="25.35"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46133</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35"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46133</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35"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46133</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35"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46133</v>
      </c>
      <c r="N144" s="13"/>
      <c r="O144" s="13"/>
      <c r="P144" s="13"/>
      <c r="Q144" s="12"/>
      <c r="R144" s="12">
        <f t="shared" si="26"/>
        <v>81</v>
      </c>
      <c r="S144" s="25">
        <v>44137</v>
      </c>
      <c r="T144" s="12" t="s">
        <v>38</v>
      </c>
      <c r="U144" s="56">
        <f t="shared" si="29"/>
        <v>81</v>
      </c>
      <c r="V144" s="49" t="str">
        <f t="shared" si="30"/>
        <v>Completed:Delayed</v>
      </c>
      <c r="W144" s="52">
        <f t="shared" si="31"/>
        <v>81</v>
      </c>
    </row>
    <row r="145" spans="1:23" ht="25.35"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46133</v>
      </c>
      <c r="N145" s="14"/>
      <c r="O145" s="39"/>
      <c r="P145" s="14"/>
      <c r="Q145" s="14"/>
      <c r="R145" s="12">
        <f t="shared" si="26"/>
        <v>63</v>
      </c>
      <c r="S145" s="25">
        <v>45441</v>
      </c>
      <c r="T145" s="12" t="s">
        <v>38</v>
      </c>
      <c r="U145" s="56">
        <f t="shared" si="29"/>
        <v>63</v>
      </c>
      <c r="V145" s="49" t="str">
        <f t="shared" si="30"/>
        <v>Completed:Delayed</v>
      </c>
      <c r="W145" s="52">
        <f t="shared" si="31"/>
        <v>52</v>
      </c>
    </row>
    <row r="146" spans="1:23" ht="25.35"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46133</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35"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46133</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35"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46133</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35"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46133</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35"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46133</v>
      </c>
      <c r="N150" s="14"/>
      <c r="O150" s="39"/>
      <c r="P150" s="14"/>
      <c r="Q150" s="14"/>
      <c r="R150" s="12">
        <f t="shared" si="26"/>
        <v>56</v>
      </c>
      <c r="S150" s="25">
        <v>45202</v>
      </c>
      <c r="T150" s="12" t="s">
        <v>38</v>
      </c>
      <c r="U150" s="56">
        <f t="shared" si="29"/>
        <v>56</v>
      </c>
      <c r="V150" s="49" t="str">
        <f t="shared" si="30"/>
        <v>Completed:Delayed</v>
      </c>
      <c r="W150" s="52">
        <f t="shared" si="31"/>
        <v>45</v>
      </c>
    </row>
    <row r="151" spans="1:23" ht="25.35"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46133</v>
      </c>
      <c r="N151" s="13"/>
      <c r="O151" s="13"/>
      <c r="P151" s="13"/>
      <c r="Q151" s="12"/>
      <c r="R151" s="12">
        <f t="shared" si="26"/>
        <v>54</v>
      </c>
      <c r="S151" s="25">
        <v>42978</v>
      </c>
      <c r="T151" s="12" t="s">
        <v>38</v>
      </c>
      <c r="U151" s="56">
        <f t="shared" si="29"/>
        <v>54</v>
      </c>
      <c r="V151" s="49" t="str">
        <f t="shared" si="30"/>
        <v>Completed:Delayed</v>
      </c>
      <c r="W151" s="52">
        <f t="shared" si="31"/>
        <v>65</v>
      </c>
    </row>
    <row r="152" spans="1:23" ht="25.35"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46133</v>
      </c>
      <c r="N152" s="14"/>
      <c r="O152" s="25"/>
      <c r="P152" s="25"/>
      <c r="Q152" s="14"/>
      <c r="R152" s="12">
        <f t="shared" si="26"/>
        <v>54</v>
      </c>
      <c r="S152" s="25">
        <v>44410</v>
      </c>
      <c r="T152" s="12" t="s">
        <v>38</v>
      </c>
      <c r="U152" s="56">
        <f t="shared" si="29"/>
        <v>54</v>
      </c>
      <c r="V152" s="49" t="str">
        <f t="shared" si="30"/>
        <v>Completed:Delayed</v>
      </c>
      <c r="W152" s="52">
        <f t="shared" si="31"/>
        <v>52</v>
      </c>
    </row>
    <row r="153" spans="1:23" ht="25.35"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46133</v>
      </c>
      <c r="N153" s="14">
        <f ca="1">DATEDIF(L153,M153,"M") +1</f>
        <v>98</v>
      </c>
      <c r="O153" s="39"/>
      <c r="P153" s="14"/>
      <c r="Q153" s="14"/>
      <c r="R153" s="12">
        <f t="shared" ca="1" si="26"/>
        <v>98</v>
      </c>
      <c r="S153" s="25">
        <v>45776</v>
      </c>
      <c r="T153" s="12" t="s">
        <v>38</v>
      </c>
      <c r="U153" s="56">
        <f t="shared" si="29"/>
        <v>86</v>
      </c>
      <c r="V153" s="49" t="str">
        <f t="shared" si="30"/>
        <v>Completed:Delayed</v>
      </c>
      <c r="W153" s="52">
        <f t="shared" si="31"/>
        <v>76</v>
      </c>
    </row>
    <row r="154" spans="1:23" ht="25.35"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46133</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35"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46133</v>
      </c>
      <c r="N155" s="14">
        <f ca="1">DATEDIF(L155,M155,"M") +1</f>
        <v>98</v>
      </c>
      <c r="O155" s="39"/>
      <c r="P155" s="14"/>
      <c r="Q155" s="14"/>
      <c r="R155" s="12">
        <f t="shared" ca="1" si="26"/>
        <v>98</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46133</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35"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46133</v>
      </c>
      <c r="N157" s="14"/>
      <c r="O157" s="39"/>
      <c r="P157" s="14"/>
      <c r="Q157" s="14"/>
      <c r="R157" s="12">
        <f t="shared" si="26"/>
        <v>55</v>
      </c>
      <c r="S157" s="25">
        <v>44834</v>
      </c>
      <c r="T157" s="12" t="s">
        <v>38</v>
      </c>
      <c r="U157" s="56">
        <f t="shared" si="32"/>
        <v>55</v>
      </c>
      <c r="V157" s="49" t="str">
        <f t="shared" si="33"/>
        <v>Completed:Delayed</v>
      </c>
      <c r="W157" s="52">
        <f t="shared" si="34"/>
        <v>53</v>
      </c>
    </row>
    <row r="158" spans="1:23" ht="25.35"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46133</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35"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46133</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35"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46133</v>
      </c>
      <c r="N160" s="14"/>
      <c r="O160" s="39"/>
      <c r="P160" s="14"/>
      <c r="Q160" s="14"/>
      <c r="R160" s="12">
        <f t="shared" si="26"/>
        <v>95</v>
      </c>
      <c r="S160" s="25">
        <v>44957</v>
      </c>
      <c r="T160" s="12" t="s">
        <v>38</v>
      </c>
      <c r="U160" s="56">
        <f t="shared" si="32"/>
        <v>95</v>
      </c>
      <c r="V160" s="49" t="str">
        <f t="shared" si="33"/>
        <v>Completed:Delayed</v>
      </c>
      <c r="W160" s="52">
        <f t="shared" si="34"/>
        <v>115</v>
      </c>
    </row>
    <row r="161" spans="1:23" ht="25.35"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46133</v>
      </c>
      <c r="N161" s="14"/>
      <c r="O161" s="39"/>
      <c r="P161" s="14"/>
      <c r="Q161" s="14"/>
      <c r="R161" s="12">
        <f t="shared" si="26"/>
        <v>52</v>
      </c>
      <c r="S161" s="25">
        <v>44741</v>
      </c>
      <c r="T161" s="12" t="s">
        <v>38</v>
      </c>
      <c r="U161" s="56">
        <f t="shared" si="32"/>
        <v>52</v>
      </c>
      <c r="V161" s="49" t="str">
        <f t="shared" si="33"/>
        <v>Completed:Delayed</v>
      </c>
      <c r="W161" s="52">
        <f t="shared" si="34"/>
        <v>47</v>
      </c>
    </row>
    <row r="162" spans="1:23" ht="25.35"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46133</v>
      </c>
      <c r="N162" s="14">
        <f ca="1">DATEDIF(L162,M162,"M") +1</f>
        <v>98</v>
      </c>
      <c r="O162" s="39"/>
      <c r="P162" s="14"/>
      <c r="Q162" s="14"/>
      <c r="R162" s="12">
        <f t="shared" ca="1" si="26"/>
        <v>98</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46133</v>
      </c>
      <c r="N163" s="14">
        <f ca="1">DATEDIF(L163,M163,"M") +1</f>
        <v>98</v>
      </c>
      <c r="O163" s="39"/>
      <c r="P163" s="14"/>
      <c r="Q163" s="14"/>
      <c r="R163" s="12">
        <f t="shared" ca="1" si="26"/>
        <v>98</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46133</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35"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46133</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35"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46133</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35"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46133</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35"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46133</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35"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46133</v>
      </c>
      <c r="N169" s="14">
        <f ca="1">DATEDIF(L169,M169,"M") +1</f>
        <v>98</v>
      </c>
      <c r="O169" s="39"/>
      <c r="P169" s="14"/>
      <c r="Q169" s="14"/>
      <c r="R169" s="12">
        <f t="shared" ca="1" si="26"/>
        <v>98</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46133</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35"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46133</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35"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46133</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35"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46133</v>
      </c>
      <c r="N173" s="14">
        <f ca="1">DATEDIF(L173,M173,"M") +1</f>
        <v>98</v>
      </c>
      <c r="O173" s="39"/>
      <c r="P173" s="14"/>
      <c r="Q173" s="14"/>
      <c r="R173" s="12">
        <f t="shared" ca="1" si="26"/>
        <v>98</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46133</v>
      </c>
      <c r="N174" s="14">
        <f ca="1">DATEDIF(L174,M174,"M") +1</f>
        <v>98</v>
      </c>
      <c r="O174" s="39"/>
      <c r="P174" s="14"/>
      <c r="Q174" s="14"/>
      <c r="R174" s="12">
        <f t="shared" ca="1" si="26"/>
        <v>98</v>
      </c>
      <c r="S174" s="25">
        <v>45701</v>
      </c>
      <c r="T174" s="12" t="s">
        <v>38</v>
      </c>
      <c r="U174" s="56">
        <f>DATEDIF(L174,S174,"M")+1-Q174</f>
        <v>84</v>
      </c>
      <c r="V174" s="49" t="str">
        <f>IF(U174&gt;51,"Completed:Delayed"," Completed:On time")</f>
        <v>Completed:Delayed</v>
      </c>
      <c r="W174" s="52">
        <f>DATEDIF(K174,S174,"M")+1-Q174</f>
        <v>78</v>
      </c>
    </row>
    <row r="175" spans="1:23" ht="25.35"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46133</v>
      </c>
      <c r="N175" s="14">
        <f ca="1">DATEDIF(L175,M175,"M") +1</f>
        <v>98</v>
      </c>
      <c r="O175" s="39"/>
      <c r="P175" s="14"/>
      <c r="Q175" s="14"/>
      <c r="R175" s="12">
        <f t="shared" ca="1" si="26"/>
        <v>98</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46133</v>
      </c>
      <c r="N176" s="13"/>
      <c r="O176" s="13"/>
      <c r="P176" s="13"/>
      <c r="Q176" s="12"/>
      <c r="R176" s="12">
        <f t="shared" si="26"/>
        <v>74</v>
      </c>
      <c r="S176" s="25">
        <v>43568</v>
      </c>
      <c r="T176" s="12" t="s">
        <v>38</v>
      </c>
      <c r="U176" s="56">
        <f>DATEDIF(L176,S176,"M")+1-Q176</f>
        <v>74</v>
      </c>
      <c r="V176" s="49" t="str">
        <f>IF(U176&gt;51,"Completed:Delayed"," Completed:On time")</f>
        <v>Completed:Delayed</v>
      </c>
      <c r="W176" s="52">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46133</v>
      </c>
      <c r="N177" s="14">
        <f ca="1">DATEDIF(L177,M177,"M") +1</f>
        <v>74</v>
      </c>
      <c r="O177" s="25">
        <v>45413</v>
      </c>
      <c r="P177" s="25">
        <v>45535</v>
      </c>
      <c r="Q177" s="14">
        <v>4</v>
      </c>
      <c r="R177" s="12">
        <f t="shared" ca="1" si="26"/>
        <v>74</v>
      </c>
      <c r="S177" s="25">
        <v>45568</v>
      </c>
      <c r="T177" s="12" t="s">
        <v>38</v>
      </c>
      <c r="U177" s="56">
        <f>DATEDIF(L177,S177,"M")+1-Q177</f>
        <v>52</v>
      </c>
      <c r="V177" s="49" t="str">
        <f>IF(U177&gt;51,"Completed:Delayed"," Completed:On time")</f>
        <v>Completed:Delayed</v>
      </c>
      <c r="W177" s="52">
        <f>DATEDIF(K177,S177,"M")+1-Q177</f>
        <v>42</v>
      </c>
    </row>
    <row r="178" spans="1:23" ht="25.35"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46133</v>
      </c>
      <c r="N178" s="14">
        <f ca="1">DATEDIF(L178,M178,"M") +1</f>
        <v>98</v>
      </c>
      <c r="O178" s="39"/>
      <c r="P178" s="14"/>
      <c r="Q178" s="14"/>
      <c r="R178" s="12">
        <f t="shared" ca="1" si="26"/>
        <v>98</v>
      </c>
      <c r="S178" s="25">
        <v>45610</v>
      </c>
      <c r="T178" s="12" t="s">
        <v>38</v>
      </c>
      <c r="U178" s="56">
        <f>DATEDIF(L178,S178,"M")+1-Q178</f>
        <v>81</v>
      </c>
      <c r="V178" s="49" t="str">
        <f>IF(U178&gt;51,"Completed:Delayed"," Completed:On time")</f>
        <v>Completed:Delayed</v>
      </c>
      <c r="W178" s="52">
        <f>DATEDIF(K178,S178,"M")+1-Q178</f>
        <v>71</v>
      </c>
    </row>
    <row r="179" spans="1:23" ht="25.35"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46133</v>
      </c>
      <c r="N179" s="14">
        <f ca="1">DATEDIF(L179,M179,"M") +1</f>
        <v>86</v>
      </c>
      <c r="O179" s="39"/>
      <c r="P179" s="14"/>
      <c r="Q179" s="14"/>
      <c r="R179" s="12">
        <f t="shared" ca="1" si="26"/>
        <v>86</v>
      </c>
      <c r="S179" s="25">
        <v>45889</v>
      </c>
      <c r="T179" s="12" t="s">
        <v>38</v>
      </c>
      <c r="U179" s="56">
        <f>DATEDIF(L179,S179,"M")+1-Q179</f>
        <v>78</v>
      </c>
      <c r="V179" s="49" t="str">
        <f>IF(U179&gt;51,"Completed:Delayed"," Completed:On time")</f>
        <v>Completed:Delayed</v>
      </c>
      <c r="W179" s="52">
        <f>DATEDIF(K179,S179,"M")+1-Q179</f>
        <v>72</v>
      </c>
    </row>
    <row r="180" spans="1:23" ht="25.35"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46133</v>
      </c>
      <c r="N180" s="14"/>
      <c r="O180" s="39"/>
      <c r="P180" s="14"/>
      <c r="Q180" s="14"/>
      <c r="R180" s="12">
        <f t="shared" si="26"/>
        <v>44</v>
      </c>
      <c r="S180" s="25">
        <v>44851</v>
      </c>
      <c r="T180" s="12" t="s">
        <v>38</v>
      </c>
      <c r="U180" s="56">
        <f>DATEDIF(L180,S180,"M")+1-Q180</f>
        <v>44</v>
      </c>
      <c r="V180" s="49" t="str">
        <f>IF(U180&gt;51,"Completed:Delayed"," Completed:On time")</f>
        <v xml:space="preserve"> Completed:On time</v>
      </c>
      <c r="W180" s="52">
        <f>DATEDIF(K180,S180,"M")+1-Q180</f>
        <v>53</v>
      </c>
    </row>
    <row r="181" spans="1:23" ht="25.35"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46133</v>
      </c>
      <c r="N181" s="14">
        <f ca="1">DATEDIF(L181,M181,"M") +1</f>
        <v>86</v>
      </c>
      <c r="O181" s="25">
        <v>45170</v>
      </c>
      <c r="P181" s="25">
        <v>45473</v>
      </c>
      <c r="Q181" s="14">
        <v>10</v>
      </c>
      <c r="R181" s="12">
        <f t="shared" ca="1" si="26"/>
        <v>86</v>
      </c>
      <c r="S181" s="25">
        <v>45640</v>
      </c>
      <c r="T181" s="12" t="s">
        <v>38</v>
      </c>
      <c r="U181" s="56">
        <f>DATEDIF(L181,S181,"M")+1-Q181</f>
        <v>60</v>
      </c>
      <c r="V181" s="49" t="str">
        <f>IF(U181&gt;51,"Completed:Delayed"," Completed:On time")</f>
        <v>Completed:Delayed</v>
      </c>
      <c r="W181" s="52"/>
    </row>
    <row r="182" spans="1:23" ht="25.35"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46133</v>
      </c>
      <c r="N182" s="14">
        <f ca="1">DATEDIF(L182,M182,"M") +1</f>
        <v>86</v>
      </c>
      <c r="O182" s="39"/>
      <c r="P182" s="14"/>
      <c r="Q182" s="14"/>
      <c r="R182" s="12">
        <f t="shared" ca="1" si="26"/>
        <v>86</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46133</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35"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46133</v>
      </c>
      <c r="N184" s="14">
        <f ca="1">DATEDIF(L184,M184,"M") +1</f>
        <v>86</v>
      </c>
      <c r="O184" s="39"/>
      <c r="P184" s="14"/>
      <c r="Q184" s="14"/>
      <c r="R184" s="12">
        <f t="shared" ca="1" si="26"/>
        <v>86</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46133</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35"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46133</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35"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46133</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35" customHeight="1">
      <c r="A188" s="12">
        <v>187</v>
      </c>
      <c r="B188" s="54" t="s">
        <v>731</v>
      </c>
      <c r="C188" s="54" t="s">
        <v>730</v>
      </c>
      <c r="D188" s="54" t="s">
        <v>732</v>
      </c>
      <c r="E188" s="54" t="s">
        <v>267</v>
      </c>
      <c r="F188" s="54" t="s">
        <v>42</v>
      </c>
      <c r="G188" s="12">
        <v>1</v>
      </c>
      <c r="H188" s="12" t="s">
        <v>68</v>
      </c>
      <c r="I188" s="12" t="s">
        <v>8</v>
      </c>
      <c r="J188" s="12" t="s">
        <v>19</v>
      </c>
      <c r="K188" s="13">
        <v>40603</v>
      </c>
      <c r="L188" s="13">
        <v>40634</v>
      </c>
      <c r="M188" s="15">
        <f t="shared" ca="1" si="25"/>
        <v>46133</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35"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46133</v>
      </c>
      <c r="N189" s="14">
        <f ca="1">DATEDIF(L189,M189,"M") +1</f>
        <v>86</v>
      </c>
      <c r="O189" s="39"/>
      <c r="P189" s="14"/>
      <c r="Q189" s="14"/>
      <c r="R189" s="12">
        <f t="shared" ca="1" si="26"/>
        <v>86</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0" ca="1" si="35">TODAY()</f>
        <v>46133</v>
      </c>
      <c r="N190" s="13"/>
      <c r="O190" s="13"/>
      <c r="P190" s="13"/>
      <c r="Q190" s="12"/>
      <c r="R190" s="12">
        <f t="shared" ref="R190:R240" si="36">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35"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46133</v>
      </c>
      <c r="N191" s="13"/>
      <c r="O191" s="13"/>
      <c r="P191" s="13"/>
      <c r="Q191" s="12"/>
      <c r="R191" s="12">
        <f t="shared" si="36"/>
        <v>57</v>
      </c>
      <c r="S191" s="25">
        <v>43433</v>
      </c>
      <c r="T191" s="12" t="s">
        <v>38</v>
      </c>
      <c r="U191" s="56">
        <f>DATEDIF(L191,S191,"M")+1-Q191</f>
        <v>57</v>
      </c>
      <c r="V191" s="49" t="str">
        <f>IF(U191&gt;51,"Completed:Delayed"," Completed:On time")</f>
        <v>Completed:Delayed</v>
      </c>
      <c r="W191" s="52">
        <f>DATEDIF(K191,S191,"M")+1-Q191</f>
        <v>52</v>
      </c>
    </row>
    <row r="192" spans="1:23" ht="25.35"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46133</v>
      </c>
      <c r="N192" s="14"/>
      <c r="O192" s="39"/>
      <c r="P192" s="14"/>
      <c r="Q192" s="14"/>
      <c r="R192" s="12">
        <f t="shared" si="36"/>
        <v>81</v>
      </c>
      <c r="S192" s="25">
        <v>44529</v>
      </c>
      <c r="T192" s="12" t="s">
        <v>38</v>
      </c>
      <c r="U192" s="56">
        <f>DATEDIF(L192,S192,"M")+1-Q192</f>
        <v>81</v>
      </c>
      <c r="V192" s="49" t="str">
        <f>IF(U192&gt;51,"Completed:Delayed"," Completed:On time")</f>
        <v>Completed:Delayed</v>
      </c>
      <c r="W192" s="52">
        <f>DATEDIF(K192,S192,"M")+1-Q192</f>
        <v>65</v>
      </c>
    </row>
    <row r="193" spans="1:25" ht="25.35"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46133</v>
      </c>
      <c r="N193" s="14">
        <f ca="1">DATEDIF(L193,M193,"M") +1</f>
        <v>86</v>
      </c>
      <c r="O193" s="39"/>
      <c r="P193" s="14"/>
      <c r="Q193" s="14"/>
      <c r="R193" s="12">
        <f t="shared" ca="1" si="36"/>
        <v>86</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46133</v>
      </c>
      <c r="N194" s="13"/>
      <c r="O194" s="13"/>
      <c r="P194" s="13"/>
      <c r="Q194" s="12"/>
      <c r="R194" s="12">
        <f t="shared" si="36"/>
        <v>56</v>
      </c>
      <c r="S194" s="25">
        <v>42325</v>
      </c>
      <c r="T194" s="12" t="s">
        <v>38</v>
      </c>
      <c r="U194" s="56">
        <f>DATEDIF(L194,S194,"M")+1-Q194</f>
        <v>56</v>
      </c>
      <c r="V194" s="49" t="str">
        <f>IF(U194&gt;51,"Completed:Delayed"," Completed:On time")</f>
        <v>Completed:Delayed</v>
      </c>
      <c r="W194" s="52">
        <f>DATEDIF(K194,S194,"M")+1-Q194</f>
        <v>53</v>
      </c>
      <c r="X194" s="21"/>
      <c r="Y194" t="s">
        <v>754</v>
      </c>
    </row>
    <row r="195" spans="1:25" ht="25.35"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46133</v>
      </c>
      <c r="N195" s="13"/>
      <c r="O195" s="13"/>
      <c r="P195" s="13"/>
      <c r="Q195" s="12"/>
      <c r="R195" s="12">
        <f t="shared" si="36"/>
        <v>42</v>
      </c>
      <c r="S195" s="25">
        <v>43678</v>
      </c>
      <c r="T195" s="12" t="s">
        <v>38</v>
      </c>
      <c r="U195" s="56">
        <f>DATEDIF(L195,S195,"M")+1-Q195</f>
        <v>42</v>
      </c>
      <c r="V195" s="49" t="str">
        <f>IF(U195&gt;51,"Completed:Delayed"," Completed:On time")</f>
        <v xml:space="preserve"> Completed:On time</v>
      </c>
      <c r="W195" s="52">
        <f>DATEDIF(K195,S195,"M")+1-Q195</f>
        <v>32</v>
      </c>
    </row>
    <row r="196" spans="1:25" ht="25.35"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46133</v>
      </c>
      <c r="N196" s="14">
        <f ca="1">DATEDIF(L196,M196,"M") +1</f>
        <v>86</v>
      </c>
      <c r="O196" s="25">
        <v>45078</v>
      </c>
      <c r="P196" s="25">
        <v>45443</v>
      </c>
      <c r="Q196" s="14">
        <v>12</v>
      </c>
      <c r="R196" s="12">
        <f t="shared" ca="1" si="36"/>
        <v>86</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46133</v>
      </c>
      <c r="N197" s="14">
        <f ca="1">DATEDIF(L197,M197,"M") +1</f>
        <v>86</v>
      </c>
      <c r="O197" s="39"/>
      <c r="P197" s="14"/>
      <c r="Q197" s="14"/>
      <c r="R197" s="12">
        <f t="shared" ca="1" si="36"/>
        <v>86</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46133</v>
      </c>
      <c r="N198" s="13"/>
      <c r="O198" s="13"/>
      <c r="P198" s="13"/>
      <c r="Q198" s="12"/>
      <c r="R198" s="12">
        <f t="shared" si="36"/>
        <v>28</v>
      </c>
      <c r="S198" s="25">
        <v>42173</v>
      </c>
      <c r="T198" s="12" t="s">
        <v>38</v>
      </c>
      <c r="U198" s="56">
        <f>DATEDIF(L198,S198,"M")+1-Q198</f>
        <v>28</v>
      </c>
      <c r="V198" s="49" t="str">
        <f>IF(U198&gt;51,"Completed:Delayed"," Completed:On time")</f>
        <v xml:space="preserve"> Completed:On time</v>
      </c>
      <c r="W198" s="52">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46133</v>
      </c>
      <c r="N199" s="14">
        <f ca="1">DATEDIF(L199,M199,"M") +1</f>
        <v>74</v>
      </c>
      <c r="O199" s="39"/>
      <c r="P199" s="14"/>
      <c r="Q199" s="14"/>
      <c r="R199" s="12">
        <f t="shared" ca="1" si="36"/>
        <v>74</v>
      </c>
      <c r="S199" s="25">
        <v>45936</v>
      </c>
      <c r="T199" s="12" t="s">
        <v>38</v>
      </c>
      <c r="U199" s="56">
        <f>DATEDIF(L199,S199,"M")+1-Q199</f>
        <v>68</v>
      </c>
      <c r="V199" s="49" t="str">
        <f>IF(U199&gt;51,"Completed:Delayed"," Completed:On time")</f>
        <v>Completed:Delayed</v>
      </c>
      <c r="W199" s="52">
        <f>DATEDIF(K199,S199,"M")+1-Q199</f>
        <v>70</v>
      </c>
    </row>
    <row r="200" spans="1:25" ht="25.35"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46133</v>
      </c>
      <c r="N200" s="14"/>
      <c r="O200" s="39"/>
      <c r="P200" s="14"/>
      <c r="Q200" s="14"/>
      <c r="R200" s="12">
        <f t="shared" si="36"/>
        <v>94</v>
      </c>
      <c r="S200" s="25">
        <v>44539</v>
      </c>
      <c r="T200" s="12" t="s">
        <v>38</v>
      </c>
      <c r="U200" s="56">
        <f>DATEDIF(L200,S200,"M")+1-Q200</f>
        <v>94</v>
      </c>
      <c r="V200" s="49" t="str">
        <f>IF(U200&gt;51,"Completed:Delayed"," Completed:On time")</f>
        <v>Completed:Delayed</v>
      </c>
      <c r="W200" s="52">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46133</v>
      </c>
      <c r="N201" s="14">
        <f ca="1">DATEDIF(L201,M201,"M") +1</f>
        <v>74</v>
      </c>
      <c r="O201" s="39"/>
      <c r="P201" s="14"/>
      <c r="Q201" s="14"/>
      <c r="R201" s="12">
        <f t="shared" ca="1" si="36"/>
        <v>74</v>
      </c>
      <c r="S201" s="25">
        <v>45929</v>
      </c>
      <c r="T201" s="12" t="s">
        <v>38</v>
      </c>
      <c r="U201" s="56">
        <f>DATEDIF(L201,S201,"M")+1-Q201</f>
        <v>67</v>
      </c>
      <c r="V201" s="49" t="str">
        <f>IF(U201&gt;51,"Completed:Delayed"," Completed:On time")</f>
        <v>Completed:Delayed</v>
      </c>
      <c r="W201" s="52">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46133</v>
      </c>
      <c r="N202" s="14">
        <f ca="1">DATEDIF(L202,M202,"M") +1</f>
        <v>74</v>
      </c>
      <c r="O202" s="39"/>
      <c r="P202" s="14"/>
      <c r="Q202" s="14"/>
      <c r="R202" s="12">
        <f t="shared" ca="1" si="36"/>
        <v>74</v>
      </c>
      <c r="S202" s="25">
        <v>45950</v>
      </c>
      <c r="T202" s="12" t="s">
        <v>38</v>
      </c>
      <c r="U202" s="56">
        <f>DATEDIF(L202,S202,"M")+1-Q202</f>
        <v>68</v>
      </c>
      <c r="V202" s="49" t="str">
        <f>IF(U202&gt;51,"Completed:Delayed"," Completed:On time")</f>
        <v>Completed:Delayed</v>
      </c>
      <c r="W202" s="52">
        <f>DATEDIF(K202,S202,"M")+1-Q202</f>
        <v>51</v>
      </c>
    </row>
    <row r="203" spans="1:25" ht="25.35"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46133</v>
      </c>
      <c r="N203" s="14"/>
      <c r="O203" s="39"/>
      <c r="P203" s="14"/>
      <c r="Q203" s="14"/>
      <c r="R203" s="12">
        <f t="shared" si="36"/>
        <v>99</v>
      </c>
      <c r="S203" s="25">
        <v>45443</v>
      </c>
      <c r="T203" s="12" t="s">
        <v>38</v>
      </c>
      <c r="U203" s="56">
        <f t="shared" ref="U203:U210" si="37">DATEDIF(L203,S203,"M")+1-Q203</f>
        <v>99</v>
      </c>
      <c r="V203" s="49" t="str">
        <f t="shared" ref="V203:V210" si="38">IF(U203&gt;51,"Completed:Delayed"," Completed:On time")</f>
        <v>Completed:Delayed</v>
      </c>
      <c r="W203" s="52">
        <f t="shared" ref="W203:W210" si="39">DATEDIF(K203,S203,"M")+1-Q203</f>
        <v>92</v>
      </c>
    </row>
    <row r="204" spans="1:25" ht="25.35"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46133</v>
      </c>
      <c r="N204" s="14">
        <f ca="1">DATEDIF(L204,M204,"M") +1</f>
        <v>122</v>
      </c>
      <c r="O204" s="39"/>
      <c r="P204" s="14"/>
      <c r="Q204" s="14"/>
      <c r="R204" s="12">
        <f t="shared" ca="1" si="36"/>
        <v>122</v>
      </c>
      <c r="S204" s="25">
        <v>45591</v>
      </c>
      <c r="T204" s="12" t="s">
        <v>38</v>
      </c>
      <c r="U204" s="56">
        <f t="shared" si="37"/>
        <v>104</v>
      </c>
      <c r="V204" s="49" t="str">
        <f t="shared" si="38"/>
        <v>Completed:Delayed</v>
      </c>
      <c r="W204" s="52">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46133</v>
      </c>
      <c r="N205" s="14">
        <f ca="1">DATEDIF(L205,M205,"M") +1</f>
        <v>74</v>
      </c>
      <c r="O205" s="39"/>
      <c r="P205" s="14"/>
      <c r="Q205" s="14"/>
      <c r="R205" s="12">
        <f t="shared" ca="1" si="36"/>
        <v>74</v>
      </c>
      <c r="S205" s="25">
        <v>45648</v>
      </c>
      <c r="T205" s="12" t="s">
        <v>38</v>
      </c>
      <c r="U205" s="56">
        <f t="shared" si="37"/>
        <v>58</v>
      </c>
      <c r="V205" s="49" t="str">
        <f t="shared" si="38"/>
        <v>Completed:Delayed</v>
      </c>
      <c r="W205" s="52">
        <f t="shared" si="39"/>
        <v>55</v>
      </c>
    </row>
    <row r="206" spans="1:25" ht="25.35"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46133</v>
      </c>
      <c r="N206" s="13"/>
      <c r="O206" s="13"/>
      <c r="P206" s="13"/>
      <c r="Q206" s="12"/>
      <c r="R206" s="12">
        <f t="shared" si="36"/>
        <v>81</v>
      </c>
      <c r="S206" s="25">
        <v>43073</v>
      </c>
      <c r="T206" s="12" t="s">
        <v>38</v>
      </c>
      <c r="U206" s="56">
        <f t="shared" si="37"/>
        <v>81</v>
      </c>
      <c r="V206" s="49" t="str">
        <f t="shared" si="38"/>
        <v>Completed:Delayed</v>
      </c>
      <c r="W206" s="52">
        <f t="shared" si="39"/>
        <v>81</v>
      </c>
      <c r="X206" s="20"/>
      <c r="Y206" t="s">
        <v>4</v>
      </c>
    </row>
    <row r="207" spans="1:25" ht="25.35"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46133</v>
      </c>
      <c r="N207" s="14"/>
      <c r="O207" s="39"/>
      <c r="P207" s="14"/>
      <c r="Q207" s="14"/>
      <c r="R207" s="12">
        <f t="shared" si="36"/>
        <v>81</v>
      </c>
      <c r="S207" s="25">
        <v>45248</v>
      </c>
      <c r="T207" s="12" t="s">
        <v>38</v>
      </c>
      <c r="U207" s="56">
        <f t="shared" si="37"/>
        <v>81</v>
      </c>
      <c r="V207" s="49" t="str">
        <f t="shared" si="38"/>
        <v>Completed:Delayed</v>
      </c>
      <c r="W207" s="52">
        <f t="shared" si="39"/>
        <v>74</v>
      </c>
    </row>
    <row r="208" spans="1:25" ht="25.35"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46133</v>
      </c>
      <c r="N208" s="13"/>
      <c r="O208" s="13"/>
      <c r="P208" s="13"/>
      <c r="Q208" s="12"/>
      <c r="R208" s="12">
        <f t="shared" si="36"/>
        <v>63</v>
      </c>
      <c r="S208" s="25">
        <v>42551</v>
      </c>
      <c r="T208" s="12" t="s">
        <v>38</v>
      </c>
      <c r="U208" s="56">
        <f t="shared" si="37"/>
        <v>63</v>
      </c>
      <c r="V208" s="49" t="str">
        <f t="shared" si="38"/>
        <v>Completed:Delayed</v>
      </c>
      <c r="W208" s="52">
        <f t="shared" si="39"/>
        <v>63</v>
      </c>
    </row>
    <row r="209" spans="1:23" ht="25.35"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46133</v>
      </c>
      <c r="N209" s="14">
        <f ca="1">DATEDIF(L209,M209,"M") +1</f>
        <v>86</v>
      </c>
      <c r="O209" s="39"/>
      <c r="P209" s="14"/>
      <c r="Q209" s="14"/>
      <c r="R209" s="12">
        <f t="shared" ca="1" si="36"/>
        <v>86</v>
      </c>
      <c r="S209" s="25">
        <v>45483</v>
      </c>
      <c r="T209" s="12" t="s">
        <v>38</v>
      </c>
      <c r="U209" s="56">
        <f t="shared" si="37"/>
        <v>65</v>
      </c>
      <c r="V209" s="49" t="str">
        <f t="shared" si="38"/>
        <v>Completed:Delayed</v>
      </c>
      <c r="W209" s="52">
        <f t="shared" si="39"/>
        <v>64</v>
      </c>
    </row>
    <row r="210" spans="1:23" ht="25.35"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46133</v>
      </c>
      <c r="N210" s="14"/>
      <c r="O210" s="39"/>
      <c r="P210" s="14"/>
      <c r="Q210" s="14"/>
      <c r="R210" s="12">
        <f t="shared" si="36"/>
        <v>115</v>
      </c>
      <c r="S210" s="25">
        <v>45191</v>
      </c>
      <c r="T210" s="12" t="s">
        <v>38</v>
      </c>
      <c r="U210" s="56">
        <f t="shared" si="37"/>
        <v>115</v>
      </c>
      <c r="V210" s="49" t="str">
        <f t="shared" si="38"/>
        <v>Completed:Delayed</v>
      </c>
      <c r="W210" s="52">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46133</v>
      </c>
      <c r="N211" s="14">
        <f t="shared" ref="N211:N216" ca="1" si="40">DATEDIF(L211,M211,"M") +1</f>
        <v>74</v>
      </c>
      <c r="O211" s="39"/>
      <c r="P211" s="14"/>
      <c r="Q211" s="14"/>
      <c r="R211" s="12">
        <f t="shared" ca="1" si="36"/>
        <v>74</v>
      </c>
      <c r="S211" s="25">
        <v>45717</v>
      </c>
      <c r="T211" s="12" t="s">
        <v>38</v>
      </c>
      <c r="U211" s="56">
        <f t="shared" ref="U211:U213" si="41">DATEDIF(L211,S211,"M")+1-Q211</f>
        <v>61</v>
      </c>
      <c r="V211" s="49" t="str">
        <f t="shared" ref="V211:V213" si="42">IF(U211&gt;51,"Completed:Delayed"," Completed:On time")</f>
        <v>Completed:Delayed</v>
      </c>
      <c r="W211" s="52">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46133</v>
      </c>
      <c r="N212" s="14">
        <f t="shared" ca="1" si="40"/>
        <v>74</v>
      </c>
      <c r="O212" s="39"/>
      <c r="P212" s="14"/>
      <c r="Q212" s="14"/>
      <c r="R212" s="12">
        <f t="shared" ca="1" si="36"/>
        <v>74</v>
      </c>
      <c r="S212" s="25"/>
      <c r="T212" s="12" t="s">
        <v>44</v>
      </c>
      <c r="U212" s="49" t="str">
        <f t="shared" ref="U212:U216" ca="1" si="44">IF(N212&gt;60,"In progress: Above 60 months","In progress: Below 60 Months")</f>
        <v>In progress: Above 60 months</v>
      </c>
      <c r="V212" s="49" t="str">
        <f t="shared" ref="V212:V216" ca="1" si="45">IF(N212&gt;60,"In progress: Above 60 months","In progress: Below 60 Months")</f>
        <v>In progress: Above 60 months</v>
      </c>
      <c r="W212" s="52"/>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46133</v>
      </c>
      <c r="N213" s="14">
        <f t="shared" ca="1" si="40"/>
        <v>74</v>
      </c>
      <c r="O213" s="39"/>
      <c r="P213" s="14"/>
      <c r="Q213" s="14"/>
      <c r="R213" s="12">
        <f t="shared" ca="1" si="36"/>
        <v>74</v>
      </c>
      <c r="S213" s="25">
        <v>45889</v>
      </c>
      <c r="T213" s="12" t="s">
        <v>38</v>
      </c>
      <c r="U213" s="56">
        <f t="shared" si="41"/>
        <v>66</v>
      </c>
      <c r="V213" s="49" t="str">
        <f t="shared" si="42"/>
        <v>Completed:Delayed</v>
      </c>
      <c r="W213" s="52">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46133</v>
      </c>
      <c r="N214" s="14">
        <f t="shared" ca="1" si="40"/>
        <v>74</v>
      </c>
      <c r="O214" s="39"/>
      <c r="P214" s="14"/>
      <c r="Q214" s="14"/>
      <c r="R214" s="12">
        <f t="shared" ca="1" si="36"/>
        <v>74</v>
      </c>
      <c r="S214" s="25">
        <v>45747</v>
      </c>
      <c r="T214" s="12" t="s">
        <v>38</v>
      </c>
      <c r="U214" s="56">
        <f>DATEDIF(L214,S214,"M")+1-Q214</f>
        <v>61</v>
      </c>
      <c r="V214" s="49" t="str">
        <f t="shared" ref="V214" si="46">IF(U214&gt;51,"Completed:Delayed"," Completed:On time")</f>
        <v>Completed:Delayed</v>
      </c>
      <c r="W214" s="52">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46133</v>
      </c>
      <c r="N215" s="14">
        <f t="shared" ca="1" si="40"/>
        <v>74</v>
      </c>
      <c r="O215" s="39"/>
      <c r="P215" s="14"/>
      <c r="Q215" s="14"/>
      <c r="R215" s="12">
        <f t="shared" ca="1" si="36"/>
        <v>74</v>
      </c>
      <c r="S215" s="25"/>
      <c r="T215" s="12" t="s">
        <v>44</v>
      </c>
      <c r="U215" s="49" t="str">
        <f t="shared" ca="1" si="44"/>
        <v>In progress: Above 60 months</v>
      </c>
      <c r="V215" s="49" t="str">
        <f t="shared" ca="1" si="45"/>
        <v>In progress: Above 60 months</v>
      </c>
      <c r="W215" s="52"/>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46133</v>
      </c>
      <c r="N216" s="14">
        <f t="shared" ca="1" si="40"/>
        <v>74</v>
      </c>
      <c r="O216" s="39"/>
      <c r="P216" s="14"/>
      <c r="Q216" s="14"/>
      <c r="R216" s="12">
        <f t="shared" ca="1" si="36"/>
        <v>74</v>
      </c>
      <c r="S216" s="25">
        <v>45937</v>
      </c>
      <c r="T216" s="12" t="s">
        <v>38</v>
      </c>
      <c r="U216" s="56">
        <f>DATEDIF(L216,S216,"M")+1-Q216</f>
        <v>68</v>
      </c>
      <c r="V216" s="49" t="str">
        <f t="shared" ref="V216" si="47">IF(U216&gt;51,"Completed:Delayed"," Completed:On time")</f>
        <v>Completed:Delayed</v>
      </c>
      <c r="W216" s="52">
        <f t="shared" ref="W216" si="48">DATEDIF(K216,S216,"M")+1-Q216</f>
        <v>55</v>
      </c>
    </row>
    <row r="217" spans="1:23" ht="25.35"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46133</v>
      </c>
      <c r="N217" s="13"/>
      <c r="O217" s="13"/>
      <c r="P217" s="13"/>
      <c r="Q217" s="12"/>
      <c r="R217" s="12">
        <f t="shared" si="36"/>
        <v>75</v>
      </c>
      <c r="S217" s="25">
        <v>44334</v>
      </c>
      <c r="T217" s="12" t="s">
        <v>38</v>
      </c>
      <c r="U217" s="56">
        <f>DATEDIF(L217,S217,"M")+1-Q217</f>
        <v>75</v>
      </c>
      <c r="V217" s="49" t="str">
        <f>IF(U217&gt;51,"Completed:Delayed"," Completed:On time")</f>
        <v>Completed:Delayed</v>
      </c>
      <c r="W217" s="52">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46133</v>
      </c>
      <c r="N218" s="14">
        <f ca="1">DATEDIF(L218,M218,"M") +1</f>
        <v>74</v>
      </c>
      <c r="O218" s="39"/>
      <c r="P218" s="14"/>
      <c r="Q218" s="14"/>
      <c r="R218" s="12">
        <f t="shared" ca="1" si="36"/>
        <v>74</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46133</v>
      </c>
      <c r="N219" s="14">
        <f ca="1">DATEDIF(L219,M219,"M") +1</f>
        <v>74</v>
      </c>
      <c r="O219" s="39"/>
      <c r="P219" s="14"/>
      <c r="Q219" s="14"/>
      <c r="R219" s="12">
        <f t="shared" ca="1" si="36"/>
        <v>74</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46133</v>
      </c>
      <c r="N220" s="14">
        <f ca="1">DATEDIF(L220,M220,"M") +1</f>
        <v>74</v>
      </c>
      <c r="O220" s="39"/>
      <c r="P220" s="14"/>
      <c r="Q220" s="14"/>
      <c r="R220" s="12">
        <f t="shared" ca="1" si="36"/>
        <v>74</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46133</v>
      </c>
      <c r="N221" s="14">
        <f ca="1">DATEDIF(L221,M221,"M") +1</f>
        <v>74</v>
      </c>
      <c r="O221" s="39"/>
      <c r="P221" s="14"/>
      <c r="Q221" s="14"/>
      <c r="R221" s="12">
        <f t="shared" ca="1" si="36"/>
        <v>74</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46133</v>
      </c>
      <c r="N222" s="14">
        <f ca="1">DATEDIF(L222,M222,"M") +1</f>
        <v>14</v>
      </c>
      <c r="O222" s="39"/>
      <c r="P222" s="14"/>
      <c r="Q222" s="14"/>
      <c r="R222" s="12">
        <f t="shared" ca="1" si="36"/>
        <v>14</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
      <c r="A223" s="59">
        <v>222</v>
      </c>
      <c r="B223" s="59" t="s">
        <v>852</v>
      </c>
      <c r="C223" s="59" t="s">
        <v>853</v>
      </c>
      <c r="D223" s="59" t="s">
        <v>854</v>
      </c>
      <c r="E223" s="59" t="s">
        <v>855</v>
      </c>
      <c r="F223" s="59" t="s">
        <v>41</v>
      </c>
      <c r="G223" s="59">
        <v>11</v>
      </c>
      <c r="H223" s="59" t="s">
        <v>856</v>
      </c>
      <c r="I223" s="59" t="s">
        <v>857</v>
      </c>
      <c r="J223" s="59"/>
      <c r="K223" s="61"/>
      <c r="L223" s="61">
        <v>45717</v>
      </c>
      <c r="M223" s="15">
        <f t="shared" ca="1" si="35"/>
        <v>46133</v>
      </c>
      <c r="N223" s="14">
        <f t="shared" ref="N223:N240" ca="1" si="49">DATEDIF(L223,M223,"M") +1</f>
        <v>14</v>
      </c>
      <c r="O223" s="61"/>
      <c r="P223" s="61"/>
      <c r="Q223" s="59"/>
      <c r="R223" s="12">
        <f t="shared" ca="1" si="36"/>
        <v>14</v>
      </c>
      <c r="S223" s="61"/>
      <c r="T223" s="59" t="s">
        <v>44</v>
      </c>
      <c r="U223" s="60" t="str">
        <f t="shared" ref="U223:U240" ca="1" si="50">IF(N223&gt;60,"In progress: Above 60 months","In progress: Below 60 Months")</f>
        <v>In progress: Below 60 Months</v>
      </c>
      <c r="V223" s="60" t="str">
        <f t="shared" ref="V223:V240" ca="1" si="51">IF(N223&gt;60,"In progress: Above 60 months","In progress: Below 60 Months")</f>
        <v>In progress: Below 60 Months</v>
      </c>
      <c r="W223" s="50"/>
    </row>
    <row r="224" spans="1:23" ht="15.95">
      <c r="A224" s="59">
        <v>223</v>
      </c>
      <c r="B224" s="59" t="s">
        <v>858</v>
      </c>
      <c r="C224" s="59" t="s">
        <v>859</v>
      </c>
      <c r="D224" s="59"/>
      <c r="E224" s="59" t="s">
        <v>860</v>
      </c>
      <c r="F224" s="59" t="s">
        <v>41</v>
      </c>
      <c r="G224" s="59">
        <v>11</v>
      </c>
      <c r="H224" s="59" t="s">
        <v>117</v>
      </c>
      <c r="I224" s="59" t="s">
        <v>11</v>
      </c>
      <c r="J224" s="59" t="s">
        <v>11</v>
      </c>
      <c r="K224" s="61"/>
      <c r="L224" s="61">
        <v>45717</v>
      </c>
      <c r="M224" s="15">
        <f t="shared" ca="1" si="35"/>
        <v>46133</v>
      </c>
      <c r="N224" s="14">
        <f t="shared" ca="1" si="49"/>
        <v>14</v>
      </c>
      <c r="O224" s="61"/>
      <c r="P224" s="61"/>
      <c r="Q224" s="59"/>
      <c r="R224" s="12">
        <f t="shared" ca="1" si="36"/>
        <v>14</v>
      </c>
      <c r="S224" s="61"/>
      <c r="T224" s="59" t="s">
        <v>44</v>
      </c>
      <c r="U224" s="60" t="str">
        <f t="shared" ca="1" si="50"/>
        <v>In progress: Below 60 Months</v>
      </c>
      <c r="V224" s="60" t="str">
        <f t="shared" ca="1" si="51"/>
        <v>In progress: Below 60 Months</v>
      </c>
      <c r="W224" s="53"/>
    </row>
    <row r="225" spans="1:22" ht="15.95">
      <c r="A225" s="59">
        <v>224</v>
      </c>
      <c r="B225" s="59" t="s">
        <v>861</v>
      </c>
      <c r="C225" s="59" t="s">
        <v>718</v>
      </c>
      <c r="D225" s="59" t="s">
        <v>862</v>
      </c>
      <c r="E225" s="59" t="s">
        <v>863</v>
      </c>
      <c r="F225" s="59" t="s">
        <v>42</v>
      </c>
      <c r="G225" s="59">
        <v>11</v>
      </c>
      <c r="H225" s="59" t="s">
        <v>498</v>
      </c>
      <c r="I225" s="59" t="s">
        <v>8</v>
      </c>
      <c r="J225" s="59" t="s">
        <v>19</v>
      </c>
      <c r="K225" s="61"/>
      <c r="L225" s="61">
        <v>45717</v>
      </c>
      <c r="M225" s="15">
        <f t="shared" ca="1" si="35"/>
        <v>46133</v>
      </c>
      <c r="N225" s="14">
        <f t="shared" ca="1" si="49"/>
        <v>14</v>
      </c>
      <c r="O225" s="61"/>
      <c r="P225" s="61"/>
      <c r="Q225" s="59"/>
      <c r="R225" s="12">
        <f t="shared" ca="1" si="36"/>
        <v>14</v>
      </c>
      <c r="S225" s="61"/>
      <c r="T225" s="59" t="s">
        <v>44</v>
      </c>
      <c r="U225" s="60" t="str">
        <f t="shared" ca="1" si="50"/>
        <v>In progress: Below 60 Months</v>
      </c>
      <c r="V225" s="60" t="str">
        <f t="shared" ca="1" si="51"/>
        <v>In progress: Below 60 Months</v>
      </c>
    </row>
    <row r="226" spans="1:22" ht="15.95">
      <c r="A226" s="59">
        <v>225</v>
      </c>
      <c r="B226" s="59" t="s">
        <v>864</v>
      </c>
      <c r="C226" s="59" t="s">
        <v>865</v>
      </c>
      <c r="D226" s="59" t="s">
        <v>456</v>
      </c>
      <c r="E226" s="59" t="s">
        <v>394</v>
      </c>
      <c r="F226" s="59" t="s">
        <v>41</v>
      </c>
      <c r="G226" s="59">
        <v>11</v>
      </c>
      <c r="H226" s="59" t="s">
        <v>68</v>
      </c>
      <c r="I226" s="59" t="s">
        <v>15</v>
      </c>
      <c r="J226" s="59" t="s">
        <v>15</v>
      </c>
      <c r="K226" s="61"/>
      <c r="L226" s="61">
        <v>45717</v>
      </c>
      <c r="M226" s="15">
        <f t="shared" ca="1" si="35"/>
        <v>46133</v>
      </c>
      <c r="N226" s="14">
        <f t="shared" ca="1" si="49"/>
        <v>14</v>
      </c>
      <c r="O226" s="61"/>
      <c r="P226" s="61"/>
      <c r="Q226" s="59"/>
      <c r="R226" s="12">
        <f t="shared" ca="1" si="36"/>
        <v>14</v>
      </c>
      <c r="S226" s="61"/>
      <c r="T226" s="59" t="s">
        <v>44</v>
      </c>
      <c r="U226" s="60" t="str">
        <f t="shared" ca="1" si="50"/>
        <v>In progress: Below 60 Months</v>
      </c>
      <c r="V226" s="60" t="str">
        <f t="shared" ca="1" si="51"/>
        <v>In progress: Below 60 Months</v>
      </c>
    </row>
    <row r="227" spans="1:22" ht="15.95">
      <c r="A227" s="59">
        <v>226</v>
      </c>
      <c r="B227" s="59" t="s">
        <v>866</v>
      </c>
      <c r="C227" s="59" t="s">
        <v>867</v>
      </c>
      <c r="D227" s="59" t="s">
        <v>868</v>
      </c>
      <c r="E227" s="59" t="s">
        <v>869</v>
      </c>
      <c r="F227" s="59" t="s">
        <v>42</v>
      </c>
      <c r="G227" s="59">
        <v>11</v>
      </c>
      <c r="H227" s="59" t="s">
        <v>125</v>
      </c>
      <c r="I227" s="59" t="s">
        <v>16</v>
      </c>
      <c r="J227" s="59"/>
      <c r="K227" s="61"/>
      <c r="L227" s="61">
        <v>45717</v>
      </c>
      <c r="M227" s="15">
        <f t="shared" ca="1" si="35"/>
        <v>46133</v>
      </c>
      <c r="N227" s="14">
        <f t="shared" ca="1" si="49"/>
        <v>14</v>
      </c>
      <c r="O227" s="61"/>
      <c r="P227" s="61"/>
      <c r="Q227" s="59"/>
      <c r="R227" s="12">
        <f t="shared" ca="1" si="36"/>
        <v>14</v>
      </c>
      <c r="S227" s="61"/>
      <c r="T227" s="59" t="s">
        <v>44</v>
      </c>
      <c r="U227" s="60" t="str">
        <f t="shared" ca="1" si="50"/>
        <v>In progress: Below 60 Months</v>
      </c>
      <c r="V227" s="60" t="str">
        <f t="shared" ca="1" si="51"/>
        <v>In progress: Below 60 Months</v>
      </c>
    </row>
    <row r="228" spans="1:22" ht="15.95">
      <c r="A228" s="59">
        <v>227</v>
      </c>
      <c r="B228" s="59" t="s">
        <v>870</v>
      </c>
      <c r="C228" s="59" t="s">
        <v>325</v>
      </c>
      <c r="D228" s="59" t="s">
        <v>871</v>
      </c>
      <c r="E228" s="59" t="s">
        <v>872</v>
      </c>
      <c r="F228" s="59" t="s">
        <v>41</v>
      </c>
      <c r="G228" s="59">
        <v>11</v>
      </c>
      <c r="H228" s="59" t="s">
        <v>68</v>
      </c>
      <c r="I228" s="59" t="s">
        <v>13</v>
      </c>
      <c r="J228" s="59"/>
      <c r="K228" s="61"/>
      <c r="L228" s="61">
        <v>45717</v>
      </c>
      <c r="M228" s="15">
        <f t="shared" ca="1" si="35"/>
        <v>46133</v>
      </c>
      <c r="N228" s="14">
        <f t="shared" ca="1" si="49"/>
        <v>14</v>
      </c>
      <c r="O228" s="61"/>
      <c r="P228" s="61"/>
      <c r="Q228" s="59"/>
      <c r="R228" s="12">
        <f t="shared" ca="1" si="36"/>
        <v>14</v>
      </c>
      <c r="S228" s="61"/>
      <c r="T228" s="59" t="s">
        <v>44</v>
      </c>
      <c r="U228" s="60" t="str">
        <f t="shared" ca="1" si="50"/>
        <v>In progress: Below 60 Months</v>
      </c>
      <c r="V228" s="60" t="str">
        <f t="shared" ca="1" si="51"/>
        <v>In progress: Below 60 Months</v>
      </c>
    </row>
    <row r="229" spans="1:22" ht="15.95">
      <c r="A229" s="59">
        <v>228</v>
      </c>
      <c r="B229" s="59" t="s">
        <v>873</v>
      </c>
      <c r="C229" s="59" t="s">
        <v>874</v>
      </c>
      <c r="D229" s="59" t="s">
        <v>875</v>
      </c>
      <c r="E229" s="59" t="s">
        <v>854</v>
      </c>
      <c r="F229" s="59" t="s">
        <v>42</v>
      </c>
      <c r="G229" s="59">
        <v>11</v>
      </c>
      <c r="H229" s="59" t="s">
        <v>856</v>
      </c>
      <c r="I229" s="59" t="s">
        <v>857</v>
      </c>
      <c r="J229" s="59"/>
      <c r="K229" s="61"/>
      <c r="L229" s="61">
        <v>45717</v>
      </c>
      <c r="M229" s="15">
        <f t="shared" ca="1" si="35"/>
        <v>46133</v>
      </c>
      <c r="N229" s="14">
        <f t="shared" ca="1" si="49"/>
        <v>14</v>
      </c>
      <c r="O229" s="61"/>
      <c r="P229" s="61"/>
      <c r="Q229" s="59"/>
      <c r="R229" s="12">
        <f t="shared" ca="1" si="36"/>
        <v>14</v>
      </c>
      <c r="S229" s="61"/>
      <c r="T229" s="59" t="s">
        <v>44</v>
      </c>
      <c r="U229" s="60" t="str">
        <f t="shared" ca="1" si="50"/>
        <v>In progress: Below 60 Months</v>
      </c>
      <c r="V229" s="60" t="str">
        <f t="shared" ca="1" si="51"/>
        <v>In progress: Below 60 Months</v>
      </c>
    </row>
    <row r="230" spans="1:22" ht="15.95">
      <c r="A230" s="59">
        <v>229</v>
      </c>
      <c r="B230" s="59" t="s">
        <v>876</v>
      </c>
      <c r="C230" s="59" t="s">
        <v>877</v>
      </c>
      <c r="D230" s="59"/>
      <c r="E230" s="59" t="s">
        <v>878</v>
      </c>
      <c r="F230" s="59" t="s">
        <v>42</v>
      </c>
      <c r="G230" s="59">
        <v>11</v>
      </c>
      <c r="H230" s="59" t="s">
        <v>117</v>
      </c>
      <c r="I230" s="59" t="s">
        <v>11</v>
      </c>
      <c r="J230" s="59" t="s">
        <v>11</v>
      </c>
      <c r="K230" s="61"/>
      <c r="L230" s="61">
        <v>45717</v>
      </c>
      <c r="M230" s="15">
        <f t="shared" ca="1" si="35"/>
        <v>46133</v>
      </c>
      <c r="N230" s="14">
        <f t="shared" ca="1" si="49"/>
        <v>14</v>
      </c>
      <c r="O230" s="61"/>
      <c r="P230" s="61"/>
      <c r="Q230" s="59"/>
      <c r="R230" s="12">
        <f t="shared" ca="1" si="36"/>
        <v>14</v>
      </c>
      <c r="S230" s="61"/>
      <c r="T230" s="59" t="s">
        <v>44</v>
      </c>
      <c r="U230" s="60" t="str">
        <f t="shared" ca="1" si="50"/>
        <v>In progress: Below 60 Months</v>
      </c>
      <c r="V230" s="60" t="str">
        <f t="shared" ca="1" si="51"/>
        <v>In progress: Below 60 Months</v>
      </c>
    </row>
    <row r="231" spans="1:22" ht="15.95">
      <c r="A231" s="59">
        <v>230</v>
      </c>
      <c r="B231" s="59" t="s">
        <v>879</v>
      </c>
      <c r="C231" s="59" t="s">
        <v>880</v>
      </c>
      <c r="D231" s="59" t="s">
        <v>881</v>
      </c>
      <c r="E231" s="59" t="s">
        <v>882</v>
      </c>
      <c r="F231" s="59" t="s">
        <v>41</v>
      </c>
      <c r="G231" s="59">
        <v>11</v>
      </c>
      <c r="H231" s="59" t="s">
        <v>132</v>
      </c>
      <c r="I231" s="59" t="s">
        <v>17</v>
      </c>
      <c r="J231" s="59" t="s">
        <v>17</v>
      </c>
      <c r="K231" s="61"/>
      <c r="L231" s="61">
        <v>45717</v>
      </c>
      <c r="M231" s="15">
        <f t="shared" ca="1" si="35"/>
        <v>46133</v>
      </c>
      <c r="N231" s="14">
        <f t="shared" ca="1" si="49"/>
        <v>14</v>
      </c>
      <c r="O231" s="61"/>
      <c r="P231" s="61"/>
      <c r="Q231" s="59"/>
      <c r="R231" s="12">
        <f t="shared" ca="1" si="36"/>
        <v>14</v>
      </c>
      <c r="S231" s="61"/>
      <c r="T231" s="59" t="s">
        <v>44</v>
      </c>
      <c r="U231" s="60" t="str">
        <f t="shared" ca="1" si="50"/>
        <v>In progress: Below 60 Months</v>
      </c>
      <c r="V231" s="60" t="str">
        <f t="shared" ca="1" si="51"/>
        <v>In progress: Below 60 Months</v>
      </c>
    </row>
    <row r="232" spans="1:22" ht="15.95">
      <c r="A232" s="59">
        <v>231</v>
      </c>
      <c r="B232" s="59" t="s">
        <v>883</v>
      </c>
      <c r="C232" s="59" t="s">
        <v>508</v>
      </c>
      <c r="D232" s="59" t="s">
        <v>884</v>
      </c>
      <c r="E232" s="59" t="s">
        <v>885</v>
      </c>
      <c r="F232" s="59" t="s">
        <v>41</v>
      </c>
      <c r="G232" s="59">
        <v>11</v>
      </c>
      <c r="H232" s="59" t="s">
        <v>132</v>
      </c>
      <c r="I232" s="59" t="s">
        <v>17</v>
      </c>
      <c r="J232" s="59"/>
      <c r="K232" s="61"/>
      <c r="L232" s="61">
        <v>45717</v>
      </c>
      <c r="M232" s="15">
        <f t="shared" ca="1" si="35"/>
        <v>46133</v>
      </c>
      <c r="N232" s="14">
        <f t="shared" ca="1" si="49"/>
        <v>14</v>
      </c>
      <c r="O232" s="61"/>
      <c r="P232" s="61"/>
      <c r="Q232" s="59"/>
      <c r="R232" s="12">
        <f t="shared" ca="1" si="36"/>
        <v>14</v>
      </c>
      <c r="S232" s="61"/>
      <c r="T232" s="59" t="s">
        <v>44</v>
      </c>
      <c r="U232" s="60" t="str">
        <f t="shared" ca="1" si="50"/>
        <v>In progress: Below 60 Months</v>
      </c>
      <c r="V232" s="60" t="str">
        <f t="shared" ca="1" si="51"/>
        <v>In progress: Below 60 Months</v>
      </c>
    </row>
    <row r="233" spans="1:22" ht="15.95">
      <c r="A233" s="59">
        <v>232</v>
      </c>
      <c r="B233" s="59" t="s">
        <v>886</v>
      </c>
      <c r="C233" s="59" t="s">
        <v>887</v>
      </c>
      <c r="D233" s="59" t="s">
        <v>888</v>
      </c>
      <c r="E233" s="59" t="s">
        <v>889</v>
      </c>
      <c r="F233" s="59" t="s">
        <v>42</v>
      </c>
      <c r="G233" s="59">
        <v>11</v>
      </c>
      <c r="H233" s="59" t="s">
        <v>68</v>
      </c>
      <c r="I233" s="59" t="s">
        <v>15</v>
      </c>
      <c r="J233" s="59" t="s">
        <v>15</v>
      </c>
      <c r="K233" s="61"/>
      <c r="L233" s="61">
        <v>45717</v>
      </c>
      <c r="M233" s="15">
        <f t="shared" ca="1" si="35"/>
        <v>46133</v>
      </c>
      <c r="N233" s="14">
        <f t="shared" ca="1" si="49"/>
        <v>14</v>
      </c>
      <c r="O233" s="61"/>
      <c r="P233" s="61"/>
      <c r="Q233" s="59"/>
      <c r="R233" s="12">
        <f t="shared" ca="1" si="36"/>
        <v>14</v>
      </c>
      <c r="S233" s="61"/>
      <c r="T233" s="59" t="s">
        <v>44</v>
      </c>
      <c r="U233" s="60" t="str">
        <f t="shared" ca="1" si="50"/>
        <v>In progress: Below 60 Months</v>
      </c>
      <c r="V233" s="60" t="str">
        <f t="shared" ca="1" si="51"/>
        <v>In progress: Below 60 Months</v>
      </c>
    </row>
    <row r="234" spans="1:22" ht="15.95">
      <c r="A234" s="59">
        <v>233</v>
      </c>
      <c r="B234" s="59" t="s">
        <v>890</v>
      </c>
      <c r="C234" s="59" t="s">
        <v>891</v>
      </c>
      <c r="D234" s="59" t="s">
        <v>892</v>
      </c>
      <c r="E234" s="59" t="s">
        <v>893</v>
      </c>
      <c r="F234" s="59" t="s">
        <v>41</v>
      </c>
      <c r="G234" s="59">
        <v>11</v>
      </c>
      <c r="H234" s="59" t="s">
        <v>132</v>
      </c>
      <c r="I234" s="59" t="s">
        <v>12</v>
      </c>
      <c r="J234" s="59" t="s">
        <v>12</v>
      </c>
      <c r="K234" s="61"/>
      <c r="L234" s="61">
        <v>45717</v>
      </c>
      <c r="M234" s="15">
        <f t="shared" ca="1" si="35"/>
        <v>46133</v>
      </c>
      <c r="N234" s="14">
        <f t="shared" ca="1" si="49"/>
        <v>14</v>
      </c>
      <c r="O234" s="61"/>
      <c r="P234" s="61"/>
      <c r="Q234" s="59"/>
      <c r="R234" s="12">
        <f t="shared" ca="1" si="36"/>
        <v>14</v>
      </c>
      <c r="S234" s="61"/>
      <c r="T234" s="59" t="s">
        <v>44</v>
      </c>
      <c r="U234" s="60" t="str">
        <f t="shared" ca="1" si="50"/>
        <v>In progress: Below 60 Months</v>
      </c>
      <c r="V234" s="60" t="str">
        <f t="shared" ca="1" si="51"/>
        <v>In progress: Below 60 Months</v>
      </c>
    </row>
    <row r="235" spans="1:22" ht="15.95">
      <c r="A235" s="59">
        <v>234</v>
      </c>
      <c r="B235" s="59" t="s">
        <v>894</v>
      </c>
      <c r="C235" s="59" t="s">
        <v>895</v>
      </c>
      <c r="D235" s="59" t="s">
        <v>896</v>
      </c>
      <c r="E235" s="59" t="s">
        <v>897</v>
      </c>
      <c r="F235" s="59" t="s">
        <v>42</v>
      </c>
      <c r="G235" s="59">
        <v>11</v>
      </c>
      <c r="H235" s="59" t="s">
        <v>125</v>
      </c>
      <c r="I235" s="59" t="s">
        <v>898</v>
      </c>
      <c r="J235" s="59" t="s">
        <v>16</v>
      </c>
      <c r="K235" s="61"/>
      <c r="L235" s="61">
        <v>45717</v>
      </c>
      <c r="M235" s="15">
        <f t="shared" ca="1" si="35"/>
        <v>46133</v>
      </c>
      <c r="N235" s="14">
        <f t="shared" ca="1" si="49"/>
        <v>14</v>
      </c>
      <c r="O235" s="61"/>
      <c r="P235" s="61"/>
      <c r="Q235" s="59"/>
      <c r="R235" s="12">
        <f t="shared" ca="1" si="36"/>
        <v>14</v>
      </c>
      <c r="S235" s="61"/>
      <c r="T235" s="59" t="s">
        <v>44</v>
      </c>
      <c r="U235" s="60" t="str">
        <f t="shared" ca="1" si="50"/>
        <v>In progress: Below 60 Months</v>
      </c>
      <c r="V235" s="60" t="str">
        <f t="shared" ca="1" si="51"/>
        <v>In progress: Below 60 Months</v>
      </c>
    </row>
    <row r="236" spans="1:22" ht="15.95">
      <c r="A236" s="59">
        <v>235</v>
      </c>
      <c r="B236" s="59" t="s">
        <v>899</v>
      </c>
      <c r="C236" s="59" t="s">
        <v>900</v>
      </c>
      <c r="D236" s="59" t="s">
        <v>901</v>
      </c>
      <c r="E236" s="59" t="s">
        <v>902</v>
      </c>
      <c r="F236" s="59" t="s">
        <v>42</v>
      </c>
      <c r="G236" s="59">
        <v>11</v>
      </c>
      <c r="H236" s="59" t="s">
        <v>132</v>
      </c>
      <c r="I236" s="59" t="s">
        <v>17</v>
      </c>
      <c r="J236" s="59" t="s">
        <v>17</v>
      </c>
      <c r="K236" s="61"/>
      <c r="L236" s="61">
        <v>45717</v>
      </c>
      <c r="M236" s="15">
        <f t="shared" ca="1" si="35"/>
        <v>46133</v>
      </c>
      <c r="N236" s="14">
        <f t="shared" ca="1" si="49"/>
        <v>14</v>
      </c>
      <c r="O236" s="61"/>
      <c r="P236" s="61"/>
      <c r="Q236" s="59"/>
      <c r="R236" s="12">
        <f t="shared" ca="1" si="36"/>
        <v>14</v>
      </c>
      <c r="S236" s="61"/>
      <c r="T236" s="59" t="s">
        <v>44</v>
      </c>
      <c r="U236" s="60" t="str">
        <f t="shared" ca="1" si="50"/>
        <v>In progress: Below 60 Months</v>
      </c>
      <c r="V236" s="60" t="str">
        <f t="shared" ca="1" si="51"/>
        <v>In progress: Below 60 Months</v>
      </c>
    </row>
    <row r="237" spans="1:22" ht="15.95">
      <c r="A237" s="59">
        <v>236</v>
      </c>
      <c r="B237" s="59" t="s">
        <v>903</v>
      </c>
      <c r="C237" s="59" t="s">
        <v>904</v>
      </c>
      <c r="D237" s="59" t="s">
        <v>813</v>
      </c>
      <c r="E237" s="59" t="s">
        <v>905</v>
      </c>
      <c r="F237" s="59" t="s">
        <v>41</v>
      </c>
      <c r="G237" s="59">
        <v>11</v>
      </c>
      <c r="H237" s="59" t="s">
        <v>68</v>
      </c>
      <c r="I237" s="59" t="s">
        <v>13</v>
      </c>
      <c r="J237" s="59" t="s">
        <v>13</v>
      </c>
      <c r="K237" s="61"/>
      <c r="L237" s="61">
        <v>45717</v>
      </c>
      <c r="M237" s="15">
        <f t="shared" ca="1" si="35"/>
        <v>46133</v>
      </c>
      <c r="N237" s="14">
        <f t="shared" ca="1" si="49"/>
        <v>14</v>
      </c>
      <c r="O237" s="61"/>
      <c r="P237" s="61"/>
      <c r="Q237" s="59"/>
      <c r="R237" s="12">
        <f t="shared" ca="1" si="36"/>
        <v>14</v>
      </c>
      <c r="S237" s="61"/>
      <c r="T237" s="59" t="s">
        <v>44</v>
      </c>
      <c r="U237" s="60" t="str">
        <f t="shared" ca="1" si="50"/>
        <v>In progress: Below 60 Months</v>
      </c>
      <c r="V237" s="60" t="str">
        <f t="shared" ca="1" si="51"/>
        <v>In progress: Below 60 Months</v>
      </c>
    </row>
    <row r="238" spans="1:22" ht="15.95">
      <c r="A238" s="59">
        <v>237</v>
      </c>
      <c r="B238" s="59" t="s">
        <v>906</v>
      </c>
      <c r="C238" s="59" t="s">
        <v>907</v>
      </c>
      <c r="D238" s="59" t="s">
        <v>908</v>
      </c>
      <c r="E238" s="59" t="s">
        <v>909</v>
      </c>
      <c r="F238" s="59" t="s">
        <v>42</v>
      </c>
      <c r="G238" s="59">
        <v>11</v>
      </c>
      <c r="H238" s="59" t="s">
        <v>125</v>
      </c>
      <c r="I238" s="59" t="s">
        <v>16</v>
      </c>
      <c r="J238" s="59"/>
      <c r="K238" s="61"/>
      <c r="L238" s="61">
        <v>45717</v>
      </c>
      <c r="M238" s="15">
        <f t="shared" ca="1" si="35"/>
        <v>46133</v>
      </c>
      <c r="N238" s="14">
        <f t="shared" ca="1" si="49"/>
        <v>14</v>
      </c>
      <c r="O238" s="61"/>
      <c r="P238" s="61"/>
      <c r="Q238" s="59"/>
      <c r="R238" s="12">
        <f t="shared" ca="1" si="36"/>
        <v>14</v>
      </c>
      <c r="S238" s="61"/>
      <c r="T238" s="59" t="s">
        <v>44</v>
      </c>
      <c r="U238" s="60" t="str">
        <f t="shared" ca="1" si="50"/>
        <v>In progress: Below 60 Months</v>
      </c>
      <c r="V238" s="60" t="str">
        <f t="shared" ca="1" si="51"/>
        <v>In progress: Below 60 Months</v>
      </c>
    </row>
    <row r="239" spans="1:22" ht="15.95">
      <c r="A239" s="59">
        <v>239</v>
      </c>
      <c r="B239" s="59" t="s">
        <v>910</v>
      </c>
      <c r="C239" s="59" t="s">
        <v>911</v>
      </c>
      <c r="D239" s="59"/>
      <c r="E239" s="59" t="s">
        <v>912</v>
      </c>
      <c r="F239" s="59" t="s">
        <v>41</v>
      </c>
      <c r="G239" s="59">
        <v>11</v>
      </c>
      <c r="H239" s="59" t="s">
        <v>121</v>
      </c>
      <c r="I239" s="59" t="s">
        <v>18</v>
      </c>
      <c r="J239" s="59"/>
      <c r="K239" s="61"/>
      <c r="L239" s="61">
        <v>45717</v>
      </c>
      <c r="M239" s="15">
        <f t="shared" ca="1" si="35"/>
        <v>46133</v>
      </c>
      <c r="N239" s="14">
        <f t="shared" ca="1" si="49"/>
        <v>14</v>
      </c>
      <c r="O239" s="61"/>
      <c r="P239" s="61"/>
      <c r="Q239" s="59"/>
      <c r="R239" s="12">
        <f t="shared" ca="1" si="36"/>
        <v>14</v>
      </c>
      <c r="S239" s="61"/>
      <c r="T239" s="59" t="s">
        <v>44</v>
      </c>
      <c r="U239" s="60" t="str">
        <f t="shared" ca="1" si="50"/>
        <v>In progress: Below 60 Months</v>
      </c>
      <c r="V239" s="60" t="str">
        <f t="shared" ca="1" si="51"/>
        <v>In progress: Below 60 Months</v>
      </c>
    </row>
    <row r="240" spans="1:22" ht="15.95">
      <c r="A240" s="59">
        <v>240</v>
      </c>
      <c r="B240" s="59" t="s">
        <v>913</v>
      </c>
      <c r="C240" s="59" t="s">
        <v>914</v>
      </c>
      <c r="D240" s="59" t="s">
        <v>915</v>
      </c>
      <c r="E240" s="59" t="s">
        <v>916</v>
      </c>
      <c r="F240" s="59" t="s">
        <v>41</v>
      </c>
      <c r="G240" s="59">
        <v>11</v>
      </c>
      <c r="H240" s="59" t="s">
        <v>112</v>
      </c>
      <c r="I240" s="59" t="s">
        <v>10</v>
      </c>
      <c r="J240" s="59"/>
      <c r="K240" s="61"/>
      <c r="L240" s="61">
        <v>45717</v>
      </c>
      <c r="M240" s="15">
        <f t="shared" ca="1" si="35"/>
        <v>46133</v>
      </c>
      <c r="N240" s="14">
        <f t="shared" ca="1" si="49"/>
        <v>14</v>
      </c>
      <c r="O240" s="61"/>
      <c r="P240" s="61"/>
      <c r="Q240" s="59"/>
      <c r="R240" s="12">
        <f t="shared" ca="1" si="36"/>
        <v>14</v>
      </c>
      <c r="S240" s="61"/>
      <c r="T240" s="59" t="s">
        <v>44</v>
      </c>
      <c r="U240" s="60" t="str">
        <f t="shared" ca="1" si="50"/>
        <v>In progress: Below 60 Months</v>
      </c>
      <c r="V240" s="60" t="str">
        <f t="shared" ca="1" si="51"/>
        <v>In progress: Below 60 Months</v>
      </c>
    </row>
    <row r="241" ht="15"/>
  </sheetData>
  <autoFilter ref="A1:Y240" xr:uid="{00000000-0001-0000-0100-000000000000}"/>
  <conditionalFormatting sqref="U2:U240">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13</v>
      </c>
      <c r="L6">
        <v>127</v>
      </c>
    </row>
    <row r="7" spans="1:12">
      <c r="A7" t="s">
        <v>7</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14" sqref="A14:XFD14"/>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917</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70</v>
      </c>
      <c r="J6">
        <v>57</v>
      </c>
      <c r="K6">
        <v>127</v>
      </c>
    </row>
    <row r="7" spans="1:11">
      <c r="A7">
        <v>3</v>
      </c>
      <c r="B7">
        <v>10</v>
      </c>
      <c r="C7">
        <v>8</v>
      </c>
      <c r="D7">
        <v>3</v>
      </c>
      <c r="F7">
        <v>21</v>
      </c>
      <c r="H7" t="s">
        <v>4</v>
      </c>
      <c r="I7">
        <v>15</v>
      </c>
      <c r="J7">
        <v>10</v>
      </c>
      <c r="K7">
        <v>25</v>
      </c>
    </row>
    <row r="8" spans="1:11">
      <c r="A8">
        <v>4</v>
      </c>
      <c r="B8">
        <v>6</v>
      </c>
      <c r="C8">
        <v>19</v>
      </c>
      <c r="D8">
        <v>1</v>
      </c>
      <c r="F8">
        <v>26</v>
      </c>
      <c r="H8" t="s">
        <v>7</v>
      </c>
      <c r="I8">
        <v>123</v>
      </c>
      <c r="J8">
        <v>97</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918</v>
      </c>
    </row>
    <row r="69" spans="1:4">
      <c r="A69" s="2" t="s">
        <v>2</v>
      </c>
      <c r="B69" t="s">
        <v>918</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918</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918</v>
      </c>
    </row>
    <row r="6" spans="1:4">
      <c r="A6" s="2" t="s">
        <v>1</v>
      </c>
      <c r="B6" s="2" t="s">
        <v>50</v>
      </c>
    </row>
    <row r="7" spans="1:4">
      <c r="A7" s="2" t="s">
        <v>61</v>
      </c>
      <c r="B7" t="s">
        <v>41</v>
      </c>
      <c r="C7" t="s">
        <v>42</v>
      </c>
      <c r="D7" t="s">
        <v>7</v>
      </c>
    </row>
    <row r="8" spans="1:4">
      <c r="A8" t="s">
        <v>919</v>
      </c>
      <c r="B8">
        <v>26</v>
      </c>
      <c r="C8">
        <v>19</v>
      </c>
      <c r="D8">
        <v>45</v>
      </c>
    </row>
    <row r="9" spans="1:4">
      <c r="A9" t="s">
        <v>920</v>
      </c>
      <c r="B9">
        <v>1</v>
      </c>
      <c r="C9">
        <v>2</v>
      </c>
      <c r="D9">
        <v>3</v>
      </c>
    </row>
    <row r="10" spans="1:4">
      <c r="A10" t="s">
        <v>921</v>
      </c>
      <c r="B10">
        <v>2</v>
      </c>
      <c r="C10">
        <v>3</v>
      </c>
      <c r="D10">
        <v>5</v>
      </c>
    </row>
    <row r="11" spans="1:4">
      <c r="A11" t="s">
        <v>922</v>
      </c>
      <c r="B11">
        <v>2</v>
      </c>
      <c r="C11">
        <v>6</v>
      </c>
      <c r="D11">
        <v>8</v>
      </c>
    </row>
    <row r="12" spans="1:4">
      <c r="A12" t="s">
        <v>923</v>
      </c>
      <c r="B12">
        <v>7</v>
      </c>
      <c r="C12">
        <v>9</v>
      </c>
      <c r="D12">
        <v>16</v>
      </c>
    </row>
    <row r="13" spans="1:4">
      <c r="A13" t="s">
        <v>924</v>
      </c>
      <c r="B13">
        <v>8</v>
      </c>
      <c r="C13">
        <v>7</v>
      </c>
      <c r="D13">
        <v>15</v>
      </c>
    </row>
    <row r="14" spans="1:4">
      <c r="A14" t="s">
        <v>925</v>
      </c>
      <c r="B14">
        <v>7</v>
      </c>
      <c r="C14">
        <v>9</v>
      </c>
      <c r="D14">
        <v>16</v>
      </c>
    </row>
    <row r="15" spans="1:4">
      <c r="A15" t="s">
        <v>926</v>
      </c>
      <c r="B15">
        <v>13</v>
      </c>
      <c r="C15">
        <v>11</v>
      </c>
      <c r="D15">
        <v>24</v>
      </c>
    </row>
    <row r="16" spans="1:4">
      <c r="A16" t="s">
        <v>927</v>
      </c>
      <c r="B16">
        <v>6</v>
      </c>
      <c r="C16">
        <v>4</v>
      </c>
      <c r="D16">
        <v>10</v>
      </c>
    </row>
    <row r="17" spans="1:4">
      <c r="A17" t="s">
        <v>928</v>
      </c>
      <c r="B17">
        <v>20</v>
      </c>
      <c r="C17">
        <v>10</v>
      </c>
      <c r="D17">
        <v>30</v>
      </c>
    </row>
    <row r="18" spans="1:4">
      <c r="A18" t="s">
        <v>929</v>
      </c>
      <c r="B18">
        <v>11</v>
      </c>
      <c r="C18">
        <v>3</v>
      </c>
      <c r="D18">
        <v>14</v>
      </c>
    </row>
    <row r="19" spans="1:4">
      <c r="A19" t="s">
        <v>930</v>
      </c>
      <c r="B19">
        <v>13</v>
      </c>
      <c r="C19">
        <v>9</v>
      </c>
      <c r="D19">
        <v>22</v>
      </c>
    </row>
    <row r="20" spans="1:4">
      <c r="A20" t="s">
        <v>931</v>
      </c>
      <c r="B20">
        <v>10</v>
      </c>
      <c r="C20">
        <v>10</v>
      </c>
      <c r="D20">
        <v>20</v>
      </c>
    </row>
    <row r="21" spans="1:4">
      <c r="A21" t="s">
        <v>932</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6" sqref="B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933</v>
      </c>
      <c r="C3" t="s">
        <v>33</v>
      </c>
      <c r="D3" t="s">
        <v>34</v>
      </c>
      <c r="E3" t="s">
        <v>35</v>
      </c>
      <c r="F3" t="s">
        <v>36</v>
      </c>
      <c r="G3" t="s">
        <v>934</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69.857142857142861</v>
      </c>
      <c r="D6" s="29">
        <v>15.603723609324501</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64.760000000000005</v>
      </c>
      <c r="D15" s="29">
        <v>19.201302039184736</v>
      </c>
      <c r="E15" s="29">
        <v>101</v>
      </c>
      <c r="F15" s="29">
        <v>32</v>
      </c>
    </row>
    <row r="16" spans="1:7">
      <c r="A16" t="s">
        <v>7</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7</v>
      </c>
      <c r="B44" s="28">
        <v>60.271794871794874</v>
      </c>
      <c r="C44" s="29">
        <v>19.919243515398545</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2</v>
      </c>
      <c r="B2" t="s">
        <v>918</v>
      </c>
    </row>
    <row r="3" spans="1:15">
      <c r="J3" s="2" t="s">
        <v>37</v>
      </c>
      <c r="K3" t="s">
        <v>918</v>
      </c>
    </row>
    <row r="4" spans="1:15">
      <c r="B4" s="2" t="s">
        <v>37</v>
      </c>
      <c r="C4" s="2" t="s">
        <v>935</v>
      </c>
    </row>
    <row r="5" spans="1:15" ht="15">
      <c r="B5" t="s">
        <v>38</v>
      </c>
      <c r="D5" t="s">
        <v>44</v>
      </c>
      <c r="F5" t="s">
        <v>936</v>
      </c>
      <c r="G5" t="s">
        <v>937</v>
      </c>
      <c r="J5" s="2" t="s">
        <v>45</v>
      </c>
      <c r="K5" s="2" t="s">
        <v>2</v>
      </c>
    </row>
    <row r="6" spans="1:15" ht="15">
      <c r="A6" s="2" t="s">
        <v>3</v>
      </c>
      <c r="B6" t="s">
        <v>45</v>
      </c>
      <c r="C6" t="s">
        <v>938</v>
      </c>
      <c r="D6" t="s">
        <v>45</v>
      </c>
      <c r="E6" t="s">
        <v>938</v>
      </c>
      <c r="H6" s="8"/>
      <c r="J6" s="38" t="s">
        <v>3</v>
      </c>
      <c r="K6" s="74" t="s">
        <v>4</v>
      </c>
      <c r="L6" s="37" t="s">
        <v>917</v>
      </c>
      <c r="M6" s="37" t="s">
        <v>5</v>
      </c>
      <c r="N6" s="37" t="s">
        <v>6</v>
      </c>
      <c r="O6" s="37" t="s">
        <v>7</v>
      </c>
    </row>
    <row r="7" spans="1:15" ht="15">
      <c r="A7" t="s">
        <v>8</v>
      </c>
      <c r="B7">
        <v>1</v>
      </c>
      <c r="C7" s="8">
        <v>0.5</v>
      </c>
      <c r="D7">
        <v>1</v>
      </c>
      <c r="E7" s="8">
        <v>0.5</v>
      </c>
      <c r="F7">
        <v>2</v>
      </c>
      <c r="G7" s="8">
        <v>1</v>
      </c>
      <c r="H7" s="8"/>
      <c r="J7" s="32" t="s">
        <v>8</v>
      </c>
      <c r="K7" s="71"/>
      <c r="L7" s="33">
        <v>1</v>
      </c>
      <c r="M7" s="33">
        <v>1</v>
      </c>
      <c r="N7" s="33"/>
      <c r="O7" s="33">
        <v>2</v>
      </c>
    </row>
    <row r="8" spans="1:15" ht="15">
      <c r="A8" t="s">
        <v>9</v>
      </c>
      <c r="B8">
        <v>4</v>
      </c>
      <c r="C8" s="8">
        <v>1</v>
      </c>
      <c r="E8" s="8">
        <v>0</v>
      </c>
      <c r="F8">
        <v>4</v>
      </c>
      <c r="G8" s="8">
        <v>1</v>
      </c>
      <c r="H8" s="8"/>
      <c r="J8" s="34" t="s">
        <v>9</v>
      </c>
      <c r="K8" s="72"/>
      <c r="L8" s="75"/>
      <c r="M8" s="75">
        <v>4</v>
      </c>
      <c r="N8" s="75"/>
      <c r="O8" s="75">
        <v>4</v>
      </c>
    </row>
    <row r="9" spans="1:15" ht="15">
      <c r="A9" t="s">
        <v>10</v>
      </c>
      <c r="B9">
        <v>7</v>
      </c>
      <c r="C9" s="8">
        <v>0.875</v>
      </c>
      <c r="D9">
        <v>1</v>
      </c>
      <c r="E9" s="8">
        <v>0.125</v>
      </c>
      <c r="F9">
        <v>8</v>
      </c>
      <c r="G9" s="8">
        <v>1</v>
      </c>
      <c r="H9" s="8"/>
      <c r="J9" s="34" t="s">
        <v>10</v>
      </c>
      <c r="K9" s="72"/>
      <c r="L9" s="75">
        <v>1</v>
      </c>
      <c r="M9" s="75">
        <v>7</v>
      </c>
      <c r="N9" s="75"/>
      <c r="O9" s="75">
        <v>8</v>
      </c>
    </row>
    <row r="10" spans="1:15" ht="1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ht="15">
      <c r="A11" t="s">
        <v>12</v>
      </c>
      <c r="B11">
        <v>13</v>
      </c>
      <c r="C11" s="8">
        <v>0.65</v>
      </c>
      <c r="D11">
        <v>7</v>
      </c>
      <c r="E11" s="8">
        <v>0.35</v>
      </c>
      <c r="F11">
        <v>20</v>
      </c>
      <c r="G11" s="8">
        <v>1</v>
      </c>
      <c r="H11" s="8"/>
      <c r="J11" s="34" t="s">
        <v>12</v>
      </c>
      <c r="K11" s="72">
        <v>6</v>
      </c>
      <c r="L11" s="75">
        <v>1</v>
      </c>
      <c r="M11" s="75">
        <v>8</v>
      </c>
      <c r="N11" s="75">
        <v>5</v>
      </c>
      <c r="O11" s="75">
        <v>20</v>
      </c>
    </row>
    <row r="12" spans="1:15" ht="1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ht="15">
      <c r="A13" t="s">
        <v>14</v>
      </c>
      <c r="B13">
        <v>4</v>
      </c>
      <c r="C13" s="8">
        <v>1</v>
      </c>
      <c r="E13" s="8">
        <v>0</v>
      </c>
      <c r="F13">
        <v>4</v>
      </c>
      <c r="G13" s="8">
        <v>1</v>
      </c>
      <c r="H13" s="8"/>
      <c r="J13" s="34" t="s">
        <v>14</v>
      </c>
      <c r="K13" s="72"/>
      <c r="L13" s="75"/>
      <c r="M13" s="75">
        <v>2</v>
      </c>
      <c r="N13" s="75">
        <v>2</v>
      </c>
      <c r="O13" s="75">
        <v>4</v>
      </c>
    </row>
    <row r="14" spans="1:15" ht="1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ht="15">
      <c r="A15" t="s">
        <v>16</v>
      </c>
      <c r="B15">
        <v>24</v>
      </c>
      <c r="C15" s="8">
        <v>0.8</v>
      </c>
      <c r="D15">
        <v>6</v>
      </c>
      <c r="E15" s="8">
        <v>0.2</v>
      </c>
      <c r="F15">
        <v>30</v>
      </c>
      <c r="G15" s="8">
        <v>1</v>
      </c>
      <c r="H15" s="8"/>
      <c r="J15" s="34" t="s">
        <v>16</v>
      </c>
      <c r="K15" s="72">
        <v>3</v>
      </c>
      <c r="L15" s="75">
        <v>3</v>
      </c>
      <c r="M15" s="75">
        <v>16</v>
      </c>
      <c r="N15" s="75">
        <v>8</v>
      </c>
      <c r="O15" s="75">
        <v>30</v>
      </c>
    </row>
    <row r="16" spans="1:15" ht="1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ht="1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ht="15">
      <c r="A18" t="s">
        <v>19</v>
      </c>
      <c r="B18">
        <v>25</v>
      </c>
      <c r="C18" s="8">
        <v>0.96153846153846156</v>
      </c>
      <c r="D18">
        <v>1</v>
      </c>
      <c r="E18" s="8">
        <v>3.8461538461538464E-2</v>
      </c>
      <c r="F18">
        <v>26</v>
      </c>
      <c r="G18" s="8">
        <v>1</v>
      </c>
      <c r="H18" s="8"/>
      <c r="J18" s="34" t="s">
        <v>19</v>
      </c>
      <c r="K18" s="72">
        <v>1</v>
      </c>
      <c r="L18" s="75"/>
      <c r="M18" s="75">
        <v>19</v>
      </c>
      <c r="N18" s="75">
        <v>6</v>
      </c>
      <c r="O18" s="75">
        <v>26</v>
      </c>
    </row>
    <row r="19" spans="1:15" ht="15">
      <c r="A19" t="s">
        <v>857</v>
      </c>
      <c r="C19" s="8">
        <v>0</v>
      </c>
      <c r="D19">
        <v>2</v>
      </c>
      <c r="E19" s="8">
        <v>1</v>
      </c>
      <c r="F19">
        <v>2</v>
      </c>
      <c r="G19" s="8">
        <v>1</v>
      </c>
      <c r="J19" s="35" t="s">
        <v>857</v>
      </c>
      <c r="K19" s="72"/>
      <c r="L19" s="75">
        <v>2</v>
      </c>
      <c r="M19" s="75"/>
      <c r="N19" s="75"/>
      <c r="O19" s="75">
        <v>2</v>
      </c>
    </row>
    <row r="20" spans="1:15" ht="15">
      <c r="A20" t="s">
        <v>7</v>
      </c>
      <c r="B20">
        <v>195</v>
      </c>
      <c r="C20" s="8">
        <v>0.8125</v>
      </c>
      <c r="D20">
        <v>45</v>
      </c>
      <c r="E20" s="8">
        <v>0.1875</v>
      </c>
      <c r="F20">
        <v>240</v>
      </c>
      <c r="G20" s="8">
        <v>1</v>
      </c>
      <c r="J20" s="36" t="s">
        <v>7</v>
      </c>
      <c r="K20" s="73">
        <v>25</v>
      </c>
      <c r="L20" s="27">
        <v>20</v>
      </c>
      <c r="M20" s="27">
        <v>127</v>
      </c>
      <c r="N20" s="27">
        <v>68</v>
      </c>
      <c r="O20" s="27">
        <v>240</v>
      </c>
    </row>
    <row r="21" spans="1:15" ht="15"/>
    <row r="22" spans="1:15" ht="15"/>
    <row r="23" spans="1:15">
      <c r="A23" s="2" t="s">
        <v>2</v>
      </c>
      <c r="B23" t="s">
        <v>39</v>
      </c>
    </row>
    <row r="25" spans="1:15">
      <c r="A25" s="2" t="s">
        <v>45</v>
      </c>
      <c r="B25" s="2" t="s">
        <v>50</v>
      </c>
    </row>
    <row r="26" spans="1:15">
      <c r="A26" s="2" t="s">
        <v>3</v>
      </c>
      <c r="B26" t="s">
        <v>41</v>
      </c>
      <c r="C26" t="s">
        <v>42</v>
      </c>
      <c r="D26" t="s">
        <v>7</v>
      </c>
    </row>
    <row r="27" spans="1:15">
      <c r="A27" t="s">
        <v>8</v>
      </c>
      <c r="C27">
        <v>1</v>
      </c>
      <c r="D27">
        <v>1</v>
      </c>
      <c r="J27" s="2" t="s">
        <v>1</v>
      </c>
      <c r="K27" s="2" t="s">
        <v>2</v>
      </c>
    </row>
    <row r="28" spans="1:15">
      <c r="A28" t="s">
        <v>9</v>
      </c>
      <c r="B28">
        <v>1</v>
      </c>
      <c r="C28">
        <v>3</v>
      </c>
      <c r="D28">
        <v>4</v>
      </c>
      <c r="J28" s="2" t="s">
        <v>3</v>
      </c>
      <c r="K28" t="s">
        <v>4</v>
      </c>
      <c r="L28" t="s">
        <v>917</v>
      </c>
      <c r="M28" t="s">
        <v>5</v>
      </c>
      <c r="N28" t="s">
        <v>6</v>
      </c>
      <c r="O28" t="s">
        <v>7</v>
      </c>
    </row>
    <row r="29" spans="1:15">
      <c r="A29" t="s">
        <v>10</v>
      </c>
      <c r="B29">
        <v>5</v>
      </c>
      <c r="C29">
        <v>2</v>
      </c>
      <c r="D29">
        <v>7</v>
      </c>
      <c r="J29" t="s">
        <v>8</v>
      </c>
      <c r="L29">
        <v>1</v>
      </c>
      <c r="M29">
        <v>1</v>
      </c>
      <c r="O29">
        <v>2</v>
      </c>
    </row>
    <row r="30" spans="1:15">
      <c r="A30" t="s">
        <v>11</v>
      </c>
      <c r="B30">
        <v>6</v>
      </c>
      <c r="C30">
        <v>13</v>
      </c>
      <c r="D30">
        <v>19</v>
      </c>
      <c r="J30" t="s">
        <v>9</v>
      </c>
      <c r="M30">
        <v>4</v>
      </c>
      <c r="O30">
        <v>4</v>
      </c>
    </row>
    <row r="31" spans="1:15">
      <c r="A31" t="s">
        <v>12</v>
      </c>
      <c r="B31">
        <v>11</v>
      </c>
      <c r="C31">
        <v>2</v>
      </c>
      <c r="D31">
        <v>13</v>
      </c>
      <c r="J31" t="s">
        <v>10</v>
      </c>
      <c r="L31">
        <v>1</v>
      </c>
      <c r="M31">
        <v>7</v>
      </c>
      <c r="O31">
        <v>8</v>
      </c>
    </row>
    <row r="32" spans="1:15">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939</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918</v>
      </c>
    </row>
    <row r="57" spans="1:4">
      <c r="A57" t="s">
        <v>1</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45</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7</v>
      </c>
      <c r="B15">
        <v>25</v>
      </c>
      <c r="C15">
        <v>127</v>
      </c>
      <c r="D15">
        <v>68</v>
      </c>
      <c r="E15">
        <v>220</v>
      </c>
      <c r="K15" t="s">
        <v>7</v>
      </c>
      <c r="L15">
        <v>25</v>
      </c>
      <c r="M15">
        <v>127</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7</v>
      </c>
      <c r="B33" s="8">
        <v>0.11363636363636363</v>
      </c>
      <c r="C33" s="8">
        <v>0.57727272727272727</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15</v>
      </c>
      <c r="C39">
        <v>70</v>
      </c>
      <c r="D39">
        <v>38</v>
      </c>
      <c r="E39">
        <v>123</v>
      </c>
    </row>
    <row r="40" spans="1:5">
      <c r="A40" t="s">
        <v>42</v>
      </c>
      <c r="B40">
        <v>10</v>
      </c>
      <c r="C40">
        <v>57</v>
      </c>
      <c r="D40">
        <v>30</v>
      </c>
      <c r="E40">
        <v>97</v>
      </c>
    </row>
    <row r="41" spans="1:5">
      <c r="A41" t="s">
        <v>7</v>
      </c>
      <c r="B41">
        <v>25</v>
      </c>
      <c r="C41">
        <v>127</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920</v>
      </c>
      <c r="B48">
        <v>1</v>
      </c>
      <c r="C48">
        <v>2</v>
      </c>
      <c r="D48">
        <v>3</v>
      </c>
    </row>
    <row r="49" spans="1:4">
      <c r="A49" t="s">
        <v>921</v>
      </c>
      <c r="B49">
        <v>2</v>
      </c>
      <c r="C49">
        <v>3</v>
      </c>
      <c r="D49">
        <v>5</v>
      </c>
    </row>
    <row r="50" spans="1:4">
      <c r="A50" t="s">
        <v>922</v>
      </c>
      <c r="B50">
        <v>2</v>
      </c>
      <c r="C50">
        <v>6</v>
      </c>
      <c r="D50">
        <v>8</v>
      </c>
    </row>
    <row r="51" spans="1:4">
      <c r="A51" t="s">
        <v>923</v>
      </c>
      <c r="B51">
        <v>7</v>
      </c>
      <c r="C51">
        <v>9</v>
      </c>
      <c r="D51">
        <v>16</v>
      </c>
    </row>
    <row r="52" spans="1:4">
      <c r="A52" t="s">
        <v>924</v>
      </c>
      <c r="B52">
        <v>7</v>
      </c>
      <c r="C52">
        <v>8</v>
      </c>
      <c r="D52">
        <v>15</v>
      </c>
    </row>
    <row r="53" spans="1:4">
      <c r="A53" t="s">
        <v>925</v>
      </c>
      <c r="B53">
        <v>7</v>
      </c>
      <c r="C53">
        <v>9</v>
      </c>
      <c r="D53">
        <v>16</v>
      </c>
    </row>
    <row r="54" spans="1:4">
      <c r="A54" t="s">
        <v>926</v>
      </c>
      <c r="B54">
        <v>13</v>
      </c>
      <c r="C54">
        <v>11</v>
      </c>
      <c r="D54">
        <v>24</v>
      </c>
    </row>
    <row r="55" spans="1:4">
      <c r="A55" t="s">
        <v>927</v>
      </c>
      <c r="B55">
        <v>6</v>
      </c>
      <c r="C55">
        <v>4</v>
      </c>
      <c r="D55">
        <v>10</v>
      </c>
    </row>
    <row r="56" spans="1:4">
      <c r="A56" t="s">
        <v>928</v>
      </c>
      <c r="B56">
        <v>20</v>
      </c>
      <c r="C56">
        <v>10</v>
      </c>
      <c r="D56">
        <v>30</v>
      </c>
    </row>
    <row r="57" spans="1:4">
      <c r="A57" t="s">
        <v>929</v>
      </c>
      <c r="B57">
        <v>11</v>
      </c>
      <c r="C57">
        <v>3</v>
      </c>
      <c r="D57">
        <v>14</v>
      </c>
    </row>
    <row r="58" spans="1:4">
      <c r="A58" t="s">
        <v>930</v>
      </c>
      <c r="B58">
        <v>13</v>
      </c>
      <c r="C58">
        <v>9</v>
      </c>
      <c r="D58">
        <v>22</v>
      </c>
    </row>
    <row r="59" spans="1:4">
      <c r="A59" t="s">
        <v>931</v>
      </c>
      <c r="B59">
        <v>10</v>
      </c>
      <c r="C59">
        <v>10</v>
      </c>
      <c r="D59">
        <v>20</v>
      </c>
    </row>
    <row r="60" spans="1:4">
      <c r="A60" t="s">
        <v>932</v>
      </c>
      <c r="B60">
        <v>9</v>
      </c>
      <c r="C60">
        <v>3</v>
      </c>
      <c r="D60">
        <v>12</v>
      </c>
    </row>
    <row r="61" spans="1:4">
      <c r="A61" t="s">
        <v>7</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7</v>
      </c>
      <c r="C11">
        <v>58</v>
      </c>
      <c r="D11">
        <v>15</v>
      </c>
      <c r="E11">
        <v>80</v>
      </c>
    </row>
    <row r="12" spans="1:5">
      <c r="A12" t="s">
        <v>16</v>
      </c>
      <c r="B12">
        <v>2</v>
      </c>
      <c r="C12">
        <v>9</v>
      </c>
      <c r="D12">
        <v>7</v>
      </c>
      <c r="E12">
        <v>18</v>
      </c>
    </row>
    <row r="13" spans="1:5">
      <c r="A13" t="s">
        <v>7</v>
      </c>
      <c r="B13">
        <v>25</v>
      </c>
      <c r="C13">
        <v>127</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8.7499999999999994E-2</v>
      </c>
      <c r="C28" s="8">
        <v>0.72499999999999998</v>
      </c>
      <c r="D28" s="8">
        <v>0.1875</v>
      </c>
      <c r="E28" s="8">
        <v>1</v>
      </c>
    </row>
    <row r="29" spans="1:5">
      <c r="A29" t="s">
        <v>16</v>
      </c>
      <c r="B29" s="8">
        <v>0.1111111111111111</v>
      </c>
      <c r="C29" s="8">
        <v>0.5</v>
      </c>
      <c r="D29" s="8">
        <v>0.3888888888888889</v>
      </c>
      <c r="E29" s="8">
        <v>1</v>
      </c>
    </row>
    <row r="30" spans="1: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918</v>
      </c>
    </row>
    <row r="2" spans="2:12">
      <c r="B2" s="2" t="s">
        <v>2</v>
      </c>
      <c r="C2" t="s">
        <v>918</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940</v>
      </c>
      <c r="C1" t="s">
        <v>941</v>
      </c>
      <c r="D1" t="s">
        <v>942</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Guest User</cp:lastModifiedBy>
  <cp:revision/>
  <dcterms:created xsi:type="dcterms:W3CDTF">2021-05-13T07:42:22Z</dcterms:created>
  <dcterms:modified xsi:type="dcterms:W3CDTF">2026-04-21T15:25:00Z</dcterms:modified>
  <cp:category/>
  <cp:contentStatus/>
</cp:coreProperties>
</file>
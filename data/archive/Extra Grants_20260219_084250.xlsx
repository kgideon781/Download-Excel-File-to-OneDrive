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85" documentId="13_ncr:1_{D015934C-5C8D-463B-9777-448ADC1EE7B3}" xr6:coauthVersionLast="47" xr6:coauthVersionMax="47" xr10:uidLastSave="{B8A204C6-CD7D-4138-A700-4615700C4FB0}"/>
  <bookViews>
    <workbookView xWindow="-110" yWindow="-110" windowWidth="19420" windowHeight="10300" firstSheet="1" activeTab="3"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Grants'!$A$1:$T$491</definedName>
  </definedNames>
  <calcPr calcId="191028"/>
  <pivotCaches>
    <pivotCache cacheId="201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alcChain>
</file>

<file path=xl/sharedStrings.xml><?xml version="1.0" encoding="utf-8"?>
<sst xmlns="http://schemas.openxmlformats.org/spreadsheetml/2006/main" count="6725" uniqueCount="1724">
  <si>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</si>
  <si>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</si>
  <si>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</si>
  <si>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</si>
  <si>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</si>
  <si>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</si>
  <si>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</si>
  <si>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</si>
  <si>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</si>
  <si>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</si>
  <si>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</si>
  <si>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</si>
  <si>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</si>
  <si>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</si>
  <si>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</si>
  <si>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</si>
  <si>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</si>
  <si>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</si>
  <si>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</si>
  <si>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</si>
  <si>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</si>
  <si>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</si>
  <si>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</si>
  <si>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</si>
  <si>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</si>
  <si>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</si>
  <si>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</si>
  <si>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</si>
  <si>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</si>
  <si>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</si>
  <si>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</si>
  <si>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</si>
  <si>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</si>
  <si>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</si>
  <si>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</si>
  <si>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</si>
  <si>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</si>
  <si>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</si>
  <si>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</si>
  <si>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</si>
  <si>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</si>
  <si>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</si>
  <si>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</si>
  <si>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</si>
  <si>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</si>
  <si>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</si>
  <si>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</si>
  <si>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</si>
  <si>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</si>
  <si>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</si>
  <si>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</si>
  <si>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</si>
  <si>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</si>
  <si>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</si>
  <si>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</si>
  <si>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</si>
  <si>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</si>
  <si>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</si>
  <si>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</si>
  <si>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</si>
  <si>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</si>
  <si>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</si>
  <si>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</si>
  <si>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</si>
  <si>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</si>
  <si>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</si>
  <si>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</si>
  <si>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</si>
  <si>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</si>
  <si>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</si>
  <si>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</si>
  <si>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</si>
  <si>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</si>
  <si>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</si>
  <si>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</si>
  <si>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</si>
  <si>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</si>
  <si>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</si>
  <si>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</si>
  <si>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</si>
  <si>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</si>
  <si>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</si>
  <si>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</si>
  <si>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</si>
  <si>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</si>
  <si>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</si>
  <si>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</si>
  <si>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</si>
  <si>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</si>
  <si>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</si>
  <si>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</si>
  <si>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</si>
  <si>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</si>
  <si>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</si>
  <si>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</si>
  <si>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</si>
  <si>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</si>
  <si>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</si>
  <si>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</si>
  <si>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</si>
  <si>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</si>
  <si>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</si>
  <si>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</si>
  <si>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</si>
  <si>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</si>
  <si>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</si>
  <si>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</si>
  <si>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</si>
  <si>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</si>
  <si>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</si>
  <si>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</si>
  <si>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</si>
  <si>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</si>
  <si>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</si>
  <si>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</si>
  <si>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</si>
  <si>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</si>
  <si>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</si>
  <si>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</si>
  <si>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</si>
  <si>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</si>
  <si>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</si>
  <si>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</si>
  <si>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</si>
  <si>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</si>
  <si>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</si>
  <si>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</si>
  <si>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</si>
  <si>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</si>
  <si>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</si>
  <si>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</si>
  <si>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</si>
  <si>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</si>
  <si>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</si>
  <si>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</si>
  <si>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</si>
  <si>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</si>
  <si>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</si>
  <si>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</si>
  <si>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</si>
  <si>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</si>
  <si>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</si>
  <si>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</si>
  <si>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</si>
  <si>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</si>
  <si>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</si>
  <si>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</si>
  <si>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</si>
  <si>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</si>
  <si>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</si>
  <si>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</si>
  <si>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</si>
  <si>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</si>
  <si>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</si>
  <si>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</si>
  <si>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</si>
  <si>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</si>
  <si>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</si>
  <si>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</si>
  <si>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</si>
  <si>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</si>
  <si>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</si>
  <si>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</si>
  <si>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</si>
  <si>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</si>
  <si>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</si>
  <si>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</si>
  <si>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</si>
  <si>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</si>
  <si>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</si>
  <si>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</si>
  <si>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</si>
  <si>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</si>
  <si>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</si>
  <si>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</si>
  <si>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</si>
  <si>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</si>
  <si>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</si>
  <si>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</si>
  <si>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</si>
  <si>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</si>
  <si>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</si>
  <si>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</si>
  <si>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</si>
  <si>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</si>
  <si>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</si>
  <si>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</si>
  <si>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</si>
  <si>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</si>
  <si>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</si>
  <si>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</si>
  <si>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</si>
  <si>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</si>
  <si>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</si>
  <si>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</si>
  <si>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</si>
  <si>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</si>
  <si>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</si>
  <si>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</si>
  <si>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</si>
  <si>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</si>
  <si>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</si>
  <si>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</si>
  <si>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</si>
  <si>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</si>
  <si>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</si>
  <si>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</si>
  <si>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</si>
  <si>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</si>
  <si>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</si>
  <si>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</si>
  <si>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</si>
  <si>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</si>
  <si>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</si>
  <si>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</si>
  <si>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</si>
  <si>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</si>
  <si>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</si>
  <si>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</si>
  <si>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</si>
  <si>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</si>
  <si>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</si>
  <si>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</si>
  <si>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</si>
  <si>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</si>
  <si>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</si>
  <si>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</si>
  <si>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</si>
  <si>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</si>
  <si>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</si>
  <si>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</si>
  <si>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</si>
  <si>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</si>
  <si>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</si>
  <si>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</si>
  <si>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</si>
  <si>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</si>
  <si>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</si>
  <si>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</si>
  <si>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</si>
  <si>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</si>
  <si>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</si>
  <si>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</si>
  <si>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</si>
  <si>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</si>
  <si>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</si>
  <si>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</si>
  <si>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</si>
  <si>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</si>
  <si>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</si>
  <si>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</si>
  <si>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</si>
  <si>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</si>
  <si>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</si>
  <si>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</si>
  <si>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</si>
  <si>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</si>
  <si>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</si>
  <si>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</si>
  <si>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</si>
  <si>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</si>
  <si>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</si>
  <si>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</si>
  <si>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</si>
  <si>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</si>
  <si>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</si>
  <si>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</si>
  <si>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</si>
  <si>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</si>
  <si>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</si>
  <si>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</si>
  <si>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</si>
  <si>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</si>
  <si>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</si>
  <si>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</si>
  <si>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</si>
  <si>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</si>
  <si>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</si>
  <si>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</si>
  <si>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</si>
  <si>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</si>
  <si>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</si>
  <si>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</si>
  <si>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</si>
  <si>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</si>
  <si>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</si>
  <si>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</si>
  <si>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</si>
  <si>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</si>
  <si>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</si>
  <si>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</si>
  <si>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</si>
  <si>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</si>
  <si>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</si>
  <si>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</si>
  <si>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</si>
  <si>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</si>
  <si>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</si>
  <si>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</si>
  <si>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</si>
  <si>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</si>
  <si>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</si>
  <si>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</si>
  <si>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</si>
  <si>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</si>
  <si>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</si>
  <si>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</si>
  <si>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</si>
  <si>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</si>
  <si>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</si>
  <si>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</si>
  <si>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</si>
  <si>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</si>
  <si>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</si>
  <si>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</si>
  <si>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</si>
  <si>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</si>
  <si>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</si>
  <si>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</si>
  <si>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</si>
  <si>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</si>
  <si>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</si>
  <si>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</si>
  <si>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</si>
  <si>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</si>
  <si>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</si>
  <si>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</si>
  <si>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</si>
  <si>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</si>
  <si>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</si>
  <si>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</si>
  <si>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</si>
  <si>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</si>
  <si>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</si>
  <si>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</si>
  <si>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</si>
  <si>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</si>
  <si>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</si>
  <si>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</si>
  <si>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</si>
  <si>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</si>
  <si>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</si>
  <si>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</si>
  <si>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</si>
  <si>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</si>
  <si>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</si>
  <si>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</si>
  <si>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</si>
  <si>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</si>
  <si>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</si>
  <si>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</si>
  <si>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</si>
  <si>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</si>
  <si>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</si>
  <si>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</si>
  <si>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</si>
  <si>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</si>
  <si>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</si>
  <si>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</si>
  <si>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</si>
  <si>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</si>
  <si>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</si>
  <si>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</si>
  <si>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</si>
  <si>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</si>
  <si>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</si>
  <si>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</si>
  <si>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</si>
  <si>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</si>
  <si>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</si>
  <si>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</si>
  <si>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</si>
  <si>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</si>
  <si>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</si>
  <si>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</si>
  <si>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</si>
  <si>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</si>
  <si>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</si>
  <si>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</si>
  <si>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</si>
  <si>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</si>
  <si>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</si>
  <si>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</si>
  <si>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</si>
  <si>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</si>
  <si>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</si>
  <si>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</si>
  <si>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</si>
  <si>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</si>
  <si>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</si>
  <si>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</si>
  <si>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</si>
  <si>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</si>
  <si>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</si>
  <si>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</si>
  <si>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</si>
  <si>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</si>
  <si>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</si>
  <si>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</si>
  <si>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</si>
  <si>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</si>
  <si>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</si>
  <si>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</si>
  <si>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</si>
  <si>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</si>
  <si>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</si>
  <si>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</si>
  <si>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</si>
  <si>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</si>
  <si>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</si>
  <si>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</si>
  <si>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</si>
  <si>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</si>
  <si>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</si>
  <si>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</si>
  <si>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</si>
  <si>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</si>
  <si>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</si>
  <si>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</si>
  <si>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</si>
  <si>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</si>
  <si>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</si>
  <si>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</si>
  <si>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</si>
  <si>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</si>
  <si>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</si>
  <si>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</si>
  <si>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</si>
  <si>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</si>
  <si>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</si>
  <si>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</si>
  <si>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</si>
  <si>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</si>
  <si>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</si>
  <si>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</si>
  <si>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</si>
  <si>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</si>
  <si>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</si>
  <si>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</si>
  <si>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</si>
  <si>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</si>
  <si>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</si>
  <si>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</si>
  <si>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</si>
  <si>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</si>
  <si>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</si>
  <si>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</si>
  <si>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</si>
  <si>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</si>
  <si>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</si>
  <si>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</si>
  <si>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</si>
  <si>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</si>
  <si>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</si>
  <si>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</si>
  <si>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</si>
  <si>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</si>
  <si>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</si>
  <si>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</si>
  <si>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</si>
  <si>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</si>
  <si>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</si>
  <si>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</si>
  <si>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</si>
  <si>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</si>
  <si>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</si>
  <si>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</si>
  <si>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</si>
  <si>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</si>
  <si>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</si>
  <si>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</si>
  <si>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</si>
  <si>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</si>
  <si>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</si>
  <si>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</si>
  <si>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</si>
  <si>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</si>
  <si>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</si>
  <si>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</si>
  <si>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</si>
  <si>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</si>
  <si>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</si>
  <si>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</si>
  <si>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</si>
  <si>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</si>
  <si>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</si>
  <si>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</si>
  <si>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</si>
  <si>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</si>
  <si>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</si>
  <si>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</si>
  <si>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</si>
  <si>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</si>
  <si>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</si>
  <si>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</si>
  <si>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</si>
  <si>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</si>
  <si>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</si>
  <si>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</si>
  <si>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</si>
  <si>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</si>
  <si>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</si>
  <si>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</si>
  <si>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</si>
  <si>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</si>
  <si>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</si>
  <si>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</si>
  <si>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</si>
  <si>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</si>
  <si>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</si>
  <si>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</si>
  <si>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</si>
  <si>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</si>
  <si>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</si>
  <si>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</si>
  <si>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</si>
  <si>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</si>
  <si>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</si>
  <si>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</si>
  <si>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</si>
  <si>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</si>
  <si>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</si>
  <si>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</si>
  <si>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</si>
  <si>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</si>
  <si>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</si>
  <si>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</si>
  <si>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</si>
  <si>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</si>
  <si>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</si>
  <si>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</si>
  <si>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</si>
  <si>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</si>
  <si>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</si>
  <si>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</si>
  <si>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</si>
  <si>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</si>
  <si>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</si>
  <si>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</si>
  <si>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</si>
  <si>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</si>
  <si>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</si>
  <si>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</si>
  <si>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</si>
  <si>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</si>
  <si>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</si>
  <si>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</si>
  <si>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</si>
  <si>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</si>
  <si>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</si>
  <si>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</si>
  <si>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</si>
  <si>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</si>
  <si>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</si>
  <si>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</si>
  <si>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</si>
  <si>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</si>
  <si>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</si>
  <si>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</si>
  <si>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</si>
  <si>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</si>
  <si>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</si>
  <si>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</si>
  <si>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</si>
  <si>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</si>
  <si>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</si>
  <si>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</si>
  <si>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</si>
  <si>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</si>
  <si>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</si>
  <si>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</si>
  <si>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</si>
  <si>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</si>
  <si>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</si>
  <si>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</si>
  <si>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</si>
  <si>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</si>
  <si>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</si>
  <si>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</si>
  <si>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</si>
  <si>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</si>
  <si>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</si>
  <si>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</si>
  <si>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</si>
  <si>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</si>
  <si>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</si>
  <si>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</si>
  <si>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</si>
  <si>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</si>
  <si>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</si>
  <si>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</si>
  <si>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</si>
  <si>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</si>
  <si>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</si>
  <si>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</si>
  <si>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</si>
  <si>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</si>
  <si>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</si>
  <si>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</si>
  <si>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</si>
  <si>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</si>
  <si>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</si>
  <si>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</si>
  <si>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</si>
  <si>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</si>
  <si>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</si>
  <si>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</si>
  <si>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</si>
  <si>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</si>
  <si>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</si>
  <si>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</si>
  <si>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</si>
  <si>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</si>
  <si>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</si>
  <si>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</si>
  <si>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</si>
  <si>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</si>
  <si>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</si>
  <si>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</si>
  <si>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</si>
  <si>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</si>
  <si>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</si>
  <si>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</si>
  <si>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</si>
  <si>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</si>
  <si>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</si>
  <si>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</si>
  <si>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</si>
  <si>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</si>
  <si>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</si>
  <si>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</si>
  <si>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</si>
  <si>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</si>
  <si>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</si>
  <si>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</si>
  <si>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</si>
  <si>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</si>
  <si>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</si>
  <si>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</si>
  <si>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</si>
  <si>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</si>
  <si>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</si>
  <si>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</si>
  <si>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</si>
  <si>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</si>
  <si>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</si>
  <si>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</si>
  <si>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</si>
  <si>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</si>
  <si>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</si>
  <si>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</si>
  <si>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</si>
  <si>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</si>
  <si>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</si>
  <si>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</si>
  <si>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</si>
  <si>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</si>
  <si>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</si>
  <si>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</si>
  <si>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</si>
  <si>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</si>
  <si>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</si>
  <si>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</si>
  <si>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</si>
  <si>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</si>
  <si>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</si>
  <si>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</si>
  <si>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</si>
  <si>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</si>
  <si>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</si>
  <si>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</si>
  <si>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</si>
  <si>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</si>
  <si>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</si>
  <si>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</si>
  <si>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</si>
  <si>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</si>
  <si>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</si>
  <si>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</si>
  <si>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</si>
  <si>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</si>
  <si>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</si>
  <si>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</si>
  <si>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</si>
  <si>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</si>
  <si>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</si>
  <si>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</si>
  <si>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</si>
  <si>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</si>
  <si>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</si>
  <si>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</si>
  <si>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</si>
  <si>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</si>
  <si>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</si>
  <si>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</si>
  <si>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</si>
  <si>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</si>
  <si>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</si>
  <si>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</si>
  <si>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</si>
  <si>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</si>
  <si>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</si>
  <si>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</si>
  <si>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</si>
  <si>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</si>
  <si>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</si>
  <si>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</si>
  <si>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</si>
  <si>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</si>
  <si>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</si>
  <si>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</si>
  <si>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</si>
  <si>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</si>
  <si>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</si>
  <si>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</si>
  <si>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</si>
  <si>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</si>
  <si>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</si>
  <si>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</si>
  <si>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</si>
  <si>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</si>
  <si>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</si>
  <si>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</si>
  <si>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</si>
  <si>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</si>
  <si>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</si>
  <si>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</si>
  <si>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</si>
  <si>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</si>
  <si>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</si>
  <si>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</si>
  <si>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</si>
  <si>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</si>
  <si>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</si>
  <si>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</si>
  <si>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</si>
  <si>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</si>
  <si>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</si>
  <si>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</si>
  <si>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</si>
  <si>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</si>
  <si>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</si>
  <si>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</si>
  <si>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</si>
  <si>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</si>
  <si>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</si>
  <si>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</si>
  <si>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</si>
  <si>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</si>
  <si>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</si>
  <si>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</si>
  <si>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</si>
  <si>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</si>
  <si>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</si>
  <si>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</si>
  <si>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</si>
  <si>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</si>
  <si>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</si>
  <si>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</si>
  <si>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</si>
  <si>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</si>
  <si>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</si>
  <si>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</si>
  <si>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</si>
  <si>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</si>
  <si>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</si>
  <si>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</si>
  <si>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</si>
  <si>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</si>
  <si>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</si>
  <si>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</si>
  <si>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</si>
  <si>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</si>
  <si>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</si>
  <si>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</si>
  <si>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</si>
  <si>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</si>
  <si>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</si>
  <si>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</si>
  <si>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</si>
  <si>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</si>
  <si>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</si>
  <si>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</si>
  <si>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</si>
  <si>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</si>
  <si>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</si>
  <si>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</si>
  <si>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</si>
  <si>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</si>
  <si>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</si>
  <si>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</si>
  <si>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</si>
  <si>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</si>
  <si>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</si>
  <si>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</si>
  <si>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</si>
  <si>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</si>
  <si>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</si>
  <si>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</si>
  <si>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</si>
  <si>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</si>
  <si>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</si>
  <si>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</si>
  <si>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</si>
  <si>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</si>
  <si>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</si>
  <si>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</si>
  <si>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</si>
  <si>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</si>
  <si>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</si>
  <si>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</si>
  <si>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</si>
  <si>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</si>
  <si>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</si>
  <si>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</si>
  <si>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</si>
  <si>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</si>
  <si>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</si>
  <si>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</si>
  <si>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</si>
  <si>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</si>
  <si>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</si>
  <si>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</si>
  <si>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</si>
  <si>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</si>
  <si>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</si>
  <si>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</si>
  <si>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</si>
  <si>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</si>
  <si>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</si>
  <si>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</si>
  <si>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</si>
  <si>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</si>
  <si>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</si>
  <si>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</si>
  <si>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</si>
  <si>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</si>
  <si>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</si>
  <si>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</si>
  <si>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</si>
  <si>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</si>
  <si>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</si>
  <si>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</si>
  <si>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</si>
  <si>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</si>
  <si>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</si>
  <si>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</si>
  <si>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</si>
  <si>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</si>
  <si>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</si>
  <si>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</si>
  <si>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</si>
  <si>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</si>
  <si>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</si>
  <si>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</si>
  <si>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</si>
  <si>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</si>
  <si>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</si>
  <si>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</si>
  <si>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</si>
  <si>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</si>
  <si>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</si>
  <si>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</si>
  <si>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</si>
  <si>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</si>
  <si>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</si>
  <si>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</si>
  <si>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</si>
  <si>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</si>
  <si>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</si>
  <si>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</si>
  <si>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</si>
  <si>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</si>
  <si>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</si>
  <si>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</si>
  <si>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</si>
  <si>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</si>
  <si>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</si>
  <si>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</si>
  <si>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</si>
  <si>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</si>
  <si>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</si>
  <si>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</si>
  <si>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</si>
  <si>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</si>
  <si>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</si>
  <si>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</si>
  <si>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</si>
  <si>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</si>
  <si>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</si>
  <si>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</si>
  <si>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</si>
  <si>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</si>
  <si>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</si>
  <si>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</si>
  <si>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</si>
  <si>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</si>
  <si>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</si>
  <si>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</si>
  <si>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</si>
  <si>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</si>
  <si>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</si>
  <si>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</si>
  <si>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</si>
  <si>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</si>
  <si>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</si>
  <si>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</si>
  <si>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</si>
  <si>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</si>
  <si>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</si>
  <si>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</si>
  <si>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</si>
  <si>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</si>
  <si>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</si>
  <si>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</si>
  <si>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</si>
  <si>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</si>
  <si>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</si>
  <si>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</si>
  <si>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</si>
  <si>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</si>
  <si>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</si>
  <si>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</si>
  <si>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</si>
  <si>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</si>
  <si>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</si>
  <si>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</si>
  <si>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</si>
  <si>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</si>
  <si>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</si>
  <si>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</si>
  <si>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</si>
  <si>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</si>
  <si>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</si>
  <si>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</si>
  <si>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</si>
  <si>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</si>
  <si>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</si>
  <si>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</si>
  <si>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</si>
  <si>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</si>
  <si>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</si>
  <si>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</si>
  <si>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</si>
  <si>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</si>
  <si>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</si>
  <si>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</si>
  <si>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</si>
  <si>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</si>
  <si>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</si>
  <si>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</si>
  <si>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</si>
  <si>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</si>
  <si>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</si>
  <si>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</si>
  <si>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</si>
  <si>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</si>
  <si>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</si>
  <si>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</si>
  <si>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</si>
  <si>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</si>
  <si>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</si>
  <si>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</si>
  <si>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</si>
  <si>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</si>
  <si>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</si>
  <si>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</si>
  <si>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</si>
  <si>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</si>
  <si>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</si>
  <si>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</si>
  <si>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</si>
  <si>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</si>
  <si>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</si>
  <si>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</si>
  <si>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</si>
  <si>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</si>
  <si>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</si>
  <si>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</si>
  <si>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</si>
  <si>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</si>
  <si>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</si>
  <si>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</si>
  <si>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</si>
  <si>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</si>
  <si>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</si>
  <si>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</si>
  <si>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</si>
  <si>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</si>
  <si>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</si>
  <si>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</si>
  <si>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</si>
  <si>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</si>
  <si>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</si>
  <si>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</si>
  <si>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</si>
  <si>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</si>
  <si>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</si>
  <si>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</si>
  <si>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</si>
  <si>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</si>
  <si>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</si>
  <si>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</si>
  <si>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</si>
  <si>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</si>
  <si>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</si>
  <si>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</si>
  <si>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</si>
  <si>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</si>
  <si>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</si>
  <si>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</si>
  <si>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</si>
  <si>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</si>
  <si>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</si>
  <si>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</si>
  <si>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</si>
  <si>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</si>
  <si>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</si>
  <si>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</si>
  <si>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</si>
  <si>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</si>
  <si>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</si>
  <si>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</si>
  <si>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</si>
  <si>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</si>
  <si>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</si>
  <si>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</si>
  <si>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</si>
  <si>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</si>
  <si>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</si>
  <si>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</si>
  <si>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</si>
  <si>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</si>
  <si>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</si>
  <si>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</si>
  <si>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</si>
  <si>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</si>
  <si>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</si>
  <si>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</si>
  <si>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</si>
  <si>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</si>
  <si>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</si>
  <si>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</si>
  <si>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</si>
  <si>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</si>
  <si>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</si>
  <si>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</si>
  <si>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</si>
  <si>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</si>
  <si>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</si>
  <si>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</si>
  <si>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</si>
  <si>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</si>
  <si>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</si>
  <si>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</si>
  <si>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</si>
  <si>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</si>
  <si>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</si>
  <si>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</si>
  <si>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</si>
  <si>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</si>
  <si>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</si>
  <si>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</si>
  <si>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</si>
  <si>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</si>
  <si>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</si>
  <si>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</si>
  <si>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</si>
  <si>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</si>
  <si>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</si>
  <si>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</si>
  <si>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</si>
  <si>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</si>
  <si>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</si>
  <si>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</si>
  <si>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</si>
  <si>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</si>
  <si>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</si>
  <si>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</si>
  <si>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</si>
  <si>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</si>
  <si>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</si>
  <si>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</si>
  <si>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</si>
  <si>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</si>
  <si>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</si>
  <si>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</si>
  <si>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</si>
  <si>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</si>
  <si>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</si>
  <si>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</si>
  <si>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</si>
  <si>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</si>
  <si>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</si>
  <si>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</si>
  <si>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</si>
  <si>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</si>
  <si>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</si>
  <si>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</si>
  <si>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</si>
  <si>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</si>
  <si>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</si>
  <si>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</si>
  <si>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</si>
  <si>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</si>
  <si>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</si>
  <si>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</si>
  <si>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</si>
  <si>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</si>
  <si>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</si>
  <si>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</si>
  <si>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</si>
  <si>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</si>
  <si>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</si>
  <si>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</si>
  <si>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</si>
  <si>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</si>
  <si>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</si>
  <si>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</si>
  <si>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</si>
  <si>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</si>
  <si>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</si>
  <si>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</si>
  <si>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</si>
  <si>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</si>
  <si>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</si>
  <si>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</si>
  <si>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</si>
  <si>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</si>
  <si>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</si>
  <si>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</si>
  <si>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</si>
  <si>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</si>
  <si>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</si>
  <si>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</si>
  <si>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</si>
  <si>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</si>
  <si>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</si>
  <si>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</si>
  <si>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</si>
  <si>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</si>
  <si>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</si>
  <si>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</si>
  <si>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</si>
  <si>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</si>
  <si>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</si>
  <si>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</si>
  <si>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</si>
  <si>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</si>
  <si>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</si>
  <si>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</si>
  <si>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</si>
  <si>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</si>
  <si>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</si>
  <si>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</si>
  <si>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</si>
  <si>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</si>
  <si>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</si>
  <si>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</si>
  <si>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</si>
  <si>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</si>
  <si>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</si>
  <si>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</si>
  <si>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</si>
  <si>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</si>
  <si>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</si>
  <si>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</si>
  <si>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</si>
  <si>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</si>
  <si>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</si>
  <si>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</si>
  <si>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</si>
  <si>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</si>
  <si>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</si>
  <si>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</si>
  <si>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</si>
  <si>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</si>
  <si>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</si>
  <si>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</si>
  <si>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</si>
  <si>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</si>
  <si>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</si>
  <si>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</si>
  <si>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</si>
  <si>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</si>
  <si>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</si>
  <si>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</si>
  <si>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</si>
  <si>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</si>
  <si>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</si>
  <si>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</si>
  <si>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</si>
  <si>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</si>
  <si>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</si>
  <si>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</si>
  <si>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</si>
  <si>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</si>
  <si>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</si>
  <si>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</si>
  <si>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</si>
  <si>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</si>
  <si>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</si>
  <si>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</si>
  <si>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</si>
  <si>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</si>
  <si>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</si>
  <si>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</si>
  <si>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</si>
  <si>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</si>
  <si>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</si>
  <si>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</si>
  <si>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</si>
  <si>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</si>
  <si>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</si>
  <si>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</si>
  <si>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</si>
  <si>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</si>
  <si>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</si>
  <si>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</si>
  <si>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</si>
  <si>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</si>
  <si>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</si>
  <si>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</si>
  <si>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</si>
  <si>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</si>
  <si>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</si>
  <si>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</si>
  <si>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</si>
  <si>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</si>
  <si>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</si>
  <si>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</si>
  <si>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</si>
  <si>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</si>
  <si>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</si>
  <si>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</si>
  <si>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</si>
  <si>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</si>
  <si>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</si>
  <si>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</si>
  <si>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</si>
  <si>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</si>
  <si>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</si>
  <si>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</si>
  <si>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</si>
  <si>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</si>
  <si>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</si>
  <si>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</si>
  <si>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</si>
  <si>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</si>
  <si>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</si>
  <si>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</si>
  <si>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</si>
  <si>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</si>
  <si>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</si>
  <si>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</si>
  <si>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</si>
  <si>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</si>
  <si>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</si>
  <si>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</si>
  <si>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</si>
  <si>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</si>
  <si>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</si>
  <si>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</si>
  <si>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</si>
  <si>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</si>
  <si>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</si>
  <si>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</si>
  <si>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</si>
  <si>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</si>
  <si>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</si>
  <si>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</si>
  <si>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</si>
  <si>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</si>
  <si>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</si>
  <si>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</si>
  <si>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</si>
  <si>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</si>
  <si>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</si>
  <si>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</si>
  <si>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</si>
  <si>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</si>
  <si>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</si>
  <si>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</si>
  <si>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</si>
  <si>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</si>
  <si>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</si>
  <si>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</si>
  <si>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</si>
  <si>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</si>
  <si>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</si>
  <si>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</si>
  <si>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</si>
  <si>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</si>
  <si>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</si>
  <si>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</si>
  <si>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</si>
  <si>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</si>
  <si>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</si>
  <si>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</si>
  <si>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</si>
  <si>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</si>
  <si>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</si>
  <si>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</si>
  <si>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</si>
  <si>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</si>
  <si>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</si>
  <si>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</si>
  <si>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</si>
  <si>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</si>
  <si>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</si>
  <si>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</si>
  <si>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</si>
  <si>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</si>
  <si>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</si>
  <si>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</si>
  <si>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</si>
  <si>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</si>
  <si>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</si>
  <si>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</si>
  <si>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</si>
  <si>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</si>
  <si>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</si>
  <si>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</si>
  <si>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</si>
  <si>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</si>
  <si>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</si>
  <si>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</si>
  <si>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</si>
  <si>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</si>
  <si>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</si>
  <si>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</si>
  <si>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</si>
  <si>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</si>
  <si>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</si>
  <si>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</si>
  <si>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</si>
  <si>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</si>
  <si>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</si>
  <si>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</si>
  <si>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</si>
  <si>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</si>
  <si>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</si>
  <si>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</si>
  <si>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</si>
  <si>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</si>
  <si>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</si>
  <si>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</si>
  <si>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</si>
  <si>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</si>
  <si>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</si>
  <si>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</si>
  <si>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</si>
  <si>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</si>
  <si>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</si>
  <si>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</si>
  <si>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</si>
  <si>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</si>
  <si>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</si>
  <si>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</si>
  <si>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</si>
  <si>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</si>
  <si>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</si>
  <si>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</si>
  <si>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</si>
  <si>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</si>
  <si>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</si>
  <si>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</si>
  <si>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</si>
  <si>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</si>
  <si>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</si>
  <si>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</si>
  <si>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</si>
  <si>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</si>
  <si>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</si>
  <si>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</si>
  <si>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</si>
  <si>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</si>
  <si>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</si>
  <si>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</si>
  <si>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</si>
  <si>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</si>
  <si>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</si>
  <si>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</si>
  <si>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</si>
  <si>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</si>
  <si>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</si>
  <si>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</si>
  <si>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</si>
  <si>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</si>
  <si>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</si>
  <si>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</si>
  <si>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</si>
  <si>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</si>
  <si>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</si>
  <si>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</si>
  <si>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</si>
  <si>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</si>
  <si>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</si>
  <si>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</si>
  <si>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</si>
  <si>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</si>
  <si>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</si>
  <si>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</si>
  <si>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</si>
  <si>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</si>
  <si>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</si>
  <si>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</si>
  <si>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</si>
  <si>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</si>
  <si>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</si>
  <si>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</si>
  <si>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</si>
  <si>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</si>
  <si>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</si>
  <si>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</si>
  <si>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</si>
  <si>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</si>
  <si>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</si>
  <si>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</si>
  <si>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</si>
  <si>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</si>
  <si>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</si>
  <si>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</si>
  <si>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</si>
  <si>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</si>
  <si>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</si>
  <si>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</si>
  <si>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</si>
  <si>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</si>
  <si>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</si>
  <si>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</si>
  <si>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</si>
  <si>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</si>
  <si>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</si>
  <si>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</si>
  <si>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</si>
  <si>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</si>
  <si>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</si>
  <si>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</si>
  <si>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</si>
  <si>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</si>
  <si>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</si>
  <si>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</si>
  <si>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</si>
  <si>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</si>
  <si>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</si>
  <si>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</si>
  <si>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</si>
  <si>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</si>
  <si>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</si>
  <si>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</si>
  <si>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</si>
  <si>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</si>
  <si>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</si>
  <si>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</si>
  <si>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</si>
  <si>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</si>
  <si>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</si>
  <si>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</si>
  <si>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</si>
  <si>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</si>
  <si>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</si>
  <si>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</si>
  <si>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</si>
  <si>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</si>
  <si>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</si>
  <si>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</si>
  <si>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</si>
  <si>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</si>
  <si>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</si>
  <si>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</si>
  <si>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</si>
  <si>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</si>
  <si>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</si>
  <si>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</si>
  <si>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</si>
  <si>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</si>
  <si>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</si>
  <si>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</si>
  <si>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</si>
  <si>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</si>
  <si>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</si>
  <si>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</si>
  <si>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</si>
  <si>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</si>
  <si>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</si>
  <si>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</si>
  <si>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</si>
  <si>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</si>
  <si>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</si>
  <si>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</si>
  <si>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</si>
  <si>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</si>
  <si>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</si>
  <si>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</si>
  <si>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</si>
  <si>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</si>
  <si>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</si>
  <si>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</si>
  <si>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</si>
  <si>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</si>
  <si>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</si>
  <si>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</si>
  <si>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</si>
  <si>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</si>
  <si>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</si>
  <si>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</si>
  <si>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</si>
  <si>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</si>
  <si>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</si>
  <si>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</si>
  <si>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</si>
  <si>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</si>
  <si>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</si>
  <si>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</si>
  <si>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</si>
  <si>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</si>
  <si>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</si>
  <si>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</si>
  <si>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</si>
  <si>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</si>
  <si>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</si>
  <si>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</si>
  <si>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</si>
  <si>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</si>
  <si>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</si>
  <si>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</si>
  <si>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</si>
  <si>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</si>
  <si>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</si>
  <si>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</si>
  <si>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</si>
  <si>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</si>
  <si>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</si>
  <si>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</si>
  <si>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</si>
  <si>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</si>
  <si>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</si>
  <si>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</si>
  <si>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</si>
  <si>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</si>
  <si>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</si>
  <si>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</si>
  <si>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</si>
  <si>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</si>
  <si>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</si>
  <si>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</si>
  <si>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</si>
  <si>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</si>
  <si>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</si>
  <si>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</si>
  <si>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</si>
  <si>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</si>
  <si>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</si>
  <si>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</si>
  <si>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</si>
  <si>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</si>
  <si>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</si>
  <si>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</si>
  <si>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</si>
  <si>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</si>
  <si>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</si>
  <si>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</si>
  <si>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</si>
  <si>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</si>
  <si>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</si>
  <si>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</si>
  <si>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</si>
  <si>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</si>
  <si>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</si>
  <si>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</si>
  <si>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</si>
  <si>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</si>
  <si>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</si>
  <si>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</si>
  <si>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</si>
  <si>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</si>
  <si>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</si>
  <si>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</si>
  <si>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</si>
  <si>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</si>
  <si>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</si>
  <si>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</si>
  <si>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</si>
  <si>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</si>
  <si>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</si>
  <si>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</si>
  <si>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</si>
  <si>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</si>
  <si>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</si>
  <si>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</si>
  <si>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</si>
  <si>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</si>
  <si>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</si>
  <si>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</si>
  <si>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</si>
  <si>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</si>
  <si>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</si>
  <si>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</si>
  <si>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</si>
  <si>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</si>
  <si>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</si>
  <si>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</si>
  <si>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</si>
  <si>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</si>
  <si>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</si>
  <si>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</si>
  <si>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</si>
  <si>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</si>
  <si>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</si>
  <si>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</si>
  <si>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</si>
  <si>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</si>
  <si>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</si>
  <si>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</si>
  <si>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</si>
  <si>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</si>
  <si>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</si>
  <si>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</si>
  <si>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</si>
  <si>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</si>
  <si>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</si>
  <si>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</si>
  <si>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</si>
  <si>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</si>
  <si>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</si>
  <si>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</si>
  <si>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</si>
  <si>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</si>
  <si>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</si>
  <si>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</si>
  <si>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</si>
  <si>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</si>
  <si>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</si>
  <si>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</si>
  <si>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</si>
  <si>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</si>
  <si>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</si>
  <si>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</si>
  <si>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</si>
  <si>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</si>
  <si>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</si>
  <si>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</si>
  <si>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</si>
  <si>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</si>
  <si>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</si>
  <si>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</si>
  <si>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</si>
  <si>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</si>
  <si>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</si>
  <si>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</si>
  <si>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</si>
  <si>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</si>
  <si>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</si>
  <si>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</si>
  <si>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</si>
  <si>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</si>
  <si>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</si>
  <si>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</si>
  <si>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</si>
  <si>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</si>
  <si>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</si>
  <si>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</si>
  <si>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</si>
  <si>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</si>
  <si>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</si>
  <si>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</si>
  <si>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</si>
  <si>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</si>
  <si>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</si>
  <si>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</si>
  <si>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</si>
  <si>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</si>
  <si>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</si>
  <si>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</si>
  <si>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</si>
  <si>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</si>
  <si>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</si>
  <si>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</si>
  <si>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</si>
  <si>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</si>
  <si>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Not applicable</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</si>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</sst>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1">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xf numFmtId="0" fontId="0" fillId="0" borderId="7" xfId="0" applyBorder="1"/>
    <xf numFmtId="0" fontId="10" fillId="0" borderId="3" xfId="0"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3.413309953707"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8">
        <m/>
        <s v="Conference grant"/>
        <s v="Scholarship"/>
        <s v="Research grant"/>
        <s v="Travel grant"/>
        <s v="Other"/>
        <s v="CPE grant"/>
        <s v="Scholarship grant"/>
        <s v="Consultancy"/>
        <s v="Research Award "/>
        <s v="Institutional Grant"/>
        <s v="Seed Grant"/>
        <n v="2"/>
        <n v="12"/>
        <n v="1"/>
        <n v="6"/>
        <n v="24"/>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0"/>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0"/>
    <x v="9"/>
    <m/>
    <x v="1"/>
    <d v="2025-09-05T00:00:00"/>
    <m/>
    <m/>
    <m/>
    <m/>
    <m/>
  </r>
  <r>
    <n v="481"/>
    <x v="30"/>
    <x v="93"/>
    <s v="Adeyinka"/>
    <s v="Olufolake"/>
    <s v="Adefolarin"/>
    <x v="2"/>
    <x v="6"/>
    <s v="University of Ibadan"/>
    <m/>
    <x v="3"/>
    <s v="TETFUND"/>
    <n v="27754"/>
    <s v="Federal Government of Nigeria"/>
    <n v="2"/>
    <x v="12"/>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1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14"/>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1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1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1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14"/>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5"/>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5"/>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16"/>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0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9">
        <item x="1"/>
        <item x="8"/>
        <item x="6"/>
        <item x="5"/>
        <item x="3"/>
        <item x="2"/>
        <item x="7"/>
        <item x="4"/>
        <item h="1" m="1" x="17"/>
        <item x="0"/>
        <item h="1" x="9"/>
        <item h="1" x="10"/>
        <item h="1" x="11"/>
        <item h="1" x="12"/>
        <item h="1" x="13"/>
        <item h="1" x="14"/>
        <item h="1" x="15"/>
        <item h="1" x="16"/>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6">
      <pivotArea type="all" dataOnly="0" outline="0" fieldPosition="0"/>
    </format>
    <format dxfId="57">
      <pivotArea outline="0" collapsedLevelsAreSubtotals="1" fieldPosition="0"/>
    </format>
    <format dxfId="58">
      <pivotArea type="origin" dataOnly="0" labelOnly="1" outline="0" fieldPosition="0"/>
    </format>
    <format dxfId="59">
      <pivotArea field="6" type="button" dataOnly="0" labelOnly="1" outline="0"/>
    </format>
    <format dxfId="60">
      <pivotArea type="topRight" dataOnly="0" labelOnly="1" outline="0" fieldPosition="0"/>
    </format>
    <format dxfId="61">
      <pivotArea field="16" type="button" dataOnly="0" labelOnly="1" outline="0" axis="axisPage" fieldPosition="0"/>
    </format>
    <format dxfId="62">
      <pivotArea dataOnly="0" labelOnly="1" outline="0" fieldPosition="0">
        <references count="1">
          <reference field="16" count="0"/>
        </references>
      </pivotArea>
    </format>
    <format dxfId="63">
      <pivotArea dataOnly="0" labelOnly="1" grandRow="1" outline="0"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4">
      <pivotArea outline="0" collapsedLevelsAreSubtotals="1" fieldPosition="0"/>
    </format>
    <format dxfId="55">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axis="axisCol" fieldPosition="0"/>
    </format>
    <format dxfId="48">
      <pivotArea type="topRight" dataOnly="0" labelOnly="1" outline="0" fieldPosition="0"/>
    </format>
    <format dxfId="49">
      <pivotArea field="16" type="button" dataOnly="0" labelOnly="1" outline="0" axis="axisRow"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outline="0" fieldPosition="0">
        <references count="1">
          <reference field="6" count="0"/>
        </references>
      </pivotArea>
    </format>
    <format dxfId="53">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4">
      <pivotArea outline="0" collapsedLevelsAreSubtotals="1" fieldPosition="0"/>
    </format>
    <format dxfId="35">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01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1" totalsRowShown="0" headerRowDxfId="28" headerRowBorderDxfId="26" tableBorderDxfId="27" totalsRowBorderDxfId="25">
  <autoFilter ref="A1:Y491"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opLeftCell="A469" zoomScale="83" zoomScaleNormal="83" workbookViewId="0">
      <selection activeCell="O489" sqref="O48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60"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450</v>
      </c>
      <c r="B451" s="17" t="s">
        <v>1534</v>
      </c>
      <c r="C451" s="17" t="s">
        <v>879</v>
      </c>
      <c r="D451" s="17" t="s">
        <v>880</v>
      </c>
      <c r="E451" s="17" t="s">
        <v>881</v>
      </c>
      <c r="F451" s="17" t="s">
        <v>882</v>
      </c>
      <c r="G451" s="17" t="s">
        <v>61</v>
      </c>
      <c r="H451" s="17">
        <f>VALUE(MID(LEFT(Table1[[#This Row],[Unique ID]], FIND("/", Table1[[#This Row],[Unique ID]]) - 1), 2, LEN(Table1[[#This Row],[Unique ID]])))</f>
        <v>10</v>
      </c>
      <c r="I451" s="17" t="s">
        <v>86</v>
      </c>
      <c r="J451" s="17" t="s">
        <v>589</v>
      </c>
      <c r="K451" s="3" t="s">
        <v>56</v>
      </c>
      <c r="L451" s="3" t="s">
        <v>1453</v>
      </c>
      <c r="M451" s="3">
        <v>269582.59999999998</v>
      </c>
      <c r="N451" s="3" t="s">
        <v>1556</v>
      </c>
      <c r="O451" s="3">
        <v>12</v>
      </c>
      <c r="P451" s="3" t="s">
        <v>56</v>
      </c>
      <c r="Q451" s="17">
        <v>2024</v>
      </c>
      <c r="R451" s="17"/>
      <c r="S451" s="17" t="s">
        <v>43</v>
      </c>
      <c r="T451" s="14">
        <v>45323</v>
      </c>
      <c r="U451" s="3" t="s">
        <v>1105</v>
      </c>
      <c r="V451" s="18"/>
      <c r="W451" s="17"/>
      <c r="X451" s="3" t="s">
        <v>1557</v>
      </c>
      <c r="Y451" s="4"/>
    </row>
    <row r="452" spans="1:25">
      <c r="A452" s="3">
        <v>451</v>
      </c>
      <c r="B452" s="17" t="s">
        <v>1534</v>
      </c>
      <c r="C452" s="3" t="s">
        <v>711</v>
      </c>
      <c r="D452" s="3" t="s">
        <v>712</v>
      </c>
      <c r="E452" s="3" t="s">
        <v>713</v>
      </c>
      <c r="F452" s="3" t="s">
        <v>714</v>
      </c>
      <c r="G452" s="3" t="s">
        <v>61</v>
      </c>
      <c r="H452" s="3">
        <f>VALUE(MID(LEFT(Table1[[#This Row],[Unique ID]], FIND("/", Table1[[#This Row],[Unique ID]]) - 1), 2, LEN(Table1[[#This Row],[Unique ID]])))</f>
        <v>4</v>
      </c>
      <c r="I452" s="3" t="s">
        <v>86</v>
      </c>
      <c r="J452" s="3"/>
      <c r="K452" s="3" t="s">
        <v>56</v>
      </c>
      <c r="L452" s="3" t="s">
        <v>1458</v>
      </c>
      <c r="M452" s="3">
        <v>20000</v>
      </c>
      <c r="N452" s="3" t="s">
        <v>283</v>
      </c>
      <c r="O452" s="3">
        <v>24</v>
      </c>
      <c r="P452" s="3" t="s">
        <v>56</v>
      </c>
      <c r="Q452" s="3">
        <v>2024</v>
      </c>
      <c r="R452" s="3"/>
      <c r="S452" s="17" t="s">
        <v>507</v>
      </c>
      <c r="T452" s="14">
        <v>45444</v>
      </c>
      <c r="U452" s="3" t="s">
        <v>1116</v>
      </c>
      <c r="V452" s="4"/>
      <c r="W452" s="3"/>
      <c r="X452" s="3"/>
      <c r="Y452" s="4"/>
    </row>
    <row r="453" spans="1:25">
      <c r="A453" s="3">
        <v>452</v>
      </c>
      <c r="B453" s="17" t="s">
        <v>1534</v>
      </c>
      <c r="C453" s="3" t="s">
        <v>560</v>
      </c>
      <c r="D453" s="3" t="s">
        <v>561</v>
      </c>
      <c r="E453" s="3" t="s">
        <v>562</v>
      </c>
      <c r="F453" s="3" t="s">
        <v>563</v>
      </c>
      <c r="G453" s="3" t="s">
        <v>61</v>
      </c>
      <c r="H453" s="3">
        <f>VALUE(MID(LEFT(Table1[[#This Row],[Unique ID]], FIND("/", Table1[[#This Row],[Unique ID]]) - 1), 2, LEN(Table1[[#This Row],[Unique ID]])))</f>
        <v>8</v>
      </c>
      <c r="I453" s="3" t="s">
        <v>37</v>
      </c>
      <c r="J453" s="3"/>
      <c r="K453" s="3" t="s">
        <v>56</v>
      </c>
      <c r="L453" s="3" t="s">
        <v>1558</v>
      </c>
      <c r="M453" s="3">
        <v>36612</v>
      </c>
      <c r="N453" s="3" t="s">
        <v>1559</v>
      </c>
      <c r="O453" s="3">
        <v>12</v>
      </c>
      <c r="P453" s="3" t="s">
        <v>56</v>
      </c>
      <c r="Q453" s="3">
        <v>2024</v>
      </c>
      <c r="R453" s="3"/>
      <c r="S453" s="17" t="s">
        <v>507</v>
      </c>
      <c r="T453" s="14">
        <v>45597</v>
      </c>
      <c r="U453" s="3" t="s">
        <v>1116</v>
      </c>
      <c r="V453" s="4"/>
      <c r="W453" s="3"/>
      <c r="X453" s="3" t="s">
        <v>1560</v>
      </c>
      <c r="Y453" s="4"/>
    </row>
    <row r="454" spans="1:25">
      <c r="A454" s="3">
        <v>453</v>
      </c>
      <c r="B454" s="17" t="s">
        <v>1534</v>
      </c>
      <c r="C454" s="3" t="s">
        <v>1482</v>
      </c>
      <c r="D454" s="3" t="s">
        <v>1483</v>
      </c>
      <c r="E454" s="3" t="s">
        <v>1484</v>
      </c>
      <c r="F454" s="3" t="s">
        <v>1485</v>
      </c>
      <c r="G454" s="3" t="s">
        <v>61</v>
      </c>
      <c r="H454" s="3">
        <f>VALUE(MID(LEFT(Table1[[#This Row],[Unique ID]], FIND("/", Table1[[#This Row],[Unique ID]]) - 1), 2, LEN(Table1[[#This Row],[Unique ID]])))</f>
        <v>4</v>
      </c>
      <c r="I454" s="3" t="s">
        <v>229</v>
      </c>
      <c r="J454" s="3"/>
      <c r="K454" s="3" t="s">
        <v>56</v>
      </c>
      <c r="L454" s="3"/>
      <c r="M454" s="3"/>
      <c r="N454" s="3"/>
      <c r="O454" s="3"/>
      <c r="P454" s="3" t="s">
        <v>56</v>
      </c>
      <c r="Q454" s="3">
        <v>2024</v>
      </c>
      <c r="R454" s="3"/>
      <c r="S454" s="17" t="s">
        <v>507</v>
      </c>
      <c r="T454" s="3"/>
      <c r="U454" s="3" t="s">
        <v>1116</v>
      </c>
      <c r="V454" s="4"/>
      <c r="W454" s="3"/>
      <c r="X454" s="3"/>
      <c r="Y454" s="4"/>
    </row>
    <row r="455" spans="1:25">
      <c r="A455" s="3">
        <v>454</v>
      </c>
      <c r="B455" s="17" t="s">
        <v>1534</v>
      </c>
      <c r="C455" s="3" t="s">
        <v>1108</v>
      </c>
      <c r="D455" s="3" t="s">
        <v>1109</v>
      </c>
      <c r="E455" s="3" t="s">
        <v>1110</v>
      </c>
      <c r="F455" s="3" t="s">
        <v>1111</v>
      </c>
      <c r="G455" s="3" t="s">
        <v>35</v>
      </c>
      <c r="H455" s="3">
        <f>VALUE(MID(LEFT(Table1[[#This Row],[Unique ID]], FIND("/", Table1[[#This Row],[Unique ID]]) - 1), 2, LEN(Table1[[#This Row],[Unique ID]])))</f>
        <v>8</v>
      </c>
      <c r="I455" s="3" t="s">
        <v>86</v>
      </c>
      <c r="J455" s="3"/>
      <c r="K455" s="3" t="s">
        <v>56</v>
      </c>
      <c r="L455" s="3" t="s">
        <v>1561</v>
      </c>
      <c r="M455" s="3">
        <v>3000</v>
      </c>
      <c r="N455" s="3" t="s">
        <v>1562</v>
      </c>
      <c r="O455" s="3">
        <v>12</v>
      </c>
      <c r="P455" s="3" t="s">
        <v>56</v>
      </c>
      <c r="Q455" s="3">
        <v>2024</v>
      </c>
      <c r="R455" s="3"/>
      <c r="S455" s="17" t="s">
        <v>507</v>
      </c>
      <c r="T455" s="14">
        <v>45627</v>
      </c>
      <c r="U455" s="3" t="s">
        <v>1105</v>
      </c>
      <c r="V455" s="4"/>
      <c r="W455" s="3"/>
      <c r="X455" s="3" t="s">
        <v>1563</v>
      </c>
      <c r="Y455" s="4"/>
    </row>
    <row r="456" spans="1:25">
      <c r="A456" s="3">
        <v>455</v>
      </c>
      <c r="B456" s="17" t="s">
        <v>1534</v>
      </c>
      <c r="C456" s="3" t="s">
        <v>151</v>
      </c>
      <c r="D456" s="3" t="s">
        <v>1564</v>
      </c>
      <c r="E456" s="3" t="s">
        <v>1565</v>
      </c>
      <c r="F456" s="3" t="s">
        <v>1566</v>
      </c>
      <c r="G456" s="3" t="s">
        <v>61</v>
      </c>
      <c r="H456" s="3">
        <f>VALUE(MID(LEFT(Table1[[#This Row],[Unique ID]], FIND("/", Table1[[#This Row],[Unique ID]]) - 1), 2, LEN(Table1[[#This Row],[Unique ID]])))</f>
        <v>7</v>
      </c>
      <c r="I456" s="3" t="s">
        <v>36</v>
      </c>
      <c r="J456" s="3"/>
      <c r="K456" s="3" t="s">
        <v>42</v>
      </c>
      <c r="L456" s="3" t="s">
        <v>1567</v>
      </c>
      <c r="M456" s="3"/>
      <c r="N456" s="3" t="s">
        <v>1568</v>
      </c>
      <c r="O456" s="3"/>
      <c r="P456" s="3" t="s">
        <v>42</v>
      </c>
      <c r="Q456" s="3">
        <v>2024</v>
      </c>
      <c r="R456" s="3"/>
      <c r="S456" s="17" t="s">
        <v>507</v>
      </c>
      <c r="T456" s="14">
        <v>45629</v>
      </c>
      <c r="U456" s="3"/>
      <c r="V456" s="4"/>
      <c r="W456" s="3"/>
      <c r="X456" s="3" t="s">
        <v>1569</v>
      </c>
      <c r="Y456" s="4"/>
    </row>
    <row r="457" spans="1:25">
      <c r="A457" s="3">
        <v>456</v>
      </c>
      <c r="B457" s="17" t="s">
        <v>1534</v>
      </c>
      <c r="C457" s="3" t="s">
        <v>287</v>
      </c>
      <c r="D457" s="3" t="s">
        <v>1321</v>
      </c>
      <c r="E457" s="3" t="s">
        <v>1322</v>
      </c>
      <c r="F457" s="3" t="s">
        <v>289</v>
      </c>
      <c r="G457" s="3" t="s">
        <v>35</v>
      </c>
      <c r="H457" s="3">
        <f>VALUE(MID(LEFT(Table1[[#This Row],[Unique ID]], FIND("/", Table1[[#This Row],[Unique ID]]) - 1), 2, LEN(Table1[[#This Row],[Unique ID]])))</f>
        <v>6</v>
      </c>
      <c r="I457" s="3" t="s">
        <v>76</v>
      </c>
      <c r="J457" s="3"/>
      <c r="K457" s="3" t="s">
        <v>1570</v>
      </c>
      <c r="L457" s="3" t="s">
        <v>1571</v>
      </c>
      <c r="M457" s="3"/>
      <c r="N457" s="3" t="s">
        <v>1572</v>
      </c>
      <c r="O457" s="3">
        <v>12</v>
      </c>
      <c r="P457" s="3" t="s">
        <v>1570</v>
      </c>
      <c r="Q457" s="3">
        <v>2024</v>
      </c>
      <c r="R457" s="3"/>
      <c r="S457" s="17" t="s">
        <v>507</v>
      </c>
      <c r="T457" s="14">
        <v>45652</v>
      </c>
      <c r="U457" s="3"/>
      <c r="V457" s="4"/>
      <c r="W457" s="3"/>
      <c r="X457" s="3" t="s">
        <v>1573</v>
      </c>
      <c r="Y457" s="4"/>
    </row>
    <row r="458" spans="1:25">
      <c r="A458" s="3">
        <v>457</v>
      </c>
      <c r="B458" s="17" t="s">
        <v>1534</v>
      </c>
      <c r="C458" s="28" t="s">
        <v>565</v>
      </c>
      <c r="D458" s="3" t="s">
        <v>566</v>
      </c>
      <c r="E458" s="3" t="s">
        <v>202</v>
      </c>
      <c r="F458" s="3" t="s">
        <v>567</v>
      </c>
      <c r="G458" s="3" t="s">
        <v>61</v>
      </c>
      <c r="H458" s="3">
        <f>VALUE(MID(LEFT(Table1[[#This Row],[Unique ID]], FIND("/", Table1[[#This Row],[Unique ID]]) - 1), 2, LEN(Table1[[#This Row],[Unique ID]])))</f>
        <v>8</v>
      </c>
      <c r="I458" s="3" t="s">
        <v>86</v>
      </c>
      <c r="J458" s="3"/>
      <c r="K458" s="3" t="s">
        <v>1574</v>
      </c>
      <c r="L458" s="3" t="s">
        <v>1575</v>
      </c>
      <c r="M458" s="3">
        <v>19008</v>
      </c>
      <c r="N458" s="3" t="s">
        <v>1576</v>
      </c>
      <c r="O458" s="3">
        <v>6</v>
      </c>
      <c r="P458" s="3" t="s">
        <v>1574</v>
      </c>
      <c r="Q458" s="3">
        <v>2024</v>
      </c>
      <c r="R458" s="3"/>
      <c r="S458" s="17" t="s">
        <v>507</v>
      </c>
      <c r="T458" s="14">
        <v>45505</v>
      </c>
      <c r="U458" s="3"/>
      <c r="V458" s="4"/>
      <c r="W458" s="3"/>
      <c r="X458" s="3" t="s">
        <v>1577</v>
      </c>
      <c r="Y458" s="4"/>
    </row>
    <row r="459" spans="1:25">
      <c r="A459" s="3">
        <v>458</v>
      </c>
      <c r="B459" s="17" t="s">
        <v>1534</v>
      </c>
      <c r="C459" s="47" t="s">
        <v>1578</v>
      </c>
      <c r="D459" s="3" t="s">
        <v>1579</v>
      </c>
      <c r="E459" s="3" t="s">
        <v>1580</v>
      </c>
      <c r="F459" s="3" t="s">
        <v>1581</v>
      </c>
      <c r="G459" s="3" t="s">
        <v>61</v>
      </c>
      <c r="H459" s="3">
        <f>VALUE(MID(LEFT(Table1[[#This Row],[Unique ID]], FIND("/", Table1[[#This Row],[Unique ID]]) - 1), 2, LEN(Table1[[#This Row],[Unique ID]])))</f>
        <v>9</v>
      </c>
      <c r="I459" s="3" t="s">
        <v>86</v>
      </c>
      <c r="J459" s="3"/>
      <c r="K459" s="3" t="s">
        <v>42</v>
      </c>
      <c r="L459" s="3" t="s">
        <v>1582</v>
      </c>
      <c r="M459" s="3">
        <v>0</v>
      </c>
      <c r="N459" s="3" t="s">
        <v>1582</v>
      </c>
      <c r="O459" s="3">
        <v>10</v>
      </c>
      <c r="P459" s="3" t="s">
        <v>42</v>
      </c>
      <c r="Q459" s="3">
        <v>2024</v>
      </c>
      <c r="R459" s="3"/>
      <c r="S459" s="17" t="s">
        <v>507</v>
      </c>
      <c r="T459" s="3"/>
      <c r="U459" s="3"/>
      <c r="V459" s="4"/>
      <c r="W459" s="3"/>
      <c r="X459" s="3" t="s">
        <v>1582</v>
      </c>
      <c r="Y459" s="4"/>
    </row>
    <row r="460" spans="1:25">
      <c r="A460" s="3">
        <v>459</v>
      </c>
      <c r="B460" s="17" t="s">
        <v>1534</v>
      </c>
      <c r="C460" s="3" t="s">
        <v>625</v>
      </c>
      <c r="D460" s="3" t="s">
        <v>626</v>
      </c>
      <c r="E460" s="3" t="s">
        <v>627</v>
      </c>
      <c r="F460" s="3" t="s">
        <v>628</v>
      </c>
      <c r="G460" s="3" t="s">
        <v>35</v>
      </c>
      <c r="H460" s="3">
        <f>VALUE(MID(LEFT(Table1[[#This Row],[Unique ID]], FIND("/", Table1[[#This Row],[Unique ID]]) - 1), 2, LEN(Table1[[#This Row],[Unique ID]])))</f>
        <v>9</v>
      </c>
      <c r="I460" s="3" t="s">
        <v>86</v>
      </c>
      <c r="J460" s="3"/>
      <c r="K460" s="3" t="s">
        <v>56</v>
      </c>
      <c r="L460" s="3" t="s">
        <v>1583</v>
      </c>
      <c r="M460" s="3">
        <v>2500</v>
      </c>
      <c r="N460" s="3" t="s">
        <v>283</v>
      </c>
      <c r="O460" s="3">
        <v>12</v>
      </c>
      <c r="P460" s="3" t="s">
        <v>56</v>
      </c>
      <c r="Q460" s="3">
        <v>2024</v>
      </c>
      <c r="R460" s="3"/>
      <c r="S460" s="17" t="s">
        <v>507</v>
      </c>
      <c r="T460" s="14">
        <v>45505</v>
      </c>
      <c r="U460" s="3" t="s">
        <v>1105</v>
      </c>
      <c r="V460" s="4"/>
      <c r="W460" s="3"/>
      <c r="X460" s="3" t="s">
        <v>1584</v>
      </c>
      <c r="Y460" s="4"/>
    </row>
    <row r="461" spans="1:25">
      <c r="A461" s="3">
        <v>460</v>
      </c>
      <c r="B461" s="17" t="s">
        <v>1534</v>
      </c>
      <c r="C461" s="3" t="s">
        <v>955</v>
      </c>
      <c r="D461" s="3" t="s">
        <v>1585</v>
      </c>
      <c r="E461" s="3"/>
      <c r="F461" s="3" t="s">
        <v>957</v>
      </c>
      <c r="G461" s="3" t="s">
        <v>61</v>
      </c>
      <c r="H461" s="3">
        <f>VALUE(MID(LEFT(Table1[[#This Row],[Unique ID]], FIND("/", Table1[[#This Row],[Unique ID]]) - 1), 2, LEN(Table1[[#This Row],[Unique ID]])))</f>
        <v>9</v>
      </c>
      <c r="I461" s="3" t="s">
        <v>589</v>
      </c>
      <c r="J461" s="17"/>
      <c r="K461" s="3" t="s">
        <v>160</v>
      </c>
      <c r="L461" s="3" t="s">
        <v>1586</v>
      </c>
      <c r="M461" s="3">
        <v>388</v>
      </c>
      <c r="N461" s="3" t="s">
        <v>1587</v>
      </c>
      <c r="O461" s="3">
        <v>1</v>
      </c>
      <c r="P461" s="3" t="s">
        <v>160</v>
      </c>
      <c r="Q461" s="3">
        <v>2024</v>
      </c>
      <c r="R461" s="17"/>
      <c r="S461" s="17" t="s">
        <v>507</v>
      </c>
      <c r="T461" s="14">
        <v>45535</v>
      </c>
      <c r="U461" s="3"/>
      <c r="V461" s="18"/>
      <c r="W461" s="17"/>
      <c r="X461" s="3" t="s">
        <v>1588</v>
      </c>
      <c r="Y461" s="4"/>
    </row>
    <row r="462" spans="1:25">
      <c r="A462" s="3">
        <v>461</v>
      </c>
      <c r="B462" s="17" t="s">
        <v>1589</v>
      </c>
      <c r="C462" s="17" t="s">
        <v>1590</v>
      </c>
      <c r="D462" s="17" t="s">
        <v>1591</v>
      </c>
      <c r="E462" s="17"/>
      <c r="F462" s="17" t="s">
        <v>1592</v>
      </c>
      <c r="G462" s="17" t="s">
        <v>61</v>
      </c>
      <c r="H462" s="17">
        <f>VALUE(MID(LEFT(Table1[[#This Row],[Unique ID]], FIND("/", Table1[[#This Row],[Unique ID]]) - 1), 2, LEN(Table1[[#This Row],[Unique ID]])))</f>
        <v>1</v>
      </c>
      <c r="I462" s="17" t="s">
        <v>1593</v>
      </c>
      <c r="J462" s="17"/>
      <c r="K462" s="17" t="s">
        <v>62</v>
      </c>
      <c r="L462" s="17" t="s">
        <v>1594</v>
      </c>
      <c r="M462" s="26">
        <v>200000</v>
      </c>
      <c r="N462" s="17" t="s">
        <v>1595</v>
      </c>
      <c r="O462" s="42">
        <v>36</v>
      </c>
      <c r="P462" s="17" t="s">
        <v>56</v>
      </c>
      <c r="Q462" s="17">
        <v>2025</v>
      </c>
      <c r="R462" s="17" t="s">
        <v>1596</v>
      </c>
      <c r="S462" s="17" t="s">
        <v>507</v>
      </c>
      <c r="T462" s="39">
        <v>45649</v>
      </c>
      <c r="U462" s="18" t="s">
        <v>1105</v>
      </c>
      <c r="V462" s="18"/>
      <c r="W462" s="17"/>
      <c r="X462" s="18"/>
      <c r="Y462" s="4"/>
    </row>
    <row r="463" spans="1:25">
      <c r="A463" s="3">
        <v>462</v>
      </c>
      <c r="B463" s="17" t="s">
        <v>1534</v>
      </c>
      <c r="C463" s="17" t="s">
        <v>1174</v>
      </c>
      <c r="D463" s="17" t="s">
        <v>1175</v>
      </c>
      <c r="E463" s="17" t="s">
        <v>1176</v>
      </c>
      <c r="F463" s="17" t="s">
        <v>1177</v>
      </c>
      <c r="G463" s="17" t="s">
        <v>61</v>
      </c>
      <c r="H463" s="17">
        <f>VALUE(MID(LEFT(Table1[[#This Row],[Unique ID]], FIND("/", Table1[[#This Row],[Unique ID]]) - 1), 2, LEN(Table1[[#This Row],[Unique ID]])))</f>
        <v>8</v>
      </c>
      <c r="I463" s="17" t="s">
        <v>36</v>
      </c>
      <c r="J463" s="17" t="s">
        <v>36</v>
      </c>
      <c r="K463" s="17" t="s">
        <v>56</v>
      </c>
      <c r="L463" s="17" t="s">
        <v>1597</v>
      </c>
      <c r="M463" s="26">
        <v>15000</v>
      </c>
      <c r="N463" s="17" t="s">
        <v>1598</v>
      </c>
      <c r="O463" s="42">
        <v>12</v>
      </c>
      <c r="P463" s="17" t="s">
        <v>56</v>
      </c>
      <c r="Q463" s="17">
        <v>2024</v>
      </c>
      <c r="R463" s="17" t="s">
        <v>1599</v>
      </c>
      <c r="S463" s="17" t="s">
        <v>507</v>
      </c>
      <c r="T463" s="39">
        <v>45474</v>
      </c>
      <c r="U463" s="18" t="s">
        <v>1105</v>
      </c>
      <c r="V463" s="18"/>
      <c r="W463" s="17"/>
      <c r="X463" s="18"/>
      <c r="Y463" s="4"/>
    </row>
    <row r="464" spans="1:25">
      <c r="A464" s="3">
        <v>463</v>
      </c>
      <c r="B464" s="17" t="s">
        <v>1534</v>
      </c>
      <c r="C464" s="29" t="s">
        <v>549</v>
      </c>
      <c r="D464" s="29" t="s">
        <v>550</v>
      </c>
      <c r="E464" s="29" t="s">
        <v>551</v>
      </c>
      <c r="F464" s="29" t="s">
        <v>552</v>
      </c>
      <c r="G464" s="29" t="s">
        <v>61</v>
      </c>
      <c r="H464" s="17">
        <f>VALUE(MID(LEFT(Table1[[#This Row],[Unique ID]], FIND("/", Table1[[#This Row],[Unique ID]]) - 1), 2, LEN(Table1[[#This Row],[Unique ID]])))</f>
        <v>8</v>
      </c>
      <c r="I464" s="29" t="s">
        <v>37</v>
      </c>
      <c r="J464" s="17"/>
      <c r="K464" s="29" t="s">
        <v>56</v>
      </c>
      <c r="L464" s="17" t="s">
        <v>1600</v>
      </c>
      <c r="M464" s="24">
        <v>35700</v>
      </c>
      <c r="N464" s="17" t="s">
        <v>1601</v>
      </c>
      <c r="O464" s="3">
        <v>12</v>
      </c>
      <c r="P464" s="17" t="s">
        <v>56</v>
      </c>
      <c r="Q464" s="17">
        <v>2024</v>
      </c>
      <c r="R464" s="17" t="s">
        <v>1602</v>
      </c>
      <c r="S464" s="17" t="s">
        <v>507</v>
      </c>
      <c r="T464" s="39">
        <v>45597</v>
      </c>
      <c r="U464" s="18" t="s">
        <v>1105</v>
      </c>
      <c r="V464" s="18"/>
      <c r="W464" s="17"/>
      <c r="X464" s="18"/>
      <c r="Y464" s="4"/>
    </row>
    <row r="465" spans="1:25">
      <c r="A465" s="3">
        <v>464</v>
      </c>
      <c r="B465" s="17" t="s">
        <v>1589</v>
      </c>
      <c r="C465" s="3" t="s">
        <v>1603</v>
      </c>
      <c r="D465" s="3" t="s">
        <v>1604</v>
      </c>
      <c r="E465" s="3" t="s">
        <v>33</v>
      </c>
      <c r="F465" s="3" t="s">
        <v>1605</v>
      </c>
      <c r="G465" s="3" t="s">
        <v>35</v>
      </c>
      <c r="H465" s="3">
        <f>VALUE(MID(LEFT(Table1[[#This Row],[Unique ID]], FIND("/", Table1[[#This Row],[Unique ID]]) - 1), 2, LEN(Table1[[#This Row],[Unique ID]])))</f>
        <v>9</v>
      </c>
      <c r="I465" s="3" t="s">
        <v>209</v>
      </c>
      <c r="J465" s="3"/>
      <c r="K465" s="29" t="s">
        <v>56</v>
      </c>
      <c r="L465" s="3" t="s">
        <v>1606</v>
      </c>
      <c r="M465" s="26">
        <v>85000</v>
      </c>
      <c r="N465" s="3" t="s">
        <v>1607</v>
      </c>
      <c r="O465" s="41">
        <v>10</v>
      </c>
      <c r="P465" s="3" t="s">
        <v>876</v>
      </c>
      <c r="Q465" s="17">
        <v>2025</v>
      </c>
      <c r="R465" s="17" t="s">
        <v>1608</v>
      </c>
      <c r="S465" s="17" t="s">
        <v>507</v>
      </c>
      <c r="T465" s="33">
        <v>45658</v>
      </c>
      <c r="U465" s="4" t="s">
        <v>1609</v>
      </c>
      <c r="V465" s="4"/>
      <c r="W465" s="3"/>
      <c r="X465" s="4"/>
      <c r="Y465" s="4"/>
    </row>
    <row r="466" spans="1:25" ht="12.75" customHeight="1">
      <c r="A466" s="3">
        <v>465</v>
      </c>
      <c r="B466" s="17" t="s">
        <v>1589</v>
      </c>
      <c r="C466" s="17" t="s">
        <v>303</v>
      </c>
      <c r="D466" s="17" t="s">
        <v>304</v>
      </c>
      <c r="E466" s="17"/>
      <c r="F466" s="17" t="s">
        <v>305</v>
      </c>
      <c r="G466" s="17" t="s">
        <v>35</v>
      </c>
      <c r="H466" s="17">
        <f>VALUE(MID(LEFT(Table1[[#This Row],[Unique ID]], FIND("/", Table1[[#This Row],[Unique ID]]) - 1), 2, LEN(Table1[[#This Row],[Unique ID]])))</f>
        <v>4</v>
      </c>
      <c r="I466" s="17" t="s">
        <v>76</v>
      </c>
      <c r="J466" s="17"/>
      <c r="K466" s="29" t="s">
        <v>1610</v>
      </c>
      <c r="L466" s="3" t="s">
        <v>1611</v>
      </c>
      <c r="M466" s="27">
        <v>1000</v>
      </c>
      <c r="N466" s="17" t="s">
        <v>1612</v>
      </c>
      <c r="O466" s="3">
        <v>3</v>
      </c>
      <c r="P466" s="3" t="s">
        <v>42</v>
      </c>
      <c r="Q466" s="17">
        <v>2025</v>
      </c>
      <c r="R466" s="17"/>
      <c r="S466" s="17" t="s">
        <v>507</v>
      </c>
      <c r="T466" s="39">
        <v>45790</v>
      </c>
      <c r="U466" s="18"/>
      <c r="V466" s="18"/>
      <c r="W466" s="17"/>
      <c r="X466" s="18" t="s">
        <v>1613</v>
      </c>
      <c r="Y466" s="4"/>
    </row>
    <row r="467" spans="1:25">
      <c r="A467" s="3">
        <v>466</v>
      </c>
      <c r="B467" s="17" t="s">
        <v>1589</v>
      </c>
      <c r="C467" s="17" t="s">
        <v>303</v>
      </c>
      <c r="D467" s="17" t="s">
        <v>304</v>
      </c>
      <c r="E467" s="17"/>
      <c r="F467" s="17" t="s">
        <v>305</v>
      </c>
      <c r="G467" s="17" t="s">
        <v>35</v>
      </c>
      <c r="H467" s="17">
        <f>VALUE(MID(LEFT(Table1[[#This Row],[Unique ID]], FIND("/", Table1[[#This Row],[Unique ID]]) - 1), 2, LEN(Table1[[#This Row],[Unique ID]])))</f>
        <v>4</v>
      </c>
      <c r="I467" s="17" t="s">
        <v>76</v>
      </c>
      <c r="J467" s="17"/>
      <c r="K467" s="29" t="s">
        <v>56</v>
      </c>
      <c r="L467" s="3" t="s">
        <v>1614</v>
      </c>
      <c r="M467" s="27">
        <v>100000</v>
      </c>
      <c r="N467" s="17" t="s">
        <v>1615</v>
      </c>
      <c r="O467" s="42">
        <v>24</v>
      </c>
      <c r="P467" s="17" t="s">
        <v>56</v>
      </c>
      <c r="Q467" s="17">
        <v>2025</v>
      </c>
      <c r="R467" s="17" t="s">
        <v>1616</v>
      </c>
      <c r="S467" s="17" t="s">
        <v>507</v>
      </c>
      <c r="T467" s="39">
        <v>45677</v>
      </c>
      <c r="U467" s="3" t="s">
        <v>1116</v>
      </c>
      <c r="V467" s="18"/>
      <c r="W467" s="17"/>
      <c r="X467" s="18" t="s">
        <v>1617</v>
      </c>
      <c r="Y467" s="4"/>
    </row>
    <row r="468" spans="1:25">
      <c r="A468" s="3">
        <v>467</v>
      </c>
      <c r="B468" s="17" t="s">
        <v>1589</v>
      </c>
      <c r="C468" s="3" t="s">
        <v>347</v>
      </c>
      <c r="D468" s="3" t="s">
        <v>348</v>
      </c>
      <c r="E468" s="3" t="s">
        <v>349</v>
      </c>
      <c r="F468" s="3" t="s">
        <v>350</v>
      </c>
      <c r="G468" s="3" t="s">
        <v>35</v>
      </c>
      <c r="H468" s="3">
        <f>VALUE(MID(LEFT(Table1[[#This Row],[Unique ID]], FIND("/", Table1[[#This Row],[Unique ID]]) - 1), 2, LEN(Table1[[#This Row],[Unique ID]])))</f>
        <v>6</v>
      </c>
      <c r="I468" s="3" t="s">
        <v>36</v>
      </c>
      <c r="J468" s="3"/>
      <c r="K468" s="29" t="s">
        <v>56</v>
      </c>
      <c r="L468" s="3" t="s">
        <v>1618</v>
      </c>
      <c r="M468" s="26">
        <v>13425</v>
      </c>
      <c r="N468" s="17" t="s">
        <v>1619</v>
      </c>
      <c r="O468" s="42">
        <v>24</v>
      </c>
      <c r="P468" s="17" t="s">
        <v>56</v>
      </c>
      <c r="Q468" s="17">
        <v>2025</v>
      </c>
      <c r="R468" s="17" t="s">
        <v>1620</v>
      </c>
      <c r="S468" s="17" t="s">
        <v>507</v>
      </c>
      <c r="T468" s="39">
        <v>45870</v>
      </c>
      <c r="U468" s="3" t="s">
        <v>1116</v>
      </c>
      <c r="V468" s="18"/>
      <c r="W468" s="17"/>
      <c r="X468" s="18" t="s">
        <v>1621</v>
      </c>
      <c r="Y468" s="4"/>
    </row>
    <row r="469" spans="1:25">
      <c r="A469" s="3">
        <v>468</v>
      </c>
      <c r="B469" s="28" t="s">
        <v>1589</v>
      </c>
      <c r="C469" s="28" t="s">
        <v>89</v>
      </c>
      <c r="D469" s="28" t="s">
        <v>90</v>
      </c>
      <c r="E469" s="28" t="s">
        <v>91</v>
      </c>
      <c r="F469" s="28" t="s">
        <v>92</v>
      </c>
      <c r="G469" s="28" t="s">
        <v>61</v>
      </c>
      <c r="H469" s="28">
        <f>VALUE(MID(LEFT(Table1[[#This Row],[Unique ID]], FIND("/", Table1[[#This Row],[Unique ID]]) - 1), 2, LEN(Table1[[#This Row],[Unique ID]])))</f>
        <v>7</v>
      </c>
      <c r="I469" s="28" t="s">
        <v>93</v>
      </c>
      <c r="J469" s="17"/>
      <c r="K469" s="29" t="s">
        <v>56</v>
      </c>
      <c r="L469" s="3" t="s">
        <v>1622</v>
      </c>
      <c r="M469" s="26">
        <v>190000</v>
      </c>
      <c r="N469" s="17" t="s">
        <v>1619</v>
      </c>
      <c r="O469" s="42">
        <v>12</v>
      </c>
      <c r="P469" s="17" t="s">
        <v>56</v>
      </c>
      <c r="Q469" s="17">
        <v>2025</v>
      </c>
      <c r="R469" s="17" t="s">
        <v>1623</v>
      </c>
      <c r="S469" s="17" t="s">
        <v>507</v>
      </c>
      <c r="T469" s="39">
        <v>45685</v>
      </c>
      <c r="U469" s="3" t="s">
        <v>1105</v>
      </c>
      <c r="V469" s="18"/>
      <c r="W469" s="17"/>
      <c r="X469" s="18" t="s">
        <v>1624</v>
      </c>
      <c r="Y469" s="4"/>
    </row>
    <row r="470" spans="1:25">
      <c r="A470" s="3">
        <v>469</v>
      </c>
      <c r="B470" s="28" t="s">
        <v>1589</v>
      </c>
      <c r="C470" s="28" t="s">
        <v>1482</v>
      </c>
      <c r="D470" s="28" t="s">
        <v>1483</v>
      </c>
      <c r="E470" s="28" t="s">
        <v>1484</v>
      </c>
      <c r="F470" s="17" t="s">
        <v>1485</v>
      </c>
      <c r="G470" s="17" t="s">
        <v>61</v>
      </c>
      <c r="H470" s="17">
        <f>VALUE(MID(LEFT(Table1[[#This Row],[Unique ID]], FIND("/", Table1[[#This Row],[Unique ID]]) - 1), 2, LEN(Table1[[#This Row],[Unique ID]])))</f>
        <v>4</v>
      </c>
      <c r="I470" s="17" t="s">
        <v>229</v>
      </c>
      <c r="J470" s="17"/>
      <c r="K470" s="29" t="s">
        <v>56</v>
      </c>
      <c r="L470" s="17" t="s">
        <v>1625</v>
      </c>
      <c r="M470" s="26">
        <v>22000</v>
      </c>
      <c r="N470" s="17" t="s">
        <v>1626</v>
      </c>
      <c r="O470" s="42">
        <v>24</v>
      </c>
      <c r="P470" s="17" t="s">
        <v>56</v>
      </c>
      <c r="Q470" s="17">
        <v>2025</v>
      </c>
      <c r="R470" s="17" t="s">
        <v>1627</v>
      </c>
      <c r="S470" s="17" t="s">
        <v>507</v>
      </c>
      <c r="T470" s="39">
        <v>45798</v>
      </c>
      <c r="U470" s="3" t="s">
        <v>1105</v>
      </c>
      <c r="V470" s="18"/>
      <c r="W470" s="17"/>
      <c r="X470" s="18" t="s">
        <v>1628</v>
      </c>
      <c r="Y470" s="4"/>
    </row>
    <row r="471" spans="1:25">
      <c r="A471" s="3">
        <v>470</v>
      </c>
      <c r="B471" s="28" t="s">
        <v>1589</v>
      </c>
      <c r="C471" s="28" t="s">
        <v>1629</v>
      </c>
      <c r="D471" s="28" t="s">
        <v>1630</v>
      </c>
      <c r="E471" s="28" t="s">
        <v>1631</v>
      </c>
      <c r="F471" s="55" t="s">
        <v>1632</v>
      </c>
      <c r="G471" s="17" t="s">
        <v>61</v>
      </c>
      <c r="H471" s="17">
        <f>VALUE(MID(LEFT(Table1[[#This Row],[Unique ID]], FIND("/", Table1[[#This Row],[Unique ID]]) - 1), 2, LEN(Table1[[#This Row],[Unique ID]])))</f>
        <v>9</v>
      </c>
      <c r="I471" s="17" t="s">
        <v>36</v>
      </c>
      <c r="J471" s="17"/>
      <c r="K471" s="29" t="s">
        <v>56</v>
      </c>
      <c r="L471" s="17" t="s">
        <v>1633</v>
      </c>
      <c r="M471" s="26">
        <v>7244.36</v>
      </c>
      <c r="N471" s="17" t="s">
        <v>1634</v>
      </c>
      <c r="O471" s="42">
        <v>12</v>
      </c>
      <c r="P471" s="17" t="s">
        <v>56</v>
      </c>
      <c r="Q471" s="17">
        <v>2024</v>
      </c>
      <c r="R471" s="17" t="s">
        <v>1635</v>
      </c>
      <c r="S471" s="17" t="s">
        <v>507</v>
      </c>
      <c r="T471" s="39"/>
      <c r="U471" s="18"/>
      <c r="V471" s="18"/>
      <c r="W471" s="17"/>
      <c r="X471" s="18"/>
      <c r="Y471" s="4"/>
    </row>
    <row r="472" spans="1:25">
      <c r="A472" s="3">
        <v>471</v>
      </c>
      <c r="B472" s="28" t="s">
        <v>1589</v>
      </c>
      <c r="C472" s="56" t="s">
        <v>1578</v>
      </c>
      <c r="D472" s="17" t="s">
        <v>1579</v>
      </c>
      <c r="E472" s="17" t="s">
        <v>1580</v>
      </c>
      <c r="F472" s="17" t="s">
        <v>1581</v>
      </c>
      <c r="G472" s="17" t="s">
        <v>61</v>
      </c>
      <c r="H472" s="17">
        <f>VALUE(MID(LEFT(Table1[[#This Row],[Unique ID]], FIND("/", Table1[[#This Row],[Unique ID]]) - 1), 2, LEN(Table1[[#This Row],[Unique ID]])))</f>
        <v>9</v>
      </c>
      <c r="I472" s="17" t="s">
        <v>86</v>
      </c>
      <c r="J472" s="17"/>
      <c r="K472" s="17" t="s">
        <v>160</v>
      </c>
      <c r="L472" s="17" t="s">
        <v>1636</v>
      </c>
      <c r="M472" s="26">
        <v>157</v>
      </c>
      <c r="N472" s="17" t="s">
        <v>1637</v>
      </c>
      <c r="O472" s="17">
        <v>1</v>
      </c>
      <c r="P472" s="17" t="s">
        <v>160</v>
      </c>
      <c r="Q472" s="17">
        <v>2025</v>
      </c>
      <c r="R472" s="17"/>
      <c r="S472" s="17" t="s">
        <v>507</v>
      </c>
      <c r="T472" s="39">
        <v>45758</v>
      </c>
      <c r="U472" s="18"/>
      <c r="V472" s="18"/>
      <c r="W472" s="17"/>
      <c r="X472" s="18" t="s">
        <v>1638</v>
      </c>
      <c r="Y472" s="4"/>
    </row>
    <row r="473" spans="1:25">
      <c r="A473" s="3">
        <v>472</v>
      </c>
      <c r="B473" s="28" t="s">
        <v>1589</v>
      </c>
      <c r="C473" s="17" t="s">
        <v>863</v>
      </c>
      <c r="D473" s="17" t="s">
        <v>864</v>
      </c>
      <c r="E473" s="17" t="s">
        <v>865</v>
      </c>
      <c r="F473" s="17" t="s">
        <v>866</v>
      </c>
      <c r="G473" s="17" t="s">
        <v>35</v>
      </c>
      <c r="H473" s="17">
        <f>VALUE(MID(LEFT(Table1[[#This Row],[Unique ID]], FIND("/", Table1[[#This Row],[Unique ID]]) - 1), 2, LEN(Table1[[#This Row],[Unique ID]])))</f>
        <v>9</v>
      </c>
      <c r="I473" s="17" t="s">
        <v>93</v>
      </c>
      <c r="J473" s="17" t="s">
        <v>93</v>
      </c>
      <c r="K473" s="17" t="s">
        <v>160</v>
      </c>
      <c r="L473" s="17" t="s">
        <v>1639</v>
      </c>
      <c r="M473" s="26">
        <v>5000</v>
      </c>
      <c r="N473" s="17" t="s">
        <v>1640</v>
      </c>
      <c r="O473" s="17"/>
      <c r="P473" s="17" t="s">
        <v>160</v>
      </c>
      <c r="Q473" s="17">
        <v>2025</v>
      </c>
      <c r="R473" s="17"/>
      <c r="S473" s="17" t="s">
        <v>507</v>
      </c>
      <c r="T473" s="57"/>
      <c r="U473" s="18"/>
      <c r="V473" s="18"/>
      <c r="W473" s="17"/>
      <c r="X473" s="18" t="s">
        <v>1641</v>
      </c>
      <c r="Y473" s="4"/>
    </row>
    <row r="474" spans="1:25">
      <c r="A474" s="3">
        <v>473</v>
      </c>
      <c r="B474" s="28" t="s">
        <v>1589</v>
      </c>
      <c r="C474" s="29" t="s">
        <v>1550</v>
      </c>
      <c r="D474" s="29" t="s">
        <v>1551</v>
      </c>
      <c r="E474" s="29" t="s">
        <v>1552</v>
      </c>
      <c r="F474" s="29" t="s">
        <v>1553</v>
      </c>
      <c r="G474" s="29" t="s">
        <v>61</v>
      </c>
      <c r="H474" s="29">
        <f>VALUE(MID(LEFT(Table1[[#This Row],[Unique ID]], FIND("/", Table1[[#This Row],[Unique ID]]) - 1), 2, LEN(Table1[[#This Row],[Unique ID]])))</f>
        <v>10</v>
      </c>
      <c r="I474" s="29" t="s">
        <v>36</v>
      </c>
      <c r="J474" s="29" t="s">
        <v>36</v>
      </c>
      <c r="K474" s="29" t="s">
        <v>1642</v>
      </c>
      <c r="L474" s="17" t="s">
        <v>1643</v>
      </c>
      <c r="M474" s="26">
        <v>2500</v>
      </c>
      <c r="N474" s="17" t="s">
        <v>283</v>
      </c>
      <c r="O474" s="17">
        <v>12</v>
      </c>
      <c r="P474" s="17" t="s">
        <v>56</v>
      </c>
      <c r="Q474" s="17">
        <v>2025</v>
      </c>
      <c r="R474" s="17" t="s">
        <v>1644</v>
      </c>
      <c r="S474" s="17" t="s">
        <v>43</v>
      </c>
      <c r="T474" s="39">
        <v>45803</v>
      </c>
      <c r="U474" s="3" t="s">
        <v>1105</v>
      </c>
      <c r="V474" s="18"/>
      <c r="W474" s="17"/>
      <c r="X474" s="18" t="s">
        <v>1645</v>
      </c>
      <c r="Y474" s="4"/>
    </row>
    <row r="475" spans="1:25">
      <c r="A475" s="3">
        <v>474</v>
      </c>
      <c r="B475" s="29" t="s">
        <v>1589</v>
      </c>
      <c r="C475" s="29" t="s">
        <v>89</v>
      </c>
      <c r="D475" s="29" t="s">
        <v>90</v>
      </c>
      <c r="E475" s="29" t="s">
        <v>91</v>
      </c>
      <c r="F475" s="29" t="s">
        <v>92</v>
      </c>
      <c r="G475" s="29" t="s">
        <v>61</v>
      </c>
      <c r="H475" s="29">
        <f>VALUE(MID(LEFT(Table1[[#This Row],[Unique ID]], FIND("/", Table1[[#This Row],[Unique ID]]) - 1), 2, LEN(Table1[[#This Row],[Unique ID]])))</f>
        <v>7</v>
      </c>
      <c r="I475" s="29" t="s">
        <v>93</v>
      </c>
      <c r="J475" s="17"/>
      <c r="K475" s="29" t="s">
        <v>56</v>
      </c>
      <c r="L475" s="3" t="s">
        <v>1646</v>
      </c>
      <c r="M475" s="26">
        <v>39000</v>
      </c>
      <c r="N475" s="17" t="s">
        <v>1619</v>
      </c>
      <c r="O475" s="42">
        <v>12</v>
      </c>
      <c r="P475" s="17" t="s">
        <v>56</v>
      </c>
      <c r="Q475" s="17">
        <v>2025</v>
      </c>
      <c r="R475" s="17" t="s">
        <v>1647</v>
      </c>
      <c r="S475" s="17" t="s">
        <v>507</v>
      </c>
      <c r="T475" s="39">
        <v>45807</v>
      </c>
      <c r="U475" s="3" t="s">
        <v>1105</v>
      </c>
      <c r="V475" s="18"/>
      <c r="W475" s="17"/>
      <c r="X475" s="18" t="s">
        <v>1648</v>
      </c>
      <c r="Y475" s="4"/>
    </row>
    <row r="476" spans="1:25">
      <c r="A476" s="3">
        <v>475</v>
      </c>
      <c r="B476" s="17" t="s">
        <v>1589</v>
      </c>
      <c r="C476" s="29" t="s">
        <v>631</v>
      </c>
      <c r="D476" s="29" t="s">
        <v>632</v>
      </c>
      <c r="E476" s="29" t="s">
        <v>1380</v>
      </c>
      <c r="F476" s="29" t="s">
        <v>634</v>
      </c>
      <c r="G476" s="29" t="s">
        <v>61</v>
      </c>
      <c r="H476" s="17">
        <f>VALUE(MID(LEFT(Table1[[#This Row],[Unique ID]], FIND("/", Table1[[#This Row],[Unique ID]]) - 1), 2, LEN(Table1[[#This Row],[Unique ID]])))</f>
        <v>9</v>
      </c>
      <c r="I476" s="29" t="s">
        <v>589</v>
      </c>
      <c r="J476" s="17"/>
      <c r="K476" s="29" t="s">
        <v>1610</v>
      </c>
      <c r="L476" s="17" t="s">
        <v>1649</v>
      </c>
      <c r="M476" s="26">
        <v>2000</v>
      </c>
      <c r="N476" s="17" t="s">
        <v>1650</v>
      </c>
      <c r="O476" s="42">
        <v>1</v>
      </c>
      <c r="P476" s="3" t="s">
        <v>42</v>
      </c>
      <c r="Q476" s="17">
        <v>2025</v>
      </c>
      <c r="R476" s="17"/>
      <c r="S476" s="17" t="s">
        <v>507</v>
      </c>
      <c r="T476" s="39">
        <v>45658</v>
      </c>
      <c r="U476" s="18"/>
      <c r="V476" s="18"/>
      <c r="W476" s="17"/>
      <c r="X476" s="18" t="s">
        <v>1651</v>
      </c>
      <c r="Y476" s="4"/>
    </row>
    <row r="477" spans="1:25">
      <c r="A477" s="3">
        <v>476</v>
      </c>
      <c r="B477" s="17" t="s">
        <v>1589</v>
      </c>
      <c r="C477" s="17" t="s">
        <v>1043</v>
      </c>
      <c r="D477" s="17" t="s">
        <v>1044</v>
      </c>
      <c r="E477" s="17" t="s">
        <v>1045</v>
      </c>
      <c r="F477" s="17" t="s">
        <v>1046</v>
      </c>
      <c r="G477" s="17" t="s">
        <v>35</v>
      </c>
      <c r="H477" s="17">
        <f>VALUE(MID(LEFT(Table1[[#This Row],[Unique ID]], FIND("/", Table1[[#This Row],[Unique ID]]) - 1), 2, LEN(Table1[[#This Row],[Unique ID]])))</f>
        <v>10</v>
      </c>
      <c r="I477" s="17" t="s">
        <v>110</v>
      </c>
      <c r="J477" s="17" t="s">
        <v>589</v>
      </c>
      <c r="K477" s="29" t="s">
        <v>56</v>
      </c>
      <c r="L477" s="17" t="s">
        <v>1652</v>
      </c>
      <c r="M477" s="26">
        <v>5000</v>
      </c>
      <c r="N477" s="17" t="s">
        <v>1653</v>
      </c>
      <c r="O477" s="42">
        <v>12</v>
      </c>
      <c r="P477" s="17" t="s">
        <v>56</v>
      </c>
      <c r="Q477" s="17">
        <v>2025</v>
      </c>
      <c r="R477" s="17"/>
      <c r="S477" s="17" t="s">
        <v>507</v>
      </c>
      <c r="T477" s="39">
        <v>45809</v>
      </c>
      <c r="U477" s="3" t="s">
        <v>1105</v>
      </c>
      <c r="V477" s="18"/>
      <c r="W477" s="17"/>
      <c r="X477" s="18" t="s">
        <v>1654</v>
      </c>
      <c r="Y477" s="4"/>
    </row>
    <row r="478" spans="1:25">
      <c r="A478" s="3">
        <v>477</v>
      </c>
      <c r="B478" s="17" t="s">
        <v>1589</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17" t="s">
        <v>1655</v>
      </c>
      <c r="L478" s="17" t="s">
        <v>1656</v>
      </c>
      <c r="M478" s="26">
        <v>7500</v>
      </c>
      <c r="N478" s="17" t="s">
        <v>1657</v>
      </c>
      <c r="O478" s="42">
        <v>8</v>
      </c>
      <c r="P478" s="17" t="s">
        <v>1655</v>
      </c>
      <c r="Q478" s="17">
        <v>2025</v>
      </c>
      <c r="R478" s="17"/>
      <c r="S478" s="17" t="s">
        <v>507</v>
      </c>
      <c r="T478" s="39">
        <v>45809</v>
      </c>
      <c r="U478" s="18"/>
      <c r="V478" s="18"/>
      <c r="W478" s="17"/>
      <c r="X478" s="18" t="s">
        <v>1658</v>
      </c>
      <c r="Y478" s="4"/>
    </row>
    <row r="479" spans="1:25">
      <c r="A479" s="3">
        <v>478</v>
      </c>
      <c r="B479" s="17" t="s">
        <v>1589</v>
      </c>
      <c r="C479" s="17" t="s">
        <v>641</v>
      </c>
      <c r="D479" s="17" t="s">
        <v>642</v>
      </c>
      <c r="E479" s="17" t="s">
        <v>643</v>
      </c>
      <c r="F479" s="17" t="s">
        <v>644</v>
      </c>
      <c r="G479" s="17" t="s">
        <v>61</v>
      </c>
      <c r="H479" s="17">
        <f>VALUE(MID(LEFT(Table1[[#This Row],[Unique ID]], FIND("/", Table1[[#This Row],[Unique ID]]) - 1), 2, LEN(Table1[[#This Row],[Unique ID]])))</f>
        <v>9</v>
      </c>
      <c r="I479" s="17" t="s">
        <v>37</v>
      </c>
      <c r="J479" s="17" t="s">
        <v>37</v>
      </c>
      <c r="K479" s="29" t="s">
        <v>56</v>
      </c>
      <c r="L479" s="17" t="s">
        <v>1659</v>
      </c>
      <c r="M479" s="26">
        <v>73690</v>
      </c>
      <c r="N479" s="17" t="s">
        <v>1660</v>
      </c>
      <c r="O479" s="3">
        <v>24</v>
      </c>
      <c r="P479" s="17" t="s">
        <v>56</v>
      </c>
      <c r="Q479" s="17">
        <v>2025</v>
      </c>
      <c r="R479" s="17" t="s">
        <v>1661</v>
      </c>
      <c r="S479" s="17" t="s">
        <v>507</v>
      </c>
      <c r="T479" s="39">
        <v>45901</v>
      </c>
      <c r="U479" s="3" t="s">
        <v>1105</v>
      </c>
      <c r="V479" s="18"/>
      <c r="W479" s="17"/>
      <c r="X479" s="18" t="s">
        <v>1662</v>
      </c>
      <c r="Y479" s="4"/>
    </row>
    <row r="480" spans="1:25" ht="15">
      <c r="A480" s="3">
        <v>479</v>
      </c>
      <c r="B480" s="17" t="s">
        <v>1663</v>
      </c>
      <c r="C480" s="3" t="s">
        <v>1664</v>
      </c>
      <c r="D480" s="3" t="s">
        <v>1665</v>
      </c>
      <c r="E480" s="3" t="s">
        <v>1666</v>
      </c>
      <c r="F480" s="3" t="s">
        <v>1553</v>
      </c>
      <c r="G480" s="3" t="s">
        <v>61</v>
      </c>
      <c r="H480" s="59">
        <f>VALUE(MID(LEFT(Table1[[#This Row],[Unique ID]], FIND("/", Table1[[#This Row],[Unique ID]]) - 1), 2, LEN(Table1[[#This Row],[Unique ID]])))</f>
        <v>11</v>
      </c>
      <c r="I480" s="59" t="s">
        <v>37</v>
      </c>
      <c r="J480" s="59" t="s">
        <v>37</v>
      </c>
      <c r="K480" s="59" t="s">
        <v>56</v>
      </c>
      <c r="L480" s="59" t="s">
        <v>1667</v>
      </c>
      <c r="M480" s="59">
        <v>50000</v>
      </c>
      <c r="N480" s="59" t="s">
        <v>1668</v>
      </c>
      <c r="O480" s="59">
        <v>12</v>
      </c>
      <c r="P480" s="59" t="s">
        <v>56</v>
      </c>
      <c r="Q480" s="17">
        <v>2025</v>
      </c>
      <c r="R480" s="59" t="s">
        <v>1669</v>
      </c>
      <c r="S480" s="17" t="s">
        <v>43</v>
      </c>
      <c r="T480" s="39">
        <v>45901</v>
      </c>
      <c r="U480" s="59" t="s">
        <v>1105</v>
      </c>
      <c r="V480" s="59"/>
      <c r="W480" s="59"/>
      <c r="X480" s="4" t="s">
        <v>1670</v>
      </c>
      <c r="Y480" s="4"/>
    </row>
    <row r="481" spans="1:25" ht="15">
      <c r="A481" s="3">
        <v>480</v>
      </c>
      <c r="B481" s="17" t="s">
        <v>1663</v>
      </c>
      <c r="C481" s="17" t="s">
        <v>1671</v>
      </c>
      <c r="D481" s="17" t="s">
        <v>1672</v>
      </c>
      <c r="E481" s="17" t="s">
        <v>1206</v>
      </c>
      <c r="F481" s="17" t="s">
        <v>1673</v>
      </c>
      <c r="G481" s="17" t="s">
        <v>61</v>
      </c>
      <c r="H481" s="59">
        <f>VALUE(MID(LEFT(Table1[[#This Row],[Unique ID]], FIND("/", Table1[[#This Row],[Unique ID]]) - 1), 2, LEN(Table1[[#This Row],[Unique ID]])))</f>
        <v>11</v>
      </c>
      <c r="I481" s="59" t="s">
        <v>86</v>
      </c>
      <c r="J481" s="59" t="s">
        <v>86</v>
      </c>
      <c r="K481" s="59" t="s">
        <v>160</v>
      </c>
      <c r="L481" s="59" t="s">
        <v>1674</v>
      </c>
      <c r="M481" s="59">
        <v>7500</v>
      </c>
      <c r="N481" s="59" t="s">
        <v>1675</v>
      </c>
      <c r="O481" s="59">
        <v>12</v>
      </c>
      <c r="P481" s="59" t="s">
        <v>160</v>
      </c>
      <c r="Q481" s="17">
        <v>2025</v>
      </c>
      <c r="R481" s="59"/>
      <c r="S481" s="17" t="s">
        <v>43</v>
      </c>
      <c r="T481" s="39">
        <v>45905</v>
      </c>
      <c r="U481" s="59"/>
      <c r="V481" s="59"/>
      <c r="W481" s="59"/>
      <c r="X481" s="59"/>
      <c r="Y481" s="18"/>
    </row>
    <row r="482" spans="1:25" ht="15">
      <c r="A482" s="3">
        <v>481</v>
      </c>
      <c r="B482" s="17" t="s">
        <v>1663</v>
      </c>
      <c r="C482" s="3" t="s">
        <v>774</v>
      </c>
      <c r="D482" s="17" t="s">
        <v>1676</v>
      </c>
      <c r="E482" s="17" t="s">
        <v>1677</v>
      </c>
      <c r="F482" s="17" t="s">
        <v>775</v>
      </c>
      <c r="G482" s="3" t="s">
        <v>61</v>
      </c>
      <c r="H482" s="3">
        <f>VALUE(MID(LEFT(Table1[[#This Row],[Unique ID]], FIND("/", Table1[[#This Row],[Unique ID]]) - 1), 2, LEN(Table1[[#This Row],[Unique ID]])))</f>
        <v>3</v>
      </c>
      <c r="I482" s="3" t="s">
        <v>36</v>
      </c>
      <c r="J482" s="3"/>
      <c r="K482" s="3" t="s">
        <v>56</v>
      </c>
      <c r="L482" s="3" t="s">
        <v>283</v>
      </c>
      <c r="M482" s="3">
        <v>27754</v>
      </c>
      <c r="N482" s="3" t="s">
        <v>1678</v>
      </c>
      <c r="O482" s="3">
        <v>2</v>
      </c>
      <c r="P482" s="3" t="s">
        <v>56</v>
      </c>
      <c r="Q482" s="17">
        <v>2025</v>
      </c>
      <c r="R482" s="3" t="s">
        <v>1679</v>
      </c>
      <c r="S482" s="17" t="s">
        <v>507</v>
      </c>
      <c r="T482" s="14">
        <v>46037</v>
      </c>
      <c r="U482" s="3" t="s">
        <v>1116</v>
      </c>
      <c r="V482" s="4"/>
      <c r="W482" s="3"/>
      <c r="X482" s="3" t="s">
        <v>1680</v>
      </c>
      <c r="Y482" s="4"/>
    </row>
    <row r="483" spans="1:25" ht="15">
      <c r="A483" s="3">
        <v>482</v>
      </c>
      <c r="B483" s="17" t="s">
        <v>1663</v>
      </c>
      <c r="C483" s="3" t="s">
        <v>303</v>
      </c>
      <c r="D483" s="17" t="s">
        <v>304</v>
      </c>
      <c r="E483" s="17" t="s">
        <v>1681</v>
      </c>
      <c r="F483" s="17" t="s">
        <v>305</v>
      </c>
      <c r="G483" s="3" t="s">
        <v>35</v>
      </c>
      <c r="H483" s="3">
        <f>VALUE(MID(LEFT(Table1[[#This Row],[Unique ID]], FIND("/", Table1[[#This Row],[Unique ID]]) - 1), 2, LEN(Table1[[#This Row],[Unique ID]])))</f>
        <v>4</v>
      </c>
      <c r="I483" s="3" t="s">
        <v>76</v>
      </c>
      <c r="J483" s="3"/>
      <c r="K483" s="3" t="s">
        <v>56</v>
      </c>
      <c r="L483" s="3" t="s">
        <v>1682</v>
      </c>
      <c r="M483" s="3">
        <v>54000</v>
      </c>
      <c r="N483" s="3" t="s">
        <v>1683</v>
      </c>
      <c r="O483" s="3">
        <v>12</v>
      </c>
      <c r="P483" s="3" t="s">
        <v>56</v>
      </c>
      <c r="Q483" s="17">
        <v>2025</v>
      </c>
      <c r="R483" s="3" t="s">
        <v>1684</v>
      </c>
      <c r="S483" s="17" t="s">
        <v>507</v>
      </c>
      <c r="T483" s="14">
        <v>45968</v>
      </c>
      <c r="U483" s="3" t="s">
        <v>1116</v>
      </c>
      <c r="V483" s="4"/>
      <c r="W483" s="3"/>
      <c r="X483" s="3" t="s">
        <v>1685</v>
      </c>
      <c r="Y483" s="4"/>
    </row>
    <row r="484" spans="1:25" ht="15">
      <c r="A484" s="3">
        <v>483</v>
      </c>
      <c r="B484" s="17" t="s">
        <v>1663</v>
      </c>
      <c r="C484" s="3" t="s">
        <v>716</v>
      </c>
      <c r="D484" s="17" t="s">
        <v>717</v>
      </c>
      <c r="E484" s="17" t="s">
        <v>718</v>
      </c>
      <c r="F484" s="17" t="s">
        <v>719</v>
      </c>
      <c r="G484" s="3" t="s">
        <v>61</v>
      </c>
      <c r="H484" s="3">
        <f>VALUE(MID(LEFT(Table1[[#This Row],[Unique ID]], FIND("/", Table1[[#This Row],[Unique ID]]) - 1), 2, LEN(Table1[[#This Row],[Unique ID]])))</f>
        <v>3</v>
      </c>
      <c r="I484" s="3" t="s">
        <v>229</v>
      </c>
      <c r="J484" s="3"/>
      <c r="K484" s="3" t="s">
        <v>876</v>
      </c>
      <c r="L484" s="3" t="s">
        <v>1686</v>
      </c>
      <c r="M484" s="3">
        <v>2000</v>
      </c>
      <c r="N484" s="3" t="s">
        <v>1687</v>
      </c>
      <c r="O484" s="3">
        <v>1</v>
      </c>
      <c r="P484" s="3" t="s">
        <v>876</v>
      </c>
      <c r="Q484" s="17">
        <v>2025</v>
      </c>
      <c r="R484" s="3"/>
      <c r="S484" s="17" t="s">
        <v>507</v>
      </c>
      <c r="T484" s="14">
        <v>45966</v>
      </c>
      <c r="U484" s="3"/>
      <c r="V484" s="4"/>
      <c r="W484" s="3"/>
      <c r="X484" s="3" t="s">
        <v>1688</v>
      </c>
      <c r="Y484" s="4"/>
    </row>
    <row r="485" spans="1:25" ht="15">
      <c r="A485" s="3">
        <v>484</v>
      </c>
      <c r="B485" s="17" t="s">
        <v>1663</v>
      </c>
      <c r="C485" s="3" t="s">
        <v>1174</v>
      </c>
      <c r="D485" s="17" t="s">
        <v>1689</v>
      </c>
      <c r="E485" s="17" t="s">
        <v>1690</v>
      </c>
      <c r="F485" s="17" t="s">
        <v>1500</v>
      </c>
      <c r="G485" s="3" t="s">
        <v>61</v>
      </c>
      <c r="H485" s="3">
        <f>VALUE(MID(LEFT(Table1[[#This Row],[Unique ID]], FIND("/", Table1[[#This Row],[Unique ID]]) - 1), 2, LEN(Table1[[#This Row],[Unique ID]])))</f>
        <v>8</v>
      </c>
      <c r="I485" s="3" t="s">
        <v>36</v>
      </c>
      <c r="J485" s="3"/>
      <c r="K485" s="3" t="s">
        <v>56</v>
      </c>
      <c r="L485" s="3" t="s">
        <v>1691</v>
      </c>
      <c r="M485" s="3">
        <v>15000</v>
      </c>
      <c r="N485" s="3" t="s">
        <v>1692</v>
      </c>
      <c r="O485" s="3">
        <v>12</v>
      </c>
      <c r="P485" s="3" t="s">
        <v>56</v>
      </c>
      <c r="Q485" s="17">
        <v>2025</v>
      </c>
      <c r="R485" s="3" t="s">
        <v>1693</v>
      </c>
      <c r="S485" s="17" t="s">
        <v>507</v>
      </c>
      <c r="T485" s="14">
        <v>45474</v>
      </c>
      <c r="U485" s="3" t="s">
        <v>1105</v>
      </c>
      <c r="V485" s="4"/>
      <c r="W485" s="3"/>
      <c r="X485" s="3"/>
      <c r="Y485" s="4"/>
    </row>
    <row r="486" spans="1:25" ht="15">
      <c r="A486" s="3">
        <v>485</v>
      </c>
      <c r="B486" s="17" t="s">
        <v>1663</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160</v>
      </c>
      <c r="L486" s="3" t="s">
        <v>1694</v>
      </c>
      <c r="M486" s="3">
        <v>1180</v>
      </c>
      <c r="N486" s="3" t="s">
        <v>1695</v>
      </c>
      <c r="O486" s="3">
        <v>1</v>
      </c>
      <c r="P486" s="3" t="s">
        <v>160</v>
      </c>
      <c r="Q486" s="17">
        <v>2025</v>
      </c>
      <c r="R486" s="3"/>
      <c r="S486" s="17" t="s">
        <v>507</v>
      </c>
      <c r="T486" s="14">
        <v>45901</v>
      </c>
      <c r="U486" s="3"/>
      <c r="V486" s="4"/>
      <c r="W486" s="3"/>
      <c r="X486" s="3" t="s">
        <v>1696</v>
      </c>
      <c r="Y486" s="4"/>
    </row>
    <row r="487" spans="1:25" ht="15">
      <c r="A487" s="3">
        <v>486</v>
      </c>
      <c r="B487" s="17" t="s">
        <v>1663</v>
      </c>
      <c r="C487" s="3" t="s">
        <v>287</v>
      </c>
      <c r="D487" s="17" t="s">
        <v>1321</v>
      </c>
      <c r="E487" s="17" t="s">
        <v>1322</v>
      </c>
      <c r="F487" s="17" t="s">
        <v>289</v>
      </c>
      <c r="G487" s="3" t="s">
        <v>35</v>
      </c>
      <c r="H487" s="3">
        <f>VALUE(MID(LEFT(Table1[[#This Row],[Unique ID]], FIND("/", Table1[[#This Row],[Unique ID]]) - 1), 2, LEN(Table1[[#This Row],[Unique ID]])))</f>
        <v>6</v>
      </c>
      <c r="I487" s="3" t="s">
        <v>76</v>
      </c>
      <c r="J487" s="3"/>
      <c r="K487" s="3" t="s">
        <v>56</v>
      </c>
      <c r="L487" s="3" t="s">
        <v>1697</v>
      </c>
      <c r="M487" s="3">
        <v>142000</v>
      </c>
      <c r="N487" s="3" t="s">
        <v>1698</v>
      </c>
      <c r="O487" s="3">
        <v>12</v>
      </c>
      <c r="P487" s="3" t="s">
        <v>56</v>
      </c>
      <c r="Q487" s="17">
        <v>2025</v>
      </c>
      <c r="R487" s="3" t="s">
        <v>1699</v>
      </c>
      <c r="S487" s="17" t="s">
        <v>507</v>
      </c>
      <c r="T487" s="14">
        <v>45941</v>
      </c>
      <c r="U487" s="3" t="s">
        <v>1116</v>
      </c>
      <c r="V487" s="4"/>
      <c r="W487" s="3"/>
      <c r="X487" s="3" t="s">
        <v>1700</v>
      </c>
      <c r="Y487" s="4"/>
    </row>
    <row r="488" spans="1:25" ht="15">
      <c r="A488" s="3">
        <v>487</v>
      </c>
      <c r="B488" s="17" t="s">
        <v>1663</v>
      </c>
      <c r="C488" s="3" t="s">
        <v>549</v>
      </c>
      <c r="D488" s="17" t="s">
        <v>550</v>
      </c>
      <c r="E488" s="17" t="s">
        <v>551</v>
      </c>
      <c r="F488" s="17" t="s">
        <v>552</v>
      </c>
      <c r="G488" s="3" t="s">
        <v>61</v>
      </c>
      <c r="H488" s="3">
        <f>VALUE(MID(LEFT(Table1[[#This Row],[Unique ID]], FIND("/", Table1[[#This Row],[Unique ID]]) - 1), 2, LEN(Table1[[#This Row],[Unique ID]])))</f>
        <v>8</v>
      </c>
      <c r="I488" s="3" t="s">
        <v>37</v>
      </c>
      <c r="J488" s="3"/>
      <c r="K488" s="3" t="s">
        <v>56</v>
      </c>
      <c r="L488" s="3" t="s">
        <v>1701</v>
      </c>
      <c r="M488" s="3">
        <v>200827</v>
      </c>
      <c r="N488" s="3" t="s">
        <v>1702</v>
      </c>
      <c r="O488" s="3">
        <v>1</v>
      </c>
      <c r="P488" s="3" t="s">
        <v>56</v>
      </c>
      <c r="Q488" s="17">
        <v>2025</v>
      </c>
      <c r="R488" s="3" t="s">
        <v>1703</v>
      </c>
      <c r="S488" s="17" t="s">
        <v>507</v>
      </c>
      <c r="T488" s="3"/>
      <c r="U488" s="3" t="s">
        <v>1116</v>
      </c>
      <c r="V488" s="4"/>
      <c r="W488" s="3"/>
      <c r="X488" s="3" t="s">
        <v>1704</v>
      </c>
      <c r="Y488" s="4"/>
    </row>
    <row r="489" spans="1:25" ht="15">
      <c r="A489" s="3">
        <v>488</v>
      </c>
      <c r="B489" s="17" t="s">
        <v>1663</v>
      </c>
      <c r="C489" s="3" t="s">
        <v>879</v>
      </c>
      <c r="D489" s="17" t="s">
        <v>880</v>
      </c>
      <c r="E489" s="17" t="s">
        <v>881</v>
      </c>
      <c r="F489" s="17" t="s">
        <v>882</v>
      </c>
      <c r="G489" s="3" t="s">
        <v>61</v>
      </c>
      <c r="H489" s="3">
        <f>VALUE(MID(LEFT(Table1[[#This Row],[Unique ID]], FIND("/", Table1[[#This Row],[Unique ID]]) - 1), 2, LEN(Table1[[#This Row],[Unique ID]])))</f>
        <v>10</v>
      </c>
      <c r="I489" s="3" t="s">
        <v>86</v>
      </c>
      <c r="J489" s="3"/>
      <c r="K489" s="3" t="s">
        <v>1705</v>
      </c>
      <c r="L489" s="3" t="s">
        <v>1706</v>
      </c>
      <c r="M489" s="3">
        <v>67215.39</v>
      </c>
      <c r="N489" s="3" t="s">
        <v>1556</v>
      </c>
      <c r="O489" s="3">
        <v>6</v>
      </c>
      <c r="P489" s="3" t="s">
        <v>1705</v>
      </c>
      <c r="Q489" s="17">
        <v>2025</v>
      </c>
      <c r="R489" s="3"/>
      <c r="S489" s="17" t="s">
        <v>507</v>
      </c>
      <c r="T489" s="14">
        <v>46082</v>
      </c>
      <c r="U489" s="3"/>
      <c r="V489" s="4"/>
      <c r="W489" s="3"/>
      <c r="X489" s="3" t="s">
        <v>1707</v>
      </c>
      <c r="Y489" s="4"/>
    </row>
    <row r="490" spans="1:25" ht="15">
      <c r="A490" s="3">
        <v>489</v>
      </c>
      <c r="B490" s="17" t="s">
        <v>1663</v>
      </c>
      <c r="C490" s="3" t="s">
        <v>641</v>
      </c>
      <c r="D490" s="17" t="s">
        <v>642</v>
      </c>
      <c r="E490" s="17" t="s">
        <v>643</v>
      </c>
      <c r="F490" s="17" t="s">
        <v>644</v>
      </c>
      <c r="G490" s="3" t="s">
        <v>61</v>
      </c>
      <c r="H490" s="3">
        <f>VALUE(MID(LEFT(Table1[[#This Row],[Unique ID]], FIND("/", Table1[[#This Row],[Unique ID]]) - 1), 2, LEN(Table1[[#This Row],[Unique ID]])))</f>
        <v>9</v>
      </c>
      <c r="I490" s="3" t="s">
        <v>37</v>
      </c>
      <c r="J490" s="3"/>
      <c r="K490" s="3" t="s">
        <v>1708</v>
      </c>
      <c r="L490" s="3" t="s">
        <v>1709</v>
      </c>
      <c r="M490" s="3">
        <v>10000</v>
      </c>
      <c r="N490" s="3" t="s">
        <v>1710</v>
      </c>
      <c r="O490" s="3">
        <v>6</v>
      </c>
      <c r="P490" s="3" t="s">
        <v>1708</v>
      </c>
      <c r="Q490" s="17">
        <v>2025</v>
      </c>
      <c r="R490" s="3"/>
      <c r="S490" s="17" t="s">
        <v>507</v>
      </c>
      <c r="T490" s="14">
        <v>45962</v>
      </c>
      <c r="U490" s="3"/>
      <c r="V490" s="4"/>
      <c r="W490" s="3"/>
      <c r="X490" s="3" t="s">
        <v>1711</v>
      </c>
      <c r="Y490" s="4"/>
    </row>
    <row r="491" spans="1:25" ht="15">
      <c r="A491" s="3">
        <v>490</v>
      </c>
      <c r="B491" s="17" t="s">
        <v>1663</v>
      </c>
      <c r="C491" s="3" t="s">
        <v>659</v>
      </c>
      <c r="D491" s="17" t="s">
        <v>660</v>
      </c>
      <c r="E491" s="17" t="s">
        <v>661</v>
      </c>
      <c r="F491" s="17" t="s">
        <v>662</v>
      </c>
      <c r="G491" s="3" t="s">
        <v>61</v>
      </c>
      <c r="H491" s="17">
        <f>VALUE(MID(LEFT(Table1[[#This Row],[Unique ID]], FIND("/", Table1[[#This Row],[Unique ID]]) - 1), 2, LEN(Table1[[#This Row],[Unique ID]])))</f>
        <v>9</v>
      </c>
      <c r="I491" s="29" t="s">
        <v>589</v>
      </c>
      <c r="J491" s="17"/>
      <c r="K491" s="3" t="s">
        <v>56</v>
      </c>
      <c r="L491" s="3" t="s">
        <v>1712</v>
      </c>
      <c r="M491" s="3">
        <v>4500</v>
      </c>
      <c r="N491" s="3" t="s">
        <v>1713</v>
      </c>
      <c r="O491" s="3">
        <v>24</v>
      </c>
      <c r="P491" s="3" t="s">
        <v>56</v>
      </c>
      <c r="Q491" s="17">
        <v>2025</v>
      </c>
      <c r="R491" s="3" t="s">
        <v>1714</v>
      </c>
      <c r="S491" s="17" t="s">
        <v>507</v>
      </c>
      <c r="T491" s="14">
        <v>45917</v>
      </c>
      <c r="U491" s="3" t="s">
        <v>1105</v>
      </c>
      <c r="V491" s="18"/>
      <c r="W491" s="17"/>
      <c r="X491" s="3" t="s">
        <v>1715</v>
      </c>
      <c r="Y491" s="18"/>
    </row>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1716</v>
      </c>
    </row>
    <row r="2" spans="1:4">
      <c r="A2" s="5" t="s">
        <v>18</v>
      </c>
      <c r="B2" s="58">
        <v>2025</v>
      </c>
    </row>
    <row r="3" spans="1:4">
      <c r="A3" s="5" t="s">
        <v>20</v>
      </c>
      <c r="B3" t="s">
        <v>507</v>
      </c>
    </row>
    <row r="4" spans="1:4">
      <c r="B4"/>
    </row>
    <row r="5" spans="1:4">
      <c r="A5" s="5" t="s">
        <v>1717</v>
      </c>
      <c r="B5" s="5" t="s">
        <v>8</v>
      </c>
    </row>
    <row r="6" spans="1:4">
      <c r="A6" s="5" t="s">
        <v>4</v>
      </c>
      <c r="B6" t="s">
        <v>61</v>
      </c>
      <c r="C6" t="s">
        <v>35</v>
      </c>
      <c r="D6" t="s">
        <v>1718</v>
      </c>
    </row>
    <row r="7" spans="1:4">
      <c r="A7" t="s">
        <v>89</v>
      </c>
      <c r="B7" s="13">
        <v>229000</v>
      </c>
      <c r="C7" s="13"/>
      <c r="D7" s="13">
        <v>229000</v>
      </c>
    </row>
    <row r="8" spans="1:4">
      <c r="A8" t="s">
        <v>1590</v>
      </c>
      <c r="B8" s="13">
        <v>200000</v>
      </c>
      <c r="C8" s="13"/>
      <c r="D8" s="13">
        <v>200000</v>
      </c>
    </row>
    <row r="9" spans="1:4">
      <c r="A9" t="s">
        <v>303</v>
      </c>
      <c r="B9" s="13"/>
      <c r="C9" s="13">
        <v>101000</v>
      </c>
      <c r="D9" s="13">
        <v>101000</v>
      </c>
    </row>
    <row r="10" spans="1:4">
      <c r="A10" t="s">
        <v>1603</v>
      </c>
      <c r="B10" s="13"/>
      <c r="C10" s="13">
        <v>85000</v>
      </c>
      <c r="D10" s="13">
        <v>85000</v>
      </c>
    </row>
    <row r="11" spans="1:4">
      <c r="A11" t="s">
        <v>641</v>
      </c>
      <c r="B11" s="13">
        <v>73690</v>
      </c>
      <c r="C11" s="13"/>
      <c r="D11" s="13">
        <v>73690</v>
      </c>
    </row>
    <row r="12" spans="1:4">
      <c r="A12" t="s">
        <v>1482</v>
      </c>
      <c r="B12" s="13">
        <v>22000</v>
      </c>
      <c r="C12" s="13"/>
      <c r="D12" s="13">
        <v>22000</v>
      </c>
    </row>
    <row r="13" spans="1:4">
      <c r="A13" t="s">
        <v>347</v>
      </c>
      <c r="B13" s="13"/>
      <c r="C13" s="13">
        <v>13425</v>
      </c>
      <c r="D13" s="13">
        <v>13425</v>
      </c>
    </row>
    <row r="14" spans="1:4">
      <c r="A14" t="s">
        <v>1043</v>
      </c>
      <c r="B14" s="13"/>
      <c r="C14" s="13">
        <v>5000</v>
      </c>
      <c r="D14" s="13">
        <v>5000</v>
      </c>
    </row>
    <row r="15" spans="1:4">
      <c r="A15" t="s">
        <v>863</v>
      </c>
      <c r="B15" s="13"/>
      <c r="C15" s="13">
        <v>5000</v>
      </c>
      <c r="D15" s="13">
        <v>5000</v>
      </c>
    </row>
    <row r="16" spans="1:4">
      <c r="A16" t="s">
        <v>631</v>
      </c>
      <c r="B16" s="13">
        <v>2000</v>
      </c>
      <c r="C16" s="13"/>
      <c r="D16" s="13">
        <v>2000</v>
      </c>
    </row>
    <row r="17" spans="1:4">
      <c r="A17" t="s">
        <v>1578</v>
      </c>
      <c r="B17" s="13">
        <v>157</v>
      </c>
      <c r="C17" s="13"/>
      <c r="D17" s="13">
        <v>157</v>
      </c>
    </row>
    <row r="18" spans="1:4">
      <c r="A18" t="s">
        <v>1718</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abSelected="1"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1719</v>
      </c>
      <c r="C1" t="s">
        <v>1720</v>
      </c>
    </row>
    <row r="2" spans="1:5">
      <c r="A2" s="5" t="s">
        <v>20</v>
      </c>
      <c r="B2" t="s">
        <v>1719</v>
      </c>
    </row>
    <row r="3" spans="1:5">
      <c r="A3" s="5" t="s">
        <v>12</v>
      </c>
      <c r="B3" t="s">
        <v>1719</v>
      </c>
    </row>
    <row r="4" spans="1:5">
      <c r="A4" s="5" t="s">
        <v>3</v>
      </c>
      <c r="B4" t="s">
        <v>1719</v>
      </c>
    </row>
    <row r="6" spans="1:5">
      <c r="A6" s="5" t="s">
        <v>1717</v>
      </c>
      <c r="B6" s="5" t="s">
        <v>8</v>
      </c>
    </row>
    <row r="7" spans="1:5">
      <c r="A7" s="5" t="s">
        <v>18</v>
      </c>
      <c r="B7" t="s">
        <v>61</v>
      </c>
      <c r="C7" t="s">
        <v>35</v>
      </c>
      <c r="D7" t="s">
        <v>29</v>
      </c>
      <c r="E7" t="s">
        <v>1718</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1718</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1719</v>
      </c>
    </row>
    <row r="27" spans="1:5">
      <c r="B27" s="5" t="s">
        <v>8</v>
      </c>
    </row>
    <row r="28" spans="1:5">
      <c r="B28" t="s">
        <v>61</v>
      </c>
      <c r="C28" t="s">
        <v>35</v>
      </c>
      <c r="D28" t="s">
        <v>29</v>
      </c>
      <c r="E28" t="s">
        <v>1718</v>
      </c>
    </row>
    <row r="29" spans="1:5">
      <c r="A29" t="s">
        <v>1717</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1721</v>
      </c>
    </row>
    <row r="51" spans="1:5">
      <c r="A51" s="10" t="s">
        <v>9</v>
      </c>
      <c r="B51" s="11" t="s">
        <v>1719</v>
      </c>
      <c r="C51" s="11"/>
      <c r="D51" s="11"/>
      <c r="E51" s="11"/>
    </row>
    <row r="52" spans="1:5">
      <c r="A52" s="10" t="s">
        <v>20</v>
      </c>
      <c r="B52" s="11" t="s">
        <v>1719</v>
      </c>
      <c r="C52" s="11"/>
      <c r="D52" s="11"/>
      <c r="E52" s="11" t="s">
        <v>1720</v>
      </c>
    </row>
    <row r="53" spans="1:5">
      <c r="A53" s="10" t="s">
        <v>12</v>
      </c>
      <c r="B53" s="11" t="s">
        <v>1719</v>
      </c>
      <c r="C53" s="11"/>
      <c r="D53" s="11"/>
      <c r="E53" s="11"/>
    </row>
    <row r="54" spans="1:5">
      <c r="A54" s="11"/>
      <c r="B54" s="11"/>
      <c r="C54" s="11"/>
      <c r="D54" s="11"/>
      <c r="E54" s="11"/>
    </row>
    <row r="55" spans="1:5">
      <c r="A55" s="10" t="s">
        <v>1722</v>
      </c>
      <c r="B55" s="10" t="s">
        <v>8</v>
      </c>
      <c r="C55" s="11"/>
      <c r="D55" s="11"/>
      <c r="E55" s="11"/>
    </row>
    <row r="56" spans="1:5">
      <c r="A56" s="10" t="s">
        <v>18</v>
      </c>
      <c r="B56" s="11" t="s">
        <v>61</v>
      </c>
      <c r="C56" s="11" t="s">
        <v>35</v>
      </c>
      <c r="D56" s="11" t="s">
        <v>29</v>
      </c>
      <c r="E56" s="11" t="s">
        <v>1718</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1718</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1716</v>
      </c>
    </row>
    <row r="78" spans="1:5">
      <c r="A78" s="10" t="s">
        <v>12</v>
      </c>
      <c r="B78" s="11" t="s">
        <v>1719</v>
      </c>
      <c r="C78" s="11"/>
      <c r="D78" s="11"/>
    </row>
    <row r="79" spans="1:5">
      <c r="A79" s="10" t="s">
        <v>9</v>
      </c>
      <c r="B79" s="11" t="s">
        <v>1719</v>
      </c>
      <c r="C79" s="11"/>
      <c r="D79" s="11"/>
    </row>
    <row r="80" spans="1:5">
      <c r="A80" s="10" t="s">
        <v>20</v>
      </c>
      <c r="B80" s="11" t="s">
        <v>1719</v>
      </c>
      <c r="C80" s="11"/>
      <c r="D80" s="11"/>
    </row>
    <row r="81" spans="1:4">
      <c r="A81" s="11"/>
      <c r="B81" s="11"/>
      <c r="C81" s="11"/>
      <c r="D81" s="11"/>
    </row>
    <row r="82" spans="1:4">
      <c r="A82" s="10" t="s">
        <v>4</v>
      </c>
      <c r="B82" s="11" t="s">
        <v>1717</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1718</v>
      </c>
      <c r="B134" s="11">
        <v>12225605.810000001</v>
      </c>
    </row>
    <row r="135" spans="1:5">
      <c r="A135" s="11"/>
      <c r="B135" s="11"/>
    </row>
    <row r="136" spans="1:5">
      <c r="A136" s="11"/>
      <c r="B136" s="11"/>
    </row>
    <row r="137" spans="1:5">
      <c r="A137" s="11"/>
      <c r="B137" s="11"/>
    </row>
    <row r="139" spans="1:5">
      <c r="A139" s="5" t="s">
        <v>17</v>
      </c>
      <c r="B139" t="s">
        <v>1719</v>
      </c>
    </row>
    <row r="141" spans="1:5">
      <c r="A141" s="5" t="s">
        <v>1717</v>
      </c>
      <c r="B141" s="5" t="s">
        <v>8</v>
      </c>
    </row>
    <row r="142" spans="1:5">
      <c r="A142" s="5" t="s">
        <v>9</v>
      </c>
      <c r="B142" t="s">
        <v>61</v>
      </c>
      <c r="C142" t="s">
        <v>35</v>
      </c>
      <c r="D142" t="s">
        <v>29</v>
      </c>
      <c r="E142" t="s">
        <v>1718</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1723</v>
      </c>
      <c r="B153" s="13">
        <v>0</v>
      </c>
      <c r="C153" s="13">
        <v>0</v>
      </c>
      <c r="D153" s="13">
        <v>5227040</v>
      </c>
      <c r="E153" s="13">
        <v>5227040</v>
      </c>
    </row>
    <row r="154" spans="1:5">
      <c r="A154">
        <v>11</v>
      </c>
      <c r="B154" s="13">
        <v>57500</v>
      </c>
      <c r="C154" s="13">
        <v>0</v>
      </c>
      <c r="D154" s="13">
        <v>0</v>
      </c>
      <c r="E154" s="13">
        <v>57500</v>
      </c>
    </row>
    <row r="155" spans="1:5">
      <c r="A155" t="s">
        <v>1718</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1719</v>
      </c>
    </row>
    <row r="3" spans="2:6">
      <c r="B3" s="5" t="s">
        <v>3</v>
      </c>
      <c r="C3" t="s">
        <v>1716</v>
      </c>
      <c r="F3" t="s">
        <v>1720</v>
      </c>
    </row>
    <row r="4" spans="2:6">
      <c r="B4" s="5" t="s">
        <v>20</v>
      </c>
      <c r="C4" t="s">
        <v>1719</v>
      </c>
    </row>
    <row r="5" spans="2:6">
      <c r="B5" s="5" t="s">
        <v>12</v>
      </c>
      <c r="C5" t="s">
        <v>1719</v>
      </c>
    </row>
    <row r="7" spans="2:6">
      <c r="B7" s="5" t="s">
        <v>1722</v>
      </c>
      <c r="C7" s="5" t="s">
        <v>8</v>
      </c>
    </row>
    <row r="8" spans="2:6">
      <c r="B8" s="5" t="s">
        <v>18</v>
      </c>
      <c r="C8" t="s">
        <v>61</v>
      </c>
      <c r="D8" t="s">
        <v>35</v>
      </c>
      <c r="E8" t="s">
        <v>1718</v>
      </c>
    </row>
    <row r="9" spans="2:6">
      <c r="B9">
        <v>2024</v>
      </c>
      <c r="C9" s="13">
        <v>13</v>
      </c>
      <c r="D9" s="13">
        <v>4</v>
      </c>
      <c r="E9" s="13">
        <v>17</v>
      </c>
    </row>
    <row r="10" spans="2:6">
      <c r="B10">
        <v>2025</v>
      </c>
      <c r="C10" s="13">
        <v>9</v>
      </c>
      <c r="D10" s="13">
        <v>6</v>
      </c>
      <c r="E10" s="13">
        <v>15</v>
      </c>
    </row>
    <row r="11" spans="2:6">
      <c r="B11" t="s">
        <v>1718</v>
      </c>
      <c r="C11" s="13">
        <v>22</v>
      </c>
      <c r="D11" s="13">
        <v>10</v>
      </c>
      <c r="E11" s="13">
        <v>32</v>
      </c>
    </row>
    <row r="23" spans="2:6">
      <c r="B23" s="5" t="s">
        <v>9</v>
      </c>
      <c r="C23" t="s">
        <v>1719</v>
      </c>
    </row>
    <row r="24" spans="2:6">
      <c r="B24" s="5" t="s">
        <v>3</v>
      </c>
      <c r="C24" t="s">
        <v>1719</v>
      </c>
      <c r="F24" t="s">
        <v>1720</v>
      </c>
    </row>
    <row r="25" spans="2:6">
      <c r="B25" s="5" t="s">
        <v>20</v>
      </c>
      <c r="C25" t="s">
        <v>43</v>
      </c>
    </row>
    <row r="26" spans="2:6">
      <c r="B26" s="5" t="s">
        <v>12</v>
      </c>
      <c r="C26" t="s">
        <v>1719</v>
      </c>
    </row>
    <row r="28" spans="2:6">
      <c r="B28" s="5" t="s">
        <v>1717</v>
      </c>
      <c r="C28" s="5" t="s">
        <v>8</v>
      </c>
    </row>
    <row r="29" spans="2:6">
      <c r="B29" s="5" t="s">
        <v>18</v>
      </c>
      <c r="C29" t="s">
        <v>61</v>
      </c>
      <c r="D29" t="s">
        <v>35</v>
      </c>
      <c r="E29" t="s">
        <v>1718</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1718</v>
      </c>
      <c r="C39" s="13">
        <v>8322893.290000001</v>
      </c>
      <c r="D39" s="13">
        <v>5135579.33</v>
      </c>
      <c r="E39" s="13">
        <v>13458472.619999997</v>
      </c>
    </row>
    <row r="45" spans="2:6">
      <c r="B45" s="5" t="s">
        <v>9</v>
      </c>
      <c r="C45" t="s">
        <v>1719</v>
      </c>
    </row>
    <row r="46" spans="2:6">
      <c r="B46" s="5" t="s">
        <v>3</v>
      </c>
      <c r="C46" t="s">
        <v>1719</v>
      </c>
      <c r="F46" t="s">
        <v>1720</v>
      </c>
    </row>
    <row r="47" spans="2:6">
      <c r="B47" s="5" t="s">
        <v>20</v>
      </c>
      <c r="C47" t="s">
        <v>1719</v>
      </c>
    </row>
    <row r="48" spans="2:6">
      <c r="B48" s="5" t="s">
        <v>12</v>
      </c>
      <c r="C48" t="s">
        <v>1719</v>
      </c>
    </row>
    <row r="50" spans="2:6">
      <c r="B50" s="5" t="s">
        <v>1717</v>
      </c>
      <c r="C50" s="5" t="s">
        <v>8</v>
      </c>
    </row>
    <row r="51" spans="2:6">
      <c r="B51" s="5" t="s">
        <v>18</v>
      </c>
      <c r="C51" t="s">
        <v>61</v>
      </c>
      <c r="D51" t="s">
        <v>35</v>
      </c>
      <c r="E51" t="s">
        <v>29</v>
      </c>
      <c r="F51" t="s">
        <v>1718</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1718</v>
      </c>
      <c r="C62" s="13">
        <v>20271428.52</v>
      </c>
      <c r="D62" s="13">
        <v>20833378.639999997</v>
      </c>
      <c r="E62" s="13">
        <v>5227040</v>
      </c>
      <c r="F62" s="13">
        <v>46331847.159999996</v>
      </c>
    </row>
    <row r="69" spans="2:6">
      <c r="B69" s="5" t="s">
        <v>9</v>
      </c>
      <c r="C69" t="s">
        <v>1719</v>
      </c>
    </row>
    <row r="70" spans="2:6">
      <c r="B70" s="5" t="s">
        <v>3</v>
      </c>
      <c r="C70" t="s">
        <v>1719</v>
      </c>
      <c r="F70" t="s">
        <v>1720</v>
      </c>
    </row>
    <row r="71" spans="2:6">
      <c r="B71" s="5" t="s">
        <v>20</v>
      </c>
      <c r="C71" t="s">
        <v>1719</v>
      </c>
    </row>
    <row r="72" spans="2:6">
      <c r="B72" s="5" t="s">
        <v>12</v>
      </c>
      <c r="C72" t="s">
        <v>1719</v>
      </c>
    </row>
    <row r="74" spans="2:6">
      <c r="B74" s="5" t="s">
        <v>8</v>
      </c>
      <c r="C74" t="s">
        <v>1717</v>
      </c>
    </row>
    <row r="75" spans="2:6">
      <c r="B75" t="s">
        <v>61</v>
      </c>
      <c r="C75" s="13">
        <v>20271428.520000003</v>
      </c>
    </row>
    <row r="76" spans="2:6">
      <c r="B76" t="s">
        <v>35</v>
      </c>
      <c r="C76" s="13">
        <v>20833378.639999997</v>
      </c>
    </row>
    <row r="77" spans="2:6">
      <c r="B77" t="s">
        <v>29</v>
      </c>
      <c r="C77" s="13">
        <v>5227040</v>
      </c>
    </row>
    <row r="78" spans="2:6">
      <c r="B78" t="s">
        <v>1718</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1719</v>
      </c>
    </row>
    <row r="5" spans="2:6">
      <c r="B5" s="5" t="s">
        <v>1717</v>
      </c>
      <c r="C5" s="5" t="s">
        <v>8</v>
      </c>
    </row>
    <row r="6" spans="2:6">
      <c r="B6" s="5" t="s">
        <v>3</v>
      </c>
      <c r="C6" t="s">
        <v>61</v>
      </c>
      <c r="D6" t="s">
        <v>35</v>
      </c>
      <c r="E6" t="s">
        <v>29</v>
      </c>
      <c r="F6" t="s">
        <v>1718</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1589</v>
      </c>
      <c r="C35" s="13">
        <v>544091.36</v>
      </c>
      <c r="D35" s="13">
        <v>209425</v>
      </c>
      <c r="E35" s="13">
        <v>0</v>
      </c>
      <c r="F35" s="13">
        <v>753516.36</v>
      </c>
    </row>
    <row r="36" spans="2:6">
      <c r="B36" t="s">
        <v>1534</v>
      </c>
      <c r="C36" s="13">
        <v>413718.6</v>
      </c>
      <c r="D36" s="13">
        <v>1462088.52</v>
      </c>
      <c r="E36" s="13">
        <v>0</v>
      </c>
      <c r="F36" s="13">
        <v>1875807.12</v>
      </c>
    </row>
    <row r="37" spans="2:6">
      <c r="B37" t="s">
        <v>1663</v>
      </c>
      <c r="C37" s="13">
        <v>384796.39</v>
      </c>
      <c r="D37" s="13">
        <v>197180</v>
      </c>
      <c r="E37" s="13">
        <v>0</v>
      </c>
      <c r="F37" s="13">
        <v>581976.39</v>
      </c>
    </row>
    <row r="38" spans="2:6">
      <c r="B38" t="s">
        <v>1718</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2026-02-19T08:02:38Z</dcterms:modified>
  <cp:category/>
  <cp:contentStatus/>
</cp:coreProperties>
</file>
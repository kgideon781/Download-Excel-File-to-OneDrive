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08" documentId="13_ncr:1_{503F577C-3F40-4625-BC6E-453B42AAE264}" xr6:coauthVersionLast="47" xr6:coauthVersionMax="47" xr10:uidLastSave="{668AC454-2B14-402D-BAE1-A882FAA7A381}"/>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394" r:id="rId20"/>
    <pivotCache cacheId="1395" r:id="rId21"/>
    <pivotCache cacheId="1396" r:id="rId22"/>
    <pivotCache cacheId="139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<sst xmlns="http://schemas.openxmlformats.org/spreadsheetml/2006/main" count="2827" uniqueCount="943">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</sst>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3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39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39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3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3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3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39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3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39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3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3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3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39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3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3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3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39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1.4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tabSelected="1" zoomScaleNormal="100" workbookViewId="0">
      <pane ySplit="1" topLeftCell="O15" activePane="bottomLeft" state="frozen"/>
      <selection pane="bottomLeft" activeCell="I23" sqref="I2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46176</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46176</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46176</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46176</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46176</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46176</v>
      </c>
      <c r="N7" s="14">
        <f ca="1">DATEDIF(L7,M7,"M") +1</f>
        <v>172</v>
      </c>
      <c r="O7" s="39"/>
      <c r="P7" s="14"/>
      <c r="Q7" s="14"/>
      <c r="R7" s="12">
        <f t="shared" ca="1" si="1"/>
        <v>172</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46176</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46176</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46176</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46176</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46176</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46176</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46176</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46176</v>
      </c>
      <c r="N15" s="14">
        <f ca="1">DATEDIF(L15,M15,"M") +1</f>
        <v>76</v>
      </c>
      <c r="O15" s="39"/>
      <c r="P15" s="14"/>
      <c r="Q15" s="14"/>
      <c r="R15" s="12">
        <f t="shared" ca="1" si="1"/>
        <v>76</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46176</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46176</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46176</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46176</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46176</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46176</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46176</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46176</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46176</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46176</v>
      </c>
      <c r="N25" s="14"/>
      <c r="O25" s="39"/>
      <c r="P25" s="14"/>
      <c r="Q25" s="14"/>
      <c r="R25" s="12">
        <f t="shared" si="1"/>
        <v>67</v>
      </c>
      <c r="S25" s="25">
        <v>44461</v>
      </c>
      <c r="T25" s="12" t="s">
        <v>38</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46176</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46176</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46176</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46176</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46176</v>
      </c>
      <c r="N30" s="14">
        <f ca="1">DATEDIF(L30,M30,"M") +1</f>
        <v>172</v>
      </c>
      <c r="O30" s="39"/>
      <c r="P30" s="14"/>
      <c r="Q30" s="14"/>
      <c r="R30" s="12">
        <f t="shared" ca="1" si="1"/>
        <v>172</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46176</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46176</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46176</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46176</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46176</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46176</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46176</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46176</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46176</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46176</v>
      </c>
      <c r="N40" s="13"/>
      <c r="O40" s="13"/>
      <c r="P40" s="13"/>
      <c r="Q40" s="12"/>
      <c r="R40" s="12">
        <f t="shared" si="1"/>
        <v>52</v>
      </c>
      <c r="S40" s="25">
        <v>43646</v>
      </c>
      <c r="T40" s="12" t="s">
        <v>38</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46176</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46176</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46176</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46176</v>
      </c>
      <c r="N44" s="13"/>
      <c r="O44" s="13"/>
      <c r="P44" s="13"/>
      <c r="Q44" s="12"/>
      <c r="R44" s="12">
        <f t="shared" si="1"/>
        <v>57</v>
      </c>
      <c r="S44" s="25">
        <v>42704</v>
      </c>
      <c r="T44" s="12" t="s">
        <v>38</v>
      </c>
      <c r="U44" s="56">
        <f t="shared" si="8"/>
        <v>57</v>
      </c>
      <c r="V44" s="49" t="str">
        <f t="shared" si="9"/>
        <v>Completed:Delayed</v>
      </c>
      <c r="W44" s="52">
        <f t="shared" si="10"/>
        <v>45</v>
      </c>
    </row>
    <row r="45" spans="1:25" ht="15.9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46176</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46176</v>
      </c>
      <c r="N46" s="14">
        <f ca="1">DATEDIF(L46,M46,"M") +1</f>
        <v>160</v>
      </c>
      <c r="O46" s="39"/>
      <c r="P46" s="14"/>
      <c r="Q46" s="14"/>
      <c r="R46" s="12">
        <f t="shared" ca="1" si="1"/>
        <v>160</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46176</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46176</v>
      </c>
      <c r="N48" s="14">
        <f ca="1">DATEDIF(L48,M48,"M") +1</f>
        <v>160</v>
      </c>
      <c r="O48" s="39"/>
      <c r="P48" s="14"/>
      <c r="Q48" s="14"/>
      <c r="R48" s="12">
        <f t="shared" ca="1" si="1"/>
        <v>160</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46176</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46176</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46176</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46176</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46176</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46176</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46176</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46176</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46176</v>
      </c>
      <c r="N57" s="14">
        <f ca="1">DATEDIF(L57,M57,"M") +1</f>
        <v>160</v>
      </c>
      <c r="O57" s="39"/>
      <c r="P57" s="14"/>
      <c r="Q57" s="14"/>
      <c r="R57" s="12">
        <f t="shared" ca="1" si="1"/>
        <v>160</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46176</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46176</v>
      </c>
      <c r="N59" s="14">
        <f ca="1">DATEDIF(L59,M59,"M") +1</f>
        <v>100</v>
      </c>
      <c r="O59" s="39"/>
      <c r="P59" s="14"/>
      <c r="Q59" s="14"/>
      <c r="R59" s="12">
        <f t="shared" ca="1" si="1"/>
        <v>100</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46176</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46176</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46176</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46176</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46176</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46176</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46176</v>
      </c>
      <c r="N66" s="14">
        <f ca="1">DATEDIF(L66,M66,"M") +1</f>
        <v>100</v>
      </c>
      <c r="O66" s="39"/>
      <c r="P66" s="14"/>
      <c r="Q66" s="14"/>
      <c r="R66" s="12">
        <f t="shared" ca="1" si="18"/>
        <v>100</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46176</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46176</v>
      </c>
      <c r="N68" s="13"/>
      <c r="O68" s="13"/>
      <c r="P68" s="13"/>
      <c r="Q68" s="12"/>
      <c r="R68" s="12">
        <f t="shared" si="18"/>
        <v>53</v>
      </c>
      <c r="S68" s="25">
        <v>43677</v>
      </c>
      <c r="T68" s="12" t="s">
        <v>38</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46176</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46176</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46176</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46176</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46176</v>
      </c>
      <c r="N73" s="14">
        <f ca="1">DATEDIF(L73,M73,"M") +1</f>
        <v>148</v>
      </c>
      <c r="O73" s="39"/>
      <c r="P73" s="14"/>
      <c r="Q73" s="14"/>
      <c r="R73" s="12">
        <f t="shared" ca="1" si="18"/>
        <v>148</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46176</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46176</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46176</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46176</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46176</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46176</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46176</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46176</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46176</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46176</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46176</v>
      </c>
      <c r="N84" s="14">
        <f ca="1">DATEDIF(L84,M84,"M") +1</f>
        <v>76</v>
      </c>
      <c r="O84" s="39"/>
      <c r="P84" s="14"/>
      <c r="Q84" s="14"/>
      <c r="R84" s="12">
        <f t="shared" ca="1" si="18"/>
        <v>76</v>
      </c>
      <c r="S84" s="25">
        <v>45610</v>
      </c>
      <c r="T84" s="12" t="s">
        <v>38</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46176</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46176</v>
      </c>
      <c r="N86" s="14">
        <f ca="1">DATEDIF(L86,M86,"M") +1</f>
        <v>76</v>
      </c>
      <c r="O86" s="39"/>
      <c r="P86" s="14"/>
      <c r="Q86" s="14"/>
      <c r="R86" s="12">
        <f t="shared" ca="1" si="18"/>
        <v>76</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46176</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46176</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46176</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46176</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46176</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46176</v>
      </c>
      <c r="N92" s="14">
        <f ca="1">DATEDIF(L92,M92,"M") +1</f>
        <v>136</v>
      </c>
      <c r="O92" s="39"/>
      <c r="P92" s="14"/>
      <c r="Q92" s="14"/>
      <c r="R92" s="12">
        <f t="shared" ca="1" si="18"/>
        <v>136</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46176</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46176</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46176</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46176</v>
      </c>
      <c r="N96" s="14">
        <f ca="1">DATEDIF(L96,M96,"M") +1</f>
        <v>136</v>
      </c>
      <c r="O96" s="39"/>
      <c r="P96" s="14"/>
      <c r="Q96" s="14"/>
      <c r="R96" s="12">
        <f t="shared" ca="1" si="18"/>
        <v>136</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46176</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46176</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46176</v>
      </c>
      <c r="N99" s="14">
        <f ca="1">DATEDIF(L99,M99,"M") +1</f>
        <v>124</v>
      </c>
      <c r="O99" s="39"/>
      <c r="P99" s="14"/>
      <c r="Q99" s="14"/>
      <c r="R99" s="12">
        <f t="shared" ca="1" si="18"/>
        <v>124</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46176</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46176</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46176</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46176</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46176</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46176</v>
      </c>
      <c r="N105" s="14">
        <f ca="1">DATEDIF(L105,M105,"M") +1</f>
        <v>76</v>
      </c>
      <c r="O105" s="39"/>
      <c r="P105" s="14"/>
      <c r="Q105" s="14"/>
      <c r="R105" s="12">
        <f t="shared" ca="1" si="18"/>
        <v>76</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46176</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46176</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46176</v>
      </c>
      <c r="N108" s="14">
        <f ca="1">DATEDIF(L108,M108,"M") +1</f>
        <v>88</v>
      </c>
      <c r="O108" s="39"/>
      <c r="P108" s="14"/>
      <c r="Q108" s="14"/>
      <c r="R108" s="12">
        <f t="shared" ca="1" si="18"/>
        <v>88</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46176</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46176</v>
      </c>
      <c r="N110" s="14">
        <f ca="1">DATEDIF(L110,M110,"M") +1</f>
        <v>100</v>
      </c>
      <c r="O110" s="39"/>
      <c r="P110" s="14"/>
      <c r="Q110" s="14"/>
      <c r="R110" s="12">
        <f t="shared" ca="1" si="18"/>
        <v>100</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46176</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46176</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46176</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46176</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46176</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46176</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46176</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46176</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46176</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46176</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46176</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46176</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46176</v>
      </c>
      <c r="N123" s="14">
        <f ca="1">DATEDIF(L123,M123,"M") +1</f>
        <v>112</v>
      </c>
      <c r="O123" s="39"/>
      <c r="P123" s="14"/>
      <c r="Q123" s="14"/>
      <c r="R123" s="12">
        <f t="shared" ca="1" si="18"/>
        <v>112</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46176</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46176</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46176</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46176</v>
      </c>
      <c r="N127" s="14">
        <f ca="1">DATEDIF(L127,M127,"M") +1</f>
        <v>124</v>
      </c>
      <c r="O127" s="39"/>
      <c r="P127" s="14"/>
      <c r="Q127" s="14"/>
      <c r="R127" s="12">
        <f t="shared" ca="1" si="26"/>
        <v>124</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46176</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46176</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46176</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46176</v>
      </c>
      <c r="N131" s="14">
        <f ca="1">DATEDIF(L131,M131,"M") +1</f>
        <v>112</v>
      </c>
      <c r="O131" s="39"/>
      <c r="P131" s="14"/>
      <c r="Q131" s="14"/>
      <c r="R131" s="12">
        <f t="shared" ca="1" si="26"/>
        <v>112</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46176</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46176</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46176</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46176</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46176</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46176</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46176</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46176</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46176</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46176</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46176</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46176</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46176</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46176</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46176</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46176</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46176</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46176</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46176</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46176</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46176</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46176</v>
      </c>
      <c r="N153" s="14">
        <f ca="1">DATEDIF(L153,M153,"M") +1</f>
        <v>100</v>
      </c>
      <c r="O153" s="39"/>
      <c r="P153" s="14"/>
      <c r="Q153" s="14"/>
      <c r="R153" s="12">
        <f t="shared" ca="1" si="26"/>
        <v>100</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46176</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46176</v>
      </c>
      <c r="N155" s="14">
        <f ca="1">DATEDIF(L155,M155,"M") +1</f>
        <v>100</v>
      </c>
      <c r="O155" s="39"/>
      <c r="P155" s="14"/>
      <c r="Q155" s="14"/>
      <c r="R155" s="12">
        <f t="shared" ca="1" si="26"/>
        <v>100</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46176</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46176</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46176</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46176</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46176</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46176</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46176</v>
      </c>
      <c r="N162" s="14">
        <f ca="1">DATEDIF(L162,M162,"M") +1</f>
        <v>100</v>
      </c>
      <c r="O162" s="39"/>
      <c r="P162" s="14"/>
      <c r="Q162" s="14"/>
      <c r="R162" s="12">
        <f t="shared" ca="1" si="26"/>
        <v>100</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46176</v>
      </c>
      <c r="N163" s="14">
        <f ca="1">DATEDIF(L163,M163,"M") +1</f>
        <v>100</v>
      </c>
      <c r="O163" s="39"/>
      <c r="P163" s="14"/>
      <c r="Q163" s="14"/>
      <c r="R163" s="12">
        <f t="shared" ca="1" si="26"/>
        <v>100</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46176</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46176</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46176</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46176</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46176</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46176</v>
      </c>
      <c r="N169" s="14">
        <f ca="1">DATEDIF(L169,M169,"M") +1</f>
        <v>100</v>
      </c>
      <c r="O169" s="39"/>
      <c r="P169" s="14"/>
      <c r="Q169" s="14"/>
      <c r="R169" s="12">
        <f t="shared" ca="1" si="26"/>
        <v>100</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46176</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46176</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46176</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46176</v>
      </c>
      <c r="N173" s="14">
        <f ca="1">DATEDIF(L173,M173,"M") +1</f>
        <v>100</v>
      </c>
      <c r="O173" s="39"/>
      <c r="P173" s="14"/>
      <c r="Q173" s="14"/>
      <c r="R173" s="12">
        <f t="shared" ca="1" si="26"/>
        <v>100</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46176</v>
      </c>
      <c r="N174" s="14">
        <f ca="1">DATEDIF(L174,M174,"M") +1</f>
        <v>100</v>
      </c>
      <c r="O174" s="39"/>
      <c r="P174" s="14"/>
      <c r="Q174" s="14"/>
      <c r="R174" s="12">
        <f t="shared" ca="1" si="26"/>
        <v>100</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46176</v>
      </c>
      <c r="N175" s="14">
        <f ca="1">DATEDIF(L175,M175,"M") +1</f>
        <v>100</v>
      </c>
      <c r="O175" s="39"/>
      <c r="P175" s="14"/>
      <c r="Q175" s="14"/>
      <c r="R175" s="12">
        <f t="shared" ca="1" si="26"/>
        <v>100</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46176</v>
      </c>
      <c r="N176" s="13"/>
      <c r="O176" s="13"/>
      <c r="P176" s="13"/>
      <c r="Q176" s="12"/>
      <c r="R176" s="12">
        <f t="shared" si="26"/>
        <v>74</v>
      </c>
      <c r="S176" s="25">
        <v>43568</v>
      </c>
      <c r="T176" s="12" t="s">
        <v>38</v>
      </c>
      <c r="U176" s="56">
        <f t="shared" ref="U176:U181" si="35">DATEDIF(L176,S176,"M")+1-Q176</f>
        <v>74</v>
      </c>
      <c r="V176" s="49" t="str">
        <f t="shared" ref="V176:V181" si="36">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46176</v>
      </c>
      <c r="N177" s="14">
        <f ca="1">DATEDIF(L177,M177,"M") +1</f>
        <v>76</v>
      </c>
      <c r="O177" s="25">
        <v>45413</v>
      </c>
      <c r="P177" s="25">
        <v>45535</v>
      </c>
      <c r="Q177" s="14">
        <v>4</v>
      </c>
      <c r="R177" s="12">
        <f t="shared" ca="1" si="26"/>
        <v>76</v>
      </c>
      <c r="S177" s="25">
        <v>45568</v>
      </c>
      <c r="T177" s="12" t="s">
        <v>38</v>
      </c>
      <c r="U177" s="56">
        <f t="shared" si="35"/>
        <v>52</v>
      </c>
      <c r="V177" s="49" t="str">
        <f t="shared" si="36"/>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46176</v>
      </c>
      <c r="N178" s="14">
        <f ca="1">DATEDIF(L178,M178,"M") +1</f>
        <v>100</v>
      </c>
      <c r="O178" s="39"/>
      <c r="P178" s="14"/>
      <c r="Q178" s="14"/>
      <c r="R178" s="12">
        <f t="shared" ca="1" si="26"/>
        <v>100</v>
      </c>
      <c r="S178" s="25">
        <v>45610</v>
      </c>
      <c r="T178" s="12" t="s">
        <v>38</v>
      </c>
      <c r="U178" s="56">
        <f t="shared" si="35"/>
        <v>81</v>
      </c>
      <c r="V178" s="49" t="str">
        <f t="shared" si="36"/>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46176</v>
      </c>
      <c r="N179" s="14">
        <f ca="1">DATEDIF(L179,M179,"M") +1</f>
        <v>88</v>
      </c>
      <c r="O179" s="39"/>
      <c r="P179" s="14"/>
      <c r="Q179" s="14"/>
      <c r="R179" s="12">
        <f t="shared" ca="1" si="26"/>
        <v>88</v>
      </c>
      <c r="S179" s="25">
        <v>45889</v>
      </c>
      <c r="T179" s="12" t="s">
        <v>38</v>
      </c>
      <c r="U179" s="56">
        <f t="shared" si="35"/>
        <v>78</v>
      </c>
      <c r="V179" s="49" t="str">
        <f t="shared" si="36"/>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46176</v>
      </c>
      <c r="N180" s="14"/>
      <c r="O180" s="39"/>
      <c r="P180" s="14"/>
      <c r="Q180" s="14"/>
      <c r="R180" s="12">
        <f t="shared" si="26"/>
        <v>44</v>
      </c>
      <c r="S180" s="25">
        <v>44851</v>
      </c>
      <c r="T180" s="12" t="s">
        <v>38</v>
      </c>
      <c r="U180" s="56">
        <f t="shared" si="35"/>
        <v>44</v>
      </c>
      <c r="V180" s="49" t="str">
        <f t="shared" si="36"/>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46176</v>
      </c>
      <c r="N181" s="14">
        <f ca="1">DATEDIF(L181,M181,"M") +1</f>
        <v>88</v>
      </c>
      <c r="O181" s="25">
        <v>45170</v>
      </c>
      <c r="P181" s="25">
        <v>45473</v>
      </c>
      <c r="Q181" s="14">
        <v>10</v>
      </c>
      <c r="R181" s="12">
        <f t="shared" ca="1" si="26"/>
        <v>88</v>
      </c>
      <c r="S181" s="25">
        <v>45640</v>
      </c>
      <c r="T181" s="12" t="s">
        <v>38</v>
      </c>
      <c r="U181" s="56">
        <f t="shared" si="35"/>
        <v>60</v>
      </c>
      <c r="V181" s="49" t="str">
        <f t="shared" si="36"/>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46176</v>
      </c>
      <c r="N182" s="14">
        <f ca="1">DATEDIF(L182,M182,"M") +1</f>
        <v>88</v>
      </c>
      <c r="O182" s="39"/>
      <c r="P182" s="14"/>
      <c r="Q182" s="14"/>
      <c r="R182" s="12">
        <f t="shared" ca="1" si="26"/>
        <v>88</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46176</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46176</v>
      </c>
      <c r="N184" s="14">
        <f ca="1">DATEDIF(L184,M184,"M") +1</f>
        <v>88</v>
      </c>
      <c r="O184" s="39"/>
      <c r="P184" s="14"/>
      <c r="Q184" s="14"/>
      <c r="R184" s="12">
        <f t="shared" ca="1" si="26"/>
        <v>88</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46176</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46176</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46176</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46176</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46176</v>
      </c>
      <c r="N189" s="14">
        <f ca="1">DATEDIF(L189,M189,"M") +1</f>
        <v>88</v>
      </c>
      <c r="O189" s="39"/>
      <c r="P189" s="14"/>
      <c r="Q189" s="14"/>
      <c r="R189" s="12">
        <f t="shared" ca="1" si="26"/>
        <v>88</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7">TODAY()</f>
        <v>46176</v>
      </c>
      <c r="N190" s="13"/>
      <c r="O190" s="13"/>
      <c r="P190" s="13"/>
      <c r="Q190" s="12"/>
      <c r="R190" s="12">
        <f t="shared" ref="R190:R240" si="38">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7"/>
        <v>46176</v>
      </c>
      <c r="N191" s="13"/>
      <c r="O191" s="13"/>
      <c r="P191" s="13"/>
      <c r="Q191" s="12"/>
      <c r="R191" s="12">
        <f t="shared" si="38"/>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7"/>
        <v>46176</v>
      </c>
      <c r="N192" s="14"/>
      <c r="O192" s="39"/>
      <c r="P192" s="14"/>
      <c r="Q192" s="14"/>
      <c r="R192" s="12">
        <f t="shared" si="38"/>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7"/>
        <v>46176</v>
      </c>
      <c r="N193" s="14">
        <f ca="1">DATEDIF(L193,M193,"M") +1</f>
        <v>88</v>
      </c>
      <c r="O193" s="39"/>
      <c r="P193" s="14"/>
      <c r="Q193" s="14"/>
      <c r="R193" s="12">
        <f t="shared" ca="1" si="38"/>
        <v>88</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7"/>
        <v>46176</v>
      </c>
      <c r="N194" s="13"/>
      <c r="O194" s="13"/>
      <c r="P194" s="13"/>
      <c r="Q194" s="12"/>
      <c r="R194" s="12">
        <f t="shared" si="38"/>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7"/>
        <v>46176</v>
      </c>
      <c r="N195" s="13"/>
      <c r="O195" s="13"/>
      <c r="P195" s="13"/>
      <c r="Q195" s="12"/>
      <c r="R195" s="12">
        <f t="shared" si="38"/>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7"/>
        <v>46176</v>
      </c>
      <c r="N196" s="14">
        <f ca="1">DATEDIF(L196,M196,"M") +1</f>
        <v>88</v>
      </c>
      <c r="O196" s="25">
        <v>45078</v>
      </c>
      <c r="P196" s="25">
        <v>45443</v>
      </c>
      <c r="Q196" s="14">
        <v>12</v>
      </c>
      <c r="R196" s="12">
        <f t="shared" ca="1" si="38"/>
        <v>88</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7"/>
        <v>46176</v>
      </c>
      <c r="N197" s="14">
        <f ca="1">DATEDIF(L197,M197,"M") +1</f>
        <v>88</v>
      </c>
      <c r="O197" s="39"/>
      <c r="P197" s="14"/>
      <c r="Q197" s="14"/>
      <c r="R197" s="12">
        <f t="shared" ca="1" si="38"/>
        <v>88</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7"/>
        <v>46176</v>
      </c>
      <c r="N198" s="13"/>
      <c r="O198" s="13"/>
      <c r="P198" s="13"/>
      <c r="Q198" s="12"/>
      <c r="R198" s="12">
        <f t="shared" si="38"/>
        <v>28</v>
      </c>
      <c r="S198" s="25">
        <v>42173</v>
      </c>
      <c r="T198" s="12" t="s">
        <v>38</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7"/>
        <v>46176</v>
      </c>
      <c r="N199" s="14">
        <f ca="1">DATEDIF(L199,M199,"M") +1</f>
        <v>76</v>
      </c>
      <c r="O199" s="39"/>
      <c r="P199" s="14"/>
      <c r="Q199" s="14"/>
      <c r="R199" s="12">
        <f t="shared" ca="1" si="38"/>
        <v>76</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7"/>
        <v>46176</v>
      </c>
      <c r="N200" s="14"/>
      <c r="O200" s="39"/>
      <c r="P200" s="14"/>
      <c r="Q200" s="14"/>
      <c r="R200" s="12">
        <f t="shared" si="38"/>
        <v>94</v>
      </c>
      <c r="S200" s="25">
        <v>44539</v>
      </c>
      <c r="T200" s="12" t="s">
        <v>38</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7"/>
        <v>46176</v>
      </c>
      <c r="N201" s="14">
        <f ca="1">DATEDIF(L201,M201,"M") +1</f>
        <v>76</v>
      </c>
      <c r="O201" s="39"/>
      <c r="P201" s="14"/>
      <c r="Q201" s="14"/>
      <c r="R201" s="12">
        <f t="shared" ca="1" si="38"/>
        <v>76</v>
      </c>
      <c r="S201" s="25">
        <v>45929</v>
      </c>
      <c r="T201" s="12" t="s">
        <v>38</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7"/>
        <v>46176</v>
      </c>
      <c r="N202" s="14">
        <f ca="1">DATEDIF(L202,M202,"M") +1</f>
        <v>76</v>
      </c>
      <c r="O202" s="39"/>
      <c r="P202" s="14"/>
      <c r="Q202" s="14"/>
      <c r="R202" s="12">
        <f t="shared" ca="1" si="38"/>
        <v>76</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7"/>
        <v>46176</v>
      </c>
      <c r="N203" s="14"/>
      <c r="O203" s="39"/>
      <c r="P203" s="14"/>
      <c r="Q203" s="14"/>
      <c r="R203" s="12">
        <f t="shared" si="38"/>
        <v>99</v>
      </c>
      <c r="S203" s="25">
        <v>45443</v>
      </c>
      <c r="T203" s="12" t="s">
        <v>38</v>
      </c>
      <c r="U203" s="56">
        <f t="shared" ref="U203:U210" si="39">DATEDIF(L203,S203,"M")+1-Q203</f>
        <v>99</v>
      </c>
      <c r="V203" s="49" t="str">
        <f t="shared" ref="V203:V210" si="40">IF(U203&gt;51,"Completed:Delayed"," Completed:On time")</f>
        <v>Completed:Delayed</v>
      </c>
      <c r="W203" s="52">
        <f t="shared" ref="W203:W210" si="41">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7"/>
        <v>46176</v>
      </c>
      <c r="N204" s="14">
        <f ca="1">DATEDIF(L204,M204,"M") +1</f>
        <v>124</v>
      </c>
      <c r="O204" s="39"/>
      <c r="P204" s="14"/>
      <c r="Q204" s="14"/>
      <c r="R204" s="12">
        <f t="shared" ca="1" si="38"/>
        <v>124</v>
      </c>
      <c r="S204" s="25">
        <v>45591</v>
      </c>
      <c r="T204" s="12" t="s">
        <v>38</v>
      </c>
      <c r="U204" s="56">
        <f t="shared" si="39"/>
        <v>104</v>
      </c>
      <c r="V204" s="49" t="str">
        <f t="shared" si="40"/>
        <v>Completed:Delayed</v>
      </c>
      <c r="W204" s="52">
        <f t="shared" si="41"/>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7"/>
        <v>46176</v>
      </c>
      <c r="N205" s="14">
        <f ca="1">DATEDIF(L205,M205,"M") +1</f>
        <v>76</v>
      </c>
      <c r="O205" s="39"/>
      <c r="P205" s="14"/>
      <c r="Q205" s="14"/>
      <c r="R205" s="12">
        <f t="shared" ca="1" si="38"/>
        <v>76</v>
      </c>
      <c r="S205" s="25">
        <v>45648</v>
      </c>
      <c r="T205" s="12" t="s">
        <v>38</v>
      </c>
      <c r="U205" s="56">
        <f t="shared" si="39"/>
        <v>58</v>
      </c>
      <c r="V205" s="49" t="str">
        <f t="shared" si="40"/>
        <v>Completed:Delayed</v>
      </c>
      <c r="W205" s="52">
        <f t="shared" si="41"/>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7"/>
        <v>46176</v>
      </c>
      <c r="N206" s="13"/>
      <c r="O206" s="13"/>
      <c r="P206" s="13"/>
      <c r="Q206" s="12"/>
      <c r="R206" s="12">
        <f t="shared" si="38"/>
        <v>81</v>
      </c>
      <c r="S206" s="25">
        <v>43073</v>
      </c>
      <c r="T206" s="12" t="s">
        <v>38</v>
      </c>
      <c r="U206" s="56">
        <f t="shared" si="39"/>
        <v>81</v>
      </c>
      <c r="V206" s="49" t="str">
        <f t="shared" si="40"/>
        <v>Completed:Delayed</v>
      </c>
      <c r="W206" s="52">
        <f t="shared" si="41"/>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7"/>
        <v>46176</v>
      </c>
      <c r="N207" s="14"/>
      <c r="O207" s="39"/>
      <c r="P207" s="14"/>
      <c r="Q207" s="14"/>
      <c r="R207" s="12">
        <f t="shared" si="38"/>
        <v>81</v>
      </c>
      <c r="S207" s="25">
        <v>45248</v>
      </c>
      <c r="T207" s="12" t="s">
        <v>38</v>
      </c>
      <c r="U207" s="56">
        <f t="shared" si="39"/>
        <v>81</v>
      </c>
      <c r="V207" s="49" t="str">
        <f t="shared" si="40"/>
        <v>Completed:Delayed</v>
      </c>
      <c r="W207" s="52">
        <f t="shared" si="41"/>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7"/>
        <v>46176</v>
      </c>
      <c r="N208" s="13"/>
      <c r="O208" s="13"/>
      <c r="P208" s="13"/>
      <c r="Q208" s="12"/>
      <c r="R208" s="12">
        <f t="shared" si="38"/>
        <v>63</v>
      </c>
      <c r="S208" s="25">
        <v>42551</v>
      </c>
      <c r="T208" s="12" t="s">
        <v>38</v>
      </c>
      <c r="U208" s="56">
        <f t="shared" si="39"/>
        <v>63</v>
      </c>
      <c r="V208" s="49" t="str">
        <f t="shared" si="40"/>
        <v>Completed:Delayed</v>
      </c>
      <c r="W208" s="52">
        <f t="shared" si="41"/>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7"/>
        <v>46176</v>
      </c>
      <c r="N209" s="14">
        <f ca="1">DATEDIF(L209,M209,"M") +1</f>
        <v>88</v>
      </c>
      <c r="O209" s="39"/>
      <c r="P209" s="14"/>
      <c r="Q209" s="14"/>
      <c r="R209" s="12">
        <f t="shared" ca="1" si="38"/>
        <v>88</v>
      </c>
      <c r="S209" s="25">
        <v>45483</v>
      </c>
      <c r="T209" s="12" t="s">
        <v>38</v>
      </c>
      <c r="U209" s="56">
        <f t="shared" si="39"/>
        <v>65</v>
      </c>
      <c r="V209" s="49" t="str">
        <f t="shared" si="40"/>
        <v>Completed:Delayed</v>
      </c>
      <c r="W209" s="52">
        <f t="shared" si="41"/>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7"/>
        <v>46176</v>
      </c>
      <c r="N210" s="14"/>
      <c r="O210" s="39"/>
      <c r="P210" s="14"/>
      <c r="Q210" s="14"/>
      <c r="R210" s="12">
        <f t="shared" si="38"/>
        <v>115</v>
      </c>
      <c r="S210" s="25">
        <v>45191</v>
      </c>
      <c r="T210" s="12" t="s">
        <v>38</v>
      </c>
      <c r="U210" s="56">
        <f t="shared" si="39"/>
        <v>115</v>
      </c>
      <c r="V210" s="49" t="str">
        <f t="shared" si="40"/>
        <v>Completed:Delayed</v>
      </c>
      <c r="W210" s="52">
        <f t="shared" si="41"/>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7"/>
        <v>46176</v>
      </c>
      <c r="N211" s="14">
        <f t="shared" ref="N211:N216" ca="1" si="42">DATEDIF(L211,M211,"M") +1</f>
        <v>76</v>
      </c>
      <c r="O211" s="39"/>
      <c r="P211" s="14"/>
      <c r="Q211" s="14"/>
      <c r="R211" s="12">
        <f t="shared" ca="1" si="38"/>
        <v>76</v>
      </c>
      <c r="S211" s="25">
        <v>45717</v>
      </c>
      <c r="T211" s="12" t="s">
        <v>38</v>
      </c>
      <c r="U211" s="56">
        <f t="shared" ref="U211:U213" si="43">DATEDIF(L211,S211,"M")+1-Q211</f>
        <v>61</v>
      </c>
      <c r="V211" s="49" t="str">
        <f t="shared" ref="V211:V213" si="44">IF(U211&gt;51,"Completed:Delayed"," Completed:On time")</f>
        <v>Completed:Delayed</v>
      </c>
      <c r="W211" s="52">
        <f t="shared" ref="W211:W214" si="45">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7"/>
        <v>46176</v>
      </c>
      <c r="N212" s="14">
        <f t="shared" ca="1" si="42"/>
        <v>76</v>
      </c>
      <c r="O212" s="39"/>
      <c r="P212" s="14"/>
      <c r="Q212" s="14"/>
      <c r="R212" s="12">
        <f t="shared" ca="1" si="38"/>
        <v>76</v>
      </c>
      <c r="S212" s="25"/>
      <c r="T212" s="12" t="s">
        <v>44</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7"/>
        <v>46176</v>
      </c>
      <c r="N213" s="14">
        <f t="shared" ca="1" si="42"/>
        <v>76</v>
      </c>
      <c r="O213" s="39"/>
      <c r="P213" s="14"/>
      <c r="Q213" s="14"/>
      <c r="R213" s="12">
        <f t="shared" ca="1" si="38"/>
        <v>76</v>
      </c>
      <c r="S213" s="25">
        <v>45889</v>
      </c>
      <c r="T213" s="12" t="s">
        <v>38</v>
      </c>
      <c r="U213" s="56">
        <f t="shared" si="43"/>
        <v>66</v>
      </c>
      <c r="V213" s="49" t="str">
        <f t="shared" si="44"/>
        <v>Completed:Delayed</v>
      </c>
      <c r="W213" s="52">
        <f t="shared" si="45"/>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7"/>
        <v>46176</v>
      </c>
      <c r="N214" s="14">
        <f t="shared" ca="1" si="42"/>
        <v>76</v>
      </c>
      <c r="O214" s="39"/>
      <c r="P214" s="14"/>
      <c r="Q214" s="14"/>
      <c r="R214" s="12">
        <f t="shared" ca="1" si="38"/>
        <v>76</v>
      </c>
      <c r="S214" s="25">
        <v>45747</v>
      </c>
      <c r="T214" s="12" t="s">
        <v>38</v>
      </c>
      <c r="U214" s="56">
        <f>DATEDIF(L214,S214,"M")+1-Q214</f>
        <v>61</v>
      </c>
      <c r="V214" s="49" t="str">
        <f t="shared" ref="V214" si="48">IF(U214&gt;51,"Completed:Delayed"," Completed:On time")</f>
        <v>Completed:Delayed</v>
      </c>
      <c r="W214" s="52">
        <f t="shared" si="45"/>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7"/>
        <v>46176</v>
      </c>
      <c r="N215" s="14">
        <f t="shared" ca="1" si="42"/>
        <v>76</v>
      </c>
      <c r="O215" s="39"/>
      <c r="P215" s="14"/>
      <c r="Q215" s="14"/>
      <c r="R215" s="12">
        <f t="shared" ca="1" si="38"/>
        <v>76</v>
      </c>
      <c r="S215" s="25"/>
      <c r="T215" s="12" t="s">
        <v>44</v>
      </c>
      <c r="U215" s="49" t="str">
        <f t="shared" ca="1" si="46"/>
        <v>In progress: Above 60 months</v>
      </c>
      <c r="V215" s="49" t="str">
        <f t="shared" ca="1" si="47"/>
        <v>In progress: Above 60 months</v>
      </c>
      <c r="W215" s="52"/>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7"/>
        <v>46176</v>
      </c>
      <c r="N216" s="14">
        <f t="shared" ca="1" si="42"/>
        <v>76</v>
      </c>
      <c r="O216" s="39"/>
      <c r="P216" s="14"/>
      <c r="Q216" s="14"/>
      <c r="R216" s="12">
        <f t="shared" ca="1" si="38"/>
        <v>76</v>
      </c>
      <c r="S216" s="25">
        <v>45937</v>
      </c>
      <c r="T216" s="12" t="s">
        <v>38</v>
      </c>
      <c r="U216" s="56">
        <f>DATEDIF(L216,S216,"M")+1-Q216</f>
        <v>68</v>
      </c>
      <c r="V216" s="49" t="str">
        <f t="shared" ref="V216" si="49">IF(U216&gt;51,"Completed:Delayed"," Completed:On time")</f>
        <v>Completed:Delayed</v>
      </c>
      <c r="W216" s="52">
        <f t="shared" ref="W216" si="50">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7"/>
        <v>46176</v>
      </c>
      <c r="N217" s="13"/>
      <c r="O217" s="13"/>
      <c r="P217" s="13"/>
      <c r="Q217" s="12"/>
      <c r="R217" s="12">
        <f t="shared" si="38"/>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7"/>
        <v>46176</v>
      </c>
      <c r="N218" s="14">
        <f ca="1">DATEDIF(L218,M218,"M") +1</f>
        <v>76</v>
      </c>
      <c r="O218" s="39"/>
      <c r="P218" s="14"/>
      <c r="Q218" s="14"/>
      <c r="R218" s="12">
        <f t="shared" ca="1" si="38"/>
        <v>76</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7"/>
        <v>46176</v>
      </c>
      <c r="N219" s="14">
        <f ca="1">DATEDIF(L219,M219,"M") +1</f>
        <v>76</v>
      </c>
      <c r="O219" s="39"/>
      <c r="P219" s="14"/>
      <c r="Q219" s="14"/>
      <c r="R219" s="12">
        <f t="shared" ca="1" si="38"/>
        <v>76</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7"/>
        <v>46176</v>
      </c>
      <c r="N220" s="14">
        <f ca="1">DATEDIF(L220,M220,"M") +1</f>
        <v>76</v>
      </c>
      <c r="O220" s="39"/>
      <c r="P220" s="14"/>
      <c r="Q220" s="14"/>
      <c r="R220" s="12">
        <f t="shared" ca="1" si="38"/>
        <v>76</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7"/>
        <v>46176</v>
      </c>
      <c r="N221" s="14">
        <f ca="1">DATEDIF(L221,M221,"M") +1</f>
        <v>76</v>
      </c>
      <c r="O221" s="39"/>
      <c r="P221" s="14"/>
      <c r="Q221" s="14"/>
      <c r="R221" s="12">
        <f t="shared" ca="1" si="38"/>
        <v>76</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7"/>
        <v>46176</v>
      </c>
      <c r="N222" s="14">
        <f ca="1">DATEDIF(L222,M222,"M") +1</f>
        <v>16</v>
      </c>
      <c r="O222" s="39"/>
      <c r="P222" s="14"/>
      <c r="Q222" s="14"/>
      <c r="R222" s="12">
        <f t="shared" ca="1" si="38"/>
        <v>16</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7"/>
        <v>46176</v>
      </c>
      <c r="N223" s="14">
        <f t="shared" ref="N223:N240" ca="1" si="51">DATEDIF(L223,M223,"M") +1</f>
        <v>16</v>
      </c>
      <c r="O223" s="61"/>
      <c r="P223" s="61"/>
      <c r="Q223" s="59"/>
      <c r="R223" s="12">
        <f t="shared" ca="1" si="38"/>
        <v>16</v>
      </c>
      <c r="S223" s="61"/>
      <c r="T223" s="59" t="s">
        <v>44</v>
      </c>
      <c r="U223" s="60" t="str">
        <f t="shared" ref="U223:U240" ca="1" si="52">IF(N223&gt;60,"In progress: Above 60 months","In progress: Below 60 Months")</f>
        <v>In progress: Below 60 Months</v>
      </c>
      <c r="V223" s="60" t="str">
        <f t="shared" ref="V223:V240" ca="1" si="53">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7"/>
        <v>46176</v>
      </c>
      <c r="N224" s="14">
        <f t="shared" ca="1" si="51"/>
        <v>16</v>
      </c>
      <c r="O224" s="61"/>
      <c r="P224" s="61"/>
      <c r="Q224" s="59"/>
      <c r="R224" s="12">
        <f t="shared" ca="1" si="38"/>
        <v>16</v>
      </c>
      <c r="S224" s="61"/>
      <c r="T224" s="59" t="s">
        <v>44</v>
      </c>
      <c r="U224" s="60" t="str">
        <f t="shared" ca="1" si="52"/>
        <v>In progress: Below 60 Months</v>
      </c>
      <c r="V224" s="60" t="str">
        <f t="shared" ca="1" si="53"/>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7"/>
        <v>46176</v>
      </c>
      <c r="N225" s="14">
        <f t="shared" ca="1" si="51"/>
        <v>16</v>
      </c>
      <c r="O225" s="61"/>
      <c r="P225" s="61"/>
      <c r="Q225" s="59"/>
      <c r="R225" s="12">
        <f t="shared" ca="1" si="38"/>
        <v>16</v>
      </c>
      <c r="S225" s="61"/>
      <c r="T225" s="59" t="s">
        <v>44</v>
      </c>
      <c r="U225" s="60" t="str">
        <f t="shared" ca="1" si="52"/>
        <v>In progress: Below 60 Months</v>
      </c>
      <c r="V225" s="60" t="str">
        <f t="shared" ca="1" si="53"/>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7"/>
        <v>46176</v>
      </c>
      <c r="N226" s="14">
        <f t="shared" ca="1" si="51"/>
        <v>16</v>
      </c>
      <c r="O226" s="61"/>
      <c r="P226" s="61"/>
      <c r="Q226" s="59"/>
      <c r="R226" s="12">
        <f t="shared" ca="1" si="38"/>
        <v>16</v>
      </c>
      <c r="S226" s="61"/>
      <c r="T226" s="59" t="s">
        <v>44</v>
      </c>
      <c r="U226" s="60" t="str">
        <f t="shared" ca="1" si="52"/>
        <v>In progress: Below 60 Months</v>
      </c>
      <c r="V226" s="60" t="str">
        <f t="shared" ca="1" si="53"/>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7"/>
        <v>46176</v>
      </c>
      <c r="N227" s="14">
        <f t="shared" ca="1" si="51"/>
        <v>16</v>
      </c>
      <c r="O227" s="61"/>
      <c r="P227" s="61"/>
      <c r="Q227" s="59"/>
      <c r="R227" s="12">
        <f t="shared" ca="1" si="38"/>
        <v>16</v>
      </c>
      <c r="S227" s="61"/>
      <c r="T227" s="59" t="s">
        <v>44</v>
      </c>
      <c r="U227" s="60" t="str">
        <f t="shared" ca="1" si="52"/>
        <v>In progress: Below 60 Months</v>
      </c>
      <c r="V227" s="60" t="str">
        <f t="shared" ca="1" si="53"/>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7"/>
        <v>46176</v>
      </c>
      <c r="N228" s="14">
        <f t="shared" ca="1" si="51"/>
        <v>16</v>
      </c>
      <c r="O228" s="61"/>
      <c r="P228" s="61"/>
      <c r="Q228" s="59"/>
      <c r="R228" s="12">
        <f t="shared" ca="1" si="38"/>
        <v>16</v>
      </c>
      <c r="S228" s="61"/>
      <c r="T228" s="59" t="s">
        <v>44</v>
      </c>
      <c r="U228" s="60" t="str">
        <f t="shared" ca="1" si="52"/>
        <v>In progress: Below 60 Months</v>
      </c>
      <c r="V228" s="60" t="str">
        <f t="shared" ca="1" si="53"/>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7"/>
        <v>46176</v>
      </c>
      <c r="N229" s="14">
        <f t="shared" ca="1" si="51"/>
        <v>16</v>
      </c>
      <c r="O229" s="61"/>
      <c r="P229" s="61"/>
      <c r="Q229" s="59"/>
      <c r="R229" s="12">
        <f t="shared" ca="1" si="38"/>
        <v>16</v>
      </c>
      <c r="S229" s="61"/>
      <c r="T229" s="59" t="s">
        <v>44</v>
      </c>
      <c r="U229" s="60" t="str">
        <f t="shared" ca="1" si="52"/>
        <v>In progress: Below 60 Months</v>
      </c>
      <c r="V229" s="60" t="str">
        <f t="shared" ca="1" si="53"/>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7"/>
        <v>46176</v>
      </c>
      <c r="N230" s="14">
        <f t="shared" ca="1" si="51"/>
        <v>16</v>
      </c>
      <c r="O230" s="61"/>
      <c r="P230" s="61"/>
      <c r="Q230" s="59"/>
      <c r="R230" s="12">
        <f t="shared" ca="1" si="38"/>
        <v>16</v>
      </c>
      <c r="S230" s="61"/>
      <c r="T230" s="59" t="s">
        <v>44</v>
      </c>
      <c r="U230" s="60" t="str">
        <f t="shared" ca="1" si="52"/>
        <v>In progress: Below 60 Months</v>
      </c>
      <c r="V230" s="60" t="str">
        <f t="shared" ca="1" si="53"/>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7"/>
        <v>46176</v>
      </c>
      <c r="N231" s="14">
        <f t="shared" ca="1" si="51"/>
        <v>16</v>
      </c>
      <c r="O231" s="61"/>
      <c r="P231" s="61"/>
      <c r="Q231" s="59"/>
      <c r="R231" s="12">
        <f t="shared" ca="1" si="38"/>
        <v>16</v>
      </c>
      <c r="S231" s="61"/>
      <c r="T231" s="59" t="s">
        <v>44</v>
      </c>
      <c r="U231" s="60" t="str">
        <f t="shared" ca="1" si="52"/>
        <v>In progress: Below 60 Months</v>
      </c>
      <c r="V231" s="60" t="str">
        <f t="shared" ca="1" si="53"/>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7"/>
        <v>46176</v>
      </c>
      <c r="N232" s="14">
        <f t="shared" ca="1" si="51"/>
        <v>16</v>
      </c>
      <c r="O232" s="61"/>
      <c r="P232" s="61"/>
      <c r="Q232" s="59"/>
      <c r="R232" s="12">
        <f t="shared" ca="1" si="38"/>
        <v>16</v>
      </c>
      <c r="S232" s="61"/>
      <c r="T232" s="59" t="s">
        <v>44</v>
      </c>
      <c r="U232" s="60" t="str">
        <f t="shared" ca="1" si="52"/>
        <v>In progress: Below 60 Months</v>
      </c>
      <c r="V232" s="60" t="str">
        <f t="shared" ca="1" si="53"/>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7"/>
        <v>46176</v>
      </c>
      <c r="N233" s="14">
        <f t="shared" ca="1" si="51"/>
        <v>16</v>
      </c>
      <c r="O233" s="61"/>
      <c r="P233" s="61"/>
      <c r="Q233" s="59"/>
      <c r="R233" s="12">
        <f t="shared" ca="1" si="38"/>
        <v>16</v>
      </c>
      <c r="S233" s="61"/>
      <c r="T233" s="59" t="s">
        <v>44</v>
      </c>
      <c r="U233" s="60" t="str">
        <f t="shared" ca="1" si="52"/>
        <v>In progress: Below 60 Months</v>
      </c>
      <c r="V233" s="60" t="str">
        <f t="shared" ca="1" si="53"/>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7"/>
        <v>46176</v>
      </c>
      <c r="N234" s="14">
        <f t="shared" ca="1" si="51"/>
        <v>16</v>
      </c>
      <c r="O234" s="61"/>
      <c r="P234" s="61"/>
      <c r="Q234" s="59"/>
      <c r="R234" s="12">
        <f t="shared" ca="1" si="38"/>
        <v>16</v>
      </c>
      <c r="S234" s="61"/>
      <c r="T234" s="59" t="s">
        <v>44</v>
      </c>
      <c r="U234" s="60" t="str">
        <f t="shared" ca="1" si="52"/>
        <v>In progress: Below 60 Months</v>
      </c>
      <c r="V234" s="60" t="str">
        <f t="shared" ca="1" si="53"/>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7"/>
        <v>46176</v>
      </c>
      <c r="N235" s="14">
        <f t="shared" ca="1" si="51"/>
        <v>16</v>
      </c>
      <c r="O235" s="61"/>
      <c r="P235" s="61"/>
      <c r="Q235" s="59"/>
      <c r="R235" s="12">
        <f t="shared" ca="1" si="38"/>
        <v>16</v>
      </c>
      <c r="S235" s="61"/>
      <c r="T235" s="59" t="s">
        <v>44</v>
      </c>
      <c r="U235" s="60" t="str">
        <f t="shared" ca="1" si="52"/>
        <v>In progress: Below 60 Months</v>
      </c>
      <c r="V235" s="60" t="str">
        <f t="shared" ca="1" si="53"/>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7"/>
        <v>46176</v>
      </c>
      <c r="N236" s="14">
        <f t="shared" ca="1" si="51"/>
        <v>16</v>
      </c>
      <c r="O236" s="61"/>
      <c r="P236" s="61"/>
      <c r="Q236" s="59"/>
      <c r="R236" s="12">
        <f t="shared" ca="1" si="38"/>
        <v>16</v>
      </c>
      <c r="S236" s="61"/>
      <c r="T236" s="59" t="s">
        <v>44</v>
      </c>
      <c r="U236" s="60" t="str">
        <f t="shared" ca="1" si="52"/>
        <v>In progress: Below 60 Months</v>
      </c>
      <c r="V236" s="60" t="str">
        <f t="shared" ca="1" si="53"/>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7"/>
        <v>46176</v>
      </c>
      <c r="N237" s="14">
        <f t="shared" ca="1" si="51"/>
        <v>16</v>
      </c>
      <c r="O237" s="61"/>
      <c r="P237" s="61"/>
      <c r="Q237" s="59"/>
      <c r="R237" s="12">
        <f t="shared" ca="1" si="38"/>
        <v>16</v>
      </c>
      <c r="S237" s="61"/>
      <c r="T237" s="59" t="s">
        <v>44</v>
      </c>
      <c r="U237" s="60" t="str">
        <f t="shared" ca="1" si="52"/>
        <v>In progress: Below 60 Months</v>
      </c>
      <c r="V237" s="60" t="str">
        <f t="shared" ca="1" si="53"/>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7"/>
        <v>46176</v>
      </c>
      <c r="N238" s="14">
        <f t="shared" ca="1" si="51"/>
        <v>16</v>
      </c>
      <c r="O238" s="61"/>
      <c r="P238" s="61"/>
      <c r="Q238" s="59"/>
      <c r="R238" s="12">
        <f t="shared" ca="1" si="38"/>
        <v>16</v>
      </c>
      <c r="S238" s="61"/>
      <c r="T238" s="59" t="s">
        <v>44</v>
      </c>
      <c r="U238" s="60" t="str">
        <f t="shared" ca="1" si="52"/>
        <v>In progress: Below 60 Months</v>
      </c>
      <c r="V238" s="60" t="str">
        <f t="shared" ca="1" si="53"/>
        <v>In progress: Below 60 Months</v>
      </c>
    </row>
    <row r="239" spans="1:22" ht="15.95" hidden="1">
      <c r="A239" s="59">
        <v>239</v>
      </c>
      <c r="B239" s="59" t="s">
        <v>910</v>
      </c>
      <c r="C239" s="59" t="s">
        <v>911</v>
      </c>
      <c r="D239" s="59"/>
      <c r="E239" s="59" t="s">
        <v>912</v>
      </c>
      <c r="F239" s="59" t="s">
        <v>41</v>
      </c>
      <c r="G239" s="59">
        <v>11</v>
      </c>
      <c r="H239" s="59" t="s">
        <v>121</v>
      </c>
      <c r="I239" s="59" t="s">
        <v>18</v>
      </c>
      <c r="J239" s="59"/>
      <c r="K239" s="61"/>
      <c r="L239" s="61">
        <v>45717</v>
      </c>
      <c r="M239" s="15">
        <f t="shared" ca="1" si="37"/>
        <v>46176</v>
      </c>
      <c r="N239" s="14">
        <f t="shared" ca="1" si="51"/>
        <v>16</v>
      </c>
      <c r="O239" s="61"/>
      <c r="P239" s="61"/>
      <c r="Q239" s="59"/>
      <c r="R239" s="12">
        <f t="shared" ca="1" si="38"/>
        <v>16</v>
      </c>
      <c r="S239" s="61"/>
      <c r="T239" s="59" t="s">
        <v>44</v>
      </c>
      <c r="U239" s="60" t="str">
        <f t="shared" ca="1" si="52"/>
        <v>In progress: Below 60 Months</v>
      </c>
      <c r="V239" s="60" t="str">
        <f t="shared" ca="1" si="53"/>
        <v>In progress: Below 60 Months</v>
      </c>
    </row>
    <row r="240" spans="1:22" ht="15.95" hidden="1">
      <c r="A240" s="59">
        <v>240</v>
      </c>
      <c r="B240" s="59" t="s">
        <v>913</v>
      </c>
      <c r="C240" s="59" t="s">
        <v>914</v>
      </c>
      <c r="D240" s="59" t="s">
        <v>915</v>
      </c>
      <c r="E240" s="59" t="s">
        <v>916</v>
      </c>
      <c r="F240" s="59" t="s">
        <v>41</v>
      </c>
      <c r="G240" s="59">
        <v>11</v>
      </c>
      <c r="H240" s="59" t="s">
        <v>112</v>
      </c>
      <c r="I240" s="59" t="s">
        <v>10</v>
      </c>
      <c r="J240" s="59"/>
      <c r="K240" s="61"/>
      <c r="L240" s="61">
        <v>45717</v>
      </c>
      <c r="M240" s="15">
        <f t="shared" ca="1" si="37"/>
        <v>46176</v>
      </c>
      <c r="N240" s="14">
        <f t="shared" ca="1" si="51"/>
        <v>16</v>
      </c>
      <c r="O240" s="61"/>
      <c r="P240" s="61"/>
      <c r="Q240" s="59"/>
      <c r="R240" s="12">
        <f t="shared" ca="1" si="38"/>
        <v>16</v>
      </c>
      <c r="S240" s="61"/>
      <c r="T240" s="59" t="s">
        <v>44</v>
      </c>
      <c r="U240" s="60" t="str">
        <f t="shared" ca="1" si="52"/>
        <v>In progress: Below 60 Months</v>
      </c>
      <c r="V240" s="60" t="str">
        <f t="shared" ca="1" si="53"/>
        <v>In progress: Below 60 Months</v>
      </c>
    </row>
  </sheetData>
  <autoFilter ref="A1:Y240" xr:uid="{00000000-0001-0000-0100-000000000000}">
    <filterColumn colId="6">
      <filters>
        <filter val="10"/>
      </filters>
    </filterColumn>
    <filterColumn colId="21">
      <filters>
        <filter val="In progress: Above 60 months"/>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c r="B5" t="s">
        <v>38</v>
      </c>
      <c r="D5" t="s">
        <v>44</v>
      </c>
      <c r="F5" t="s">
        <v>933</v>
      </c>
      <c r="G5" t="s">
        <v>934</v>
      </c>
      <c r="J5" s="2" t="s">
        <v>45</v>
      </c>
      <c r="K5" s="2" t="s">
        <v>2</v>
      </c>
    </row>
    <row r="6" spans="1:15">
      <c r="A6" s="2" t="s">
        <v>3</v>
      </c>
      <c r="B6" t="s">
        <v>45</v>
      </c>
      <c r="C6" t="s">
        <v>935</v>
      </c>
      <c r="D6" t="s">
        <v>45</v>
      </c>
      <c r="E6" t="s">
        <v>935</v>
      </c>
      <c r="H6" s="8"/>
      <c r="J6" s="38" t="s">
        <v>3</v>
      </c>
      <c r="K6" s="74" t="s">
        <v>4</v>
      </c>
      <c r="L6" s="37" t="s">
        <v>936</v>
      </c>
      <c r="M6" s="37" t="s">
        <v>5</v>
      </c>
      <c r="N6" s="37" t="s">
        <v>6</v>
      </c>
      <c r="O6" s="37" t="s">
        <v>7</v>
      </c>
    </row>
    <row r="7" spans="1:15">
      <c r="A7" t="s">
        <v>8</v>
      </c>
      <c r="B7">
        <v>1</v>
      </c>
      <c r="C7" s="8">
        <v>0.5</v>
      </c>
      <c r="D7">
        <v>1</v>
      </c>
      <c r="E7" s="8">
        <v>0.5</v>
      </c>
      <c r="F7">
        <v>2</v>
      </c>
      <c r="G7" s="8">
        <v>1</v>
      </c>
      <c r="H7" s="8"/>
      <c r="J7" s="32" t="s">
        <v>8</v>
      </c>
      <c r="K7" s="71"/>
      <c r="L7" s="33">
        <v>1</v>
      </c>
      <c r="M7" s="33">
        <v>1</v>
      </c>
      <c r="N7" s="33"/>
      <c r="O7" s="33">
        <v>2</v>
      </c>
    </row>
    <row r="8" spans="1:15">
      <c r="A8" t="s">
        <v>9</v>
      </c>
      <c r="B8">
        <v>4</v>
      </c>
      <c r="C8" s="8">
        <v>1</v>
      </c>
      <c r="E8" s="8">
        <v>0</v>
      </c>
      <c r="F8">
        <v>4</v>
      </c>
      <c r="G8" s="8">
        <v>1</v>
      </c>
      <c r="H8" s="8"/>
      <c r="J8" s="34" t="s">
        <v>9</v>
      </c>
      <c r="K8" s="72"/>
      <c r="L8" s="75"/>
      <c r="M8" s="75">
        <v>4</v>
      </c>
      <c r="N8" s="75"/>
      <c r="O8" s="75">
        <v>4</v>
      </c>
    </row>
    <row r="9" spans="1:15">
      <c r="A9" t="s">
        <v>10</v>
      </c>
      <c r="B9">
        <v>7</v>
      </c>
      <c r="C9" s="8">
        <v>0.875</v>
      </c>
      <c r="D9">
        <v>1</v>
      </c>
      <c r="E9" s="8">
        <v>0.125</v>
      </c>
      <c r="F9">
        <v>8</v>
      </c>
      <c r="G9" s="8">
        <v>1</v>
      </c>
      <c r="H9" s="8"/>
      <c r="J9" s="34" t="s">
        <v>10</v>
      </c>
      <c r="K9" s="72"/>
      <c r="L9" s="75">
        <v>1</v>
      </c>
      <c r="M9" s="75">
        <v>7</v>
      </c>
      <c r="N9" s="75"/>
      <c r="O9" s="75">
        <v>8</v>
      </c>
    </row>
    <row r="10" spans="1: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c r="A11" t="s">
        <v>12</v>
      </c>
      <c r="B11">
        <v>13</v>
      </c>
      <c r="C11" s="8">
        <v>0.65</v>
      </c>
      <c r="D11">
        <v>7</v>
      </c>
      <c r="E11" s="8">
        <v>0.35</v>
      </c>
      <c r="F11">
        <v>20</v>
      </c>
      <c r="G11" s="8">
        <v>1</v>
      </c>
      <c r="H11" s="8"/>
      <c r="J11" s="34" t="s">
        <v>12</v>
      </c>
      <c r="K11" s="72">
        <v>6</v>
      </c>
      <c r="L11" s="75">
        <v>1</v>
      </c>
      <c r="M11" s="75">
        <v>8</v>
      </c>
      <c r="N11" s="75">
        <v>5</v>
      </c>
      <c r="O11" s="75">
        <v>20</v>
      </c>
    </row>
    <row r="12" spans="1: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c r="A13" t="s">
        <v>14</v>
      </c>
      <c r="B13">
        <v>4</v>
      </c>
      <c r="C13" s="8">
        <v>1</v>
      </c>
      <c r="E13" s="8">
        <v>0</v>
      </c>
      <c r="F13">
        <v>4</v>
      </c>
      <c r="G13" s="8">
        <v>1</v>
      </c>
      <c r="H13" s="8"/>
      <c r="J13" s="34" t="s">
        <v>14</v>
      </c>
      <c r="K13" s="72"/>
      <c r="L13" s="75"/>
      <c r="M13" s="75">
        <v>2</v>
      </c>
      <c r="N13" s="75">
        <v>2</v>
      </c>
      <c r="O13" s="75">
        <v>4</v>
      </c>
    </row>
    <row r="14" spans="1: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c r="A15" t="s">
        <v>16</v>
      </c>
      <c r="B15">
        <v>24</v>
      </c>
      <c r="C15" s="8">
        <v>0.8</v>
      </c>
      <c r="D15">
        <v>6</v>
      </c>
      <c r="E15" s="8">
        <v>0.2</v>
      </c>
      <c r="F15">
        <v>30</v>
      </c>
      <c r="G15" s="8">
        <v>1</v>
      </c>
      <c r="H15" s="8"/>
      <c r="J15" s="34" t="s">
        <v>16</v>
      </c>
      <c r="K15" s="72">
        <v>3</v>
      </c>
      <c r="L15" s="75">
        <v>3</v>
      </c>
      <c r="M15" s="75">
        <v>16</v>
      </c>
      <c r="N15" s="75">
        <v>8</v>
      </c>
      <c r="O15" s="75">
        <v>30</v>
      </c>
    </row>
    <row r="16" spans="1: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c r="A18" t="s">
        <v>19</v>
      </c>
      <c r="B18">
        <v>25</v>
      </c>
      <c r="C18" s="8">
        <v>0.96153846153846156</v>
      </c>
      <c r="D18">
        <v>1</v>
      </c>
      <c r="E18" s="8">
        <v>3.8461538461538464E-2</v>
      </c>
      <c r="F18">
        <v>26</v>
      </c>
      <c r="G18" s="8">
        <v>1</v>
      </c>
      <c r="H18" s="8"/>
      <c r="J18" s="34" t="s">
        <v>19</v>
      </c>
      <c r="K18" s="72">
        <v>1</v>
      </c>
      <c r="L18" s="75"/>
      <c r="M18" s="75">
        <v>19</v>
      </c>
      <c r="N18" s="75">
        <v>6</v>
      </c>
      <c r="O18" s="75">
        <v>26</v>
      </c>
    </row>
    <row r="19" spans="1:15">
      <c r="A19" t="s">
        <v>857</v>
      </c>
      <c r="C19" s="8">
        <v>0</v>
      </c>
      <c r="D19">
        <v>2</v>
      </c>
      <c r="E19" s="8">
        <v>1</v>
      </c>
      <c r="F19">
        <v>2</v>
      </c>
      <c r="G19" s="8">
        <v>1</v>
      </c>
      <c r="J19" s="35" t="s">
        <v>857</v>
      </c>
      <c r="K19" s="72"/>
      <c r="L19" s="75">
        <v>2</v>
      </c>
      <c r="M19" s="75"/>
      <c r="N19" s="75"/>
      <c r="O19" s="75">
        <v>2</v>
      </c>
    </row>
    <row r="20" spans="1:15">
      <c r="A20" t="s">
        <v>7</v>
      </c>
      <c r="B20">
        <v>195</v>
      </c>
      <c r="C20" s="8">
        <v>0.8125</v>
      </c>
      <c r="D20">
        <v>45</v>
      </c>
      <c r="E20" s="8">
        <v>0.1875</v>
      </c>
      <c r="F20">
        <v>240</v>
      </c>
      <c r="G20" s="8">
        <v>1</v>
      </c>
      <c r="J20" s="36" t="s">
        <v>7</v>
      </c>
      <c r="K20" s="73">
        <v>25</v>
      </c>
      <c r="L20" s="27">
        <v>20</v>
      </c>
      <c r="M20" s="27">
        <v>127</v>
      </c>
      <c r="N20" s="27">
        <v>68</v>
      </c>
      <c r="O20" s="27">
        <v>240</v>
      </c>
    </row>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43.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43.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3.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2026-06-03T14:02:11Z</dcterms:modified>
  <cp:category/>
  <cp:contentStatus/>
</cp:coreProperties>
</file>
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37" documentId="13_ncr:1_{4D0E5611-347A-4675-B69B-D50AC6A875FD}" xr6:coauthVersionLast="47" xr6:coauthVersionMax="47" xr10:uidLastSave="{1139D30E-199D-410F-AA29-B4F6996892BC}"/>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Fellows!$A$1:$CX$266</definedName>
  </definedNames>
  <calcPr calcId="191028"/>
  <pivotCaches>
    <pivotCache cacheId="472" r:id="rId8"/>
    <pivotCache cacheId="473" r:id="rId9"/>
    <pivotCache cacheId="474" r:id="rId10"/>
    <pivotCache cacheId="475"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34" i="1" l="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<sst xmlns="http://schemas.openxmlformats.org/spreadsheetml/2006/main" count="10667" uniqueCount="4114">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</sst>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6">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6</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4</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9189120372"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161.607284375001"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m/>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m/>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x v="19"/>
    <x v="2"/>
    <m/>
    <m/>
    <m/>
    <n v="5"/>
    <m/>
    <m/>
    <m/>
    <m/>
    <m/>
    <m/>
    <m/>
    <m/>
    <m/>
    <m/>
    <m/>
    <m/>
    <m/>
    <m/>
    <m/>
    <m/>
    <m/>
    <m/>
    <m/>
  </r>
  <r>
    <n v="276"/>
    <s v="C12/006"/>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47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47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47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47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47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47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475"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47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47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47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47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47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47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4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47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47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4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18" Type="http://schemas.openxmlformats.org/officeDocument/2006/relationships/hyperlink" Target="mailto:lusobyarebecca@gmail.com" TargetMode="External"/><Relationship Id="rId134" Type="http://schemas.openxmlformats.org/officeDocument/2006/relationships/hyperlink" Target="https://orcid.org/0000-0002-5601-0326" TargetMode="External"/><Relationship Id="rId139" Type="http://schemas.openxmlformats.org/officeDocument/2006/relationships/hyperlink" Target="https://orcid.org/0000-0002-0686-1544"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08" Type="http://schemas.openxmlformats.org/officeDocument/2006/relationships/hyperlink" Target="mailto:mkantonya@mlw.mw" TargetMode="External"/><Relationship Id="rId124" Type="http://schemas.openxmlformats.org/officeDocument/2006/relationships/hyperlink" Target="mailto:habumshadra@gmail.com"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91" Type="http://schemas.openxmlformats.org/officeDocument/2006/relationships/hyperlink" Target="mailto:lfarlane@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45" Type="http://schemas.openxmlformats.org/officeDocument/2006/relationships/vmlDrawing" Target="../drawings/vmlDrawing1.vm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35" Type="http://schemas.openxmlformats.org/officeDocument/2006/relationships/hyperlink" Target="http://orcid.org/0000-0002-1330-1545"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04" Type="http://schemas.openxmlformats.org/officeDocument/2006/relationships/hyperlink" Target="mailto:habipau@gmail.com" TargetMode="External"/><Relationship Id="rId120" Type="http://schemas.openxmlformats.org/officeDocument/2006/relationships/hyperlink" Target="mailto:pamboka@aphrc.org" TargetMode="External"/><Relationship Id="rId125" Type="http://schemas.openxmlformats.org/officeDocument/2006/relationships/hyperlink" Target="mailto:tchepkwony@cartafrica.org" TargetMode="External"/><Relationship Id="rId141" Type="http://schemas.openxmlformats.org/officeDocument/2006/relationships/hyperlink" Target="https://orcid.org/0000-0001-9368-5456" TargetMode="External"/><Relationship Id="rId146" Type="http://schemas.openxmlformats.org/officeDocument/2006/relationships/comments" Target="../comments1.x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microsoft.com/office/2017/10/relationships/threadedComment" Target="../threadedComments/threadedComment1.xm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19</v>
      </c>
      <c r="E54">
        <v>1</v>
      </c>
      <c r="F54">
        <v>20</v>
      </c>
      <c r="G54" s="308"/>
    </row>
    <row r="55" spans="2:8">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v>20</v>
      </c>
      <c r="D5">
        <v>3</v>
      </c>
      <c r="E5">
        <v>23</v>
      </c>
    </row>
    <row r="6" spans="1:5">
      <c r="A6" s="41">
        <v>2</v>
      </c>
      <c r="B6">
        <v>15</v>
      </c>
      <c r="C6">
        <v>1</v>
      </c>
      <c r="D6">
        <v>4</v>
      </c>
      <c r="E6">
        <v>20</v>
      </c>
    </row>
    <row r="7" spans="1:5">
      <c r="A7" s="41">
        <v>3</v>
      </c>
      <c r="B7">
        <v>18</v>
      </c>
      <c r="C7">
        <v>3</v>
      </c>
      <c r="D7">
        <v>2</v>
      </c>
      <c r="E7">
        <v>23</v>
      </c>
    </row>
    <row r="8" spans="1:5">
      <c r="A8" s="41">
        <v>4</v>
      </c>
      <c r="B8">
        <v>25</v>
      </c>
      <c r="C8">
        <v>1</v>
      </c>
      <c r="D8">
        <v>1</v>
      </c>
      <c r="E8">
        <v>27</v>
      </c>
    </row>
    <row r="9" spans="1:5">
      <c r="A9" s="41">
        <v>5</v>
      </c>
      <c r="B9">
        <v>18</v>
      </c>
      <c r="C9">
        <v>2</v>
      </c>
      <c r="D9">
        <v>5</v>
      </c>
      <c r="E9">
        <v>25</v>
      </c>
    </row>
    <row r="10" spans="1:5">
      <c r="A10" s="41">
        <v>6</v>
      </c>
      <c r="B10">
        <v>24</v>
      </c>
      <c r="D10">
        <v>1</v>
      </c>
      <c r="E10">
        <v>25</v>
      </c>
    </row>
    <row r="11" spans="1:5">
      <c r="A11" s="41">
        <v>7</v>
      </c>
      <c r="B11">
        <v>24</v>
      </c>
      <c r="D11">
        <v>3</v>
      </c>
      <c r="E11">
        <v>27</v>
      </c>
    </row>
    <row r="12" spans="1:5">
      <c r="A12" s="41">
        <v>8</v>
      </c>
      <c r="B12">
        <v>17</v>
      </c>
      <c r="C12">
        <v>6</v>
      </c>
      <c r="D12">
        <v>3</v>
      </c>
      <c r="E12">
        <v>26</v>
      </c>
    </row>
    <row r="13" spans="1:5">
      <c r="A13" s="41">
        <v>9</v>
      </c>
      <c r="B13">
        <v>16</v>
      </c>
      <c r="C13">
        <v>6</v>
      </c>
      <c r="D13">
        <v>2</v>
      </c>
      <c r="E13">
        <v>24</v>
      </c>
    </row>
    <row r="14" spans="1:5">
      <c r="A14" s="41">
        <v>10</v>
      </c>
      <c r="B14">
        <v>18</v>
      </c>
      <c r="C14">
        <v>6</v>
      </c>
      <c r="D14">
        <v>1</v>
      </c>
      <c r="E14">
        <v>25</v>
      </c>
    </row>
    <row r="15" spans="1:5">
      <c r="A15" s="41" t="s">
        <v>19</v>
      </c>
      <c r="B15">
        <v>195</v>
      </c>
      <c r="C15">
        <v>25</v>
      </c>
      <c r="D15">
        <v>25</v>
      </c>
      <c r="E15">
        <v>245</v>
      </c>
    </row>
    <row r="20" spans="1:5">
      <c r="A20" s="54" t="s">
        <v>21</v>
      </c>
      <c r="B20" s="54" t="s">
        <v>22</v>
      </c>
    </row>
    <row r="21" spans="1:5">
      <c r="A21" s="54" t="s">
        <v>23</v>
      </c>
      <c r="B21" t="s">
        <v>16</v>
      </c>
      <c r="C21" t="s">
        <v>17</v>
      </c>
      <c r="D21" t="s">
        <v>18</v>
      </c>
      <c r="E21" t="s">
        <v>19</v>
      </c>
    </row>
    <row r="22" spans="1:5">
      <c r="A22" s="41" t="s">
        <v>24</v>
      </c>
      <c r="B22">
        <v>109</v>
      </c>
      <c r="C22">
        <v>15</v>
      </c>
      <c r="D22">
        <v>12</v>
      </c>
      <c r="E22">
        <v>136</v>
      </c>
    </row>
    <row r="23" spans="1:5">
      <c r="A23" s="41" t="s">
        <v>25</v>
      </c>
      <c r="B23">
        <v>86</v>
      </c>
      <c r="C23">
        <v>10</v>
      </c>
      <c r="D23">
        <v>13</v>
      </c>
      <c r="E23">
        <v>109</v>
      </c>
    </row>
    <row r="24" spans="1:5">
      <c r="A24" s="41" t="s">
        <v>19</v>
      </c>
      <c r="B24">
        <v>195</v>
      </c>
      <c r="C24">
        <v>25</v>
      </c>
      <c r="D24">
        <v>25</v>
      </c>
      <c r="E24">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63" zoomScale="72" zoomScaleNormal="72" workbookViewId="0">
      <selection activeCell="H70" sqref="H70"/>
    </sheetView>
  </sheetViews>
  <sheetFormatPr defaultRowHeight="15" customHeight="1"/>
  <cols>
    <col min="1" max="1" width="14.28515625" bestFit="1"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33</v>
      </c>
      <c r="F5" t="s">
        <v>19</v>
      </c>
      <c r="H5" s="54" t="s">
        <v>34</v>
      </c>
      <c r="I5" t="s">
        <v>16</v>
      </c>
      <c r="J5" t="s">
        <v>17</v>
      </c>
      <c r="K5" t="s">
        <v>18</v>
      </c>
      <c r="L5" t="s">
        <v>19</v>
      </c>
      <c r="N5" t="s">
        <v>24</v>
      </c>
      <c r="O5">
        <v>147</v>
      </c>
      <c r="P5" t="s">
        <v>24</v>
      </c>
      <c r="Q5">
        <v>109</v>
      </c>
    </row>
    <row r="6" spans="1:22">
      <c r="A6" t="s">
        <v>35</v>
      </c>
      <c r="B6">
        <v>17</v>
      </c>
      <c r="C6">
        <v>3</v>
      </c>
      <c r="D6">
        <v>3</v>
      </c>
      <c r="F6">
        <v>23</v>
      </c>
      <c r="H6" t="s">
        <v>36</v>
      </c>
      <c r="I6">
        <v>1</v>
      </c>
      <c r="J6">
        <v>2</v>
      </c>
      <c r="L6">
        <v>3</v>
      </c>
      <c r="N6" t="s">
        <v>25</v>
      </c>
      <c r="O6">
        <v>118</v>
      </c>
      <c r="P6" t="s">
        <v>25</v>
      </c>
      <c r="Q6">
        <v>86</v>
      </c>
    </row>
    <row r="7" spans="1:22">
      <c r="A7" t="s">
        <v>37</v>
      </c>
      <c r="B7">
        <v>7</v>
      </c>
      <c r="C7">
        <v>5</v>
      </c>
      <c r="F7">
        <v>12</v>
      </c>
      <c r="H7" t="s">
        <v>38</v>
      </c>
      <c r="I7">
        <v>4</v>
      </c>
      <c r="J7">
        <v>1</v>
      </c>
      <c r="K7">
        <v>1</v>
      </c>
      <c r="L7">
        <v>6</v>
      </c>
      <c r="N7" t="s">
        <v>19</v>
      </c>
      <c r="O7">
        <v>265</v>
      </c>
      <c r="P7" t="s">
        <v>19</v>
      </c>
      <c r="Q7">
        <v>195</v>
      </c>
    </row>
    <row r="8" spans="1:22">
      <c r="A8" t="s">
        <v>39</v>
      </c>
      <c r="B8">
        <v>19</v>
      </c>
      <c r="C8">
        <v>1</v>
      </c>
      <c r="F8">
        <v>20</v>
      </c>
      <c r="H8" t="s">
        <v>40</v>
      </c>
      <c r="I8">
        <v>7</v>
      </c>
      <c r="J8">
        <v>2</v>
      </c>
      <c r="K8">
        <v>1</v>
      </c>
      <c r="L8">
        <v>10</v>
      </c>
    </row>
    <row r="9" spans="1:22">
      <c r="A9" t="s">
        <v>41</v>
      </c>
      <c r="B9">
        <v>6</v>
      </c>
      <c r="D9">
        <v>2</v>
      </c>
      <c r="F9">
        <v>8</v>
      </c>
      <c r="H9" t="s">
        <v>35</v>
      </c>
      <c r="I9">
        <v>19</v>
      </c>
      <c r="J9">
        <v>8</v>
      </c>
      <c r="K9">
        <v>4</v>
      </c>
      <c r="L9">
        <v>31</v>
      </c>
    </row>
    <row r="10" spans="1:22">
      <c r="A10" t="s">
        <v>31</v>
      </c>
      <c r="B10">
        <v>28</v>
      </c>
      <c r="C10">
        <v>7</v>
      </c>
      <c r="F10">
        <v>35</v>
      </c>
      <c r="H10" t="s">
        <v>37</v>
      </c>
      <c r="I10">
        <v>13</v>
      </c>
      <c r="J10">
        <v>8</v>
      </c>
      <c r="K10">
        <v>1</v>
      </c>
      <c r="L10">
        <v>22</v>
      </c>
    </row>
    <row r="11" spans="1:22">
      <c r="A11" t="s">
        <v>42</v>
      </c>
      <c r="B11">
        <v>22</v>
      </c>
      <c r="C11">
        <v>8</v>
      </c>
      <c r="D11">
        <v>5</v>
      </c>
      <c r="F11">
        <v>35</v>
      </c>
      <c r="H11" t="s">
        <v>39</v>
      </c>
      <c r="I11">
        <v>29</v>
      </c>
      <c r="J11">
        <v>4</v>
      </c>
      <c r="L11">
        <v>33</v>
      </c>
    </row>
    <row r="12" spans="1:22">
      <c r="A12" t="s">
        <v>43</v>
      </c>
      <c r="B12">
        <v>6</v>
      </c>
      <c r="C12">
        <v>2</v>
      </c>
      <c r="F12">
        <v>8</v>
      </c>
      <c r="H12" t="s">
        <v>41</v>
      </c>
      <c r="I12">
        <v>4</v>
      </c>
      <c r="K12">
        <v>2</v>
      </c>
      <c r="L12">
        <v>6</v>
      </c>
    </row>
    <row r="13" spans="1:22">
      <c r="A13" t="s">
        <v>44</v>
      </c>
      <c r="B13">
        <v>16</v>
      </c>
      <c r="C13">
        <v>2</v>
      </c>
      <c r="D13">
        <v>3</v>
      </c>
      <c r="F13">
        <v>21</v>
      </c>
      <c r="H13" t="s">
        <v>31</v>
      </c>
      <c r="I13">
        <v>32</v>
      </c>
      <c r="J13">
        <v>11</v>
      </c>
      <c r="L13">
        <v>43</v>
      </c>
    </row>
    <row r="14" spans="1:22">
      <c r="A14" t="s">
        <v>45</v>
      </c>
      <c r="B14">
        <v>74</v>
      </c>
      <c r="C14">
        <v>8</v>
      </c>
      <c r="D14">
        <v>8</v>
      </c>
      <c r="F14">
        <v>90</v>
      </c>
      <c r="H14" t="s">
        <v>46</v>
      </c>
      <c r="I14">
        <v>24</v>
      </c>
      <c r="J14">
        <v>6</v>
      </c>
      <c r="K14">
        <v>3</v>
      </c>
      <c r="L14">
        <v>33</v>
      </c>
    </row>
    <row r="15" spans="1:22">
      <c r="A15" t="s">
        <v>33</v>
      </c>
      <c r="C15">
        <v>30</v>
      </c>
      <c r="D15">
        <v>5</v>
      </c>
      <c r="F15">
        <v>35</v>
      </c>
      <c r="H15" t="s">
        <v>42</v>
      </c>
      <c r="I15">
        <v>17</v>
      </c>
      <c r="J15">
        <v>7</v>
      </c>
      <c r="K15">
        <v>7</v>
      </c>
      <c r="L15">
        <v>31</v>
      </c>
    </row>
    <row r="16" spans="1:22">
      <c r="A16" t="s">
        <v>19</v>
      </c>
      <c r="B16">
        <v>195</v>
      </c>
      <c r="C16">
        <v>66</v>
      </c>
      <c r="D16">
        <v>26</v>
      </c>
      <c r="F16">
        <v>287</v>
      </c>
      <c r="H16" t="s">
        <v>43</v>
      </c>
      <c r="I16">
        <v>20</v>
      </c>
      <c r="J16">
        <v>9</v>
      </c>
      <c r="K16">
        <v>2</v>
      </c>
      <c r="L16">
        <v>31</v>
      </c>
    </row>
    <row r="17" spans="1:14">
      <c r="H17" t="s">
        <v>45</v>
      </c>
      <c r="I17">
        <v>25</v>
      </c>
      <c r="J17">
        <v>2</v>
      </c>
      <c r="K17">
        <v>5</v>
      </c>
      <c r="L17">
        <v>32</v>
      </c>
    </row>
    <row r="18" spans="1:14">
      <c r="H18" t="s">
        <v>47</v>
      </c>
      <c r="J18">
        <v>2</v>
      </c>
      <c r="L18">
        <v>2</v>
      </c>
    </row>
    <row r="19" spans="1:14">
      <c r="H19" t="s">
        <v>48</v>
      </c>
      <c r="J19">
        <v>4</v>
      </c>
      <c r="L19">
        <v>4</v>
      </c>
    </row>
    <row r="20" spans="1:14">
      <c r="H20" t="s">
        <v>19</v>
      </c>
      <c r="I20">
        <v>195</v>
      </c>
      <c r="J20">
        <v>66</v>
      </c>
      <c r="K20">
        <v>26</v>
      </c>
      <c r="L20">
        <v>287</v>
      </c>
    </row>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49</v>
      </c>
      <c r="H29" s="54" t="s">
        <v>13</v>
      </c>
      <c r="I29" s="54" t="s">
        <v>29</v>
      </c>
    </row>
    <row r="30" spans="1:14" ht="15" customHeight="1">
      <c r="A30">
        <v>1</v>
      </c>
      <c r="B30">
        <v>20</v>
      </c>
      <c r="D30">
        <v>3</v>
      </c>
      <c r="E30">
        <v>23</v>
      </c>
      <c r="F30" s="390">
        <f>SUM(B30:C30)/E30</f>
        <v>0.86956521739130432</v>
      </c>
      <c r="G30" s="390"/>
      <c r="H30" s="54" t="s">
        <v>50</v>
      </c>
      <c r="I30" t="s">
        <v>24</v>
      </c>
      <c r="J30" t="s">
        <v>25</v>
      </c>
      <c r="K30" t="s">
        <v>19</v>
      </c>
      <c r="N30" s="425" t="s">
        <v>51</v>
      </c>
    </row>
    <row r="31" spans="1:14">
      <c r="A31">
        <v>2</v>
      </c>
      <c r="B31">
        <v>15</v>
      </c>
      <c r="C31">
        <v>1</v>
      </c>
      <c r="D31">
        <v>4</v>
      </c>
      <c r="E31">
        <v>20</v>
      </c>
      <c r="F31" s="390">
        <f t="shared" ref="F31:F40" si="0">SUM(B31:C31)/E31</f>
        <v>0.8</v>
      </c>
      <c r="G31" s="390"/>
      <c r="H31" t="s">
        <v>52</v>
      </c>
      <c r="I31">
        <v>42</v>
      </c>
      <c r="J31">
        <v>16</v>
      </c>
      <c r="K31">
        <v>58</v>
      </c>
    </row>
    <row r="32" spans="1:14">
      <c r="A32">
        <v>3</v>
      </c>
      <c r="B32">
        <v>18</v>
      </c>
      <c r="C32">
        <v>3</v>
      </c>
      <c r="D32">
        <v>2</v>
      </c>
      <c r="E32">
        <v>23</v>
      </c>
      <c r="F32" s="390">
        <f t="shared" si="0"/>
        <v>0.91304347826086951</v>
      </c>
      <c r="G32" s="390"/>
      <c r="H32" t="s">
        <v>53</v>
      </c>
      <c r="I32">
        <v>15</v>
      </c>
      <c r="J32">
        <v>24</v>
      </c>
      <c r="K32">
        <v>39</v>
      </c>
    </row>
    <row r="33" spans="1:11">
      <c r="A33">
        <v>4</v>
      </c>
      <c r="B33">
        <v>25</v>
      </c>
      <c r="C33">
        <v>1</v>
      </c>
      <c r="D33">
        <v>1</v>
      </c>
      <c r="E33">
        <v>27</v>
      </c>
      <c r="F33" s="390">
        <f t="shared" si="0"/>
        <v>0.96296296296296291</v>
      </c>
      <c r="G33" s="390"/>
      <c r="H33" t="s">
        <v>54</v>
      </c>
      <c r="I33">
        <v>42</v>
      </c>
      <c r="J33">
        <v>36</v>
      </c>
      <c r="K33">
        <v>78</v>
      </c>
    </row>
    <row r="34" spans="1:11">
      <c r="A34">
        <v>5</v>
      </c>
      <c r="B34">
        <v>18</v>
      </c>
      <c r="C34">
        <v>2</v>
      </c>
      <c r="D34">
        <v>5</v>
      </c>
      <c r="E34">
        <v>25</v>
      </c>
      <c r="F34" s="390">
        <f t="shared" si="0"/>
        <v>0.8</v>
      </c>
      <c r="G34" s="390"/>
      <c r="H34" t="s">
        <v>55</v>
      </c>
      <c r="I34">
        <v>12</v>
      </c>
      <c r="J34">
        <v>19</v>
      </c>
      <c r="K34">
        <v>31</v>
      </c>
    </row>
    <row r="35" spans="1:11">
      <c r="A35">
        <v>6</v>
      </c>
      <c r="B35">
        <v>24</v>
      </c>
      <c r="D35">
        <v>1</v>
      </c>
      <c r="E35">
        <v>25</v>
      </c>
      <c r="F35" s="390">
        <f t="shared" si="0"/>
        <v>0.96</v>
      </c>
      <c r="G35" s="390"/>
      <c r="H35" t="s">
        <v>56</v>
      </c>
      <c r="J35">
        <v>1</v>
      </c>
      <c r="K35">
        <v>1</v>
      </c>
    </row>
    <row r="36" spans="1:11">
      <c r="A36">
        <v>7</v>
      </c>
      <c r="B36">
        <v>24</v>
      </c>
      <c r="D36">
        <v>3</v>
      </c>
      <c r="E36">
        <v>27</v>
      </c>
      <c r="F36" s="390">
        <f t="shared" si="0"/>
        <v>0.88888888888888884</v>
      </c>
      <c r="G36" s="390"/>
      <c r="H36" t="s">
        <v>57</v>
      </c>
      <c r="I36">
        <v>1</v>
      </c>
      <c r="J36">
        <v>1</v>
      </c>
      <c r="K36">
        <v>2</v>
      </c>
    </row>
    <row r="37" spans="1:11">
      <c r="A37">
        <v>8</v>
      </c>
      <c r="B37">
        <v>17</v>
      </c>
      <c r="C37">
        <v>6</v>
      </c>
      <c r="D37">
        <v>3</v>
      </c>
      <c r="E37">
        <v>26</v>
      </c>
      <c r="F37" s="390">
        <f t="shared" si="0"/>
        <v>0.88461538461538458</v>
      </c>
      <c r="G37" s="390"/>
      <c r="H37" t="s">
        <v>58</v>
      </c>
      <c r="I37">
        <v>20</v>
      </c>
      <c r="J37">
        <v>8</v>
      </c>
      <c r="K37">
        <v>28</v>
      </c>
    </row>
    <row r="38" spans="1:11">
      <c r="A38">
        <v>9</v>
      </c>
      <c r="B38">
        <v>16</v>
      </c>
      <c r="C38">
        <v>6</v>
      </c>
      <c r="D38">
        <v>2</v>
      </c>
      <c r="E38">
        <v>24</v>
      </c>
      <c r="F38" s="390">
        <f t="shared" si="0"/>
        <v>0.91666666666666663</v>
      </c>
      <c r="G38" s="390"/>
      <c r="H38" t="s">
        <v>59</v>
      </c>
      <c r="I38">
        <v>9</v>
      </c>
      <c r="J38">
        <v>7</v>
      </c>
      <c r="K38">
        <v>16</v>
      </c>
    </row>
    <row r="39" spans="1:11">
      <c r="A39">
        <v>10</v>
      </c>
      <c r="B39">
        <v>18</v>
      </c>
      <c r="C39">
        <v>6</v>
      </c>
      <c r="D39">
        <v>1</v>
      </c>
      <c r="E39">
        <v>25</v>
      </c>
      <c r="F39" s="390">
        <f t="shared" si="0"/>
        <v>0.96</v>
      </c>
      <c r="G39" s="390"/>
      <c r="H39" t="s">
        <v>60</v>
      </c>
      <c r="I39">
        <v>14</v>
      </c>
      <c r="J39">
        <v>17</v>
      </c>
      <c r="K39">
        <v>31</v>
      </c>
    </row>
    <row r="40" spans="1:11">
      <c r="A40">
        <v>11</v>
      </c>
      <c r="C40">
        <v>19</v>
      </c>
      <c r="D40">
        <v>1</v>
      </c>
      <c r="E40">
        <v>20</v>
      </c>
      <c r="F40" s="390">
        <f t="shared" si="0"/>
        <v>0.95</v>
      </c>
      <c r="G40" s="390"/>
      <c r="H40" t="s">
        <v>61</v>
      </c>
      <c r="I40">
        <v>2</v>
      </c>
      <c r="J40">
        <v>1</v>
      </c>
      <c r="K40">
        <v>3</v>
      </c>
    </row>
    <row r="41" spans="1:11">
      <c r="A41">
        <v>12</v>
      </c>
      <c r="C41">
        <v>22</v>
      </c>
      <c r="E41">
        <v>22</v>
      </c>
      <c r="F41" s="390">
        <f>SUM(B41:C41)/E41</f>
        <v>1</v>
      </c>
      <c r="G41" s="390"/>
      <c r="H41" t="s">
        <v>19</v>
      </c>
      <c r="I41">
        <v>157</v>
      </c>
      <c r="J41">
        <v>130</v>
      </c>
      <c r="K41">
        <v>287</v>
      </c>
    </row>
    <row r="42" spans="1:11">
      <c r="A42" t="s">
        <v>19</v>
      </c>
      <c r="B42">
        <v>195</v>
      </c>
      <c r="C42">
        <v>66</v>
      </c>
      <c r="D42">
        <v>26</v>
      </c>
      <c r="E42">
        <v>287</v>
      </c>
    </row>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30</v>
      </c>
    </row>
    <row r="63" spans="1:16"/>
    <row r="64" spans="1:16">
      <c r="A64" s="54" t="s">
        <v>13</v>
      </c>
      <c r="B64" s="54" t="s">
        <v>29</v>
      </c>
    </row>
    <row r="65" spans="1:12">
      <c r="A65" s="54" t="s">
        <v>15</v>
      </c>
      <c r="B65" t="s">
        <v>24</v>
      </c>
      <c r="C65" t="s">
        <v>25</v>
      </c>
      <c r="D65" t="s">
        <v>19</v>
      </c>
      <c r="H65" s="60" t="s">
        <v>15</v>
      </c>
    </row>
    <row r="66" spans="1:12">
      <c r="A66">
        <v>1</v>
      </c>
      <c r="B66">
        <v>9</v>
      </c>
      <c r="C66">
        <v>14</v>
      </c>
      <c r="D66">
        <v>23</v>
      </c>
      <c r="H66" s="54" t="s">
        <v>13</v>
      </c>
      <c r="I66" s="54" t="s">
        <v>14</v>
      </c>
    </row>
    <row r="67" spans="1:12">
      <c r="A67">
        <v>2</v>
      </c>
      <c r="B67">
        <v>9</v>
      </c>
      <c r="C67">
        <v>11</v>
      </c>
      <c r="D67">
        <v>20</v>
      </c>
      <c r="H67" s="54" t="s">
        <v>15</v>
      </c>
      <c r="I67" t="s">
        <v>16</v>
      </c>
      <c r="J67" t="s">
        <v>17</v>
      </c>
      <c r="K67" t="s">
        <v>18</v>
      </c>
      <c r="L67" t="s">
        <v>19</v>
      </c>
    </row>
    <row r="68" spans="1:12">
      <c r="A68">
        <v>3</v>
      </c>
      <c r="B68">
        <v>13</v>
      </c>
      <c r="C68">
        <v>10</v>
      </c>
      <c r="D68">
        <v>23</v>
      </c>
      <c r="H68">
        <v>1</v>
      </c>
      <c r="I68">
        <v>20</v>
      </c>
      <c r="K68">
        <v>3</v>
      </c>
      <c r="L68">
        <v>23</v>
      </c>
    </row>
    <row r="69" spans="1:12">
      <c r="A69">
        <v>4</v>
      </c>
      <c r="B69">
        <v>12</v>
      </c>
      <c r="C69">
        <v>15</v>
      </c>
      <c r="D69">
        <v>27</v>
      </c>
      <c r="H69">
        <v>2</v>
      </c>
      <c r="I69">
        <v>15</v>
      </c>
      <c r="J69">
        <v>1</v>
      </c>
      <c r="K69">
        <v>4</v>
      </c>
      <c r="L69">
        <v>20</v>
      </c>
    </row>
    <row r="70" spans="1:12">
      <c r="A70">
        <v>5</v>
      </c>
      <c r="B70">
        <v>13</v>
      </c>
      <c r="C70">
        <v>12</v>
      </c>
      <c r="D70">
        <v>25</v>
      </c>
      <c r="H70">
        <v>3</v>
      </c>
      <c r="I70">
        <v>18</v>
      </c>
      <c r="J70">
        <v>3</v>
      </c>
      <c r="K70">
        <v>2</v>
      </c>
      <c r="L70">
        <v>23</v>
      </c>
    </row>
    <row r="71" spans="1:12">
      <c r="A71">
        <v>6</v>
      </c>
      <c r="B71">
        <v>15</v>
      </c>
      <c r="C71">
        <v>10</v>
      </c>
      <c r="D71">
        <v>25</v>
      </c>
      <c r="H71">
        <v>4</v>
      </c>
      <c r="I71">
        <v>25</v>
      </c>
      <c r="J71">
        <v>1</v>
      </c>
      <c r="K71">
        <v>1</v>
      </c>
      <c r="L71">
        <v>27</v>
      </c>
    </row>
    <row r="72" spans="1:12">
      <c r="A72">
        <v>7</v>
      </c>
      <c r="B72">
        <v>19</v>
      </c>
      <c r="C72">
        <v>8</v>
      </c>
      <c r="D72">
        <v>27</v>
      </c>
      <c r="H72">
        <v>5</v>
      </c>
      <c r="I72">
        <v>18</v>
      </c>
      <c r="J72">
        <v>2</v>
      </c>
      <c r="K72">
        <v>5</v>
      </c>
      <c r="L72">
        <v>25</v>
      </c>
    </row>
    <row r="73" spans="1:12">
      <c r="A73">
        <v>8</v>
      </c>
      <c r="B73">
        <v>16</v>
      </c>
      <c r="C73">
        <v>10</v>
      </c>
      <c r="D73">
        <v>26</v>
      </c>
      <c r="H73">
        <v>6</v>
      </c>
      <c r="I73">
        <v>24</v>
      </c>
      <c r="K73">
        <v>1</v>
      </c>
      <c r="L73">
        <v>25</v>
      </c>
    </row>
    <row r="74" spans="1:12">
      <c r="A74">
        <v>9</v>
      </c>
      <c r="B74">
        <v>15</v>
      </c>
      <c r="C74">
        <v>9</v>
      </c>
      <c r="D74">
        <v>24</v>
      </c>
      <c r="H74">
        <v>7</v>
      </c>
      <c r="I74">
        <v>24</v>
      </c>
      <c r="K74">
        <v>3</v>
      </c>
      <c r="L74">
        <v>27</v>
      </c>
    </row>
    <row r="75" spans="1:12">
      <c r="A75">
        <v>10</v>
      </c>
      <c r="B75">
        <v>15</v>
      </c>
      <c r="C75">
        <v>10</v>
      </c>
      <c r="D75">
        <v>25</v>
      </c>
      <c r="H75">
        <v>8</v>
      </c>
      <c r="I75">
        <v>17</v>
      </c>
      <c r="J75">
        <v>6</v>
      </c>
      <c r="K75">
        <v>3</v>
      </c>
      <c r="L75">
        <v>26</v>
      </c>
    </row>
    <row r="76" spans="1:12">
      <c r="A76">
        <v>11</v>
      </c>
      <c r="B76">
        <v>11</v>
      </c>
      <c r="C76">
        <v>9</v>
      </c>
      <c r="D76">
        <v>20</v>
      </c>
      <c r="H76">
        <v>9</v>
      </c>
      <c r="I76">
        <v>16</v>
      </c>
      <c r="J76">
        <v>6</v>
      </c>
      <c r="K76">
        <v>2</v>
      </c>
      <c r="L76">
        <v>24</v>
      </c>
    </row>
    <row r="77" spans="1:12">
      <c r="A77">
        <v>12</v>
      </c>
      <c r="B77">
        <v>10</v>
      </c>
      <c r="C77">
        <v>12</v>
      </c>
      <c r="D77">
        <v>22</v>
      </c>
      <c r="H77">
        <v>10</v>
      </c>
      <c r="I77">
        <v>18</v>
      </c>
      <c r="J77">
        <v>6</v>
      </c>
      <c r="K77">
        <v>1</v>
      </c>
      <c r="L77">
        <v>25</v>
      </c>
    </row>
    <row r="78" spans="1:12">
      <c r="A78" t="s">
        <v>19</v>
      </c>
      <c r="B78">
        <v>157</v>
      </c>
      <c r="C78">
        <v>130</v>
      </c>
      <c r="D78">
        <v>287</v>
      </c>
      <c r="H78">
        <v>11</v>
      </c>
      <c r="J78">
        <v>19</v>
      </c>
      <c r="K78">
        <v>1</v>
      </c>
      <c r="L78">
        <v>20</v>
      </c>
    </row>
    <row r="79" spans="1:12">
      <c r="H79">
        <v>12</v>
      </c>
      <c r="J79">
        <v>22</v>
      </c>
      <c r="L79">
        <v>22</v>
      </c>
    </row>
    <row r="80" spans="1:12">
      <c r="H80" t="s">
        <v>19</v>
      </c>
      <c r="I80">
        <v>195</v>
      </c>
      <c r="J80">
        <v>66</v>
      </c>
      <c r="K80">
        <v>26</v>
      </c>
      <c r="L80">
        <v>287</v>
      </c>
    </row>
    <row r="81" spans="1:5"/>
    <row r="82" spans="1:5"/>
    <row r="83" spans="1:5"/>
    <row r="84" spans="1:5"/>
    <row r="86" spans="1:5"/>
    <row r="87" spans="1:5" ht="14.45"/>
    <row r="88" spans="1:5" ht="14.45"/>
    <row r="90" spans="1:5" ht="14.45">
      <c r="A90" s="54" t="s">
        <v>21</v>
      </c>
      <c r="B90" s="54" t="s">
        <v>22</v>
      </c>
    </row>
    <row r="91" spans="1:5" ht="14.45">
      <c r="A91" s="54" t="s">
        <v>23</v>
      </c>
      <c r="B91" t="s">
        <v>16</v>
      </c>
      <c r="C91" t="s">
        <v>17</v>
      </c>
      <c r="D91" t="s">
        <v>18</v>
      </c>
      <c r="E91" t="s">
        <v>19</v>
      </c>
    </row>
    <row r="92" spans="1:5" ht="14.45">
      <c r="A92" s="41" t="s">
        <v>24</v>
      </c>
      <c r="B92">
        <v>109</v>
      </c>
      <c r="C92">
        <v>15</v>
      </c>
      <c r="D92">
        <v>12</v>
      </c>
      <c r="E92">
        <v>136</v>
      </c>
    </row>
    <row r="93" spans="1:5" ht="14.45">
      <c r="A93" s="41" t="s">
        <v>25</v>
      </c>
      <c r="B93">
        <v>86</v>
      </c>
      <c r="C93">
        <v>10</v>
      </c>
      <c r="D93">
        <v>13</v>
      </c>
      <c r="E93">
        <v>109</v>
      </c>
    </row>
    <row r="94" spans="1:5" ht="14.45">
      <c r="A94" s="41" t="s">
        <v>19</v>
      </c>
      <c r="B94">
        <v>195</v>
      </c>
      <c r="C94">
        <v>25</v>
      </c>
      <c r="D94">
        <v>25</v>
      </c>
      <c r="E94">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zoomScaleNormal="100" workbookViewId="0">
      <pane ySplit="1" topLeftCell="AD256" activePane="bottomLeft" state="frozen"/>
      <selection pane="bottomLeft" activeCell="AK266" sqref="AK266"/>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hidden="1" customWidth="1"/>
    <col min="9" max="9" width="23" hidden="1" customWidth="1"/>
    <col min="10" max="10" width="19.85546875" hidden="1" customWidth="1"/>
    <col min="11" max="11" width="29.7109375" hidden="1" customWidth="1"/>
    <col min="12" max="12" width="33.5703125" hidden="1" customWidth="1"/>
    <col min="13" max="13" width="20.140625" hidden="1" customWidth="1"/>
    <col min="14" max="14" width="16.5703125" style="41" hidden="1" customWidth="1"/>
    <col min="15" max="15" width="17.140625" hidden="1" customWidth="1"/>
    <col min="16" max="16" width="18.42578125" style="41" hidden="1" customWidth="1"/>
    <col min="17" max="17" width="13.5703125" hidden="1" customWidth="1"/>
    <col min="18" max="18" width="24.85546875" hidden="1" customWidth="1"/>
    <col min="19" max="19" width="24.85546875" style="42" hidden="1" customWidth="1"/>
    <col min="20" max="20" width="29.5703125" style="43" hidden="1" customWidth="1"/>
    <col min="21" max="21" width="34.42578125" hidden="1" customWidth="1"/>
    <col min="22" max="22" width="14.5703125" hidden="1" customWidth="1"/>
    <col min="23" max="23" width="39.42578125" style="41" hidden="1" customWidth="1"/>
    <col min="24" max="24" width="19.42578125" style="41" hidden="1" customWidth="1"/>
    <col min="25" max="25" width="12.85546875" style="41" hidden="1" customWidth="1"/>
    <col min="26" max="26" width="11.5703125" style="41" hidden="1" customWidth="1"/>
    <col min="27" max="27" width="11.5703125" hidden="1" customWidth="1"/>
    <col min="28" max="28" width="14.140625" hidden="1" customWidth="1"/>
    <col min="29" max="29" width="11.42578125" style="279" hidden="1"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customHeight="1">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customHeight="1">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customHeight="1">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customHeight="1">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customHeight="1">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customHeight="1">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customHeight="1">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customHeight="1">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116" t="s">
        <v>741</v>
      </c>
      <c r="S45" s="116"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customHeight="1">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customHeight="1">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customHeight="1">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customHeight="1">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customHeight="1">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customHeight="1">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customHeight="1">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customHeight="1">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customHeight="1">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customHeight="1">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customHeight="1">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customHeight="1">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customHeight="1">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178"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178"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178" t="s">
        <v>2226</v>
      </c>
      <c r="S150" s="178"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178"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customHeight="1">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customHeight="1">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customHeight="1">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customHeight="1">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customHeight="1">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136" t="s">
        <v>2626</v>
      </c>
      <c r="S179" s="136"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customHeight="1">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customHeight="1">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customHeight="1">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customHeight="1">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customHeight="1">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96" t="s">
        <v>2915</v>
      </c>
      <c r="S200" s="96"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96" t="s">
        <v>2940</v>
      </c>
      <c r="S202" s="96"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customHeight="1">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96" t="s">
        <v>3086</v>
      </c>
      <c r="S212" s="96"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customHeight="1">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customHeight="1">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96"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customHeight="1">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customHeight="1">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202" t="s">
        <v>3233</v>
      </c>
      <c r="T222" s="354" t="s">
        <v>3234</v>
      </c>
      <c r="U222" s="203" t="s">
        <v>3235</v>
      </c>
      <c r="V222" s="203">
        <v>29346</v>
      </c>
      <c r="W222" s="269" t="s">
        <v>3236</v>
      </c>
      <c r="X222" s="269" t="s">
        <v>179</v>
      </c>
      <c r="Y222" s="269"/>
      <c r="Z222" s="269"/>
      <c r="AA222" s="202"/>
      <c r="AB222" s="203">
        <v>43861</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02" t="e">
        <f>DATEDIF(AX222,BM222, "M")+1</f>
        <v>#VALUE!</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202" t="s">
        <v>3245</v>
      </c>
      <c r="S223" s="20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202" t="s">
        <v>3258</v>
      </c>
      <c r="S224" s="20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202" t="s">
        <v>3271</v>
      </c>
      <c r="S225" s="20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202" t="s">
        <v>3283</v>
      </c>
      <c r="S226" s="20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202" t="s">
        <v>3296</v>
      </c>
      <c r="S227" s="20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70"/>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4.95" customHeight="1">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70"/>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20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202" t="s">
        <v>3352</v>
      </c>
      <c r="S231" s="20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70"/>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DATEDIF(AW231,BM231, "M")+1</f>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202" t="s">
        <v>3367</v>
      </c>
      <c r="S232" s="20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70"/>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c r="BL232" s="203"/>
      <c r="BM232" s="206"/>
      <c r="BN232" s="202" t="s">
        <v>17</v>
      </c>
      <c r="BO232" s="270"/>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202" t="s">
        <v>3379</v>
      </c>
      <c r="S233" s="20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DATEDIF(AW233,BM233, "M")+1</f>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DATEDIF(AW234,BM234, "M")+1</f>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 customHeight="1">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DATEDIF(AW235,BM235, "M")+1</f>
        <v>44</v>
      </c>
      <c r="BP235" s="202" t="e">
        <f t="shared" ref="BP235" si="73">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 customHeight="1">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202" t="s">
        <v>3424</v>
      </c>
      <c r="S236" s="20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DATEDIF(AW236,BM236, "M")+1</f>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customHeight="1">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 customHeight="1">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202" t="s">
        <v>3452</v>
      </c>
      <c r="S238" s="20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202" t="s">
        <v>3467</v>
      </c>
      <c r="S239" s="20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202" t="s">
        <v>3480</v>
      </c>
      <c r="S240" s="20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202" t="s">
        <v>3494</v>
      </c>
      <c r="S241" s="20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202" t="s">
        <v>3506</v>
      </c>
      <c r="S242" s="20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202" t="s">
        <v>3520</v>
      </c>
      <c r="S243" s="20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 customHeight="1">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202" t="s">
        <v>3547</v>
      </c>
      <c r="S245" s="20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208" t="s">
        <v>3558</v>
      </c>
      <c r="S246" s="208"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161</v>
      </c>
      <c r="AJ247" s="329" t="s">
        <v>161</v>
      </c>
      <c r="AK247" s="329" t="s">
        <v>161</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3581</v>
      </c>
      <c r="C248" s="330" t="s">
        <v>3582</v>
      </c>
      <c r="D248" s="330" t="s">
        <v>3583</v>
      </c>
      <c r="E248" s="330" t="s">
        <v>1771</v>
      </c>
      <c r="F248" s="330" t="s">
        <v>24</v>
      </c>
      <c r="G248" s="329">
        <v>11</v>
      </c>
      <c r="H248" s="329" t="s">
        <v>57</v>
      </c>
      <c r="I248" s="329" t="s">
        <v>47</v>
      </c>
      <c r="J248" s="329" t="s">
        <v>3584</v>
      </c>
      <c r="K248" s="329" t="s">
        <v>3585</v>
      </c>
      <c r="L248" s="329"/>
      <c r="M248" s="329"/>
      <c r="N248" s="331"/>
      <c r="O248" s="331" t="s">
        <v>151</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162</v>
      </c>
      <c r="AJ248" s="329" t="s">
        <v>162</v>
      </c>
      <c r="AK248" s="329" t="s">
        <v>162</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3595</v>
      </c>
      <c r="C249" s="330" t="s">
        <v>3596</v>
      </c>
      <c r="D249" s="330"/>
      <c r="E249" s="330" t="s">
        <v>3597</v>
      </c>
      <c r="F249" s="330" t="s">
        <v>24</v>
      </c>
      <c r="G249" s="329">
        <v>11</v>
      </c>
      <c r="H249" s="329" t="s">
        <v>60</v>
      </c>
      <c r="I249" s="329" t="s">
        <v>35</v>
      </c>
      <c r="J249" s="329" t="s">
        <v>602</v>
      </c>
      <c r="K249" s="329" t="s">
        <v>3598</v>
      </c>
      <c r="L249" s="329" t="s">
        <v>35</v>
      </c>
      <c r="M249" s="329" t="s">
        <v>150</v>
      </c>
      <c r="N249" s="331"/>
      <c r="O249" s="331" t="s">
        <v>151</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161</v>
      </c>
      <c r="AJ249" s="329" t="s">
        <v>161</v>
      </c>
      <c r="AK249" s="329" t="s">
        <v>161</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3609</v>
      </c>
      <c r="C250" s="330" t="s">
        <v>2996</v>
      </c>
      <c r="D250" s="330" t="s">
        <v>3610</v>
      </c>
      <c r="E250" s="330" t="s">
        <v>3611</v>
      </c>
      <c r="F250" s="330" t="s">
        <v>25</v>
      </c>
      <c r="G250" s="329">
        <v>11</v>
      </c>
      <c r="H250" s="329" t="s">
        <v>61</v>
      </c>
      <c r="I250" s="329" t="s">
        <v>36</v>
      </c>
      <c r="J250" s="329" t="s">
        <v>3612</v>
      </c>
      <c r="K250" s="329" t="s">
        <v>3613</v>
      </c>
      <c r="L250" s="329" t="s">
        <v>45</v>
      </c>
      <c r="M250" s="329" t="s">
        <v>163</v>
      </c>
      <c r="N250" s="331"/>
      <c r="O250" s="331" t="s">
        <v>322</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162</v>
      </c>
      <c r="AJ250" s="329" t="s">
        <v>161</v>
      </c>
      <c r="AK250" s="329" t="s">
        <v>162</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3623</v>
      </c>
      <c r="C251" s="330" t="s">
        <v>3624</v>
      </c>
      <c r="D251" s="330" t="s">
        <v>1946</v>
      </c>
      <c r="E251" s="330" t="s">
        <v>1900</v>
      </c>
      <c r="F251" s="330" t="s">
        <v>24</v>
      </c>
      <c r="G251" s="329">
        <v>11</v>
      </c>
      <c r="H251" s="329" t="s">
        <v>54</v>
      </c>
      <c r="I251" s="329" t="s">
        <v>31</v>
      </c>
      <c r="J251" s="329" t="s">
        <v>2319</v>
      </c>
      <c r="K251" s="329" t="s">
        <v>3625</v>
      </c>
      <c r="L251" s="329" t="s">
        <v>31</v>
      </c>
      <c r="M251" s="329" t="s">
        <v>150</v>
      </c>
      <c r="N251" s="331"/>
      <c r="O251" s="331" t="s">
        <v>151</v>
      </c>
      <c r="P251" s="331"/>
      <c r="Q251" s="329"/>
      <c r="R251" s="330" t="s">
        <v>3626</v>
      </c>
      <c r="S251" s="330" t="s">
        <v>3627</v>
      </c>
      <c r="T251" s="356" t="s">
        <v>3628</v>
      </c>
      <c r="U251" s="330" t="s">
        <v>3629</v>
      </c>
      <c r="V251" s="332">
        <v>30376</v>
      </c>
      <c r="W251" s="391" t="s">
        <v>3630</v>
      </c>
      <c r="X251" s="333" t="s">
        <v>2765</v>
      </c>
      <c r="Y251" s="331"/>
      <c r="Z251" s="331"/>
      <c r="AA251" s="329"/>
      <c r="AB251" s="361">
        <v>45616</v>
      </c>
      <c r="AC251" s="361">
        <v>45719</v>
      </c>
      <c r="AD251" s="329"/>
      <c r="AE251" s="329" t="s">
        <v>3631</v>
      </c>
      <c r="AF251" s="329" t="s">
        <v>3632</v>
      </c>
      <c r="AG251" s="329"/>
      <c r="AH251" s="334">
        <v>2</v>
      </c>
      <c r="AI251" s="329" t="s">
        <v>161</v>
      </c>
      <c r="AJ251" s="329" t="s">
        <v>161</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3635</v>
      </c>
      <c r="C252" s="330" t="s">
        <v>3636</v>
      </c>
      <c r="D252" s="330" t="s">
        <v>3637</v>
      </c>
      <c r="E252" s="330" t="s">
        <v>3638</v>
      </c>
      <c r="F252" s="330" t="s">
        <v>25</v>
      </c>
      <c r="G252" s="329">
        <v>11</v>
      </c>
      <c r="H252" s="329" t="s">
        <v>53</v>
      </c>
      <c r="I252" s="329" t="s">
        <v>46</v>
      </c>
      <c r="J252" s="329" t="s">
        <v>2272</v>
      </c>
      <c r="K252" s="329" t="s">
        <v>3639</v>
      </c>
      <c r="L252" s="337" t="s">
        <v>45</v>
      </c>
      <c r="M252" s="337"/>
      <c r="N252" s="331"/>
      <c r="O252" s="331" t="s">
        <v>322</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162</v>
      </c>
      <c r="AJ252" s="329" t="s">
        <v>162</v>
      </c>
      <c r="AK252" s="329" t="s">
        <v>202</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3651</v>
      </c>
      <c r="C253" s="330" t="s">
        <v>2331</v>
      </c>
      <c r="D253" s="330" t="s">
        <v>3652</v>
      </c>
      <c r="E253" s="330" t="s">
        <v>3653</v>
      </c>
      <c r="F253" s="330" t="s">
        <v>24</v>
      </c>
      <c r="G253" s="329">
        <v>11</v>
      </c>
      <c r="H253" s="329" t="s">
        <v>54</v>
      </c>
      <c r="I253" s="329" t="s">
        <v>39</v>
      </c>
      <c r="J253" s="329" t="s">
        <v>3654</v>
      </c>
      <c r="K253" s="329" t="s">
        <v>2788</v>
      </c>
      <c r="L253" s="337"/>
      <c r="M253" s="337"/>
      <c r="N253" s="331"/>
      <c r="O253" s="331" t="s">
        <v>151</v>
      </c>
      <c r="P253" s="331"/>
      <c r="Q253" s="329"/>
      <c r="R253" s="330" t="s">
        <v>3655</v>
      </c>
      <c r="S253" s="330" t="s">
        <v>3656</v>
      </c>
      <c r="T253" s="356" t="s">
        <v>3657</v>
      </c>
      <c r="U253" s="330" t="s">
        <v>3658</v>
      </c>
      <c r="V253" s="332">
        <v>31085</v>
      </c>
      <c r="W253" s="391" t="s">
        <v>3659</v>
      </c>
      <c r="X253" s="333" t="s">
        <v>156</v>
      </c>
      <c r="Y253" s="331"/>
      <c r="Z253" s="331"/>
      <c r="AA253" s="329"/>
      <c r="AB253" s="361">
        <v>45902</v>
      </c>
      <c r="AC253" s="361">
        <v>45719</v>
      </c>
      <c r="AD253" s="329"/>
      <c r="AE253" s="329" t="s">
        <v>3660</v>
      </c>
      <c r="AF253" s="329" t="s">
        <v>3661</v>
      </c>
      <c r="AG253" s="329" t="s">
        <v>3662</v>
      </c>
      <c r="AH253" s="334">
        <v>3</v>
      </c>
      <c r="AI253" s="329" t="s">
        <v>162</v>
      </c>
      <c r="AJ253" s="329" t="s">
        <v>162</v>
      </c>
      <c r="AK253" s="329" t="s">
        <v>161</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3664</v>
      </c>
      <c r="C254" s="330" t="s">
        <v>3665</v>
      </c>
      <c r="D254" s="330" t="s">
        <v>3666</v>
      </c>
      <c r="E254" s="330" t="s">
        <v>3583</v>
      </c>
      <c r="F254" s="330" t="s">
        <v>25</v>
      </c>
      <c r="G254" s="329">
        <v>11</v>
      </c>
      <c r="H254" s="329" t="s">
        <v>57</v>
      </c>
      <c r="I254" s="329" t="s">
        <v>47</v>
      </c>
      <c r="J254" s="329" t="s">
        <v>3294</v>
      </c>
      <c r="K254" s="329" t="s">
        <v>3667</v>
      </c>
      <c r="L254" s="337"/>
      <c r="M254" s="337"/>
      <c r="N254" s="331"/>
      <c r="O254" s="331" t="s">
        <v>151</v>
      </c>
      <c r="P254" s="331"/>
      <c r="Q254" s="329"/>
      <c r="R254" s="330" t="s">
        <v>3668</v>
      </c>
      <c r="S254" s="357"/>
      <c r="T254" s="358" t="s">
        <v>193</v>
      </c>
      <c r="U254" s="330" t="s">
        <v>3669</v>
      </c>
      <c r="V254" s="332">
        <v>32143</v>
      </c>
      <c r="W254" s="391" t="s">
        <v>3670</v>
      </c>
      <c r="X254" s="333" t="s">
        <v>3575</v>
      </c>
      <c r="Y254" s="331"/>
      <c r="Z254" s="331"/>
      <c r="AA254" s="329"/>
      <c r="AB254" s="361">
        <v>45762</v>
      </c>
      <c r="AC254" s="361">
        <v>45719</v>
      </c>
      <c r="AD254" s="329"/>
      <c r="AE254" s="329" t="s">
        <v>3671</v>
      </c>
      <c r="AF254" s="329" t="s">
        <v>3672</v>
      </c>
      <c r="AG254" s="329" t="s">
        <v>3673</v>
      </c>
      <c r="AH254" s="334">
        <v>3</v>
      </c>
      <c r="AI254" s="329" t="s">
        <v>162</v>
      </c>
      <c r="AJ254" s="329" t="s">
        <v>162</v>
      </c>
      <c r="AK254" s="329" t="s">
        <v>161</v>
      </c>
      <c r="AL254" s="334"/>
      <c r="AM254" s="334"/>
      <c r="AN254" s="334"/>
      <c r="AO254" s="335"/>
      <c r="AP254" s="335"/>
      <c r="AQ254" s="335"/>
      <c r="AR254" s="334"/>
      <c r="AS254" s="329"/>
      <c r="AT254" s="424"/>
      <c r="AU254" s="329" t="s">
        <v>3674</v>
      </c>
      <c r="AV254" s="329"/>
      <c r="AW254" s="362">
        <v>45719</v>
      </c>
      <c r="AX254" s="329"/>
      <c r="AY254" s="334"/>
      <c r="AZ254" s="329"/>
      <c r="BA254" s="329"/>
      <c r="BB254" s="329"/>
      <c r="BC254" s="439"/>
      <c r="BD254" s="439"/>
      <c r="BE254" s="440" t="s">
        <v>3675</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3676</v>
      </c>
      <c r="C255" s="330" t="s">
        <v>3677</v>
      </c>
      <c r="D255" s="330"/>
      <c r="E255" s="330" t="s">
        <v>3678</v>
      </c>
      <c r="F255" s="330" t="s">
        <v>25</v>
      </c>
      <c r="G255" s="329">
        <v>11</v>
      </c>
      <c r="H255" s="329" t="s">
        <v>60</v>
      </c>
      <c r="I255" s="329" t="s">
        <v>35</v>
      </c>
      <c r="J255" s="329" t="s">
        <v>3679</v>
      </c>
      <c r="K255" s="329" t="s">
        <v>3680</v>
      </c>
      <c r="L255" s="329" t="s">
        <v>35</v>
      </c>
      <c r="M255" s="329" t="s">
        <v>150</v>
      </c>
      <c r="N255" s="331"/>
      <c r="O255" s="331" t="s">
        <v>322</v>
      </c>
      <c r="P255" s="331"/>
      <c r="Q255" s="329"/>
      <c r="R255" s="330" t="s">
        <v>3681</v>
      </c>
      <c r="S255" s="330" t="s">
        <v>3682</v>
      </c>
      <c r="T255" s="356" t="s">
        <v>3683</v>
      </c>
      <c r="U255" s="330" t="s">
        <v>3684</v>
      </c>
      <c r="V255" s="332">
        <v>35384</v>
      </c>
      <c r="W255" s="391" t="s">
        <v>3685</v>
      </c>
      <c r="X255" s="333" t="s">
        <v>3686</v>
      </c>
      <c r="Y255" s="331"/>
      <c r="Z255" s="331"/>
      <c r="AA255" s="329"/>
      <c r="AB255" s="361">
        <v>45762</v>
      </c>
      <c r="AC255" s="361">
        <v>45719</v>
      </c>
      <c r="AD255" s="329"/>
      <c r="AE255" s="329" t="s">
        <v>3687</v>
      </c>
      <c r="AF255" s="329" t="s">
        <v>3688</v>
      </c>
      <c r="AG255" s="329" t="s">
        <v>3689</v>
      </c>
      <c r="AH255" s="334">
        <v>3</v>
      </c>
      <c r="AI255" s="329" t="s">
        <v>161</v>
      </c>
      <c r="AJ255" s="329" t="s">
        <v>161</v>
      </c>
      <c r="AK255" s="329" t="s">
        <v>202</v>
      </c>
      <c r="AL255" s="334"/>
      <c r="AM255" s="334"/>
      <c r="AN255" s="334"/>
      <c r="AO255" s="335"/>
      <c r="AP255" s="335"/>
      <c r="AQ255" s="335"/>
      <c r="AR255" s="334"/>
      <c r="AS255" s="329"/>
      <c r="AT255" s="424"/>
      <c r="AU255" s="329" t="s">
        <v>3690</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3691</v>
      </c>
      <c r="C256" s="330" t="s">
        <v>3692</v>
      </c>
      <c r="D256" s="330" t="s">
        <v>3117</v>
      </c>
      <c r="E256" s="330" t="s">
        <v>3693</v>
      </c>
      <c r="F256" s="330" t="s">
        <v>24</v>
      </c>
      <c r="G256" s="329">
        <v>11</v>
      </c>
      <c r="H256" s="329" t="s">
        <v>52</v>
      </c>
      <c r="I256" s="329" t="s">
        <v>42</v>
      </c>
      <c r="J256" s="329" t="s">
        <v>3694</v>
      </c>
      <c r="K256" s="329" t="s">
        <v>3695</v>
      </c>
      <c r="L256" s="329" t="s">
        <v>42</v>
      </c>
      <c r="M256" s="329" t="s">
        <v>150</v>
      </c>
      <c r="N256" s="331"/>
      <c r="O256" s="331" t="s">
        <v>322</v>
      </c>
      <c r="P256" s="331"/>
      <c r="Q256" s="329"/>
      <c r="R256" s="330" t="s">
        <v>3696</v>
      </c>
      <c r="S256" s="330" t="s">
        <v>3697</v>
      </c>
      <c r="T256" s="356" t="s">
        <v>3698</v>
      </c>
      <c r="U256" s="330" t="s">
        <v>3699</v>
      </c>
      <c r="V256" s="332">
        <v>33077</v>
      </c>
      <c r="W256" s="391" t="s">
        <v>3700</v>
      </c>
      <c r="X256" s="333" t="s">
        <v>3701</v>
      </c>
      <c r="Y256" s="331"/>
      <c r="Z256" s="331"/>
      <c r="AA256" s="329"/>
      <c r="AB256" s="361">
        <v>44991</v>
      </c>
      <c r="AC256" s="361">
        <v>45719</v>
      </c>
      <c r="AD256" s="329"/>
      <c r="AE256" s="329" t="s">
        <v>3702</v>
      </c>
      <c r="AF256" s="329" t="s">
        <v>3703</v>
      </c>
      <c r="AG256" s="329" t="s">
        <v>3704</v>
      </c>
      <c r="AH256" s="334">
        <v>3</v>
      </c>
      <c r="AI256" s="329" t="s">
        <v>161</v>
      </c>
      <c r="AJ256" s="329" t="s">
        <v>161</v>
      </c>
      <c r="AK256" s="329" t="s">
        <v>161</v>
      </c>
      <c r="AL256" s="334"/>
      <c r="AM256" s="334"/>
      <c r="AN256" s="334"/>
      <c r="AO256" s="335"/>
      <c r="AP256" s="335"/>
      <c r="AQ256" s="335"/>
      <c r="AR256" s="334"/>
      <c r="AS256" s="329"/>
      <c r="AT256" s="424"/>
      <c r="AU256" s="329" t="s">
        <v>3705</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3706</v>
      </c>
      <c r="C257" s="330" t="s">
        <v>629</v>
      </c>
      <c r="D257" s="330" t="s">
        <v>3707</v>
      </c>
      <c r="E257" s="330" t="s">
        <v>3708</v>
      </c>
      <c r="F257" s="330" t="s">
        <v>24</v>
      </c>
      <c r="G257" s="329">
        <v>11</v>
      </c>
      <c r="H257" s="329" t="s">
        <v>52</v>
      </c>
      <c r="I257" s="329" t="s">
        <v>42</v>
      </c>
      <c r="J257" s="329" t="s">
        <v>2289</v>
      </c>
      <c r="K257" s="329" t="s">
        <v>3709</v>
      </c>
      <c r="L257" s="329"/>
      <c r="M257" s="329"/>
      <c r="N257" s="331"/>
      <c r="O257" s="331" t="s">
        <v>151</v>
      </c>
      <c r="P257" s="331"/>
      <c r="Q257" s="329"/>
      <c r="R257" s="330" t="s">
        <v>3710</v>
      </c>
      <c r="S257" s="330" t="s">
        <v>3711</v>
      </c>
      <c r="T257" s="356" t="s">
        <v>3712</v>
      </c>
      <c r="U257" s="330" t="s">
        <v>3713</v>
      </c>
      <c r="V257" s="332">
        <v>30619</v>
      </c>
      <c r="W257" s="391" t="s">
        <v>3714</v>
      </c>
      <c r="X257" s="333" t="s">
        <v>156</v>
      </c>
      <c r="Y257" s="331"/>
      <c r="Z257" s="331"/>
      <c r="AA257" s="329"/>
      <c r="AB257" s="361">
        <v>45901</v>
      </c>
      <c r="AC257" s="361">
        <v>45719</v>
      </c>
      <c r="AD257" s="329"/>
      <c r="AE257" s="329" t="s">
        <v>3715</v>
      </c>
      <c r="AF257" s="329" t="s">
        <v>3716</v>
      </c>
      <c r="AG257" s="329"/>
      <c r="AH257" s="334">
        <v>2</v>
      </c>
      <c r="AI257" s="329" t="s">
        <v>161</v>
      </c>
      <c r="AJ257" s="329" t="s">
        <v>161</v>
      </c>
      <c r="AK257" s="329"/>
      <c r="AL257" s="334"/>
      <c r="AM257" s="334"/>
      <c r="AN257" s="334"/>
      <c r="AO257" s="335"/>
      <c r="AP257" s="335"/>
      <c r="AQ257" s="335"/>
      <c r="AR257" s="334"/>
      <c r="AS257" s="329"/>
      <c r="AT257" s="424"/>
      <c r="AU257" s="329" t="s">
        <v>3717</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3718</v>
      </c>
      <c r="C258" s="330" t="s">
        <v>3719</v>
      </c>
      <c r="D258" s="330" t="s">
        <v>3720</v>
      </c>
      <c r="E258" s="330" t="s">
        <v>3721</v>
      </c>
      <c r="F258" s="330" t="s">
        <v>25</v>
      </c>
      <c r="G258" s="329">
        <v>11</v>
      </c>
      <c r="H258" s="329" t="s">
        <v>54</v>
      </c>
      <c r="I258" s="329" t="s">
        <v>31</v>
      </c>
      <c r="J258" s="329" t="s">
        <v>3722</v>
      </c>
      <c r="K258" s="329" t="s">
        <v>1561</v>
      </c>
      <c r="L258" s="329" t="s">
        <v>31</v>
      </c>
      <c r="M258" s="329" t="s">
        <v>150</v>
      </c>
      <c r="N258" s="331"/>
      <c r="O258" s="331" t="s">
        <v>151</v>
      </c>
      <c r="P258" s="331"/>
      <c r="Q258" s="329"/>
      <c r="R258" s="330" t="s">
        <v>3723</v>
      </c>
      <c r="S258" s="359" t="s">
        <v>3724</v>
      </c>
      <c r="T258" s="360" t="s">
        <v>3725</v>
      </c>
      <c r="U258" s="330" t="s">
        <v>3726</v>
      </c>
      <c r="V258" s="332">
        <v>31080</v>
      </c>
      <c r="W258" s="391" t="s">
        <v>3727</v>
      </c>
      <c r="X258" s="333" t="s">
        <v>3686</v>
      </c>
      <c r="Y258" s="331"/>
      <c r="Z258" s="331"/>
      <c r="AA258" s="329"/>
      <c r="AB258" s="361">
        <v>43647</v>
      </c>
      <c r="AC258" s="361">
        <v>45719</v>
      </c>
      <c r="AD258" s="329"/>
      <c r="AE258" s="329" t="s">
        <v>3728</v>
      </c>
      <c r="AF258" s="329" t="s">
        <v>3729</v>
      </c>
      <c r="AG258" s="329"/>
      <c r="AH258" s="334">
        <v>2</v>
      </c>
      <c r="AI258" s="329" t="s">
        <v>161</v>
      </c>
      <c r="AJ258" s="329" t="s">
        <v>161</v>
      </c>
      <c r="AK258" s="329"/>
      <c r="AL258" s="334"/>
      <c r="AM258" s="334"/>
      <c r="AN258" s="334"/>
      <c r="AO258" s="335"/>
      <c r="AP258" s="335"/>
      <c r="AQ258" s="335"/>
      <c r="AR258" s="334"/>
      <c r="AS258" s="329"/>
      <c r="AT258" s="424"/>
      <c r="AU258" s="329" t="s">
        <v>3730</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3731</v>
      </c>
      <c r="C259" s="330" t="s">
        <v>3732</v>
      </c>
      <c r="D259" s="330" t="s">
        <v>3733</v>
      </c>
      <c r="E259" s="330" t="s">
        <v>3734</v>
      </c>
      <c r="F259" s="330" t="s">
        <v>24</v>
      </c>
      <c r="G259" s="329">
        <v>11</v>
      </c>
      <c r="H259" s="329" t="s">
        <v>52</v>
      </c>
      <c r="I259" s="329" t="s">
        <v>37</v>
      </c>
      <c r="J259" s="329" t="s">
        <v>3735</v>
      </c>
      <c r="K259" s="329" t="s">
        <v>3736</v>
      </c>
      <c r="L259" s="329" t="s">
        <v>37</v>
      </c>
      <c r="M259" s="329" t="s">
        <v>150</v>
      </c>
      <c r="N259" s="331"/>
      <c r="O259" s="331" t="s">
        <v>151</v>
      </c>
      <c r="P259" s="331"/>
      <c r="Q259" s="329"/>
      <c r="R259" s="330" t="s">
        <v>3737</v>
      </c>
      <c r="S259" s="330" t="s">
        <v>3738</v>
      </c>
      <c r="T259" s="356" t="s">
        <v>3739</v>
      </c>
      <c r="U259" s="330" t="s">
        <v>3740</v>
      </c>
      <c r="V259" s="332">
        <v>34463</v>
      </c>
      <c r="W259" s="391" t="s">
        <v>3741</v>
      </c>
      <c r="X259" s="333" t="s">
        <v>3575</v>
      </c>
      <c r="Y259" s="331"/>
      <c r="Z259" s="331"/>
      <c r="AA259" s="329"/>
      <c r="AB259" s="361">
        <v>45537</v>
      </c>
      <c r="AC259" s="361">
        <v>45719</v>
      </c>
      <c r="AD259" s="329"/>
      <c r="AE259" s="329" t="s">
        <v>3742</v>
      </c>
      <c r="AF259" s="329" t="s">
        <v>3743</v>
      </c>
      <c r="AG259" s="329" t="s">
        <v>3744</v>
      </c>
      <c r="AH259" s="334">
        <v>3</v>
      </c>
      <c r="AI259" s="329" t="s">
        <v>161</v>
      </c>
      <c r="AJ259" s="329" t="s">
        <v>161</v>
      </c>
      <c r="AK259" s="329" t="s">
        <v>161</v>
      </c>
      <c r="AL259" s="334"/>
      <c r="AM259" s="334"/>
      <c r="AN259" s="334"/>
      <c r="AO259" s="335"/>
      <c r="AP259" s="335"/>
      <c r="AQ259" s="335"/>
      <c r="AR259" s="334"/>
      <c r="AS259" s="329"/>
      <c r="AT259" s="424"/>
      <c r="AU259" s="329" t="s">
        <v>3745</v>
      </c>
      <c r="AV259" s="329"/>
      <c r="AW259" s="362">
        <v>45719</v>
      </c>
      <c r="AX259" s="329"/>
      <c r="AY259" s="334"/>
      <c r="AZ259" s="329"/>
      <c r="BA259" s="329"/>
      <c r="BB259" s="329"/>
      <c r="BC259" s="439"/>
      <c r="BD259" s="439"/>
      <c r="BE259" s="440" t="s">
        <v>3746</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3747</v>
      </c>
    </row>
    <row r="260" spans="1:89" ht="21" customHeight="1">
      <c r="A260" s="330">
        <v>263</v>
      </c>
      <c r="B260" s="330" t="s">
        <v>3748</v>
      </c>
      <c r="C260" s="330" t="s">
        <v>3749</v>
      </c>
      <c r="D260" s="330" t="s">
        <v>3750</v>
      </c>
      <c r="E260" s="330" t="s">
        <v>3751</v>
      </c>
      <c r="F260" s="330" t="s">
        <v>25</v>
      </c>
      <c r="G260" s="329">
        <v>11</v>
      </c>
      <c r="H260" s="329" t="s">
        <v>53</v>
      </c>
      <c r="I260" s="329" t="s">
        <v>46</v>
      </c>
      <c r="J260" s="329" t="s">
        <v>3752</v>
      </c>
      <c r="K260" s="329" t="s">
        <v>3753</v>
      </c>
      <c r="L260" s="329" t="s">
        <v>44</v>
      </c>
      <c r="M260" s="329" t="s">
        <v>150</v>
      </c>
      <c r="N260" s="331"/>
      <c r="O260" s="331" t="s">
        <v>322</v>
      </c>
      <c r="P260" s="331"/>
      <c r="Q260" s="329"/>
      <c r="R260" s="330" t="s">
        <v>3754</v>
      </c>
      <c r="S260" s="330" t="s">
        <v>3755</v>
      </c>
      <c r="T260" s="356" t="s">
        <v>3756</v>
      </c>
      <c r="U260" s="330" t="s">
        <v>3757</v>
      </c>
      <c r="V260" s="332">
        <v>33558</v>
      </c>
      <c r="W260" s="391" t="s">
        <v>3758</v>
      </c>
      <c r="X260" s="333" t="s">
        <v>3575</v>
      </c>
      <c r="Y260" s="331"/>
      <c r="Z260" s="331"/>
      <c r="AA260" s="329"/>
      <c r="AB260" s="361">
        <v>45719</v>
      </c>
      <c r="AC260" s="361">
        <v>45719</v>
      </c>
      <c r="AD260" s="329"/>
      <c r="AE260" s="329" t="s">
        <v>3759</v>
      </c>
      <c r="AF260" s="329" t="s">
        <v>3760</v>
      </c>
      <c r="AG260" s="329"/>
      <c r="AH260" s="334">
        <v>2</v>
      </c>
      <c r="AI260" s="329" t="s">
        <v>161</v>
      </c>
      <c r="AJ260" s="329" t="s">
        <v>162</v>
      </c>
      <c r="AK260" s="329"/>
      <c r="AL260" s="334"/>
      <c r="AM260" s="334"/>
      <c r="AN260" s="334"/>
      <c r="AO260" s="335"/>
      <c r="AP260" s="335"/>
      <c r="AQ260" s="335"/>
      <c r="AR260" s="334"/>
      <c r="AS260" s="329"/>
      <c r="AT260" s="424"/>
      <c r="AU260" s="329" t="s">
        <v>3761</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3747</v>
      </c>
    </row>
    <row r="261" spans="1:89" ht="20.25" customHeight="1">
      <c r="A261" s="330">
        <v>264</v>
      </c>
      <c r="B261" s="330" t="s">
        <v>3762</v>
      </c>
      <c r="C261" s="330" t="s">
        <v>3763</v>
      </c>
      <c r="D261" s="330" t="s">
        <v>3764</v>
      </c>
      <c r="E261" s="330" t="s">
        <v>3765</v>
      </c>
      <c r="F261" s="330" t="s">
        <v>25</v>
      </c>
      <c r="G261" s="329">
        <v>11</v>
      </c>
      <c r="H261" s="329" t="s">
        <v>52</v>
      </c>
      <c r="I261" s="329" t="s">
        <v>42</v>
      </c>
      <c r="J261" s="329" t="s">
        <v>3766</v>
      </c>
      <c r="K261" s="329" t="s">
        <v>3695</v>
      </c>
      <c r="L261" s="329" t="s">
        <v>42</v>
      </c>
      <c r="M261" s="329" t="s">
        <v>150</v>
      </c>
      <c r="N261" s="331"/>
      <c r="O261" s="331" t="s">
        <v>151</v>
      </c>
      <c r="P261" s="331"/>
      <c r="Q261" s="329"/>
      <c r="R261" s="330" t="s">
        <v>3767</v>
      </c>
      <c r="S261" s="330" t="s">
        <v>3768</v>
      </c>
      <c r="T261" s="356" t="s">
        <v>3769</v>
      </c>
      <c r="U261" s="330" t="s">
        <v>3770</v>
      </c>
      <c r="V261" s="332">
        <v>34034</v>
      </c>
      <c r="W261" s="391" t="s">
        <v>3771</v>
      </c>
      <c r="X261" s="333" t="s">
        <v>3772</v>
      </c>
      <c r="Y261" s="331"/>
      <c r="Z261" s="331"/>
      <c r="AA261" s="329"/>
      <c r="AB261" s="361">
        <v>45180</v>
      </c>
      <c r="AC261" s="361">
        <v>45719</v>
      </c>
      <c r="AD261" s="329"/>
      <c r="AE261" s="329" t="s">
        <v>3773</v>
      </c>
      <c r="AF261" s="329" t="s">
        <v>3774</v>
      </c>
      <c r="AG261" s="329" t="s">
        <v>3775</v>
      </c>
      <c r="AH261" s="334">
        <v>3</v>
      </c>
      <c r="AI261" s="329" t="s">
        <v>161</v>
      </c>
      <c r="AJ261" s="329" t="s">
        <v>161</v>
      </c>
      <c r="AK261" s="329" t="s">
        <v>161</v>
      </c>
      <c r="AL261" s="334"/>
      <c r="AM261" s="334"/>
      <c r="AN261" s="334"/>
      <c r="AO261" s="335"/>
      <c r="AP261" s="335"/>
      <c r="AQ261" s="335"/>
      <c r="AR261" s="334"/>
      <c r="AS261" s="329"/>
      <c r="AT261" s="424"/>
      <c r="AU261" s="329" t="s">
        <v>3776</v>
      </c>
      <c r="AV261" s="329"/>
      <c r="AW261" s="362">
        <v>45719</v>
      </c>
      <c r="AX261" s="329"/>
      <c r="AY261" s="334"/>
      <c r="AZ261" s="329"/>
      <c r="BA261" s="329"/>
      <c r="BB261" s="329"/>
      <c r="BC261" s="439"/>
      <c r="BD261" s="439"/>
      <c r="BE261" s="440" t="s">
        <v>3777</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3778</v>
      </c>
      <c r="C262" s="330" t="s">
        <v>3779</v>
      </c>
      <c r="D262" s="330" t="s">
        <v>3279</v>
      </c>
      <c r="E262" s="330" t="s">
        <v>3780</v>
      </c>
      <c r="F262" s="330" t="s">
        <v>24</v>
      </c>
      <c r="G262" s="329">
        <v>11</v>
      </c>
      <c r="H262" s="329" t="s">
        <v>54</v>
      </c>
      <c r="I262" s="329" t="s">
        <v>39</v>
      </c>
      <c r="J262" s="329" t="s">
        <v>3781</v>
      </c>
      <c r="K262" s="329" t="s">
        <v>3782</v>
      </c>
      <c r="L262" s="329" t="s">
        <v>39</v>
      </c>
      <c r="M262" s="329" t="s">
        <v>150</v>
      </c>
      <c r="N262" s="331"/>
      <c r="O262" s="331" t="s">
        <v>322</v>
      </c>
      <c r="P262" s="331"/>
      <c r="Q262" s="329"/>
      <c r="R262" s="330" t="s">
        <v>3783</v>
      </c>
      <c r="S262" s="330" t="s">
        <v>3784</v>
      </c>
      <c r="T262" s="356" t="s">
        <v>3785</v>
      </c>
      <c r="U262" s="330" t="s">
        <v>3786</v>
      </c>
      <c r="V262" s="332">
        <v>32059</v>
      </c>
      <c r="W262" s="391" t="s">
        <v>3787</v>
      </c>
      <c r="X262" s="333" t="s">
        <v>156</v>
      </c>
      <c r="Y262" s="331"/>
      <c r="Z262" s="331"/>
      <c r="AA262" s="329"/>
      <c r="AB262" s="361">
        <v>45611</v>
      </c>
      <c r="AC262" s="361">
        <v>45719</v>
      </c>
      <c r="AD262" s="329"/>
      <c r="AE262" s="329" t="s">
        <v>3788</v>
      </c>
      <c r="AF262" s="329" t="s">
        <v>3789</v>
      </c>
      <c r="AG262" s="329"/>
      <c r="AH262" s="334">
        <v>2</v>
      </c>
      <c r="AI262" s="329" t="s">
        <v>161</v>
      </c>
      <c r="AJ262" s="329" t="s">
        <v>161</v>
      </c>
      <c r="AK262" s="329"/>
      <c r="AL262" s="334"/>
      <c r="AM262" s="334"/>
      <c r="AN262" s="334"/>
      <c r="AO262" s="335"/>
      <c r="AP262" s="335"/>
      <c r="AQ262" s="335"/>
      <c r="AR262" s="334"/>
      <c r="AS262" s="329"/>
      <c r="AT262" s="424"/>
      <c r="AU262" s="329" t="s">
        <v>3790</v>
      </c>
      <c r="AV262" s="329"/>
      <c r="AW262" s="362">
        <v>45719</v>
      </c>
      <c r="AX262" s="329"/>
      <c r="AY262" s="334"/>
      <c r="AZ262" s="329"/>
      <c r="BA262" s="329"/>
      <c r="BB262" s="329"/>
      <c r="BC262" s="439"/>
      <c r="BD262" s="439"/>
      <c r="BE262" s="440" t="s">
        <v>3791</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3792</v>
      </c>
      <c r="C263" s="330" t="s">
        <v>3793</v>
      </c>
      <c r="D263" s="330" t="s">
        <v>3794</v>
      </c>
      <c r="E263" s="330" t="s">
        <v>3795</v>
      </c>
      <c r="F263" s="330" t="s">
        <v>25</v>
      </c>
      <c r="G263" s="329">
        <v>11</v>
      </c>
      <c r="H263" s="329" t="s">
        <v>53</v>
      </c>
      <c r="I263" s="329" t="s">
        <v>46</v>
      </c>
      <c r="J263" s="329" t="s">
        <v>602</v>
      </c>
      <c r="K263" s="329" t="s">
        <v>3796</v>
      </c>
      <c r="L263" s="337" t="s">
        <v>45</v>
      </c>
      <c r="M263" s="337" t="s">
        <v>163</v>
      </c>
      <c r="N263" s="331"/>
      <c r="O263" s="331" t="s">
        <v>151</v>
      </c>
      <c r="P263" s="331"/>
      <c r="Q263" s="329"/>
      <c r="R263" s="330" t="s">
        <v>3797</v>
      </c>
      <c r="S263" s="330" t="s">
        <v>3798</v>
      </c>
      <c r="T263" s="356" t="s">
        <v>3799</v>
      </c>
      <c r="U263" s="330" t="s">
        <v>3800</v>
      </c>
      <c r="V263" s="332">
        <v>31592</v>
      </c>
      <c r="W263" s="391" t="s">
        <v>3801</v>
      </c>
      <c r="X263" s="333" t="s">
        <v>3575</v>
      </c>
      <c r="Y263" s="331"/>
      <c r="Z263" s="331"/>
      <c r="AA263" s="329"/>
      <c r="AB263" s="361">
        <v>45839</v>
      </c>
      <c r="AC263" s="361">
        <v>45719</v>
      </c>
      <c r="AD263" s="329"/>
      <c r="AE263" s="329" t="s">
        <v>3802</v>
      </c>
      <c r="AF263" s="329" t="s">
        <v>3803</v>
      </c>
      <c r="AG263" s="329" t="s">
        <v>3804</v>
      </c>
      <c r="AH263" s="334">
        <v>3</v>
      </c>
      <c r="AI263" s="329" t="s">
        <v>162</v>
      </c>
      <c r="AJ263" s="329" t="s">
        <v>161</v>
      </c>
      <c r="AK263" s="329" t="s">
        <v>202</v>
      </c>
      <c r="AL263" s="334"/>
      <c r="AM263" s="334"/>
      <c r="AN263" s="334"/>
      <c r="AO263" s="335"/>
      <c r="AP263" s="335"/>
      <c r="AQ263" s="335"/>
      <c r="AR263" s="334"/>
      <c r="AS263" s="329"/>
      <c r="AT263" s="424"/>
      <c r="AU263" s="329" t="s">
        <v>3805</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3806</v>
      </c>
      <c r="C264" s="357" t="s">
        <v>3807</v>
      </c>
      <c r="D264" s="357"/>
      <c r="E264" s="357" t="s">
        <v>3808</v>
      </c>
      <c r="F264" s="357" t="s">
        <v>25</v>
      </c>
      <c r="G264" s="337">
        <v>11</v>
      </c>
      <c r="H264" s="337" t="s">
        <v>55</v>
      </c>
      <c r="I264" s="337" t="s">
        <v>43</v>
      </c>
      <c r="J264" s="337" t="s">
        <v>3809</v>
      </c>
      <c r="K264" s="337" t="s">
        <v>3810</v>
      </c>
      <c r="L264" s="337"/>
      <c r="M264" s="337"/>
      <c r="N264" s="428"/>
      <c r="O264" s="428" t="s">
        <v>322</v>
      </c>
      <c r="P264" s="428"/>
      <c r="Q264" s="337"/>
      <c r="R264" s="357" t="s">
        <v>3811</v>
      </c>
      <c r="S264" s="357" t="s">
        <v>3812</v>
      </c>
      <c r="T264" s="358" t="s">
        <v>3813</v>
      </c>
      <c r="U264" s="357" t="s">
        <v>3814</v>
      </c>
      <c r="V264" s="429">
        <v>31315</v>
      </c>
      <c r="W264" s="430" t="s">
        <v>3815</v>
      </c>
      <c r="X264" s="431" t="s">
        <v>3686</v>
      </c>
      <c r="Y264" s="428"/>
      <c r="Z264" s="428"/>
      <c r="AA264" s="337"/>
      <c r="AB264" s="432">
        <v>45930</v>
      </c>
      <c r="AC264" s="432">
        <v>45719</v>
      </c>
      <c r="AD264" s="337" t="s">
        <v>3816</v>
      </c>
      <c r="AE264" s="337"/>
      <c r="AF264" s="337"/>
      <c r="AG264" s="337"/>
      <c r="AH264" s="433"/>
      <c r="AI264" s="337"/>
      <c r="AJ264" s="337"/>
      <c r="AK264" s="337"/>
      <c r="AL264" s="433"/>
      <c r="AM264" s="433"/>
      <c r="AN264" s="433"/>
      <c r="AO264" s="434"/>
      <c r="AP264" s="434"/>
      <c r="AQ264" s="434"/>
      <c r="AR264" s="433"/>
      <c r="AS264" s="337"/>
      <c r="AT264" s="435"/>
      <c r="AU264" s="337" t="s">
        <v>3817</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3818</v>
      </c>
      <c r="C265" s="330" t="s">
        <v>3819</v>
      </c>
      <c r="D265" s="330"/>
      <c r="E265" s="330" t="s">
        <v>3820</v>
      </c>
      <c r="F265" s="330" t="s">
        <v>24</v>
      </c>
      <c r="G265" s="329">
        <v>11</v>
      </c>
      <c r="H265" s="329" t="s">
        <v>55</v>
      </c>
      <c r="I265" s="329" t="s">
        <v>43</v>
      </c>
      <c r="J265" s="329" t="s">
        <v>602</v>
      </c>
      <c r="K265" s="329" t="s">
        <v>3821</v>
      </c>
      <c r="L265" s="337"/>
      <c r="M265" s="337"/>
      <c r="N265" s="331"/>
      <c r="O265" s="331" t="s">
        <v>151</v>
      </c>
      <c r="P265" s="331"/>
      <c r="Q265" s="329"/>
      <c r="R265" s="330" t="s">
        <v>3822</v>
      </c>
      <c r="S265" s="330" t="s">
        <v>3823</v>
      </c>
      <c r="T265" s="356" t="s">
        <v>3824</v>
      </c>
      <c r="U265" s="330" t="s">
        <v>3825</v>
      </c>
      <c r="V265" s="332">
        <v>32091</v>
      </c>
      <c r="W265" s="391" t="s">
        <v>3826</v>
      </c>
      <c r="X265" s="333"/>
      <c r="Y265" s="331"/>
      <c r="Z265" s="331"/>
      <c r="AA265" s="329"/>
      <c r="AB265" s="361"/>
      <c r="AC265" s="361">
        <v>45719</v>
      </c>
      <c r="AD265" s="329"/>
      <c r="AE265" s="329" t="s">
        <v>3827</v>
      </c>
      <c r="AF265" s="329" t="s">
        <v>3828</v>
      </c>
      <c r="AG265" s="329"/>
      <c r="AH265" s="334">
        <v>2</v>
      </c>
      <c r="AI265" s="329" t="s">
        <v>161</v>
      </c>
      <c r="AJ265" s="329" t="s">
        <v>161</v>
      </c>
      <c r="AK265" s="329"/>
      <c r="AL265" s="334"/>
      <c r="AM265" s="334"/>
      <c r="AN265" s="334"/>
      <c r="AO265" s="335"/>
      <c r="AP265" s="335"/>
      <c r="AQ265" s="335"/>
      <c r="AR265" s="334"/>
      <c r="AS265" s="329"/>
      <c r="AT265" s="424"/>
      <c r="AU265" s="329" t="s">
        <v>3829</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3747</v>
      </c>
    </row>
    <row r="266" spans="1:89" ht="23.25" customHeight="1">
      <c r="A266" s="443">
        <v>269</v>
      </c>
      <c r="B266" s="443" t="s">
        <v>3830</v>
      </c>
      <c r="C266" s="443" t="s">
        <v>3831</v>
      </c>
      <c r="D266" s="443" t="s">
        <v>3832</v>
      </c>
      <c r="E266" s="443" t="s">
        <v>3833</v>
      </c>
      <c r="F266" s="443" t="s">
        <v>24</v>
      </c>
      <c r="G266" s="444">
        <v>11</v>
      </c>
      <c r="H266" s="444" t="s">
        <v>59</v>
      </c>
      <c r="I266" s="444" t="s">
        <v>40</v>
      </c>
      <c r="J266" s="444" t="s">
        <v>3834</v>
      </c>
      <c r="K266" s="444" t="s">
        <v>3835</v>
      </c>
      <c r="L266" s="445"/>
      <c r="M266" s="445"/>
      <c r="N266" s="446"/>
      <c r="O266" s="446" t="s">
        <v>151</v>
      </c>
      <c r="P266" s="446"/>
      <c r="Q266" s="444"/>
      <c r="R266" s="443" t="s">
        <v>3836</v>
      </c>
      <c r="S266" s="443" t="s">
        <v>3837</v>
      </c>
      <c r="T266" s="447" t="s">
        <v>3838</v>
      </c>
      <c r="U266" s="443" t="s">
        <v>3839</v>
      </c>
      <c r="V266" s="448">
        <v>30939</v>
      </c>
      <c r="W266" s="449" t="s">
        <v>3840</v>
      </c>
      <c r="X266" s="450" t="s">
        <v>3575</v>
      </c>
      <c r="Y266" s="446"/>
      <c r="Z266" s="446"/>
      <c r="AA266" s="444"/>
      <c r="AB266" s="451">
        <v>45777</v>
      </c>
      <c r="AC266" s="361">
        <v>45719</v>
      </c>
      <c r="AD266" s="444"/>
      <c r="AE266" s="444" t="s">
        <v>3802</v>
      </c>
      <c r="AF266" s="444" t="s">
        <v>3841</v>
      </c>
      <c r="AG266" s="444" t="s">
        <v>3842</v>
      </c>
      <c r="AH266" s="452">
        <v>3</v>
      </c>
      <c r="AI266" s="444" t="s">
        <v>162</v>
      </c>
      <c r="AJ266" s="444" t="s">
        <v>161</v>
      </c>
      <c r="AK266" s="444" t="s">
        <v>202</v>
      </c>
      <c r="AL266" s="452"/>
      <c r="AM266" s="452"/>
      <c r="AN266" s="452"/>
      <c r="AO266" s="453"/>
      <c r="AP266" s="453"/>
      <c r="AQ266" s="453"/>
      <c r="AR266" s="452"/>
      <c r="AS266" s="444"/>
      <c r="AT266" s="454"/>
      <c r="AU266" s="444" t="s">
        <v>3843</v>
      </c>
      <c r="AV266" s="444"/>
      <c r="AW266" s="455">
        <v>45719</v>
      </c>
      <c r="AX266" s="444"/>
      <c r="AY266" s="452"/>
      <c r="AZ266" s="444"/>
      <c r="BA266" s="444"/>
      <c r="BB266" s="444"/>
      <c r="BC266" s="439"/>
      <c r="BD266" s="439"/>
      <c r="BE266" s="440" t="s">
        <v>3844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c r="A267" s="474">
        <v>270</v>
      </c>
      <c r="B267" s="460" t="s">
        <v>3845</v>
      </c>
      <c r="C267" s="460" t="s">
        <v>3846</v>
      </c>
      <c r="D267" s="460"/>
      <c r="E267" s="460" t="s">
        <v>3847</v>
      </c>
      <c r="F267" s="460" t="s">
        <v>25</v>
      </c>
      <c r="G267" s="459">
        <v>12</v>
      </c>
      <c r="H267" s="460" t="s">
        <v>59</v>
      </c>
      <c r="I267" s="460" t="s">
        <v>40</v>
      </c>
      <c r="J267" s="484" t="s">
        <v>1128</v>
      </c>
      <c r="K267" s="460"/>
      <c r="L267" s="459"/>
      <c r="M267" s="459"/>
      <c r="N267" s="463"/>
      <c r="O267" s="475" t="s">
        <v>151</v>
      </c>
      <c r="P267" s="463"/>
      <c r="Q267" s="459"/>
      <c r="R267" s="476" t="s">
        <v>3848</v>
      </c>
      <c r="S267" s="477" t="s">
        <v>3849</v>
      </c>
      <c r="T267" s="478"/>
      <c r="U267" s="460" t="s">
        <v>3850</v>
      </c>
      <c r="V267" s="461">
        <v>34635</v>
      </c>
      <c r="W267" s="462" t="s">
        <v>3851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3852</v>
      </c>
      <c r="AQ267" s="466"/>
      <c r="AR267" s="465"/>
      <c r="AS267" s="459"/>
      <c r="AT267" s="468"/>
      <c r="AU267" s="479" t="s">
        <v>3853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c r="A268" s="481">
        <v>271</v>
      </c>
      <c r="B268" s="460" t="s">
        <v>3854</v>
      </c>
      <c r="C268" s="460" t="s">
        <v>3855</v>
      </c>
      <c r="D268" s="460"/>
      <c r="E268" s="460" t="s">
        <v>3856</v>
      </c>
      <c r="F268" s="460" t="s">
        <v>24</v>
      </c>
      <c r="G268" s="459">
        <v>12</v>
      </c>
      <c r="H268" s="460" t="s">
        <v>58</v>
      </c>
      <c r="I268" s="460" t="s">
        <v>45</v>
      </c>
      <c r="J268" s="484" t="s">
        <v>602</v>
      </c>
      <c r="K268" s="460" t="s">
        <v>3294</v>
      </c>
      <c r="L268" s="459"/>
      <c r="M268" s="459"/>
      <c r="N268" s="463"/>
      <c r="O268" s="475" t="s">
        <v>151</v>
      </c>
      <c r="P268" s="463"/>
      <c r="Q268" s="459"/>
      <c r="R268" s="476" t="s">
        <v>3857</v>
      </c>
      <c r="S268" s="477" t="s">
        <v>3858</v>
      </c>
      <c r="T268" s="478"/>
      <c r="U268" s="482" t="s">
        <v>3859</v>
      </c>
      <c r="V268" s="461">
        <v>33459</v>
      </c>
      <c r="W268" s="462" t="s">
        <v>3860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c r="A269" s="474">
        <v>272</v>
      </c>
      <c r="B269" s="460" t="s">
        <v>3862</v>
      </c>
      <c r="C269" s="460" t="s">
        <v>3863</v>
      </c>
      <c r="D269" s="460" t="s">
        <v>3864</v>
      </c>
      <c r="E269" s="460" t="s">
        <v>3865</v>
      </c>
      <c r="F269" s="460" t="s">
        <v>25</v>
      </c>
      <c r="G269" s="459">
        <v>12</v>
      </c>
      <c r="H269" s="460" t="s">
        <v>54</v>
      </c>
      <c r="I269" s="460" t="s">
        <v>31</v>
      </c>
      <c r="J269" s="484" t="s">
        <v>936</v>
      </c>
      <c r="K269" s="460" t="s">
        <v>3866</v>
      </c>
      <c r="L269" s="459"/>
      <c r="M269" s="459"/>
      <c r="N269" s="463"/>
      <c r="O269" s="475" t="s">
        <v>322</v>
      </c>
      <c r="P269" s="463"/>
      <c r="Q269" s="459"/>
      <c r="R269" s="476" t="s">
        <v>3867</v>
      </c>
      <c r="S269" s="477" t="s">
        <v>3868</v>
      </c>
      <c r="T269" s="478"/>
      <c r="U269" s="460" t="s">
        <v>3869</v>
      </c>
      <c r="V269" s="461">
        <v>35044</v>
      </c>
      <c r="W269" s="462" t="s">
        <v>3870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c r="A270" s="481">
        <v>273</v>
      </c>
      <c r="B270" s="460" t="s">
        <v>3872</v>
      </c>
      <c r="C270" s="460" t="s">
        <v>3873</v>
      </c>
      <c r="D270" s="460"/>
      <c r="E270" s="460" t="s">
        <v>3874</v>
      </c>
      <c r="F270" s="460" t="s">
        <v>24</v>
      </c>
      <c r="G270" s="459">
        <v>12</v>
      </c>
      <c r="H270" s="460" t="s">
        <v>55</v>
      </c>
      <c r="I270" s="460" t="s">
        <v>43</v>
      </c>
      <c r="J270" s="484" t="s">
        <v>3875</v>
      </c>
      <c r="K270" s="460" t="s">
        <v>3876</v>
      </c>
      <c r="L270" s="459"/>
      <c r="M270" s="459"/>
      <c r="N270" s="463"/>
      <c r="O270" s="475" t="s">
        <v>151</v>
      </c>
      <c r="P270" s="463"/>
      <c r="Q270" s="459"/>
      <c r="R270" s="476" t="s">
        <v>3877</v>
      </c>
      <c r="S270" s="477" t="s">
        <v>3878</v>
      </c>
      <c r="T270" s="478"/>
      <c r="U270" s="460">
        <v>2017</v>
      </c>
      <c r="V270" s="461">
        <v>31413</v>
      </c>
      <c r="W270" s="462" t="s">
        <v>3879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c r="A271" s="474">
        <v>274</v>
      </c>
      <c r="B271" s="460" t="s">
        <v>3881</v>
      </c>
      <c r="C271" s="460" t="s">
        <v>2286</v>
      </c>
      <c r="D271" s="460"/>
      <c r="E271" s="460" t="s">
        <v>3882</v>
      </c>
      <c r="F271" s="460" t="s">
        <v>24</v>
      </c>
      <c r="G271" s="459">
        <v>12</v>
      </c>
      <c r="H271" s="460" t="s">
        <v>53</v>
      </c>
      <c r="I271" s="460" t="s">
        <v>48</v>
      </c>
      <c r="J271" s="484" t="s">
        <v>1421</v>
      </c>
      <c r="K271" s="460"/>
      <c r="L271" s="459"/>
      <c r="M271" s="459"/>
      <c r="N271" s="463"/>
      <c r="O271" s="475" t="s">
        <v>322</v>
      </c>
      <c r="P271" s="463"/>
      <c r="Q271" s="459"/>
      <c r="R271" s="476" t="s">
        <v>3883</v>
      </c>
      <c r="S271" s="477" t="s">
        <v>3884</v>
      </c>
      <c r="T271" s="478"/>
      <c r="U271" s="460" t="s">
        <v>3885</v>
      </c>
      <c r="V271" s="461">
        <v>31905</v>
      </c>
      <c r="W271" s="462" t="s">
        <v>3886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c r="A272" s="481">
        <v>275</v>
      </c>
      <c r="B272" s="460" t="s">
        <v>3888</v>
      </c>
      <c r="C272" s="460" t="s">
        <v>1599</v>
      </c>
      <c r="D272" s="460"/>
      <c r="E272" s="460" t="s">
        <v>3889</v>
      </c>
      <c r="F272" s="460" t="s">
        <v>24</v>
      </c>
      <c r="G272" s="459">
        <v>12</v>
      </c>
      <c r="H272" s="460" t="s">
        <v>60</v>
      </c>
      <c r="I272" s="460" t="s">
        <v>35</v>
      </c>
      <c r="J272" s="484" t="s">
        <v>3890</v>
      </c>
      <c r="K272" s="460" t="s">
        <v>3891</v>
      </c>
      <c r="L272" s="459"/>
      <c r="M272" s="459"/>
      <c r="N272" s="463"/>
      <c r="O272" s="475" t="s">
        <v>322</v>
      </c>
      <c r="P272" s="463"/>
      <c r="Q272" s="459"/>
      <c r="R272" s="476" t="s">
        <v>3892</v>
      </c>
      <c r="S272" s="477" t="s">
        <v>3893</v>
      </c>
      <c r="T272" s="478"/>
      <c r="U272" s="482" t="s">
        <v>3894</v>
      </c>
      <c r="V272" s="461">
        <v>30496</v>
      </c>
      <c r="W272" s="462" t="s">
        <v>3895</v>
      </c>
      <c r="X272" s="471" t="s">
        <v>3686</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c r="A273" s="474">
        <v>276</v>
      </c>
      <c r="B273" s="460" t="s">
        <v>3897</v>
      </c>
      <c r="C273" s="460" t="s">
        <v>3898</v>
      </c>
      <c r="D273" s="460"/>
      <c r="E273" s="460" t="s">
        <v>3899</v>
      </c>
      <c r="F273" s="460" t="s">
        <v>25</v>
      </c>
      <c r="G273" s="459">
        <v>12</v>
      </c>
      <c r="H273" s="460" t="s">
        <v>55</v>
      </c>
      <c r="I273" s="460" t="s">
        <v>43</v>
      </c>
      <c r="J273" s="484" t="s">
        <v>3900</v>
      </c>
      <c r="K273" s="460" t="s">
        <v>2013</v>
      </c>
      <c r="L273" s="459"/>
      <c r="M273" s="459"/>
      <c r="N273" s="463"/>
      <c r="O273" s="475" t="s">
        <v>151</v>
      </c>
      <c r="P273" s="463"/>
      <c r="Q273" s="459"/>
      <c r="R273" s="476" t="s">
        <v>3901</v>
      </c>
      <c r="S273" s="477" t="s">
        <v>3902</v>
      </c>
      <c r="T273" s="478"/>
      <c r="U273" s="460">
        <v>2022</v>
      </c>
      <c r="V273" s="461">
        <v>32173</v>
      </c>
      <c r="W273" s="462" t="s">
        <v>3903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c r="A274" s="481">
        <v>277</v>
      </c>
      <c r="B274" s="460" t="s">
        <v>3905</v>
      </c>
      <c r="C274" s="460" t="s">
        <v>3906</v>
      </c>
      <c r="D274" s="460"/>
      <c r="E274" s="460" t="s">
        <v>2558</v>
      </c>
      <c r="F274" s="460" t="s">
        <v>25</v>
      </c>
      <c r="G274" s="459">
        <v>12</v>
      </c>
      <c r="H274" s="460" t="s">
        <v>55</v>
      </c>
      <c r="I274" s="460" t="s">
        <v>43</v>
      </c>
      <c r="J274" s="484" t="s">
        <v>3907</v>
      </c>
      <c r="K274" s="460" t="s">
        <v>3908</v>
      </c>
      <c r="L274" s="459"/>
      <c r="M274" s="459"/>
      <c r="N274" s="463"/>
      <c r="O274" s="475" t="s">
        <v>322</v>
      </c>
      <c r="P274" s="463"/>
      <c r="Q274" s="459"/>
      <c r="R274" s="476" t="s">
        <v>3909</v>
      </c>
      <c r="S274" s="477" t="s">
        <v>3910</v>
      </c>
      <c r="T274" s="478"/>
      <c r="U274" s="460" t="s">
        <v>3911</v>
      </c>
      <c r="V274" s="461">
        <v>32197</v>
      </c>
      <c r="W274" s="462" t="s">
        <v>3912</v>
      </c>
      <c r="X274" s="471" t="s">
        <v>3913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c r="A275" s="474">
        <v>278</v>
      </c>
      <c r="B275" s="460" t="s">
        <v>3915</v>
      </c>
      <c r="C275" s="460" t="s">
        <v>3916</v>
      </c>
      <c r="D275" s="460"/>
      <c r="E275" s="460" t="s">
        <v>3917</v>
      </c>
      <c r="F275" s="460" t="s">
        <v>25</v>
      </c>
      <c r="G275" s="459">
        <v>12</v>
      </c>
      <c r="H275" s="460" t="s">
        <v>53</v>
      </c>
      <c r="I275" s="460" t="s">
        <v>36</v>
      </c>
      <c r="J275" s="484" t="s">
        <v>602</v>
      </c>
      <c r="K275" s="460"/>
      <c r="L275" s="459"/>
      <c r="M275" s="459"/>
      <c r="N275" s="463"/>
      <c r="O275" s="475" t="s">
        <v>151</v>
      </c>
      <c r="P275" s="463"/>
      <c r="Q275" s="459"/>
      <c r="R275" s="476" t="s">
        <v>3918</v>
      </c>
      <c r="S275" s="477" t="s">
        <v>3919</v>
      </c>
      <c r="T275" s="478"/>
      <c r="U275" s="460" t="s">
        <v>3920</v>
      </c>
      <c r="V275" s="461">
        <v>34209</v>
      </c>
      <c r="W275" s="462" t="s">
        <v>3921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3922</v>
      </c>
      <c r="AQ275" s="466"/>
      <c r="AR275" s="465"/>
      <c r="AS275" s="459"/>
      <c r="AT275" s="468"/>
      <c r="AU275" s="479" t="s">
        <v>3923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c r="A276" s="481">
        <v>279</v>
      </c>
      <c r="B276" s="460" t="s">
        <v>3924</v>
      </c>
      <c r="C276" s="460" t="s">
        <v>332</v>
      </c>
      <c r="D276" s="460" t="s">
        <v>3925</v>
      </c>
      <c r="E276" s="460" t="s">
        <v>3926</v>
      </c>
      <c r="F276" s="460" t="s">
        <v>25</v>
      </c>
      <c r="G276" s="459">
        <v>12</v>
      </c>
      <c r="H276" s="460" t="s">
        <v>53</v>
      </c>
      <c r="I276" s="460" t="s">
        <v>48</v>
      </c>
      <c r="J276" s="484" t="s">
        <v>3927</v>
      </c>
      <c r="K276" s="482" t="s">
        <v>3928</v>
      </c>
      <c r="L276" s="459"/>
      <c r="M276" s="459"/>
      <c r="N276" s="463"/>
      <c r="O276" s="475" t="s">
        <v>151</v>
      </c>
      <c r="P276" s="463"/>
      <c r="Q276" s="459"/>
      <c r="R276" s="476" t="s">
        <v>3929</v>
      </c>
      <c r="S276" s="477" t="s">
        <v>3930</v>
      </c>
      <c r="T276" s="478"/>
      <c r="U276" s="460" t="s">
        <v>3931</v>
      </c>
      <c r="V276" s="461">
        <v>33814</v>
      </c>
      <c r="W276" s="462" t="s">
        <v>3932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3933</v>
      </c>
      <c r="AQ276" s="466"/>
      <c r="AR276" s="465"/>
      <c r="AS276" s="459"/>
      <c r="AT276" s="468"/>
      <c r="AU276" s="479" t="s">
        <v>3934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c r="A277" s="474">
        <v>280</v>
      </c>
      <c r="B277" s="460" t="s">
        <v>3935</v>
      </c>
      <c r="C277" s="460" t="s">
        <v>2396</v>
      </c>
      <c r="D277" s="460"/>
      <c r="E277" s="460" t="s">
        <v>2816</v>
      </c>
      <c r="F277" s="460" t="s">
        <v>24</v>
      </c>
      <c r="G277" s="459">
        <v>12</v>
      </c>
      <c r="H277" s="460" t="s">
        <v>53</v>
      </c>
      <c r="I277" s="460" t="s">
        <v>48</v>
      </c>
      <c r="J277" s="484" t="s">
        <v>3936</v>
      </c>
      <c r="K277" s="460"/>
      <c r="L277" s="459"/>
      <c r="M277" s="459"/>
      <c r="N277" s="463"/>
      <c r="O277" s="475" t="s">
        <v>151</v>
      </c>
      <c r="P277" s="463"/>
      <c r="Q277" s="459"/>
      <c r="R277" s="476" t="s">
        <v>3937</v>
      </c>
      <c r="S277" s="477" t="s">
        <v>3938</v>
      </c>
      <c r="T277" s="478"/>
      <c r="U277" s="460">
        <v>2016</v>
      </c>
      <c r="V277" s="461">
        <v>30578</v>
      </c>
      <c r="W277" s="462" t="s">
        <v>3939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3940</v>
      </c>
      <c r="AQ277" s="466"/>
      <c r="AR277" s="465"/>
      <c r="AS277" s="459"/>
      <c r="AT277" s="468"/>
      <c r="AU277" s="479" t="s">
        <v>3941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c r="A278" s="481">
        <v>281</v>
      </c>
      <c r="B278" s="460" t="s">
        <v>3942</v>
      </c>
      <c r="C278" s="460" t="s">
        <v>2396</v>
      </c>
      <c r="D278" s="460" t="s">
        <v>3943</v>
      </c>
      <c r="E278" s="460" t="s">
        <v>3944</v>
      </c>
      <c r="F278" s="460" t="s">
        <v>24</v>
      </c>
      <c r="G278" s="459">
        <v>12</v>
      </c>
      <c r="H278" s="460" t="s">
        <v>60</v>
      </c>
      <c r="I278" s="460" t="s">
        <v>35</v>
      </c>
      <c r="J278" s="484" t="s">
        <v>602</v>
      </c>
      <c r="K278" s="460" t="s">
        <v>3945</v>
      </c>
      <c r="L278" s="459"/>
      <c r="M278" s="459"/>
      <c r="N278" s="463"/>
      <c r="O278" s="475" t="s">
        <v>322</v>
      </c>
      <c r="P278" s="463"/>
      <c r="Q278" s="459"/>
      <c r="R278" s="476" t="s">
        <v>3946</v>
      </c>
      <c r="S278" s="477" t="s">
        <v>3947</v>
      </c>
      <c r="T278" s="478"/>
      <c r="U278" s="460" t="s">
        <v>3948</v>
      </c>
      <c r="V278" s="461">
        <v>33274</v>
      </c>
      <c r="W278" s="462" t="s">
        <v>3949</v>
      </c>
      <c r="X278" s="471" t="s">
        <v>3913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c r="A279" s="474">
        <v>282</v>
      </c>
      <c r="B279" s="460" t="s">
        <v>3951</v>
      </c>
      <c r="C279" s="460" t="s">
        <v>3952</v>
      </c>
      <c r="D279" s="460" t="s">
        <v>3953</v>
      </c>
      <c r="E279" s="460" t="s">
        <v>2605</v>
      </c>
      <c r="F279" s="460" t="s">
        <v>24</v>
      </c>
      <c r="G279" s="459">
        <v>12</v>
      </c>
      <c r="H279" s="460" t="s">
        <v>52</v>
      </c>
      <c r="I279" s="460" t="s">
        <v>42</v>
      </c>
      <c r="J279" s="484" t="s">
        <v>3954</v>
      </c>
      <c r="K279" s="460" t="s">
        <v>1160</v>
      </c>
      <c r="L279" s="459"/>
      <c r="M279" s="459"/>
      <c r="N279" s="463"/>
      <c r="O279" s="475" t="s">
        <v>322</v>
      </c>
      <c r="P279" s="463"/>
      <c r="Q279" s="459"/>
      <c r="R279" s="476" t="s">
        <v>3955</v>
      </c>
      <c r="S279" s="477" t="s">
        <v>3956</v>
      </c>
      <c r="T279" s="478"/>
      <c r="U279" s="460" t="s">
        <v>3957</v>
      </c>
      <c r="V279" s="461">
        <v>32423</v>
      </c>
      <c r="W279" s="462" t="s">
        <v>3958</v>
      </c>
      <c r="X279" s="471" t="s">
        <v>3913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3959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c r="A280" s="481">
        <v>283</v>
      </c>
      <c r="B280" s="460" t="s">
        <v>3960</v>
      </c>
      <c r="C280" s="460" t="s">
        <v>3961</v>
      </c>
      <c r="D280" s="460" t="s">
        <v>571</v>
      </c>
      <c r="E280" s="460" t="s">
        <v>3962</v>
      </c>
      <c r="F280" s="460" t="s">
        <v>25</v>
      </c>
      <c r="G280" s="459">
        <v>12</v>
      </c>
      <c r="H280" s="460" t="s">
        <v>54</v>
      </c>
      <c r="I280" s="460" t="s">
        <v>31</v>
      </c>
      <c r="J280" s="484" t="s">
        <v>2692</v>
      </c>
      <c r="K280" s="460" t="s">
        <v>2692</v>
      </c>
      <c r="L280" s="459"/>
      <c r="M280" s="459"/>
      <c r="N280" s="463"/>
      <c r="O280" s="475" t="s">
        <v>151</v>
      </c>
      <c r="P280" s="463"/>
      <c r="Q280" s="459"/>
      <c r="R280" s="476" t="s">
        <v>3963</v>
      </c>
      <c r="S280" s="477" t="s">
        <v>3964</v>
      </c>
      <c r="T280" s="478"/>
      <c r="U280" s="460" t="s">
        <v>3965</v>
      </c>
      <c r="V280" s="461">
        <v>32371</v>
      </c>
      <c r="W280" s="462" t="s">
        <v>3966</v>
      </c>
      <c r="X280" s="471" t="s">
        <v>3686</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c r="A281" s="474">
        <v>284</v>
      </c>
      <c r="B281" s="460" t="s">
        <v>3968</v>
      </c>
      <c r="C281" s="460" t="s">
        <v>3556</v>
      </c>
      <c r="D281" s="460" t="s">
        <v>3969</v>
      </c>
      <c r="E281" s="460" t="s">
        <v>3970</v>
      </c>
      <c r="F281" s="460" t="s">
        <v>25</v>
      </c>
      <c r="G281" s="459">
        <v>12</v>
      </c>
      <c r="H281" s="460" t="s">
        <v>54</v>
      </c>
      <c r="I281" s="460" t="s">
        <v>31</v>
      </c>
      <c r="J281" s="484" t="s">
        <v>3339</v>
      </c>
      <c r="K281" s="460"/>
      <c r="L281" s="459"/>
      <c r="M281" s="459"/>
      <c r="N281" s="463"/>
      <c r="O281" s="475" t="s">
        <v>151</v>
      </c>
      <c r="P281" s="463"/>
      <c r="Q281" s="459"/>
      <c r="R281" s="476" t="s">
        <v>3971</v>
      </c>
      <c r="S281" s="477" t="s">
        <v>3972</v>
      </c>
      <c r="T281" s="478"/>
      <c r="U281" s="460" t="s">
        <v>3973</v>
      </c>
      <c r="V281" s="461"/>
      <c r="W281" s="462" t="s">
        <v>3974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c r="A282" s="481">
        <v>285</v>
      </c>
      <c r="B282" s="460" t="s">
        <v>3976</v>
      </c>
      <c r="C282" s="460" t="s">
        <v>3977</v>
      </c>
      <c r="D282" s="460" t="s">
        <v>3978</v>
      </c>
      <c r="E282" s="460" t="s">
        <v>3979</v>
      </c>
      <c r="F282" s="460" t="s">
        <v>25</v>
      </c>
      <c r="G282" s="459">
        <v>12</v>
      </c>
      <c r="H282" s="460" t="s">
        <v>54</v>
      </c>
      <c r="I282" s="460" t="s">
        <v>31</v>
      </c>
      <c r="J282" s="484" t="s">
        <v>3980</v>
      </c>
      <c r="K282" s="460" t="s">
        <v>3980</v>
      </c>
      <c r="L282" s="459"/>
      <c r="M282" s="459"/>
      <c r="N282" s="463"/>
      <c r="O282" s="475" t="s">
        <v>151</v>
      </c>
      <c r="P282" s="463"/>
      <c r="Q282" s="459"/>
      <c r="R282" s="476" t="s">
        <v>3981</v>
      </c>
      <c r="S282" s="477" t="s">
        <v>3982</v>
      </c>
      <c r="T282" s="478"/>
      <c r="U282" s="482" t="s">
        <v>3983</v>
      </c>
      <c r="V282" s="461">
        <v>33414</v>
      </c>
      <c r="W282" s="462" t="s">
        <v>3984</v>
      </c>
      <c r="X282" s="471" t="s">
        <v>3913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c r="A283" s="474">
        <v>286</v>
      </c>
      <c r="B283" s="460" t="s">
        <v>3986</v>
      </c>
      <c r="C283" s="460" t="s">
        <v>3987</v>
      </c>
      <c r="D283" s="460"/>
      <c r="E283" s="460" t="s">
        <v>3988</v>
      </c>
      <c r="F283" s="460" t="s">
        <v>25</v>
      </c>
      <c r="G283" s="459">
        <v>12</v>
      </c>
      <c r="H283" s="460" t="s">
        <v>52</v>
      </c>
      <c r="I283" s="460" t="s">
        <v>38</v>
      </c>
      <c r="J283" s="484" t="s">
        <v>602</v>
      </c>
      <c r="K283" s="460"/>
      <c r="L283" s="459"/>
      <c r="M283" s="459"/>
      <c r="N283" s="463"/>
      <c r="O283" s="475" t="s">
        <v>322</v>
      </c>
      <c r="P283" s="463"/>
      <c r="Q283" s="459"/>
      <c r="R283" s="476" t="s">
        <v>3989</v>
      </c>
      <c r="S283" s="477" t="s">
        <v>3990</v>
      </c>
      <c r="T283" s="478"/>
      <c r="U283" s="460" t="s">
        <v>3991</v>
      </c>
      <c r="V283" s="461">
        <v>33824</v>
      </c>
      <c r="W283" s="462" t="s">
        <v>3992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3993</v>
      </c>
      <c r="AQ283" s="466"/>
      <c r="AR283" s="465"/>
      <c r="AS283" s="459"/>
      <c r="AT283" s="468"/>
      <c r="AU283" s="479" t="s">
        <v>3994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c r="A284" s="481">
        <v>287</v>
      </c>
      <c r="B284" s="460" t="s">
        <v>3995</v>
      </c>
      <c r="C284" s="460" t="s">
        <v>3996</v>
      </c>
      <c r="D284" s="460"/>
      <c r="E284" s="460" t="s">
        <v>3997</v>
      </c>
      <c r="F284" s="460" t="s">
        <v>24</v>
      </c>
      <c r="G284" s="459">
        <v>12</v>
      </c>
      <c r="H284" s="460" t="s">
        <v>60</v>
      </c>
      <c r="I284" s="460" t="s">
        <v>35</v>
      </c>
      <c r="J284" s="484" t="s">
        <v>3270</v>
      </c>
      <c r="K284" s="460" t="s">
        <v>3998</v>
      </c>
      <c r="L284" s="459"/>
      <c r="M284" s="459"/>
      <c r="N284" s="463"/>
      <c r="O284" s="475" t="s">
        <v>151</v>
      </c>
      <c r="P284" s="463"/>
      <c r="Q284" s="459"/>
      <c r="R284" s="476" t="s">
        <v>3999</v>
      </c>
      <c r="S284" s="477" t="s">
        <v>4000</v>
      </c>
      <c r="T284" s="478"/>
      <c r="U284" s="460">
        <v>2018</v>
      </c>
      <c r="V284" s="461">
        <v>31835</v>
      </c>
      <c r="W284" s="462" t="s">
        <v>4001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4002</v>
      </c>
      <c r="AQ284" s="466"/>
      <c r="AR284" s="465"/>
      <c r="AS284" s="459"/>
      <c r="AT284" s="468"/>
      <c r="AU284" s="479" t="s">
        <v>4003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c r="A285" s="474">
        <v>288</v>
      </c>
      <c r="B285" s="460" t="s">
        <v>4004</v>
      </c>
      <c r="C285" s="460" t="s">
        <v>4005</v>
      </c>
      <c r="D285" s="460" t="s">
        <v>4006</v>
      </c>
      <c r="E285" s="460" t="s">
        <v>4007</v>
      </c>
      <c r="F285" s="460" t="s">
        <v>24</v>
      </c>
      <c r="G285" s="459">
        <v>12</v>
      </c>
      <c r="H285" s="460" t="s">
        <v>53</v>
      </c>
      <c r="I285" s="460" t="s">
        <v>48</v>
      </c>
      <c r="J285" s="484" t="s">
        <v>602</v>
      </c>
      <c r="K285" s="460"/>
      <c r="L285" s="459"/>
      <c r="M285" s="459"/>
      <c r="N285" s="463"/>
      <c r="O285" s="475" t="s">
        <v>151</v>
      </c>
      <c r="P285" s="463"/>
      <c r="Q285" s="459"/>
      <c r="R285" s="476" t="s">
        <v>4008</v>
      </c>
      <c r="S285" s="477" t="s">
        <v>4009</v>
      </c>
      <c r="T285" s="478"/>
      <c r="U285" s="460" t="s">
        <v>4010</v>
      </c>
      <c r="V285" s="461">
        <v>33563</v>
      </c>
      <c r="W285" s="462" t="s">
        <v>4011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4012</v>
      </c>
      <c r="AQ285" s="466"/>
      <c r="AR285" s="465"/>
      <c r="AS285" s="459"/>
      <c r="AT285" s="468"/>
      <c r="AU285" s="479" t="s">
        <v>4013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c r="A286" s="481">
        <v>289</v>
      </c>
      <c r="B286" s="460" t="s">
        <v>4014</v>
      </c>
      <c r="C286" s="460" t="s">
        <v>4015</v>
      </c>
      <c r="D286" s="460"/>
      <c r="E286" s="460" t="s">
        <v>4016</v>
      </c>
      <c r="F286" s="460" t="s">
        <v>25</v>
      </c>
      <c r="G286" s="459">
        <v>12</v>
      </c>
      <c r="H286" s="460" t="s">
        <v>55</v>
      </c>
      <c r="I286" s="460" t="s">
        <v>43</v>
      </c>
      <c r="J286" s="484" t="s">
        <v>4017</v>
      </c>
      <c r="K286" s="460" t="s">
        <v>4018</v>
      </c>
      <c r="L286" s="459"/>
      <c r="M286" s="459"/>
      <c r="N286" s="463"/>
      <c r="O286" s="475" t="s">
        <v>151</v>
      </c>
      <c r="P286" s="463"/>
      <c r="Q286" s="459"/>
      <c r="R286" s="476" t="s">
        <v>4019</v>
      </c>
      <c r="S286" s="477" t="s">
        <v>4020</v>
      </c>
      <c r="T286" s="478"/>
      <c r="U286" s="460" t="s">
        <v>4021</v>
      </c>
      <c r="V286" s="461">
        <v>32156</v>
      </c>
      <c r="W286" s="462" t="s">
        <v>4022</v>
      </c>
      <c r="X286" s="471" t="s">
        <v>3686</v>
      </c>
      <c r="Y286" s="463"/>
      <c r="Z286" s="463"/>
      <c r="AA286" s="459"/>
      <c r="AB286" s="459"/>
      <c r="AC286" s="485">
        <v>46083</v>
      </c>
      <c r="AD286" s="464"/>
      <c r="AE286" s="459"/>
      <c r="AF286" s="459"/>
      <c r="AG286" s="459"/>
      <c r="AH286" s="465"/>
      <c r="AI286" s="464"/>
      <c r="AJ286" s="459"/>
      <c r="AK286" s="459"/>
      <c r="AL286" s="465"/>
      <c r="AM286" s="465"/>
      <c r="AN286" s="465"/>
      <c r="AO286" s="466"/>
      <c r="AP286" s="467" t="s">
        <v>4023</v>
      </c>
      <c r="AQ286" s="466"/>
      <c r="AR286" s="465"/>
      <c r="AS286" s="459"/>
      <c r="AT286" s="468"/>
      <c r="AU286" s="479" t="s">
        <v>4024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c r="A287" s="474">
        <v>290</v>
      </c>
      <c r="B287" s="460" t="s">
        <v>4025</v>
      </c>
      <c r="C287" s="460" t="s">
        <v>4026</v>
      </c>
      <c r="D287" s="460" t="s">
        <v>4027</v>
      </c>
      <c r="E287" s="460" t="s">
        <v>4028</v>
      </c>
      <c r="F287" s="460" t="s">
        <v>24</v>
      </c>
      <c r="G287" s="459">
        <v>12</v>
      </c>
      <c r="H287" s="460" t="s">
        <v>52</v>
      </c>
      <c r="I287" s="460" t="s">
        <v>37</v>
      </c>
      <c r="J287" s="484" t="s">
        <v>4029</v>
      </c>
      <c r="K287" s="482" t="s">
        <v>602</v>
      </c>
      <c r="L287" s="459"/>
      <c r="M287" s="459"/>
      <c r="N287" s="463"/>
      <c r="O287" s="475" t="s">
        <v>151</v>
      </c>
      <c r="P287" s="463"/>
      <c r="Q287" s="459"/>
      <c r="R287" s="476" t="s">
        <v>4030</v>
      </c>
      <c r="S287" s="477" t="s">
        <v>4031</v>
      </c>
      <c r="T287" s="478"/>
      <c r="U287" s="460" t="s">
        <v>4032</v>
      </c>
      <c r="V287" s="461">
        <v>32625</v>
      </c>
      <c r="W287" s="462" t="s">
        <v>4033</v>
      </c>
      <c r="X287" s="471" t="s">
        <v>3913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c r="A288" s="481">
        <v>291</v>
      </c>
      <c r="B288" s="460" t="s">
        <v>4035</v>
      </c>
      <c r="C288" s="460" t="s">
        <v>4036</v>
      </c>
      <c r="D288" s="460"/>
      <c r="E288" s="460" t="s">
        <v>4037</v>
      </c>
      <c r="F288" s="460" t="s">
        <v>25</v>
      </c>
      <c r="G288" s="459">
        <v>12</v>
      </c>
      <c r="H288" s="460" t="s">
        <v>60</v>
      </c>
      <c r="I288" s="460" t="s">
        <v>35</v>
      </c>
      <c r="J288" s="484" t="s">
        <v>4038</v>
      </c>
      <c r="K288" s="460" t="s">
        <v>2666</v>
      </c>
      <c r="L288" s="459"/>
      <c r="M288" s="459"/>
      <c r="N288" s="463"/>
      <c r="O288" s="475" t="s">
        <v>151</v>
      </c>
      <c r="P288" s="463"/>
      <c r="Q288" s="459"/>
      <c r="R288" s="476" t="s">
        <v>4039</v>
      </c>
      <c r="S288" s="477" t="s">
        <v>4040</v>
      </c>
      <c r="T288" s="478"/>
      <c r="U288" s="460" t="s">
        <v>4041</v>
      </c>
      <c r="V288" s="461">
        <v>34820</v>
      </c>
      <c r="W288" s="462" t="s">
        <v>4042</v>
      </c>
      <c r="X288" s="471" t="s">
        <v>3913</v>
      </c>
      <c r="Y288" s="463"/>
      <c r="Z288" s="463"/>
      <c r="AA288" s="459"/>
      <c r="AB288" s="459"/>
      <c r="AC288" s="485">
        <v>46083</v>
      </c>
      <c r="AD288" s="464"/>
      <c r="AE288" s="459"/>
      <c r="AF288" s="459"/>
      <c r="AG288" s="459"/>
      <c r="AH288" s="465"/>
      <c r="AI288" s="464"/>
      <c r="AJ288" s="459"/>
      <c r="AK288" s="459"/>
      <c r="AL288" s="465"/>
      <c r="AM288" s="465"/>
      <c r="AN288" s="465"/>
      <c r="AO288" s="466"/>
      <c r="AP288" s="467" t="s">
        <v>4043</v>
      </c>
      <c r="AQ288" s="466"/>
      <c r="AR288" s="465"/>
      <c r="AS288" s="459"/>
      <c r="AT288" s="468"/>
      <c r="AU288" s="479" t="s">
        <v>4044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c r="A296" s="46" t="s">
        <v>4045</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4046</v>
      </c>
    </row>
    <row r="310" spans="1:2" ht="15" customHeight="1">
      <c r="A310" s="24" t="s">
        <v>168</v>
      </c>
      <c r="B310" s="47" t="s">
        <v>4047</v>
      </c>
    </row>
    <row r="311" spans="1:2" ht="15" customHeight="1">
      <c r="A311" s="292"/>
      <c r="B311" s="393" t="s">
        <v>4048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s>
  <pageMargins left="0.7" right="0.7" top="0.75" bottom="0.75" header="0.3" footer="0.3"/>
  <pageSetup orientation="portrait" r:id="rId144"/>
  <legacyDrawing r:id="rId14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4049</v>
      </c>
      <c r="B1" s="62" t="s">
        <v>4050</v>
      </c>
      <c r="C1" s="62" t="s">
        <v>4051</v>
      </c>
      <c r="D1" s="62" t="s">
        <v>29</v>
      </c>
      <c r="E1" s="63" t="s">
        <v>15</v>
      </c>
      <c r="F1" s="63" t="s">
        <v>4052</v>
      </c>
      <c r="G1" s="64" t="s">
        <v>4053</v>
      </c>
      <c r="H1" s="64" t="s">
        <v>4054</v>
      </c>
      <c r="I1" s="65" t="s">
        <v>4055</v>
      </c>
      <c r="J1" s="66" t="s">
        <v>4056</v>
      </c>
    </row>
    <row r="2" spans="1:10" ht="24.95" customHeight="1">
      <c r="A2" s="24">
        <v>1</v>
      </c>
      <c r="B2" s="24" t="s">
        <v>4057</v>
      </c>
      <c r="C2" s="24" t="s">
        <v>4058</v>
      </c>
      <c r="D2" s="24" t="s">
        <v>25</v>
      </c>
      <c r="E2" s="67">
        <v>3</v>
      </c>
      <c r="F2" s="67"/>
      <c r="G2" s="67">
        <v>2014</v>
      </c>
      <c r="H2" s="67">
        <v>2014</v>
      </c>
      <c r="I2" s="24" t="s">
        <v>4059</v>
      </c>
      <c r="J2" s="24"/>
    </row>
    <row r="3" spans="1:10" ht="24.95" customHeight="1">
      <c r="A3" s="24">
        <v>2</v>
      </c>
      <c r="B3" s="24" t="s">
        <v>4060</v>
      </c>
      <c r="C3" s="24" t="s">
        <v>40</v>
      </c>
      <c r="D3" s="24" t="s">
        <v>25</v>
      </c>
      <c r="E3" s="67">
        <v>3</v>
      </c>
      <c r="F3" s="67"/>
      <c r="G3" s="67">
        <v>2016</v>
      </c>
      <c r="H3" s="67">
        <v>2016</v>
      </c>
      <c r="I3" s="24" t="s">
        <v>4059</v>
      </c>
      <c r="J3" s="24"/>
    </row>
    <row r="4" spans="1:10" ht="24.95" customHeight="1">
      <c r="A4" s="24">
        <v>3</v>
      </c>
      <c r="B4" s="24" t="s">
        <v>4061</v>
      </c>
      <c r="C4" s="24" t="s">
        <v>42</v>
      </c>
      <c r="D4" s="24" t="s">
        <v>25</v>
      </c>
      <c r="E4" s="67">
        <v>1</v>
      </c>
      <c r="F4" s="67" t="s">
        <v>150</v>
      </c>
      <c r="G4" s="68">
        <v>42583</v>
      </c>
      <c r="H4" s="67">
        <v>2016</v>
      </c>
      <c r="I4" s="24" t="s">
        <v>4059</v>
      </c>
      <c r="J4" s="24"/>
    </row>
    <row r="5" spans="1:10" ht="24.95" customHeight="1">
      <c r="A5" s="24">
        <v>4</v>
      </c>
      <c r="B5" s="24" t="s">
        <v>4062</v>
      </c>
      <c r="C5" s="24" t="s">
        <v>42</v>
      </c>
      <c r="D5" s="24" t="s">
        <v>24</v>
      </c>
      <c r="E5" s="67">
        <v>2</v>
      </c>
      <c r="F5" s="67" t="s">
        <v>4063</v>
      </c>
      <c r="G5" s="67" t="s">
        <v>4064</v>
      </c>
      <c r="H5" s="67">
        <v>2016</v>
      </c>
      <c r="I5" s="24" t="s">
        <v>4065</v>
      </c>
      <c r="J5" s="24"/>
    </row>
    <row r="6" spans="1:10" ht="24.95" customHeight="1">
      <c r="A6" s="24">
        <v>5</v>
      </c>
      <c r="B6" s="24" t="s">
        <v>4066</v>
      </c>
      <c r="C6" s="24" t="s">
        <v>43</v>
      </c>
      <c r="D6" s="24" t="s">
        <v>25</v>
      </c>
      <c r="E6" s="67">
        <v>7</v>
      </c>
      <c r="F6" s="67" t="s">
        <v>4067</v>
      </c>
      <c r="G6" s="67">
        <v>2017</v>
      </c>
      <c r="H6" s="67">
        <v>2017</v>
      </c>
      <c r="I6" s="24" t="s">
        <v>4059</v>
      </c>
      <c r="J6" s="24"/>
    </row>
    <row r="7" spans="1:10" ht="24.95" customHeight="1">
      <c r="A7" s="24">
        <v>6</v>
      </c>
      <c r="B7" s="24" t="s">
        <v>4068</v>
      </c>
      <c r="C7" s="24" t="s">
        <v>46</v>
      </c>
      <c r="D7" s="24" t="s">
        <v>25</v>
      </c>
      <c r="E7" s="67">
        <v>5</v>
      </c>
      <c r="F7" s="67" t="s">
        <v>4069</v>
      </c>
      <c r="G7" s="67">
        <v>2017</v>
      </c>
      <c r="H7" s="67">
        <v>2017</v>
      </c>
      <c r="I7" s="24" t="s">
        <v>4070</v>
      </c>
      <c r="J7" s="24"/>
    </row>
    <row r="8" spans="1:10" ht="24.95" customHeight="1">
      <c r="A8" s="24">
        <v>7</v>
      </c>
      <c r="B8" s="24" t="s">
        <v>4071</v>
      </c>
      <c r="C8" s="24" t="s">
        <v>42</v>
      </c>
      <c r="D8" s="24" t="s">
        <v>24</v>
      </c>
      <c r="E8" s="67">
        <v>5</v>
      </c>
      <c r="F8" s="67" t="s">
        <v>4069</v>
      </c>
      <c r="G8" s="67">
        <v>2018</v>
      </c>
      <c r="H8" s="67">
        <v>2018</v>
      </c>
      <c r="I8" s="24" t="s">
        <v>4059</v>
      </c>
      <c r="J8" s="24"/>
    </row>
    <row r="9" spans="1:10" ht="24.95" customHeight="1">
      <c r="A9" s="24">
        <v>8</v>
      </c>
      <c r="B9" s="24" t="s">
        <v>4072</v>
      </c>
      <c r="C9" s="24" t="s">
        <v>37</v>
      </c>
      <c r="D9" s="24" t="s">
        <v>25</v>
      </c>
      <c r="E9" s="67">
        <v>6</v>
      </c>
      <c r="F9" s="67"/>
      <c r="G9" s="67">
        <v>2018</v>
      </c>
      <c r="H9" s="67">
        <v>2018</v>
      </c>
      <c r="I9" s="24" t="s">
        <v>4059</v>
      </c>
      <c r="J9" s="24"/>
    </row>
    <row r="10" spans="1:10" ht="24.95" customHeight="1">
      <c r="A10" s="24">
        <v>9</v>
      </c>
      <c r="B10" s="24" t="s">
        <v>4073</v>
      </c>
      <c r="C10" s="24" t="s">
        <v>41</v>
      </c>
      <c r="D10" s="24" t="s">
        <v>25</v>
      </c>
      <c r="E10" s="67">
        <v>5</v>
      </c>
      <c r="F10" s="67" t="s">
        <v>157</v>
      </c>
      <c r="G10" s="67">
        <v>2018</v>
      </c>
      <c r="H10" s="67">
        <v>2018</v>
      </c>
      <c r="I10" s="24" t="s">
        <v>4059</v>
      </c>
      <c r="J10" s="24"/>
    </row>
    <row r="11" spans="1:10" ht="24.95" customHeight="1">
      <c r="A11" s="24">
        <v>10</v>
      </c>
      <c r="B11" s="24" t="s">
        <v>4074</v>
      </c>
      <c r="C11" s="24" t="s">
        <v>42</v>
      </c>
      <c r="D11" s="24" t="s">
        <v>24</v>
      </c>
      <c r="E11" s="67">
        <v>1</v>
      </c>
      <c r="F11" s="67" t="s">
        <v>4075</v>
      </c>
      <c r="G11" s="67" t="s">
        <v>4076</v>
      </c>
      <c r="H11" s="67"/>
      <c r="I11" s="24" t="s">
        <v>4059</v>
      </c>
      <c r="J11" s="24"/>
    </row>
    <row r="12" spans="1:10" ht="24.95" customHeight="1">
      <c r="A12" s="24">
        <v>11</v>
      </c>
      <c r="B12" s="24" t="s">
        <v>4077</v>
      </c>
      <c r="C12" s="24" t="s">
        <v>41</v>
      </c>
      <c r="D12" s="24" t="s">
        <v>24</v>
      </c>
      <c r="E12" s="67">
        <v>1</v>
      </c>
      <c r="F12" s="67" t="s">
        <v>4078</v>
      </c>
      <c r="G12" s="67" t="s">
        <v>4076</v>
      </c>
      <c r="H12" s="67"/>
      <c r="I12" s="24" t="s">
        <v>4059</v>
      </c>
      <c r="J12" s="24"/>
    </row>
    <row r="13" spans="1:10" ht="24.95" customHeight="1">
      <c r="A13" s="24">
        <v>12</v>
      </c>
      <c r="B13" s="24" t="s">
        <v>4079</v>
      </c>
      <c r="C13" s="24" t="s">
        <v>46</v>
      </c>
      <c r="D13" s="24" t="s">
        <v>25</v>
      </c>
      <c r="E13" s="67">
        <v>4</v>
      </c>
      <c r="F13" s="67"/>
      <c r="G13" s="69">
        <v>43867</v>
      </c>
      <c r="H13" s="67">
        <v>2020</v>
      </c>
      <c r="I13" s="24" t="s">
        <v>4059</v>
      </c>
      <c r="J13" s="24"/>
    </row>
    <row r="14" spans="1:10" ht="24.95" customHeight="1">
      <c r="A14" s="24">
        <v>13</v>
      </c>
      <c r="B14" s="24" t="s">
        <v>4080</v>
      </c>
      <c r="C14" s="24" t="s">
        <v>35</v>
      </c>
      <c r="D14" s="24" t="s">
        <v>24</v>
      </c>
      <c r="E14" s="67">
        <v>8</v>
      </c>
      <c r="F14" s="67"/>
      <c r="G14" s="69">
        <v>43867</v>
      </c>
      <c r="H14" s="67">
        <v>2020</v>
      </c>
      <c r="I14" s="24" t="s">
        <v>4081</v>
      </c>
      <c r="J14" s="70" t="s">
        <v>4082</v>
      </c>
    </row>
    <row r="15" spans="1:10" ht="24.95" customHeight="1">
      <c r="A15" s="24">
        <v>14</v>
      </c>
      <c r="B15" s="24" t="s">
        <v>4083</v>
      </c>
      <c r="C15" s="24" t="s">
        <v>35</v>
      </c>
      <c r="D15" s="24" t="s">
        <v>25</v>
      </c>
      <c r="E15" s="67">
        <v>5</v>
      </c>
      <c r="F15" s="67"/>
      <c r="G15" s="69">
        <v>43930</v>
      </c>
      <c r="H15" s="67">
        <v>2020</v>
      </c>
      <c r="I15" s="24" t="s">
        <v>4059</v>
      </c>
      <c r="J15" s="70"/>
    </row>
    <row r="16" spans="1:10" ht="24.95" customHeight="1">
      <c r="A16" s="24">
        <v>15</v>
      </c>
      <c r="B16" s="24" t="s">
        <v>4084</v>
      </c>
      <c r="C16" s="24" t="s">
        <v>38</v>
      </c>
      <c r="D16" s="24" t="s">
        <v>25</v>
      </c>
      <c r="E16" s="67">
        <v>7</v>
      </c>
      <c r="F16" s="67"/>
      <c r="G16" s="69">
        <v>43930</v>
      </c>
      <c r="H16" s="67">
        <v>2020</v>
      </c>
      <c r="I16" s="24" t="s">
        <v>4059</v>
      </c>
      <c r="J16" s="70" t="s">
        <v>4085</v>
      </c>
    </row>
    <row r="17" spans="1:10" ht="24.95" customHeight="1">
      <c r="A17" s="24">
        <v>16</v>
      </c>
      <c r="B17" s="24" t="s">
        <v>4086</v>
      </c>
      <c r="C17" s="24" t="s">
        <v>42</v>
      </c>
      <c r="D17" s="24" t="s">
        <v>24</v>
      </c>
      <c r="E17" s="67">
        <v>7</v>
      </c>
      <c r="F17" s="67"/>
      <c r="G17" s="69">
        <v>44214</v>
      </c>
      <c r="H17" s="67">
        <v>2021</v>
      </c>
      <c r="I17" s="24" t="s">
        <v>4087</v>
      </c>
      <c r="J17" s="70" t="s">
        <v>4088</v>
      </c>
    </row>
    <row r="18" spans="1:10" ht="24.95" customHeight="1">
      <c r="A18" s="24">
        <v>17</v>
      </c>
      <c r="B18" s="24" t="s">
        <v>4089</v>
      </c>
      <c r="C18" s="24" t="s">
        <v>46</v>
      </c>
      <c r="D18" s="24" t="s">
        <v>25</v>
      </c>
      <c r="E18" s="67">
        <v>8</v>
      </c>
      <c r="F18" s="67"/>
      <c r="G18" s="69">
        <v>44400</v>
      </c>
      <c r="H18" s="67">
        <v>2021</v>
      </c>
      <c r="I18" s="24" t="s">
        <v>4059</v>
      </c>
      <c r="J18" s="70" t="s">
        <v>4090</v>
      </c>
    </row>
    <row r="19" spans="1:10" ht="24.95" customHeight="1">
      <c r="A19" s="24">
        <v>18</v>
      </c>
      <c r="B19" s="24" t="s">
        <v>4091</v>
      </c>
      <c r="C19" s="24" t="s">
        <v>35</v>
      </c>
      <c r="D19" s="24" t="s">
        <v>25</v>
      </c>
      <c r="E19" s="67">
        <v>8</v>
      </c>
      <c r="F19" s="67"/>
      <c r="G19" s="69">
        <v>44651</v>
      </c>
      <c r="H19" s="67">
        <v>2022</v>
      </c>
      <c r="I19" s="24" t="s">
        <v>4092</v>
      </c>
      <c r="J19" s="70" t="s">
        <v>4093</v>
      </c>
    </row>
    <row r="20" spans="1:10" ht="24.95" customHeight="1">
      <c r="A20" s="24">
        <v>19</v>
      </c>
      <c r="B20" s="24" t="s">
        <v>4094</v>
      </c>
      <c r="C20" s="24" t="s">
        <v>42</v>
      </c>
      <c r="D20" s="24" t="s">
        <v>24</v>
      </c>
      <c r="E20" s="67">
        <v>9</v>
      </c>
      <c r="F20" s="67"/>
      <c r="G20" s="69">
        <v>44818</v>
      </c>
      <c r="H20" s="67">
        <v>2022</v>
      </c>
      <c r="I20" s="24" t="s">
        <v>4087</v>
      </c>
      <c r="J20" s="70" t="s">
        <v>4095</v>
      </c>
    </row>
    <row r="21" spans="1:10" ht="24.95" customHeight="1">
      <c r="A21" s="24">
        <v>20</v>
      </c>
      <c r="B21" s="24" t="s">
        <v>4096</v>
      </c>
      <c r="C21" s="24" t="s">
        <v>35</v>
      </c>
      <c r="D21" s="24" t="s">
        <v>24</v>
      </c>
      <c r="E21" s="67">
        <v>9</v>
      </c>
      <c r="F21" s="67"/>
      <c r="G21" s="69">
        <v>44818</v>
      </c>
      <c r="H21" s="67">
        <v>2022</v>
      </c>
      <c r="I21" s="24" t="s">
        <v>4059</v>
      </c>
      <c r="J21" s="70" t="s">
        <v>4097</v>
      </c>
    </row>
    <row r="22" spans="1:10" ht="24.95" customHeight="1">
      <c r="A22" s="24">
        <v>21</v>
      </c>
      <c r="B22" s="24" t="s">
        <v>4098</v>
      </c>
      <c r="C22" s="24" t="s">
        <v>35</v>
      </c>
      <c r="D22" s="24" t="s">
        <v>25</v>
      </c>
      <c r="E22" s="67">
        <v>10</v>
      </c>
      <c r="F22" s="67"/>
      <c r="G22" s="69">
        <v>45107</v>
      </c>
      <c r="H22" s="67">
        <v>2023</v>
      </c>
      <c r="I22" s="24" t="s">
        <v>4059</v>
      </c>
      <c r="J22" s="70" t="s">
        <v>4099</v>
      </c>
    </row>
    <row r="23" spans="1:10" ht="24.95" customHeight="1">
      <c r="A23" s="24">
        <v>22</v>
      </c>
      <c r="B23" s="24" t="s">
        <v>4100</v>
      </c>
      <c r="C23" s="24" t="s">
        <v>4058</v>
      </c>
      <c r="D23" s="24"/>
      <c r="E23" s="67">
        <v>2</v>
      </c>
      <c r="F23" s="67"/>
      <c r="G23" s="69">
        <v>45741</v>
      </c>
      <c r="H23" s="67">
        <v>2025</v>
      </c>
      <c r="I23" s="70" t="s">
        <v>4101</v>
      </c>
      <c r="J23" s="70"/>
    </row>
    <row r="24" spans="1:10" ht="24.95" customHeight="1">
      <c r="A24" s="24">
        <v>23</v>
      </c>
      <c r="B24" s="24" t="s">
        <v>4102</v>
      </c>
      <c r="C24" s="24" t="s">
        <v>4058</v>
      </c>
      <c r="D24" s="24"/>
      <c r="E24" s="67">
        <v>2</v>
      </c>
      <c r="F24" s="67"/>
      <c r="G24" s="69">
        <v>45741</v>
      </c>
      <c r="H24" s="67">
        <v>2025</v>
      </c>
      <c r="I24" s="70" t="s">
        <v>4103</v>
      </c>
      <c r="J24" s="70"/>
    </row>
    <row r="25" spans="1:10" ht="24.95" customHeight="1">
      <c r="A25" s="24">
        <v>24</v>
      </c>
      <c r="B25" s="24" t="s">
        <v>4104</v>
      </c>
      <c r="C25" s="24" t="s">
        <v>4058</v>
      </c>
      <c r="D25" s="24"/>
      <c r="E25" s="67">
        <v>3</v>
      </c>
      <c r="F25" s="67"/>
      <c r="G25" s="69">
        <v>45741</v>
      </c>
      <c r="H25" s="67">
        <v>2025</v>
      </c>
      <c r="I25" s="70" t="s">
        <v>4105</v>
      </c>
      <c r="J25" s="70"/>
    </row>
    <row r="26" spans="1:10" ht="24.95" customHeight="1">
      <c r="A26" s="24">
        <v>25</v>
      </c>
      <c r="B26" s="24" t="s">
        <v>4106</v>
      </c>
      <c r="C26" s="24" t="s">
        <v>4058</v>
      </c>
      <c r="D26" s="24"/>
      <c r="E26" s="67">
        <v>5</v>
      </c>
      <c r="F26" s="67"/>
      <c r="G26" s="69">
        <v>45741</v>
      </c>
      <c r="H26" s="67">
        <v>2025</v>
      </c>
      <c r="I26" s="70" t="s">
        <v>4107</v>
      </c>
      <c r="J26" s="70"/>
    </row>
    <row r="27" spans="1:10">
      <c r="A27" s="24">
        <v>26</v>
      </c>
      <c r="B27" s="24" t="s">
        <v>4108</v>
      </c>
      <c r="C27" s="24" t="s">
        <v>43</v>
      </c>
      <c r="D27" s="24" t="s">
        <v>25</v>
      </c>
      <c r="E27" s="67">
        <v>11</v>
      </c>
      <c r="F27" s="67"/>
      <c r="G27" s="69" t="s">
        <v>4109</v>
      </c>
      <c r="H27" s="67">
        <v>2025</v>
      </c>
      <c r="I27" s="24" t="s">
        <v>4110</v>
      </c>
      <c r="J27" s="24" t="s">
        <v>4111</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120</v>
      </c>
      <c r="F2" t="s">
        <v>4112</v>
      </c>
    </row>
    <row r="4" spans="5:8">
      <c r="E4" s="54" t="s">
        <v>13</v>
      </c>
      <c r="F4" s="54" t="s">
        <v>29</v>
      </c>
      <c r="G4" s="54" t="s">
        <v>14</v>
      </c>
    </row>
    <row r="5" spans="5:8">
      <c r="F5" t="s">
        <v>24</v>
      </c>
      <c r="G5" t="s">
        <v>4113</v>
      </c>
      <c r="H5" t="s">
        <v>19</v>
      </c>
    </row>
    <row r="6" spans="5:8">
      <c r="E6" s="54" t="s">
        <v>34</v>
      </c>
      <c r="F6" t="s">
        <v>16</v>
      </c>
    </row>
    <row r="7" spans="5:8">
      <c r="E7" t="s">
        <v>37</v>
      </c>
      <c r="F7">
        <v>1</v>
      </c>
      <c r="G7">
        <v>1</v>
      </c>
      <c r="H7">
        <v>1</v>
      </c>
    </row>
    <row r="8" spans="5:8">
      <c r="E8" t="s">
        <v>39</v>
      </c>
      <c r="F8">
        <v>1</v>
      </c>
      <c r="G8">
        <v>1</v>
      </c>
      <c r="H8">
        <v>1</v>
      </c>
    </row>
    <row r="9" spans="5:8">
      <c r="E9" t="s">
        <v>31</v>
      </c>
      <c r="F9">
        <v>1</v>
      </c>
      <c r="G9">
        <v>1</v>
      </c>
      <c r="H9">
        <v>1</v>
      </c>
    </row>
    <row r="10" spans="5:8">
      <c r="E10" t="s">
        <v>42</v>
      </c>
      <c r="F10">
        <v>1</v>
      </c>
      <c r="G10">
        <v>1</v>
      </c>
      <c r="H10">
        <v>1</v>
      </c>
    </row>
    <row r="11" spans="5:8">
      <c r="E11" t="s">
        <v>45</v>
      </c>
      <c r="F11">
        <v>2</v>
      </c>
      <c r="G11">
        <v>2</v>
      </c>
      <c r="H11">
        <v>2</v>
      </c>
    </row>
    <row r="12" spans="5:8">
      <c r="E12" t="s">
        <v>19</v>
      </c>
      <c r="F12">
        <v>6</v>
      </c>
      <c r="G12">
        <v>6</v>
      </c>
      <c r="H12">
        <v>6</v>
      </c>
    </row>
    <row r="24" spans="5:8">
      <c r="E24" s="54" t="s">
        <v>14</v>
      </c>
      <c r="F24" t="s">
        <v>30</v>
      </c>
    </row>
    <row r="26" spans="5:8">
      <c r="E26" s="54" t="s">
        <v>21</v>
      </c>
      <c r="F26" s="54" t="s">
        <v>29</v>
      </c>
    </row>
    <row r="27" spans="5:8">
      <c r="E27" s="54" t="s">
        <v>34</v>
      </c>
      <c r="F27" t="s">
        <v>24</v>
      </c>
      <c r="G27" t="s">
        <v>25</v>
      </c>
      <c r="H27" t="s">
        <v>19</v>
      </c>
    </row>
    <row r="28" spans="5:8">
      <c r="E28" t="s">
        <v>36</v>
      </c>
      <c r="G28">
        <v>2</v>
      </c>
      <c r="H28">
        <v>2</v>
      </c>
    </row>
    <row r="29" spans="5:8">
      <c r="E29" t="s">
        <v>38</v>
      </c>
      <c r="F29">
        <v>1</v>
      </c>
      <c r="G29">
        <v>4</v>
      </c>
      <c r="H29">
        <v>5</v>
      </c>
    </row>
    <row r="30" spans="5:8">
      <c r="E30" t="s">
        <v>40</v>
      </c>
      <c r="F30">
        <v>6</v>
      </c>
      <c r="G30">
        <v>3</v>
      </c>
      <c r="H30">
        <v>9</v>
      </c>
    </row>
    <row r="31" spans="5:8">
      <c r="E31" t="s">
        <v>35</v>
      </c>
      <c r="F31">
        <v>11</v>
      </c>
      <c r="G31">
        <v>16</v>
      </c>
      <c r="H31">
        <v>27</v>
      </c>
    </row>
    <row r="32" spans="5:8">
      <c r="E32" t="s">
        <v>37</v>
      </c>
      <c r="F32">
        <v>16</v>
      </c>
      <c r="G32">
        <v>5</v>
      </c>
      <c r="H32">
        <v>21</v>
      </c>
    </row>
    <row r="33" spans="5:8">
      <c r="E33" t="s">
        <v>39</v>
      </c>
      <c r="F33">
        <v>18</v>
      </c>
      <c r="G33">
        <v>15</v>
      </c>
      <c r="H33">
        <v>33</v>
      </c>
    </row>
    <row r="34" spans="5:8">
      <c r="E34" t="s">
        <v>41</v>
      </c>
      <c r="F34">
        <v>3</v>
      </c>
      <c r="G34">
        <v>3</v>
      </c>
      <c r="H34">
        <v>6</v>
      </c>
    </row>
    <row r="35" spans="5:8">
      <c r="E35" t="s">
        <v>31</v>
      </c>
      <c r="F35">
        <v>23</v>
      </c>
      <c r="G35">
        <v>16</v>
      </c>
      <c r="H35">
        <v>39</v>
      </c>
    </row>
    <row r="36" spans="5:8">
      <c r="E36" t="s">
        <v>46</v>
      </c>
      <c r="F36">
        <v>12</v>
      </c>
      <c r="G36">
        <v>21</v>
      </c>
      <c r="H36">
        <v>33</v>
      </c>
    </row>
    <row r="37" spans="5:8">
      <c r="E37" t="s">
        <v>42</v>
      </c>
      <c r="F37">
        <v>23</v>
      </c>
      <c r="G37">
        <v>7</v>
      </c>
      <c r="H37">
        <v>30</v>
      </c>
    </row>
    <row r="38" spans="5:8">
      <c r="E38" t="s">
        <v>43</v>
      </c>
      <c r="F38">
        <v>11</v>
      </c>
      <c r="G38">
        <v>16</v>
      </c>
      <c r="H38">
        <v>27</v>
      </c>
    </row>
    <row r="39" spans="5:8">
      <c r="E39" t="s">
        <v>45</v>
      </c>
      <c r="F39">
        <v>22</v>
      </c>
      <c r="G39">
        <v>9</v>
      </c>
      <c r="H39">
        <v>31</v>
      </c>
    </row>
    <row r="40" spans="5:8">
      <c r="E40" t="s">
        <v>47</v>
      </c>
      <c r="F40">
        <v>1</v>
      </c>
      <c r="G40">
        <v>1</v>
      </c>
      <c r="H40">
        <v>2</v>
      </c>
    </row>
    <row r="41" spans="5:8">
      <c r="E41" t="s">
        <v>19</v>
      </c>
      <c r="F41">
        <v>147</v>
      </c>
      <c r="G41">
        <v>118</v>
      </c>
      <c r="H41">
        <v>265</v>
      </c>
    </row>
    <row r="46" spans="5:8">
      <c r="E46" s="54" t="s">
        <v>99</v>
      </c>
      <c r="F46" t="s">
        <v>30</v>
      </c>
    </row>
    <row r="48" spans="5:8">
      <c r="E48" s="54" t="s">
        <v>21</v>
      </c>
      <c r="F48" s="54" t="s">
        <v>29</v>
      </c>
    </row>
    <row r="49" spans="5:8">
      <c r="E49" s="54" t="s">
        <v>34</v>
      </c>
      <c r="F49" t="s">
        <v>24</v>
      </c>
      <c r="G49" t="s">
        <v>25</v>
      </c>
      <c r="H49" t="s">
        <v>19</v>
      </c>
    </row>
    <row r="50" spans="5:8">
      <c r="E50" t="s">
        <v>36</v>
      </c>
      <c r="G50">
        <v>2</v>
      </c>
      <c r="H50">
        <v>2</v>
      </c>
    </row>
    <row r="51" spans="5:8">
      <c r="E51" t="s">
        <v>38</v>
      </c>
      <c r="F51">
        <v>1</v>
      </c>
      <c r="G51">
        <v>4</v>
      </c>
      <c r="H51">
        <v>5</v>
      </c>
    </row>
    <row r="52" spans="5:8">
      <c r="E52" t="s">
        <v>40</v>
      </c>
      <c r="F52">
        <v>6</v>
      </c>
      <c r="G52">
        <v>3</v>
      </c>
      <c r="H52">
        <v>9</v>
      </c>
    </row>
    <row r="53" spans="5:8">
      <c r="E53" t="s">
        <v>35</v>
      </c>
      <c r="F53">
        <v>11</v>
      </c>
      <c r="G53">
        <v>16</v>
      </c>
      <c r="H53">
        <v>27</v>
      </c>
    </row>
    <row r="54" spans="5:8">
      <c r="E54" t="s">
        <v>37</v>
      </c>
      <c r="F54">
        <v>16</v>
      </c>
      <c r="G54">
        <v>5</v>
      </c>
      <c r="H54">
        <v>21</v>
      </c>
    </row>
    <row r="55" spans="5:8">
      <c r="E55" t="s">
        <v>39</v>
      </c>
      <c r="F55">
        <v>18</v>
      </c>
      <c r="G55">
        <v>15</v>
      </c>
      <c r="H55">
        <v>33</v>
      </c>
    </row>
    <row r="56" spans="5:8">
      <c r="E56" t="s">
        <v>47</v>
      </c>
      <c r="F56">
        <v>1</v>
      </c>
      <c r="G56">
        <v>1</v>
      </c>
      <c r="H56">
        <v>2</v>
      </c>
    </row>
    <row r="57" spans="5:8">
      <c r="E57" t="s">
        <v>41</v>
      </c>
      <c r="F57">
        <v>3</v>
      </c>
      <c r="G57">
        <v>3</v>
      </c>
      <c r="H57">
        <v>6</v>
      </c>
    </row>
    <row r="58" spans="5:8">
      <c r="E58" t="s">
        <v>31</v>
      </c>
      <c r="F58">
        <v>23</v>
      </c>
      <c r="G58">
        <v>16</v>
      </c>
      <c r="H58">
        <v>39</v>
      </c>
    </row>
    <row r="59" spans="5:8">
      <c r="E59" t="s">
        <v>46</v>
      </c>
      <c r="F59">
        <v>12</v>
      </c>
      <c r="G59">
        <v>21</v>
      </c>
      <c r="H59">
        <v>33</v>
      </c>
    </row>
    <row r="60" spans="5:8">
      <c r="E60" t="s">
        <v>42</v>
      </c>
      <c r="F60">
        <v>23</v>
      </c>
      <c r="G60">
        <v>7</v>
      </c>
      <c r="H60">
        <v>30</v>
      </c>
    </row>
    <row r="61" spans="5:8">
      <c r="E61" t="s">
        <v>43</v>
      </c>
      <c r="F61">
        <v>11</v>
      </c>
      <c r="G61">
        <v>16</v>
      </c>
      <c r="H61">
        <v>27</v>
      </c>
    </row>
    <row r="62" spans="5:8">
      <c r="E62" t="s">
        <v>45</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30</v>
      </c>
    </row>
    <row r="3" spans="1:2">
      <c r="A3" s="54" t="s">
        <v>14</v>
      </c>
      <c r="B3" t="s">
        <v>21</v>
      </c>
    </row>
    <row r="4" spans="1:2">
      <c r="A4" t="s">
        <v>16</v>
      </c>
      <c r="B4">
        <v>195</v>
      </c>
    </row>
    <row r="5" spans="1:2">
      <c r="A5" t="s">
        <v>17</v>
      </c>
      <c r="B5">
        <v>44</v>
      </c>
    </row>
    <row r="6" spans="1:2">
      <c r="A6" t="s">
        <v>18</v>
      </c>
      <c r="B6">
        <v>26</v>
      </c>
    </row>
    <row r="7" spans="1:2">
      <c r="A7" t="s">
        <v>19</v>
      </c>
      <c r="B7">
        <v>265</v>
      </c>
    </row>
    <row r="14" spans="1:2">
      <c r="A14" s="54" t="s">
        <v>120</v>
      </c>
      <c r="B14" t="s">
        <v>30</v>
      </c>
    </row>
    <row r="15" spans="1:2">
      <c r="A15" s="54" t="s">
        <v>15</v>
      </c>
      <c r="B15" t="s">
        <v>30</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2026-05-19T12:50:19Z</dcterms:modified>
  <cp:category/>
  <cp:contentStatus/>
</cp:coreProperties>
</file>
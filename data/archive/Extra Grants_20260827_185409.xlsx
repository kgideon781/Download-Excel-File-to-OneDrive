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95" documentId="13_ncr:1_{D015934C-5C8D-463B-9777-448ADC1EE7B3}" xr6:coauthVersionLast="47" xr6:coauthVersionMax="47" xr10:uidLastSave="{9BB59EFB-A708-49A0-9FC3-2EA2C941FD60}"/>
  <bookViews>
    <workbookView xWindow="-110" yWindow="-110" windowWidth="19420" windowHeight="10300" firstSheet="1" activeTab="3" xr2:uid="{00000000-000D-0000-FFFF-FFFF00000000}"/>
  </bookViews>
  <sheets>
    <sheet name="Dashboard" sheetId="12" r:id="rId1"/>
    <sheet name="Extra Grants" sheetId="1" r:id="rId2"/>
    <sheet name="Per fellow" sheetId="16" r:id="rId3"/>
    <sheet name="Analysis" sheetId="7" r:id="rId4"/>
    <sheet name="Year" sheetId="15" r:id="rId5"/>
    <sheet name="Period" sheetId="14" r:id="rId6"/>
  </sheets>
  <definedNames>
    <definedName name="_xlnm._FilterDatabase" localSheetId="1" hidden="1">'Extra Grants'!$A$1:$T$501</definedName>
  </definedNames>
  <calcPr calcId="191028"/>
  <pivotCaches>
    <pivotCache cacheId="5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1" i="1" l="1"/>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<sst xmlns="http://schemas.openxmlformats.org/spreadsheetml/2006/main" count="7001" uniqueCount="1765">
  <si>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</si>
  <si>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</si>
  <si>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</si>
  <si>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</si>
  <si>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</si>
  <si>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</si>
  <si>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</si>
  <si>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</si>
  <si>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</si>
  <si>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</si>
  <si>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</si>
  <si>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</si>
  <si>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</si>
  <si>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</si>
  <si>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</si>
  <si>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</si>
  <si>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</si>
  <si>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</si>
  <si>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</si>
  <si>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</si>
  <si>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</si>
  <si>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</si>
  <si>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</si>
  <si>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</si>
  <si>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</si>
  <si>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</si>
  <si>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</si>
  <si>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</si>
  <si>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</si>
  <si>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</si>
  <si>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</si>
  <si>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</si>
  <si>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</si>
  <si>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</si>
  <si>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</si>
  <si>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</si>
  <si>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</si>
  <si>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</si>
  <si>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</si>
  <si>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</si>
  <si>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</si>
  <si>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</si>
  <si>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</si>
  <si>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</si>
  <si>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</si>
  <si>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</si>
  <si>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</si>
  <si>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</si>
  <si>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</si>
  <si>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</si>
  <si>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</si>
  <si>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</si>
  <si>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</si>
  <si>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</si>
  <si>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</si>
  <si>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</si>
  <si>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</si>
  <si>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</si>
  <si>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</si>
  <si>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</si>
  <si>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</si>
  <si>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</si>
  <si>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</si>
  <si>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</si>
  <si>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</si>
  <si>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</si>
  <si>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</si>
  <si>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</si>
  <si>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</si>
  <si>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</si>
  <si>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</si>
  <si>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</si>
  <si>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</si>
  <si>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</si>
  <si>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</si>
  <si>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</si>
  <si>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</si>
  <si>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</si>
  <si>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</si>
  <si>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</si>
  <si>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</si>
  <si>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</si>
  <si>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</si>
  <si>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</si>
  <si>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</si>
  <si>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</si>
  <si>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</si>
  <si>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</si>
  <si>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</si>
  <si>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</si>
  <si>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</si>
  <si>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</si>
  <si>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</si>
  <si>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</si>
  <si>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</si>
  <si>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</si>
  <si>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</si>
  <si>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</si>
  <si>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</si>
  <si>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</si>
  <si>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</si>
  <si>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</si>
  <si>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</si>
  <si>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</si>
  <si>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</si>
  <si>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</si>
  <si>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</si>
  <si>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</si>
  <si>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</si>
  <si>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</si>
  <si>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</si>
  <si>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</si>
  <si>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</si>
  <si>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</si>
  <si>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</si>
  <si>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</si>
  <si>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</si>
  <si>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</si>
  <si>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</si>
  <si>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</si>
  <si>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</si>
  <si>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</si>
  <si>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</si>
  <si>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</si>
  <si>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</si>
  <si>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</si>
  <si>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</si>
  <si>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</si>
  <si>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</si>
  <si>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</si>
  <si>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</si>
  <si>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</si>
  <si>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</si>
  <si>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</si>
  <si>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</si>
  <si>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</si>
  <si>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</si>
  <si>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</si>
  <si>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</si>
  <si>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</si>
  <si>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</si>
  <si>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</si>
  <si>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</si>
  <si>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</si>
  <si>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</si>
  <si>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</si>
  <si>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</si>
  <si>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</si>
  <si>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</si>
  <si>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</si>
  <si>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</si>
  <si>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</si>
  <si>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</si>
  <si>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</si>
  <si>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</si>
  <si>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</si>
  <si>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</si>
  <si>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</si>
  <si>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</si>
  <si>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</si>
  <si>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</si>
  <si>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</si>
  <si>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</si>
  <si>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</si>
  <si>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</si>
  <si>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</si>
  <si>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</si>
  <si>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</si>
  <si>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</si>
  <si>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</si>
  <si>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</si>
  <si>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</si>
  <si>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</si>
  <si>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</si>
  <si>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</si>
  <si>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</si>
  <si>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</si>
  <si>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</si>
  <si>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</si>
  <si>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</si>
  <si>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</si>
  <si>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</si>
  <si>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</si>
  <si>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</si>
  <si>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</si>
  <si>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</si>
  <si>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</si>
  <si>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</si>
  <si>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</si>
  <si>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</si>
  <si>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</si>
  <si>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</si>
  <si>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</si>
  <si>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</si>
  <si>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</si>
  <si>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</si>
  <si>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</si>
  <si>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</si>
  <si>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</si>
  <si>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</si>
  <si>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</si>
  <si>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</si>
  <si>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</si>
  <si>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</si>
  <si>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</si>
  <si>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</si>
  <si>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</si>
  <si>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</si>
  <si>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</si>
  <si>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</si>
  <si>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</si>
  <si>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</si>
  <si>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</si>
  <si>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</si>
  <si>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</si>
  <si>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</si>
  <si>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</si>
  <si>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</si>
  <si>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</si>
  <si>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</si>
  <si>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</si>
  <si>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</si>
  <si>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</si>
  <si>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</si>
  <si>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</si>
  <si>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</si>
  <si>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</si>
  <si>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</si>
  <si>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</si>
  <si>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</si>
  <si>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</si>
  <si>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</si>
  <si>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</si>
  <si>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</si>
  <si>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</si>
  <si>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</si>
  <si>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</si>
  <si>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</si>
  <si>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</si>
  <si>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</si>
  <si>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</si>
  <si>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</si>
  <si>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</si>
  <si>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</si>
  <si>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</si>
  <si>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</si>
  <si>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</si>
  <si>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</si>
  <si>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</si>
  <si>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</si>
  <si>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</si>
  <si>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</si>
  <si>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</si>
  <si>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</si>
  <si>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</si>
  <si>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</si>
  <si>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</si>
  <si>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</si>
  <si>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</si>
  <si>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</si>
  <si>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</si>
  <si>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</si>
  <si>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</si>
  <si>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</si>
  <si>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</si>
  <si>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</si>
  <si>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</si>
  <si>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</si>
  <si>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</si>
  <si>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</si>
  <si>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</si>
  <si>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</si>
  <si>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</si>
  <si>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</si>
  <si>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</si>
  <si>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</si>
  <si>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</si>
  <si>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</si>
  <si>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</si>
  <si>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</si>
  <si>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</si>
  <si>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</si>
  <si>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</si>
  <si>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</si>
  <si>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</si>
  <si>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</si>
  <si>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</si>
  <si>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</si>
  <si>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</si>
  <si>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</si>
  <si>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</si>
  <si>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</si>
  <si>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</si>
  <si>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</si>
  <si>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</si>
  <si>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</si>
  <si>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</si>
  <si>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</si>
  <si>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</si>
  <si>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</si>
  <si>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</si>
  <si>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</si>
  <si>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</si>
  <si>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</si>
  <si>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</si>
  <si>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</si>
  <si>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</si>
  <si>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</si>
  <si>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</si>
  <si>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</si>
  <si>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</si>
  <si>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</si>
  <si>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</si>
  <si>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</si>
  <si>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</si>
  <si>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</si>
  <si>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</si>
  <si>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</si>
  <si>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</si>
  <si>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</si>
  <si>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</si>
  <si>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</si>
  <si>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</si>
  <si>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</si>
  <si>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</si>
  <si>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</si>
  <si>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</si>
  <si>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</si>
  <si>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</si>
  <si>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</si>
  <si>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</si>
  <si>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</si>
  <si>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</si>
  <si>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</si>
  <si>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</si>
  <si>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</si>
  <si>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</si>
  <si>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</si>
  <si>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</si>
  <si>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</si>
  <si>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</si>
  <si>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</si>
  <si>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</si>
  <si>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</si>
  <si>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</si>
  <si>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</si>
  <si>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</si>
  <si>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</si>
  <si>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</si>
  <si>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</si>
  <si>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</si>
  <si>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</si>
  <si>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</si>
  <si>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</si>
  <si>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</si>
  <si>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</si>
  <si>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</si>
  <si>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</si>
  <si>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</si>
  <si>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</si>
  <si>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</si>
  <si>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</si>
  <si>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</si>
  <si>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</si>
  <si>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</si>
  <si>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</si>
  <si>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</si>
  <si>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</si>
  <si>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</si>
  <si>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</si>
  <si>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</si>
  <si>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</si>
  <si>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</si>
  <si>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</si>
  <si>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</si>
  <si>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</si>
  <si>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</si>
  <si>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</si>
  <si>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</si>
  <si>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</si>
  <si>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</si>
  <si>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</si>
  <si>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</si>
  <si>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</si>
  <si>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</si>
  <si>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</si>
  <si>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</si>
  <si>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</si>
  <si>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</si>
  <si>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</si>
  <si>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</si>
  <si>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</si>
  <si>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</si>
  <si>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</si>
  <si>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</si>
  <si>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</si>
  <si>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</si>
  <si>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</si>
  <si>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</si>
  <si>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</si>
  <si>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</si>
  <si>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</si>
  <si>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</si>
  <si>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</si>
  <si>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</si>
  <si>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</si>
  <si>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</si>
  <si>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</si>
  <si>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</si>
  <si>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</si>
  <si>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</si>
  <si>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</si>
  <si>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</si>
  <si>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</si>
  <si>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</si>
  <si>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</si>
  <si>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</si>
  <si>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</si>
  <si>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</si>
  <si>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</si>
  <si>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</si>
  <si>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</si>
  <si>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</si>
  <si>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</si>
  <si>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</si>
  <si>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</si>
  <si>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</si>
  <si>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</si>
  <si>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</si>
  <si>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</si>
  <si>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</si>
  <si>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</si>
  <si>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</si>
  <si>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</si>
  <si>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</si>
  <si>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</si>
  <si>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</si>
  <si>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</si>
  <si>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</si>
  <si>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</si>
  <si>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</si>
  <si>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</si>
  <si>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</si>
  <si>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</si>
  <si>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</si>
  <si>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</si>
  <si>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</si>
  <si>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</si>
  <si>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</si>
  <si>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</si>
  <si>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</si>
  <si>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</si>
  <si>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</si>
  <si>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</si>
  <si>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</si>
  <si>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</si>
  <si>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</si>
  <si>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</si>
  <si>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</si>
  <si>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</si>
  <si>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</si>
  <si>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</si>
  <si>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</si>
  <si>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</si>
  <si>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</si>
  <si>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</si>
  <si>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</si>
  <si>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</si>
  <si>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</si>
  <si>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</si>
  <si>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</si>
  <si>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</si>
  <si>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</si>
  <si>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</si>
  <si>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</si>
  <si>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</si>
  <si>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</si>
  <si>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</si>
  <si>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</si>
  <si>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</si>
  <si>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</si>
  <si>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</si>
  <si>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</si>
  <si>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</si>
  <si>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</si>
  <si>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</si>
  <si>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</si>
  <si>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</si>
  <si>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</si>
  <si>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</si>
  <si>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</si>
  <si>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</si>
  <si>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</si>
  <si>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</si>
  <si>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</si>
  <si>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</si>
  <si>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</si>
  <si>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</si>
  <si>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</si>
  <si>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</si>
  <si>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</si>
  <si>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</si>
  <si>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</si>
  <si>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</si>
  <si>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</si>
  <si>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</si>
  <si>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</si>
  <si>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</si>
  <si>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</si>
  <si>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</si>
  <si>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</si>
  <si>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</si>
  <si>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</si>
  <si>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</si>
  <si>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</si>
  <si>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</si>
  <si>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</si>
  <si>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</si>
  <si>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</si>
  <si>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</si>
  <si>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</si>
  <si>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</si>
  <si>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</si>
  <si>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</si>
  <si>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</si>
  <si>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</si>
  <si>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</si>
  <si>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</si>
  <si>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</si>
  <si>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</si>
  <si>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</si>
  <si>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</si>
  <si>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</si>
  <si>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</si>
  <si>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</si>
  <si>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</si>
  <si>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</si>
  <si>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</si>
  <si>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</si>
  <si>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</si>
  <si>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</si>
  <si>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</si>
  <si>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</si>
  <si>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</si>
  <si>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</si>
  <si>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</si>
  <si>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</si>
  <si>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</si>
  <si>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</si>
  <si>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</si>
  <si>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</si>
  <si>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</si>
  <si>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</si>
  <si>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</si>
  <si>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</si>
  <si>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</si>
  <si>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</si>
  <si>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</si>
  <si>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</si>
  <si>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</si>
  <si>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</si>
  <si>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</si>
  <si>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</si>
  <si>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</si>
  <si>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</si>
  <si>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</si>
  <si>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</si>
  <si>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</si>
  <si>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</si>
  <si>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</si>
  <si>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</si>
  <si>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</si>
  <si>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</si>
  <si>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</si>
  <si>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</si>
  <si>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</si>
  <si>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</si>
  <si>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</si>
  <si>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</si>
  <si>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</si>
  <si>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</si>
  <si>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</si>
  <si>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</si>
  <si>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</si>
  <si>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</si>
  <si>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</si>
  <si>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</si>
  <si>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</si>
  <si>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</si>
  <si>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</si>
  <si>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</si>
  <si>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</si>
  <si>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</si>
  <si>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</si>
  <si>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</si>
  <si>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</si>
  <si>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</si>
  <si>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</si>
  <si>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</si>
  <si>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</si>
  <si>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</si>
  <si>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</si>
  <si>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</si>
  <si>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</si>
  <si>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</si>
  <si>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</si>
  <si>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</si>
  <si>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</si>
  <si>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</si>
  <si>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</si>
  <si>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</si>
  <si>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</si>
  <si>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</si>
  <si>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</si>
  <si>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</si>
  <si>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</si>
  <si>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</si>
  <si>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</si>
  <si>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</si>
  <si>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</si>
  <si>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</si>
  <si>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</si>
  <si>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</si>
  <si>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</si>
  <si>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</si>
  <si>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</si>
  <si>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</si>
  <si>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</si>
  <si>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</si>
  <si>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</si>
  <si>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</si>
  <si>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</si>
  <si>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</si>
  <si>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</si>
  <si>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</si>
  <si>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</si>
  <si>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</si>
  <si>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</si>
  <si>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</si>
  <si>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</si>
  <si>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</si>
  <si>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</si>
  <si>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</si>
  <si>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</si>
  <si>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</si>
  <si>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</si>
  <si>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</si>
  <si>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</si>
  <si>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</si>
  <si>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</si>
  <si>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</si>
  <si>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</si>
  <si>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</si>
  <si>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</si>
  <si>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</si>
  <si>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</si>
  <si>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</si>
  <si>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</si>
  <si>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</si>
  <si>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</si>
  <si>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</si>
  <si>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</si>
  <si>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</si>
  <si>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</si>
  <si>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</si>
  <si>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</si>
  <si>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</si>
  <si>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</si>
  <si>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</si>
  <si>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</si>
  <si>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</si>
  <si>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</si>
  <si>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</si>
  <si>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</si>
  <si>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</si>
  <si>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</si>
  <si>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</si>
  <si>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</si>
  <si>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</si>
  <si>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</si>
  <si>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</si>
  <si>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</si>
  <si>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</si>
  <si>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</si>
  <si>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</si>
  <si>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</si>
  <si>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</si>
  <si>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</si>
  <si>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</si>
  <si>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</si>
  <si>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</si>
  <si>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</si>
  <si>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</si>
  <si>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</si>
  <si>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</si>
  <si>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</si>
  <si>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</si>
  <si>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</si>
  <si>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</si>
  <si>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</si>
  <si>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</si>
  <si>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</si>
  <si>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</si>
  <si>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</si>
  <si>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</si>
  <si>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</si>
  <si>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</si>
  <si>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</si>
  <si>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</si>
  <si>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</si>
  <si>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</si>
  <si>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</si>
  <si>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</si>
  <si>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</si>
  <si>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</si>
  <si>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</si>
  <si>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</si>
  <si>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</si>
  <si>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</si>
  <si>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</si>
  <si>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</si>
  <si>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</si>
  <si>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</si>
  <si>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</si>
  <si>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</si>
  <si>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</si>
  <si>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</si>
  <si>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</si>
  <si>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</si>
  <si>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</si>
  <si>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</si>
  <si>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</si>
  <si>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</si>
  <si>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</si>
  <si>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</si>
  <si>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</si>
  <si>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</si>
  <si>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</si>
  <si>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</si>
  <si>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</si>
  <si>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</si>
  <si>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</si>
  <si>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</si>
  <si>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</si>
  <si>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</si>
  <si>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</si>
  <si>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</si>
  <si>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</si>
  <si>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</si>
  <si>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</si>
  <si>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</si>
  <si>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</si>
  <si>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</si>
  <si>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</si>
  <si>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</si>
  <si>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</si>
  <si>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</si>
  <si>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</si>
  <si>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</si>
  <si>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</si>
  <si>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</si>
  <si>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</si>
  <si>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</si>
  <si>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</si>
  <si>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</si>
  <si>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</si>
  <si>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</si>
  <si>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</si>
  <si>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</si>
  <si>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</si>
  <si>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</si>
  <si>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</si>
  <si>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</si>
  <si>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</si>
  <si>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</si>
  <si>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</si>
  <si>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</si>
  <si>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</si>
  <si>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</si>
  <si>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</si>
  <si>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</si>
  <si>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</si>
  <si>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</si>
  <si>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</si>
  <si>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</si>
  <si>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</si>
  <si>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</si>
  <si>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</si>
  <si>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</si>
  <si>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</si>
  <si>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</si>
  <si>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</si>
  <si>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</si>
  <si>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</si>
  <si>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</si>
  <si>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</si>
  <si>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</si>
  <si>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</si>
  <si>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</si>
  <si>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</si>
  <si>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</si>
  <si>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</si>
  <si>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</si>
  <si>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</si>
  <si>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</si>
  <si>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</si>
  <si>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</si>
  <si>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</si>
  <si>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</si>
  <si>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</si>
  <si>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</si>
  <si>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</si>
  <si>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</si>
  <si>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</si>
  <si>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</si>
  <si>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</si>
  <si>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</si>
  <si>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</si>
  <si>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</si>
  <si>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</si>
  <si>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</si>
  <si>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</si>
  <si>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</si>
  <si>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</si>
  <si>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</si>
  <si>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</si>
  <si>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</si>
  <si>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</si>
  <si>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</si>
  <si>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</si>
  <si>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</si>
  <si>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</si>
  <si>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</si>
  <si>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</si>
  <si>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</si>
  <si>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</si>
  <si>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</si>
  <si>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</si>
  <si>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</si>
  <si>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</si>
  <si>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</si>
  <si>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</si>
  <si>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</si>
  <si>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</si>
  <si>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</si>
  <si>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</si>
  <si>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</si>
  <si>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</si>
  <si>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</si>
  <si>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</si>
  <si>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</si>
  <si>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</si>
  <si>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</si>
  <si>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</si>
  <si>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</si>
  <si>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</si>
  <si>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</si>
  <si>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</si>
  <si>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</si>
  <si>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</si>
  <si>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</si>
  <si>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</si>
  <si>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</si>
  <si>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</si>
  <si>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</si>
  <si>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</si>
  <si>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</si>
  <si>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</si>
  <si>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</si>
  <si>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</si>
  <si>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</si>
  <si>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</si>
  <si>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</si>
  <si>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</si>
  <si>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</si>
  <si>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</si>
  <si>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</si>
  <si>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</si>
  <si>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</si>
  <si>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</si>
  <si>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</si>
  <si>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</si>
  <si>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</si>
  <si>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</si>
  <si>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</si>
  <si>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</si>
  <si>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</si>
  <si>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</si>
  <si>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</si>
  <si>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</si>
  <si>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</si>
  <si>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</si>
  <si>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</si>
  <si>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</si>
  <si>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</si>
  <si>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</si>
  <si>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</si>
  <si>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</si>
  <si>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</si>
  <si>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</si>
  <si>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</si>
  <si>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</si>
  <si>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</si>
  <si>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</si>
  <si>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</si>
  <si>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</si>
  <si>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</si>
  <si>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</si>
  <si>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</si>
  <si>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</si>
  <si>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</si>
  <si>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</si>
  <si>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</si>
  <si>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</si>
  <si>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</si>
  <si>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</si>
  <si>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</si>
  <si>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</si>
  <si>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</si>
  <si>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</si>
  <si>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</si>
  <si>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</si>
  <si>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</si>
  <si>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</si>
  <si>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</si>
  <si>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</si>
  <si>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</si>
  <si>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</si>
  <si>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</si>
  <si>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</si>
  <si>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</si>
  <si>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</si>
  <si>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</si>
  <si>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</si>
  <si>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</si>
  <si>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</si>
  <si>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</si>
  <si>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</si>
  <si>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</si>
  <si>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</si>
  <si>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</si>
  <si>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</si>
  <si>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</si>
  <si>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</si>
  <si>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</si>
  <si>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</si>
  <si>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</si>
  <si>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</si>
  <si>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</si>
  <si>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</si>
  <si>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</si>
  <si>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</si>
  <si>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</si>
  <si>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</si>
  <si>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</si>
  <si>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</si>
  <si>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</si>
  <si>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</si>
  <si>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</si>
  <si>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</si>
  <si>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</si>
  <si>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</si>
  <si>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</si>
  <si>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</si>
  <si>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</si>
  <si>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</si>
  <si>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</si>
  <si>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</si>
  <si>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</si>
  <si>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</si>
  <si>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</si>
  <si>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</si>
  <si>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</si>
  <si>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</si>
  <si>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</si>
  <si>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</si>
  <si>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</si>
  <si>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</si>
  <si>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</si>
  <si>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</si>
  <si>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</si>
  <si>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</si>
  <si>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</si>
  <si>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</si>
  <si>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</si>
  <si>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</si>
  <si>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</si>
  <si>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</si>
  <si>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</si>
  <si>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</si>
  <si>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</si>
  <si>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</si>
  <si>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</si>
  <si>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</si>
  <si>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</si>
  <si>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</si>
  <si>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</si>
  <si>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</si>
  <si>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</si>
  <si>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</si>
  <si>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</si>
  <si>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</si>
  <si>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</si>
  <si>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</si>
  <si>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</si>
  <si>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</si>
  <si>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</si>
  <si>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</si>
  <si>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</si>
  <si>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</si>
  <si>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</si>
  <si>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</si>
  <si>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</si>
  <si>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</si>
  <si>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</si>
  <si>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</si>
  <si>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</si>
  <si>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</si>
  <si>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</si>
  <si>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</si>
  <si>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</si>
  <si>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</si>
  <si>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</si>
  <si>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</si>
  <si>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</si>
  <si>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</si>
  <si>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</si>
  <si>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</si>
  <si>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</si>
  <si>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</si>
  <si>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</si>
  <si>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</si>
  <si>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</si>
  <si>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</si>
  <si>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</si>
  <si>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</si>
  <si>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</si>
  <si>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</si>
  <si>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</si>
  <si>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</si>
  <si>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</si>
  <si>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</si>
  <si>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</si>
  <si>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</si>
  <si>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</si>
  <si>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</si>
  <si>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</si>
  <si>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</si>
  <si>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</si>
  <si>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</si>
  <si>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</si>
  <si>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</si>
  <si>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</si>
  <si>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</si>
  <si>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</si>
  <si>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</si>
  <si>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</si>
  <si>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</si>
  <si>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</si>
  <si>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</si>
  <si>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</si>
  <si>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</si>
  <si>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</si>
  <si>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</si>
  <si>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</si>
  <si>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</si>
  <si>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</si>
  <si>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</si>
  <si>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</si>
  <si>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</si>
  <si>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</si>
  <si>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</si>
  <si>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</si>
  <si>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</si>
  <si>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</si>
  <si>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</si>
  <si>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</si>
  <si>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</si>
  <si>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</si>
  <si>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</si>
  <si>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</si>
  <si>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</si>
  <si>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</si>
  <si>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</si>
  <si>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</si>
  <si>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</si>
  <si>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</si>
  <si>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</si>
  <si>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</si>
  <si>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</si>
  <si>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</si>
  <si>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</si>
  <si>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</si>
  <si>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</si>
  <si>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</si>
  <si>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</si>
  <si>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</si>
  <si>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</si>
  <si>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</si>
  <si>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</si>
  <si>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</si>
  <si>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</si>
  <si>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</si>
  <si>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</si>
  <si>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</si>
  <si>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</si>
  <si>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</si>
  <si>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</si>
  <si>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</si>
  <si>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</si>
  <si>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</si>
  <si>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</si>
  <si>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</si>
  <si>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</si>
  <si>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</si>
  <si>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</si>
  <si>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</si>
  <si>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</si>
  <si>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</si>
  <si>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</si>
  <si>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</si>
  <si>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</si>
  <si>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</si>
  <si>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</si>
  <si>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</si>
  <si>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</si>
  <si>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</si>
  <si>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</si>
  <si>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</si>
  <si>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</si>
  <si>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</si>
  <si>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</si>
  <si>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</si>
  <si>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</si>
  <si>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</si>
  <si>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</si>
  <si>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</si>
  <si>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</si>
  <si>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</si>
  <si>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</si>
  <si>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</si>
  <si>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</si>
  <si>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</si>
  <si>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</si>
  <si>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</si>
  <si>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</si>
  <si>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</si>
  <si>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</si>
  <si>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</si>
  <si>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</si>
  <si>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</si>
  <si>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</si>
  <si>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</si>
  <si>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</si>
  <si>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</si>
  <si>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</si>
  <si>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</si>
  <si>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</si>
  <si>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</si>
  <si>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</si>
  <si>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</si>
  <si>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</si>
  <si>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</si>
  <si>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</si>
  <si>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</si>
  <si>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</si>
  <si>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</si>
  <si>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</si>
  <si>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</si>
  <si>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</si>
  <si>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</si>
  <si>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</si>
  <si>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</si>
  <si>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</si>
  <si>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</si>
  <si>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</si>
  <si>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</si>
  <si>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</si>
  <si>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</si>
  <si>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</si>
  <si>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</si>
  <si>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</si>
  <si>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</si>
  <si>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</si>
  <si>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</si>
  <si>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</si>
  <si>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</si>
  <si>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</si>
  <si>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</si>
  <si>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</si>
  <si>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</si>
  <si>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</si>
  <si>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</si>
  <si>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</si>
  <si>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</si>
  <si>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</si>
  <si>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</si>
  <si>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</si>
  <si>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</si>
  <si>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</si>
  <si>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</si>
  <si>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</si>
  <si>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</si>
  <si>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</si>
  <si>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</si>
  <si>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</si>
  <si>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</si>
  <si>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</si>
  <si>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</si>
  <si>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</si>
  <si>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</si>
  <si>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</si>
  <si>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</si>
  <si>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</si>
  <si>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</si>
  <si>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</si>
  <si>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</si>
  <si>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</si>
  <si>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</si>
  <si>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</si>
  <si>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</si>
  <si>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</si>
  <si>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</si>
  <si>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</si>
  <si>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</si>
  <si>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</si>
  <si>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</si>
  <si>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</si>
  <si>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</si>
  <si>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</si>
  <si>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</si>
  <si>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</si>
  <si>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</si>
  <si>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</si>
  <si>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</si>
  <si>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</si>
  <si>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</si>
  <si>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</si>
  <si>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</si>
  <si>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</si>
  <si>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</si>
  <si>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</si>
  <si>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</si>
  <si>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</si>
  <si>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</si>
  <si>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</si>
  <si>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</si>
  <si>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</si>
  <si>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</si>
  <si>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</si>
  <si>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</si>
  <si>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</si>
  <si>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</si>
  <si>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</si>
  <si>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</si>
  <si>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</si>
  <si>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</si>
  <si>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</si>
  <si>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</si>
  <si>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</si>
  <si>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</si>
  <si>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</si>
  <si>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</si>
  <si>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</si>
  <si>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</si>
  <si>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</si>
  <si>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</si>
  <si>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</si>
  <si>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</si>
  <si>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</si>
  <si>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</si>
  <si>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</si>
  <si>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</si>
  <si>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</si>
  <si>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</si>
  <si>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</si>
  <si>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</si>
  <si>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</si>
  <si>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</si>
  <si>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</si>
  <si>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</si>
  <si>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</si>
  <si>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</si>
  <si>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</si>
  <si>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</si>
  <si>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</si>
  <si>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</si>
  <si>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</si>
  <si>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</si>
  <si>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</si>
  <si>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</si>
  <si>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</si>
  <si>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</si>
  <si>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</si>
  <si>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</si>
  <si>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</si>
  <si>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</si>
  <si>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</si>
  <si>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</si>
  <si>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</si>
  <si>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</si>
  <si>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</si>
  <si>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</si>
  <si>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</si>
  <si>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</si>
  <si>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</si>
  <si>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</si>
  <si>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</si>
  <si>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</si>
  <si>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</si>
  <si>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</si>
  <si>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</si>
  <si>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</si>
  <si>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</si>
  <si>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</si>
  <si>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</si>
  <si>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</si>
  <si>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</si>
  <si>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</si>
  <si>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</si>
  <si>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</si>
  <si>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</si>
  <si>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</si>
  <si>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</si>
  <si>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</si>
  <si>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</si>
  <si>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</si>
  <si>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</si>
  <si>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</si>
  <si>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</si>
  <si>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</si>
  <si>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</si>
  <si>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</si>
  <si>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</si>
  <si>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</si>
  <si>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</si>
  <si>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</si>
  <si>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</si>
  <si>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</si>
  <si>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</si>
  <si>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</si>
  <si>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</si>
  <si>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</si>
  <si>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</si>
  <si>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</si>
  <si>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</si>
  <si>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</si>
  <si>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</si>
  <si>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</si>
  <si>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</si>
  <si>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</si>
  <si>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</si>
  <si>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</si>
  <si>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</si>
  <si>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</si>
  <si>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</si>
  <si>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</si>
  <si>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</si>
  <si>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</si>
  <si>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</si>
  <si>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</si>
  <si>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</si>
  <si>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</si>
  <si>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</si>
  <si>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</si>
  <si>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</si>
  <si>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</si>
  <si>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</si>
  <si>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</si>
  <si>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</si>
  <si>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</si>
  <si>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</si>
  <si>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</si>
  <si>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</si>
  <si>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</si>
  <si>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</si>
  <si>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</si>
  <si>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</si>
  <si>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</si>
  <si>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</si>
  <si>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</si>
  <si>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</si>
  <si>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</si>
  <si>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</si>
  <si>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</si>
  <si>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</si>
  <si>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</si>
  <si>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</si>
  <si>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</si>
  <si>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</si>
  <si>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</si>
  <si>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</si>
  <si>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</si>
  <si>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</si>
  <si>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</si>
  <si>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</si>
  <si>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</si>
  <si>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</si>
  <si>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</si>
  <si>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</si>
  <si>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</si>
  <si>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</si>
  <si>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</si>
  <si>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</si>
  <si>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</si>
  <si>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</si>
  <si>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</si>
  <si>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</si>
  <si>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</si>
  <si>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</si>
  <si>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</si>
  <si>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</si>
  <si>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</si>
  <si>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</si>
  <si>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</si>
  <si>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</si>
  <si>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</si>
  <si>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</si>
  <si>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</si>
  <si>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</si>
  <si>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</si>
  <si>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</si>
  <si>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</si>
  <si>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</si>
  <si>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</si>
  <si>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</si>
  <si>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</si>
  <si>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</si>
  <si>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</si>
  <si>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</si>
  <si>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</si>
  <si>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</si>
  <si>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</si>
  <si>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</si>
  <si>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</si>
  <si>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</si>
  <si>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</si>
  <si>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</si>
  <si>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</si>
  <si>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</si>
  <si>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</si>
  <si>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</si>
  <si>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</si>
  <si>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</si>
  <si>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</si>
  <si>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</si>
  <si>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</si>
  <si>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</si>
  <si>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</si>
  <si>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</si>
  <si>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</si>
  <si>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</si>
  <si>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</si>
  <si>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</si>
  <si>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</si>
  <si>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</si>
  <si>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</si>
  <si>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</si>
  <si>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</si>
  <si>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</si>
  <si>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</si>
  <si>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</si>
  <si>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</si>
  <si>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</si>
  <si>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</si>
  <si>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</si>
  <si>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</si>
  <si>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</si>
  <si>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</si>
  <si>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</si>
  <si>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</si>
  <si>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</si>
  <si>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</si>
  <si>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</si>
  <si>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</si>
  <si>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</si>
  <si>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</si>
  <si>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</si>
  <si>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</si>
  <si>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</si>
  <si>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</si>
  <si>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</si>
  <si>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</si>
  <si>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</si>
  <si>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</si>
  <si>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</si>
  <si>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</si>
  <si>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</si>
  <si>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</si>
  <si>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</si>
  <si>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</si>
  <si>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</si>
  <si>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</si>
  <si>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</si>
  <si>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</si>
  <si>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</si>
  <si>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</si>
  <si>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</si>
  <si>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</si>
  <si>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</si>
  <si>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</si>
  <si>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</si>
  <si>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</si>
  <si>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</si>
  <si>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</si>
  <si>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</si>
  <si>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</si>
  <si>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</si>
  <si>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</si>
  <si>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</si>
  <si>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</si>
  <si>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</si>
  <si>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</si>
  <si>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</si>
  <si>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</si>
  <si>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</si>
  <si>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</si>
  <si>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</si>
  <si>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</si>
  <si>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</si>
  <si>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</si>
  <si>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</si>
  <si>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</si>
  <si>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</si>
  <si>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</si>
  <si>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</si>
  <si>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</si>
  <si>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</si>
  <si>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</si>
  <si>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</si>
  <si>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</si>
  <si>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</si>
  <si>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</si>
  <si>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</si>
  <si>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</si>
  <si>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</si>
  <si>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</si>
  <si>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</si>
  <si>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</si>
  <si>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</si>
  <si>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</si>
  <si>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</si>
  <si>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</si>
  <si>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</si>
  <si>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</si>
  <si>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</si>
  <si>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</si>
  <si>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</si>
  <si>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</si>
  <si>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</si>
  <si>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</si>
  <si>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</si>
  <si>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</si>
  <si>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</si>
  <si>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</si>
  <si>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</si>
  <si>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</si>
  <si>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</si>
  <si>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</si>
  <si>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</si>
  <si>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</si>
  <si>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</si>
  <si>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</si>
  <si>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</si>
  <si>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</si>
  <si>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</si>
  <si>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</si>
  <si>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</si>
  <si>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</si>
  <si>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</si>
  <si>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</si>
  <si>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</si>
  <si>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</si>
  <si>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</si>
  <si>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</si>
  <si>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</si>
  <si>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</si>
  <si>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</si>
  <si>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</si>
  <si>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</si>
  <si>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</si>
  <si>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</si>
  <si>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</si>
  <si>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</si>
  <si>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</si>
  <si>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</si>
  <si>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</si>
  <si>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</si>
  <si>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</si>
  <si>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</si>
  <si>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</si>
  <si>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</si>
  <si>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</si>
  <si>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</si>
  <si>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</si>
  <si>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</si>
  <si>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</si>
  <si>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</si>
  <si>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</si>
  <si>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</si>
  <si>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</si>
  <si>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</si>
  <si>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</si>
  <si>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</si>
  <si>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</si>
  <si>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</si>
  <si>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</si>
  <si>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</si>
  <si>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</si>
  <si>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</si>
  <si>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</si>
  <si>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</si>
  <si>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</si>
  <si>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</si>
  <si>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</si>
  <si>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</si>
  <si>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</si>
  <si>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</si>
  <si>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</si>
  <si>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</si>
  <si>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</si>
  <si>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</si>
  <si>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</si>
  <si>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</si>
  <si>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</si>
  <si>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</si>
  <si>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</si>
  <si>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</si>
  <si>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</si>
  <si>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</si>
  <si>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</si>
  <si>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</si>
  <si>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</si>
  <si>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</si>
  <si>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</si>
  <si>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</si>
  <si>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</si>
  <si>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</si>
  <si>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</si>
  <si>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</si>
  <si>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</si>
  <si>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</si>
  <si>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</si>
  <si>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</si>
  <si>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</si>
  <si>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</si>
  <si>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</si>
  <si>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</si>
  <si>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</si>
  <si>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</si>
  <si>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</si>
  <si>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</si>
  <si>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</si>
  <si>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</si>
  <si>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</si>
  <si>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</si>
  <si>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</si>
  <si>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</si>
  <si>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</si>
  <si>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</si>
  <si>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</si>
  <si>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</si>
  <si>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</si>
  <si>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</si>
  <si>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</si>
  <si>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</si>
  <si>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</si>
  <si>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</si>
  <si>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</si>
  <si>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</si>
  <si>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</si>
  <si>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</si>
  <si>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</si>
  <si>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</si>
  <si>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</si>
  <si>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</si>
  <si>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</si>
  <si>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</si>
  <si>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</si>
  <si>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</si>
  <si>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</si>
  <si>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</si>
  <si>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</si>
  <si>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</si>
  <si>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</si>
  <si>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</si>
  <si>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</si>
  <si>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</si>
  <si>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</si>
  <si>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</si>
  <si>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</si>
  <si>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</si>
  <si>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</si>
  <si>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</si>
  <si>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</si>
  <si>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</si>
  <si>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</si>
  <si>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</si>
  <si>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</si>
  <si>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</si>
  <si>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</si>
  <si>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</si>
  <si>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</si>
  <si>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</si>
  <si>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</si>
  <si>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</si>
  <si>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</si>
  <si>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</si>
  <si>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</si>
  <si>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</si>
  <si>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</si>
  <si>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</si>
  <si>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</si>
  <si>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</si>
  <si>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</si>
  <si>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</si>
  <si>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</si>
  <si>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</si>
  <si>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</si>
  <si>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</si>
  <si>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</si>
  <si>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</si>
  <si>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</si>
  <si>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</si>
  <si>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</si>
  <si>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</si>
  <si>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</si>
  <si>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</si>
  <si>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</si>
  <si>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</si>
  <si>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</si>
  <si>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</si>
  <si>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</si>
  <si>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</si>
  <si>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</si>
  <si>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</si>
  <si>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</si>
  <si>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</si>
  <si>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</si>
  <si>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</si>
  <si>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</si>
  <si>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</si>
  <si>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</si>
  <si>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</si>
  <si>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</si>
  <si>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</si>
  <si>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</si>
  <si>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</si>
  <si>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</si>
  <si>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</si>
  <si>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</si>
  <si>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</si>
  <si>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</si>
  <si>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</si>
  <si>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(All)</t>
  </si>
  <si>
    <t>Sum of Total amount in $</t>
  </si>
  <si>
    <t>Grand Total</t>
  </si>
  <si>
    <t>Disclaimer: up to 2016 the avaialable data is not disaggregated by institution, sex or type of grant</t>
  </si>
  <si>
    <t>Number of grants</t>
  </si>
  <si>
    <t>Count of Total amount in $</t>
  </si>
  <si>
    <t>(Multiple Items)</t>
  </si>
  <si>
    <t>#VALUE!</t>
  </si>
  <si>
    <t>At the human–livestock interface: A One Health investigation of zoonotic tuberculosis among pastoral communities and their cattle in Kajiado County-Kenya</t>
  </si>
  <si>
    <t>Science for Africa  (SFA) Foundation</t>
  </si>
  <si>
    <t xml:space="preserve"> DELTAS Africa Career Advancement Fellowship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</si>
</sst>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d;@"/>
    <numFmt numFmtId="165" formatCode="_-* #,##0_-;\-* #,##0_-;_-* &quot;-&quot;??_-;_-@_-"/>
    <numFmt numFmtId="166" formatCode="&quot;$&quot;#,##0.00"/>
  </numFmts>
  <fonts count="12" x14ac:knownFonts="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family val="2"/>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3" fontId="3" fillId="0" borderId="0" applyFont="0" applyFill="0" applyBorder="0" applyAlignment="0" applyProtection="0"/>
    <xf numFmtId="0" fontId="8" fillId="0" borderId="0"/>
  </cellStyleXfs>
  <cellXfs count="64">
    <xf numFmtId="0" fontId="0" fillId="0" borderId="0" xfId="0"/>
    <xf numFmtId="164" fontId="0" fillId="0" borderId="0" xfId="0" applyNumberFormat="1"/>
    <xf numFmtId="0" fontId="1" fillId="0" borderId="0" xfId="0" applyFont="1"/>
    <xf numFmtId="0" fontId="0" fillId="0" borderId="1" xfId="0" applyBorder="1"/>
    <xf numFmtId="164" fontId="0" fillId="0" borderId="1" xfId="0" applyNumberFormat="1" applyBorder="1"/>
    <xf numFmtId="0" fontId="0" fillId="0" borderId="0" xfId="0" pivotButton="1"/>
    <xf numFmtId="0" fontId="2" fillId="0" borderId="1" xfId="0" applyFont="1" applyBorder="1"/>
    <xf numFmtId="43"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6" fontId="0" fillId="0" borderId="1" xfId="0" applyNumberFormat="1" applyBorder="1"/>
    <xf numFmtId="165"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4" fontId="0" fillId="0" borderId="5" xfId="0" applyNumberFormat="1" applyBorder="1"/>
    <xf numFmtId="166"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4" fontId="0" fillId="0" borderId="1" xfId="0" applyNumberFormat="1" applyBorder="1" applyAlignment="1">
      <alignment horizontal="right"/>
    </xf>
    <xf numFmtId="164" fontId="0" fillId="0" borderId="0" xfId="0" applyNumberFormat="1" applyAlignment="1">
      <alignment horizontal="right"/>
    </xf>
    <xf numFmtId="165" fontId="0" fillId="0" borderId="0" xfId="1" applyNumberFormat="1" applyFont="1"/>
    <xf numFmtId="164"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4"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4" fontId="0" fillId="2" borderId="1" xfId="0" applyNumberFormat="1" applyFill="1" applyBorder="1" applyAlignment="1">
      <alignment horizontal="right"/>
    </xf>
    <xf numFmtId="164" fontId="0" fillId="2" borderId="1" xfId="0" applyNumberFormat="1" applyFill="1" applyBorder="1"/>
    <xf numFmtId="164"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xf numFmtId="0" fontId="0" fillId="0" borderId="5" xfId="0" applyFill="1" applyBorder="1"/>
  </cellXfs>
  <cellStyles count="3">
    <cellStyle name="Comma" xfId="1" builtinId="3"/>
    <cellStyle name="Normal" xfId="0" builtinId="0"/>
    <cellStyle name="Normal 3" xfId="2" xr:uid="{FAC1AA51-54F3-4413-88F9-D91D865C730C}"/>
  </cellStyles>
  <dxfs count="67">
    <dxf>
      <numFmt numFmtId="165" formatCode="_-* #,##0_-;\-* #,##0_-;_-* &quot;-&quot;??_-;_-@_-"/>
    </dxf>
    <dxf>
      <numFmt numFmtId="168" formatCode="_-* #,##0.0_-;\-* #,##0.0_-;_-* &quot;-&quot;??_-;_-@_-"/>
    </dxf>
    <dxf>
      <numFmt numFmtId="35" formatCode="_-* #,##0.00_-;\-* #,##0.00_-;_-* &quot;-&quot;??_-;_-@_-"/>
    </dxf>
    <dxf>
      <numFmt numFmtId="167" formatCode="_-* #,##0.000_-;\-* #,##0.000_-;_-* &quot;-&quot;??_-;_-@_-"/>
    </dxf>
    <dxf>
      <numFmt numFmtId="35" formatCode="_-* #,##0.00_-;\-* #,##0.00_-;_-* &quot;-&quot;??_-;_-@_-"/>
    </dxf>
    <dxf>
      <numFmt numFmtId="165" formatCode="_-* #,##0_-;\-* #,##0_-;_-* &quot;-&quot;??_-;_-@_-"/>
    </dxf>
    <dxf>
      <numFmt numFmtId="168" formatCode="_-* #,##0.0_-;\-* #,##0.0_-;_-* &quot;-&quot;??_-;_-@_-"/>
    </dxf>
    <dxf>
      <numFmt numFmtId="165" formatCode="_-* #,##0_-;\-* #,##0_-;_-* &quot;-&quot;??_-;_-@_-"/>
    </dxf>
    <dxf>
      <numFmt numFmtId="168" formatCode="_-* #,##0.0_-;\-* #,##0.0_-;_-* &quot;-&quot;??_-;_-@_-"/>
    </dxf>
    <dxf>
      <numFmt numFmtId="165" formatCode="_-* #,##0_-;\-* #,##0_-;_-* &quot;-&quot;??_-;_-@_-"/>
    </dxf>
    <dxf>
      <numFmt numFmtId="168" formatCode="_-* #,##0.0_-;\-* #,##0.0_-;_-* &quot;-&quot;??_-;_-@_-"/>
    </dxf>
    <dxf>
      <numFmt numFmtId="165" formatCode="_-* #,##0_-;\-* #,##0_-;_-* &quot;-&quot;??_-;_-@_-"/>
    </dxf>
    <dxf>
      <numFmt numFmtId="168" formatCode="_-* #,##0.0_-;\-* #,##0.0_-;_-* &quot;-&quot;??_-;_-@_-"/>
    </dxf>
    <dxf>
      <numFmt numFmtId="165" formatCode="_-* #,##0_-;\-* #,##0_-;_-* &quot;-&quot;??_-;_-@_-"/>
    </dxf>
    <dxf>
      <numFmt numFmtId="165"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 #,##0_-;_-* &quot;-&quot;??_-;_-@_-"/>
    </dxf>
    <dxf>
      <numFmt numFmtId="168" formatCode="_-* #,##0.0_-;\-* #,##0.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 #,##0_-;_-* &quot;-&quot;??_-;_-@_-"/>
    </dxf>
    <dxf>
      <numFmt numFmtId="165" formatCode="_-* #,##0_-;\-* #,##0_-;_-* &quot;-&quot;??_-;_-@_-"/>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Analysis!$B$8:$B$19</c:f>
              <c:numCache>
                <c:formatCode>_-* #,##0_-;\-* #,##0_-;_-* "-"??_-;_-@_-</c:formatCode>
                <c:ptCount val="11"/>
                <c:pt idx="0">
                  <c:v>0</c:v>
                </c:pt>
                <c:pt idx="1">
                  <c:v>5661940.9199999999</c:v>
                </c:pt>
                <c:pt idx="2">
                  <c:v>2672381.38</c:v>
                </c:pt>
                <c:pt idx="3">
                  <c:v>1370099.6</c:v>
                </c:pt>
                <c:pt idx="4">
                  <c:v>1211745.7</c:v>
                </c:pt>
                <c:pt idx="5">
                  <c:v>215315.16999999998</c:v>
                </c:pt>
                <c:pt idx="6">
                  <c:v>4319856.8</c:v>
                </c:pt>
                <c:pt idx="7">
                  <c:v>824411.5</c:v>
                </c:pt>
                <c:pt idx="8">
                  <c:v>2804451.46</c:v>
                </c:pt>
                <c:pt idx="9">
                  <c:v>921643.39</c:v>
                </c:pt>
                <c:pt idx="10">
                  <c:v>298628.84999999998</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Analysis!$C$8:$C$19</c:f>
              <c:numCache>
                <c:formatCode>_-* #,##0_-;\-* #,##0_-;_-* "-"??_-;_-@_-</c:formatCode>
                <c:ptCount val="11"/>
                <c:pt idx="0">
                  <c:v>108601</c:v>
                </c:pt>
                <c:pt idx="1">
                  <c:v>1927138.72</c:v>
                </c:pt>
                <c:pt idx="2">
                  <c:v>1065465.74</c:v>
                </c:pt>
                <c:pt idx="3">
                  <c:v>1789625.31</c:v>
                </c:pt>
                <c:pt idx="4">
                  <c:v>4566934.17</c:v>
                </c:pt>
                <c:pt idx="5">
                  <c:v>691492.67</c:v>
                </c:pt>
                <c:pt idx="6">
                  <c:v>2010009.76</c:v>
                </c:pt>
                <c:pt idx="7">
                  <c:v>5071327.75</c:v>
                </c:pt>
                <c:pt idx="8">
                  <c:v>3196178.52</c:v>
                </c:pt>
                <c:pt idx="9">
                  <c:v>406605</c:v>
                </c:pt>
                <c:pt idx="10">
                  <c:v>149000</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Analysis!$A$8:$A$19</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Analysis!$D$8:$D$19</c:f>
              <c:numCache>
                <c:formatCode>_-* #,##0_-;\-* #,##0_-;_-* "-"??_-;_-@_-</c:formatCode>
                <c:ptCount val="11"/>
                <c:pt idx="0">
                  <c:v>5227040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Analysis!$B$143:$B$156</c:f>
              <c:numCache>
                <c:formatCode>_-* #,##0_-;\-* #,##0_-;_-* "-"??_-;_-@_-</c:formatCode>
                <c:ptCount val="13"/>
                <c:pt idx="0">
                  <c:v>200820</c:v>
                </c:pt>
                <c:pt idx="1">
                  <c:v>5220000</c:v>
                </c:pt>
                <c:pt idx="2">
                  <c:v>1891542.58</c:v>
                </c:pt>
                <c:pt idx="3">
                  <c:v>1429257.07</c:v>
                </c:pt>
                <c:pt idx="4">
                  <c:v>1099645</c:v>
                </c:pt>
                <c:pt idx="5">
                  <c:v>1305809</c:v>
                </c:pt>
                <c:pt idx="6">
                  <c:v>5893149.79</c:v>
                </c:pt>
                <c:pt idx="7">
                  <c:v>2278968.54</c:v>
                </c:pt>
                <c:pt idx="8">
                  <c:v>333114.94999999995</c:v>
                </c:pt>
                <c:pt idx="9">
                  <c:v>416097.99</c:v>
                </c:pt>
                <c:pt idx="10">
                  <c:v>0</c:v>
                </c:pt>
                <c:pt idx="11">
                  <c:v>157500</c:v>
                </c:pt>
                <c:pt idx="12">
                  <c:v>74569.850000000006</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Analysis!$C$143:$C$156</c:f>
              <c:numCache>
                <c:formatCode>_-* #,##0_-;\-* #,##0_-;_-* "-"??_-;_-@_-</c:formatCode>
                <c:ptCount val="13"/>
                <c:pt idx="0">
                  <c:v>252831.77000000002</c:v>
                </c:pt>
                <c:pt idx="1">
                  <c:v>792054</c:v>
                </c:pt>
                <c:pt idx="2">
                  <c:v>6212395.6400000006</c:v>
                </c:pt>
                <c:pt idx="3">
                  <c:v>1199294.73</c:v>
                </c:pt>
                <c:pt idx="4">
                  <c:v>5370609.6200000001</c:v>
                </c:pt>
                <c:pt idx="5">
                  <c:v>2136235.9900000002</c:v>
                </c:pt>
                <c:pt idx="6">
                  <c:v>408432.95</c:v>
                </c:pt>
                <c:pt idx="7">
                  <c:v>205557.72999999998</c:v>
                </c:pt>
                <c:pt idx="8">
                  <c:v>2789508.24</c:v>
                </c:pt>
                <c:pt idx="9">
                  <c:v>1615457.97</c:v>
                </c:pt>
                <c:pt idx="10">
                  <c:v>0</c:v>
                </c:pt>
                <c:pt idx="11">
                  <c:v>0</c:v>
                </c:pt>
                <c:pt idx="12">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Analysis!$A$143:$A$156</c:f>
              <c:strCache>
                <c:ptCount val="13"/>
                <c:pt idx="0">
                  <c:v>1</c:v>
                </c:pt>
                <c:pt idx="1">
                  <c:v>2</c:v>
                </c:pt>
                <c:pt idx="2">
                  <c:v>3</c:v>
                </c:pt>
                <c:pt idx="3">
                  <c:v>4</c:v>
                </c:pt>
                <c:pt idx="4">
                  <c:v>5</c:v>
                </c:pt>
                <c:pt idx="5">
                  <c:v>6</c:v>
                </c:pt>
                <c:pt idx="6">
                  <c:v>7</c:v>
                </c:pt>
                <c:pt idx="7">
                  <c:v>8</c:v>
                </c:pt>
                <c:pt idx="8">
                  <c:v>9</c:v>
                </c:pt>
                <c:pt idx="9">
                  <c:v>10</c:v>
                </c:pt>
                <c:pt idx="10">
                  <c:v>#VALUE!</c:v>
                </c:pt>
                <c:pt idx="11">
                  <c:v>11</c:v>
                </c:pt>
                <c:pt idx="12">
                  <c:v>12</c:v>
                </c:pt>
              </c:strCache>
            </c:strRef>
          </c:cat>
          <c:val>
            <c:numRef>
              <c:f>Analysis!$D$143:$D$156</c:f>
              <c:numCache>
                <c:formatCode>_-* #,##0_-;\-* #,##0_-;_-* "-"??_-;_-@_-</c:formatCode>
                <c:ptCount val="13"/>
                <c:pt idx="0">
                  <c:v>0</c:v>
                </c:pt>
                <c:pt idx="1">
                  <c:v>0</c:v>
                </c:pt>
                <c:pt idx="2">
                  <c:v>0</c:v>
                </c:pt>
                <c:pt idx="3">
                  <c:v>0</c:v>
                </c:pt>
                <c:pt idx="4">
                  <c:v>0</c:v>
                </c:pt>
                <c:pt idx="5">
                  <c:v>0</c:v>
                </c:pt>
                <c:pt idx="6">
                  <c:v>0</c:v>
                </c:pt>
                <c:pt idx="7">
                  <c:v>0</c:v>
                </c:pt>
                <c:pt idx="8">
                  <c:v>0</c:v>
                </c:pt>
                <c:pt idx="9">
                  <c:v>0</c:v>
                </c:pt>
                <c:pt idx="10">
                  <c:v>5227040</c:v>
                </c:pt>
                <c:pt idx="11">
                  <c:v>0</c:v>
                </c:pt>
                <c:pt idx="12">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20300474.770000003</c:v>
                </c:pt>
                <c:pt idx="1">
                  <c:v>20982378.639999997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4.431450578704" createdVersion="6" refreshedVersion="8" minRefreshableVersion="3" recordCount="500" xr:uid="{00000000-000A-0000-FFFF-FFFF00000000}">
  <cacheSource type="worksheet">
    <worksheetSource name="Table1"/>
  </cacheSource>
  <cacheFields count="25">
    <cacheField name="No." numFmtId="0">
      <sharedItems containsSemiMixedTypes="0" containsString="0" containsNumber="1" containsInteger="1" minValue="1" maxValue="501"/>
    </cacheField>
    <cacheField name="Reporting Period" numFmtId="0">
      <sharedItems containsBlank="1" count="34">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s v="Period 1_2026"/>
        <m u="1"/>
        <s v="Q1_2022" u="1"/>
      </sharedItems>
    </cacheField>
    <cacheField name="Unique ID" numFmtId="0">
      <sharedItems containsMixedTypes="1" containsNumber="1" containsInteger="1" minValue="2016" maxValue="2016" count="142">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 v="C11/007"/>
        <s v="C12/002"/>
        <s v="C12/013"/>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4">
        <e v="#VALUE!"/>
        <n v="4"/>
        <n v="7"/>
        <n v="6"/>
        <n v="5"/>
        <n v="1"/>
        <n v="3"/>
        <n v="8"/>
        <n v="9"/>
        <n v="2"/>
        <n v="10"/>
        <n v="11"/>
        <n v="12"/>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6" count="11">
        <n v="2016"/>
        <n v="2017"/>
        <n v="2018"/>
        <n v="2019"/>
        <n v="2020"/>
        <n v="2021"/>
        <n v="2022"/>
        <n v="2023"/>
        <n v="2024"/>
        <n v="2025"/>
        <n v="2026"/>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7-14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4">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r>
    <n v="491"/>
    <x v="31"/>
    <x v="29"/>
    <s v="Anywar "/>
    <s v="Upoki"/>
    <s v="Godwin"/>
    <x v="1"/>
    <x v="3"/>
    <s v="Makerere University"/>
    <m/>
    <x v="3"/>
    <s v="Research Grant"/>
    <n v="140000"/>
    <s v="German Alliance for Global Health Research (GLOHRA) 120,000 Euro 2025-2026"/>
    <n v="12"/>
    <x v="3"/>
    <x v="10"/>
    <m/>
    <x v="2"/>
    <d v="2026-01-05T00:00:00"/>
    <s v="Co-investigator"/>
    <m/>
    <m/>
    <s v="The award focuses on the use of innovative blockchain technologies to improve the traceability and thus quality of herbal medicines along the entire value chain. Because of the innovation, multi-disciplinarity "/>
    <m/>
  </r>
  <r>
    <n v="492"/>
    <x v="31"/>
    <x v="24"/>
    <s v="Lawal"/>
    <s v="Barakat"/>
    <s v="Folake"/>
    <x v="2"/>
    <x v="2"/>
    <s v="University of Ibadan"/>
    <m/>
    <x v="3"/>
    <s v="TETFUND Institution based Research grant"/>
    <n v="2800"/>
    <s v="TETFUND, Nigeria"/>
    <n v="12"/>
    <x v="3"/>
    <x v="10"/>
    <m/>
    <x v="2"/>
    <d v="2026-02-01T00:00:00"/>
    <s v="Principal Investigator"/>
    <m/>
    <m/>
    <s v=" "/>
    <m/>
  </r>
  <r>
    <n v="493"/>
    <x v="31"/>
    <x v="62"/>
    <s v="Mbindyo"/>
    <s v="Minoo"/>
    <s v="Christine"/>
    <x v="2"/>
    <x v="7"/>
    <s v="University of Nairobi"/>
    <m/>
    <x v="10"/>
    <s v="Laboratory Training on Testing of Antimicrobial Resistance in Bacteria from animals, Food and the Environment"/>
    <n v="18750"/>
    <s v="FAO"/>
    <n v="4"/>
    <x v="8"/>
    <x v="10"/>
    <m/>
    <x v="2"/>
    <d v="2026-03-23T00:00:00"/>
    <s v=" "/>
    <m/>
    <m/>
    <s v="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
    <m/>
  </r>
  <r>
    <n v="494"/>
    <x v="31"/>
    <x v="99"/>
    <s v="Moya"/>
    <s v="Yamie"/>
    <s v="Ernest"/>
    <x v="1"/>
    <x v="8"/>
    <s v="University of Malawi"/>
    <m/>
    <x v="3"/>
    <s v="ARSH Seed Grant"/>
    <n v="7500"/>
    <s v="Afrique Research Southern Hub"/>
    <n v="8"/>
    <x v="3"/>
    <x v="10"/>
    <m/>
    <x v="2"/>
    <d v="2026-03-01T00:00:00"/>
    <s v="Principal Investigator"/>
    <m/>
    <m/>
    <s v=" "/>
    <m/>
  </r>
  <r>
    <n v="495"/>
    <x v="31"/>
    <x v="131"/>
    <s v="Mwaniki"/>
    <s v="Waweru"/>
    <s v="Samuel "/>
    <x v="1"/>
    <x v="7"/>
    <s v="University of Nairobi"/>
    <m/>
    <x v="1"/>
    <s v="PSK"/>
    <n v="1500"/>
    <s v="Glenmark International"/>
    <n v="0"/>
    <x v="1"/>
    <x v="10"/>
    <m/>
    <x v="2"/>
    <d v="2026-06-23T00:00:00"/>
    <s v=" "/>
    <m/>
    <m/>
    <s v="Travel grant to annual PSK scientific conference."/>
    <m/>
  </r>
  <r>
    <n v="496"/>
    <x v="31"/>
    <x v="102"/>
    <s v="Muhayimana"/>
    <m/>
    <s v="Alice"/>
    <x v="2"/>
    <x v="10"/>
    <s v="University of Rwanda"/>
    <m/>
    <x v="3"/>
    <s v="Family planning self-injection"/>
    <n v="5000"/>
    <s v="Rwanda Society of Obstetrician and Gynecologists"/>
    <m/>
    <x v="3"/>
    <x v="10"/>
    <m/>
    <x v="2"/>
    <d v="2026-06-23T00:00:00"/>
    <s v="Co-investigator"/>
    <m/>
    <m/>
    <s v="I contributed in writing this grant"/>
    <m/>
  </r>
  <r>
    <n v="497"/>
    <x v="31"/>
    <x v="139"/>
    <s v="Wuraola"/>
    <s v="Olanike"/>
    <s v="Funmilola"/>
    <x v="2"/>
    <x v="11"/>
    <s v="Obafemi Awolowo University"/>
    <s v=" "/>
    <x v="3"/>
    <s v="Breast Cancer Prevention and Early Detection/Subvention Project"/>
    <n v="100000"/>
    <s v="Canadian Institutes of Health Research-Institute of Cancer Research"/>
    <n v="24"/>
    <x v="3"/>
    <x v="10"/>
    <s v="The ACTION Study: Addressing global inequalities in breast cancer genetic testing, counselling, and Management in Nigeria"/>
    <x v="1"/>
    <d v="2026-01-29T00:00:00"/>
    <m/>
    <m/>
    <m/>
    <s v="Training provided on grant writing was useful."/>
    <m/>
  </r>
  <r>
    <n v="498"/>
    <x v="31"/>
    <x v="140"/>
    <s v="Tsatsi-Mosala"/>
    <s v=" "/>
    <s v="Itumeleng"/>
    <x v="2"/>
    <x v="12"/>
    <s v="University of the WItwatersrand"/>
    <s v="University of the WItwatersrand"/>
    <x v="3"/>
    <s v="National Research Foundation (NRF) - FirstRand Empowerment Foundation (FREF): Black Academics Advancement Programme (BAAP)"/>
    <n v="43000"/>
    <s v="National Research Foundation (NRF) - FirstRand Empowerment Foundation (FREF)"/>
    <n v="36"/>
    <x v="3"/>
    <x v="10"/>
    <s v="Informing the Design of an AI-Assisted Learning Tool for Culturally Responsive Clinical Reasoning in South African Occupational Therapy Education"/>
    <x v="1"/>
    <d v="2026-04-30T00:00:00"/>
    <s v="Principal Investigator"/>
    <m/>
    <m/>
    <s v="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
    <m/>
  </r>
  <r>
    <n v="499"/>
    <x v="31"/>
    <x v="140"/>
    <s v="Tsatsi-Mosala"/>
    <s v=" "/>
    <s v="Itumeleng"/>
    <x v="2"/>
    <x v="12"/>
    <s v="University of the WItwatersrand"/>
    <s v="University of the WItwatersrand"/>
    <x v="3"/>
    <s v="University Staff Doctorate Programme"/>
    <n v="30416"/>
    <s v="Department of Higher Education"/>
    <n v="36"/>
    <x v="3"/>
    <x v="10"/>
    <s v="Informing the Design of an AI-Assisted Learning Tool for Culturally Responsive Clinical Reasoning in South African Occupational Therapy Education"/>
    <x v="1"/>
    <d v="2026-05-01T00:00:00"/>
    <s v="Principal Investigator"/>
    <m/>
    <m/>
    <s v="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
    <m/>
  </r>
  <r>
    <n v="500"/>
    <x v="31"/>
    <x v="141"/>
    <s v="Waweru"/>
    <s v="Mugure"/>
    <s v="Nancy"/>
    <x v="2"/>
    <x v="12"/>
    <s v="University of Nairobi"/>
    <s v="University of Nairobi"/>
    <x v="20"/>
    <s v="TranSforming InSTitutions to Advance women leadeRS in Science, Technology Engineering and Mathematics (SISTARS) PROJECT"/>
    <n v="1153.8499999999999"/>
    <s v="The International Development Research Centre IDRC"/>
    <n v="12"/>
    <x v="2"/>
    <x v="10"/>
    <s v=" "/>
    <x v="1"/>
    <d v="2026-01-01T00:00:00"/>
    <s v=" "/>
    <m/>
    <m/>
    <s v=" "/>
    <m/>
  </r>
  <r>
    <n v="501"/>
    <x v="31"/>
    <x v="64"/>
    <s v="Peter"/>
    <s v="Shepelo"/>
    <s v="Getrude"/>
    <x v="2"/>
    <x v="7"/>
    <s v="University of Nairobi"/>
    <m/>
    <x v="20"/>
    <s v=" DELTAS Africa Career Advancement Fellowship "/>
    <n v="97509"/>
    <s v="Science for Africa  (SFA) Foundation"/>
    <n v="12"/>
    <x v="2"/>
    <x v="10"/>
    <s v="At the human–livestock interface: A One Health investigation of zoonotic tuberculosis among pastoral communities and their cattle in Kajiado County-Kenya"/>
    <x v="2"/>
    <d v="2026-07-13T00:00:00"/>
    <s v="Principal Investigator"/>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5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9" firstHeaderRow="1" firstDataRow="2" firstDataCol="1" rowPageCount="3" colPageCount="1"/>
  <pivotFields count="25">
    <pivotField compact="0" outline="0" showAll="0"/>
    <pivotField compact="0" outline="0" showAll="0"/>
    <pivotField axis="axisRow" compact="0" outline="0" showAll="0" sortType="descending">
      <items count="143">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x="139"/>
        <item x="140"/>
        <item x="14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2">
        <item x="0"/>
        <item x="1"/>
        <item x="2"/>
        <item x="3"/>
        <item x="4"/>
        <item x="5"/>
        <item x="6"/>
        <item x="7"/>
        <item x="8"/>
        <item x="9"/>
        <item x="10"/>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3">
    <i>
      <x v="22"/>
    </i>
    <i>
      <x/>
    </i>
    <i>
      <x v="15"/>
    </i>
    <i>
      <x v="97"/>
    </i>
    <i>
      <x v="53"/>
    </i>
    <i>
      <x v="123"/>
    </i>
    <i>
      <x v="68"/>
    </i>
    <i>
      <x v="104"/>
    </i>
    <i>
      <x v="7"/>
    </i>
    <i>
      <x v="26"/>
    </i>
    <i>
      <x v="49"/>
    </i>
    <i>
      <x v="60"/>
    </i>
    <i>
      <x v="70"/>
    </i>
    <i>
      <x v="91"/>
    </i>
    <i>
      <x v="17"/>
    </i>
    <i>
      <x v="92"/>
    </i>
    <i>
      <x v="39"/>
    </i>
    <i>
      <x v="56"/>
    </i>
    <i>
      <x v="128"/>
    </i>
    <i>
      <x v="40"/>
    </i>
    <i>
      <x v="44"/>
    </i>
    <i>
      <x v="12"/>
    </i>
    <i>
      <x v="38"/>
    </i>
    <i>
      <x v="21"/>
    </i>
    <i>
      <x v="82"/>
    </i>
    <i>
      <x v="33"/>
    </i>
    <i>
      <x v="2"/>
    </i>
    <i>
      <x v="16"/>
    </i>
    <i>
      <x v="86"/>
    </i>
    <i>
      <x v="135"/>
    </i>
    <i>
      <x v="121"/>
    </i>
    <i>
      <x v="34"/>
    </i>
    <i>
      <x v="63"/>
    </i>
    <i>
      <x v="107"/>
    </i>
    <i>
      <x v="94"/>
    </i>
    <i>
      <x v="19"/>
    </i>
    <i>
      <x v="67"/>
    </i>
    <i>
      <x v="72"/>
    </i>
    <i>
      <x v="6"/>
    </i>
    <i>
      <x v="55"/>
    </i>
    <i>
      <x v="139"/>
    </i>
    <i>
      <x v="52"/>
    </i>
    <i>
      <x v="93"/>
    </i>
    <i>
      <x v="50"/>
    </i>
    <i>
      <x v="134"/>
    </i>
    <i>
      <x v="20"/>
    </i>
    <i>
      <x v="140"/>
    </i>
    <i>
      <x v="35"/>
    </i>
    <i>
      <x v="114"/>
    </i>
    <i>
      <x v="79"/>
    </i>
    <i>
      <x v="113"/>
    </i>
    <i>
      <x v="32"/>
    </i>
    <i>
      <x v="111"/>
    </i>
    <i>
      <x v="84"/>
    </i>
    <i>
      <x v="9"/>
    </i>
    <i>
      <x v="99"/>
    </i>
    <i>
      <x v="125"/>
    </i>
    <i>
      <x v="131"/>
    </i>
    <i>
      <x v="5"/>
    </i>
    <i>
      <x v="137"/>
    </i>
    <i>
      <x v="69"/>
    </i>
    <i>
      <x v="29"/>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116"/>
    </i>
    <i>
      <x v="89"/>
    </i>
    <i>
      <x v="42"/>
    </i>
    <i>
      <x v="18"/>
    </i>
    <i>
      <x v="126"/>
    </i>
    <i>
      <x v="119"/>
    </i>
    <i>
      <x v="88"/>
    </i>
    <i>
      <x v="48"/>
    </i>
    <i>
      <x v="4"/>
    </i>
    <i>
      <x v="138"/>
    </i>
    <i>
      <x v="36"/>
    </i>
    <i>
      <x v="136"/>
    </i>
    <i>
      <x v="62"/>
    </i>
    <i>
      <x v="122"/>
    </i>
    <i>
      <x v="43"/>
    </i>
    <i>
      <x v="66"/>
    </i>
    <i>
      <x v="61"/>
    </i>
    <i>
      <x v="120"/>
    </i>
    <i>
      <x v="115"/>
    </i>
    <i>
      <x v="103"/>
    </i>
    <i>
      <x v="46"/>
    </i>
    <i>
      <x v="23"/>
    </i>
    <i>
      <x v="106"/>
    </i>
    <i>
      <x v="132"/>
    </i>
    <i>
      <x v="14"/>
    </i>
    <i>
      <x v="81"/>
    </i>
    <i>
      <x v="1"/>
    </i>
    <i>
      <x v="8"/>
    </i>
    <i>
      <x v="129"/>
    </i>
    <i>
      <x v="75"/>
    </i>
    <i>
      <x v="64"/>
    </i>
    <i>
      <x v="51"/>
    </i>
    <i>
      <x v="141"/>
    </i>
    <i>
      <x v="58"/>
    </i>
    <i>
      <x v="45"/>
    </i>
    <i>
      <x v="3"/>
    </i>
    <i>
      <x v="74"/>
    </i>
    <i>
      <x v="65"/>
    </i>
    <i>
      <x v="59"/>
    </i>
    <i>
      <x v="25"/>
    </i>
    <i>
      <x v="133"/>
    </i>
    <i>
      <x v="100"/>
    </i>
    <i>
      <x v="96"/>
    </i>
    <i>
      <x v="95"/>
    </i>
    <i>
      <x v="11"/>
    </i>
    <i>
      <x v="130"/>
    </i>
    <i>
      <x v="54"/>
    </i>
    <i>
      <x v="124"/>
    </i>
    <i>
      <x v="57"/>
    </i>
    <i>
      <x v="110"/>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5"/>
  </dataFields>
  <formats count="2">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6"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5">
        <item x="5"/>
        <item x="9"/>
        <item x="6"/>
        <item x="1"/>
        <item x="4"/>
        <item x="3"/>
        <item x="2"/>
        <item x="7"/>
        <item x="8"/>
        <item x="10"/>
        <item m="1" x="13"/>
        <item x="0"/>
        <item x="11"/>
        <item x="1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4">
    <i>
      <x/>
    </i>
    <i>
      <x v="1"/>
    </i>
    <i>
      <x v="2"/>
    </i>
    <i>
      <x v="3"/>
    </i>
    <i>
      <x v="4"/>
    </i>
    <i>
      <x v="5"/>
    </i>
    <i>
      <x v="6"/>
    </i>
    <i>
      <x v="7"/>
    </i>
    <i>
      <x v="8"/>
    </i>
    <i>
      <x v="9"/>
    </i>
    <i>
      <x v="11"/>
    </i>
    <i>
      <x v="12"/>
    </i>
    <i>
      <x v="13"/>
    </i>
    <i t="grand">
      <x/>
    </i>
  </rowItems>
  <colFields count="1">
    <field x="6"/>
  </colFields>
  <colItems count="4">
    <i>
      <x/>
    </i>
    <i>
      <x v="1"/>
    </i>
    <i>
      <x v="3"/>
    </i>
    <i t="grand">
      <x/>
    </i>
  </colItems>
  <pageFields count="1">
    <pageField fld="15" hier="-1"/>
  </pageFields>
  <dataFields count="1">
    <dataField name="Sum of Total amount in $" fld="12" baseField="8" baseItem="5" numFmtId="165"/>
  </dataFields>
  <formats count="1">
    <format dxfId="14">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3">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x="139"/>
        <item x="140"/>
        <item x="141"/>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2">
        <item h="1" x="1"/>
        <item h="1" x="2"/>
        <item h="1" x="3"/>
        <item h="1" x="4"/>
        <item h="1" x="5"/>
        <item h="1" x="0"/>
        <item x="6"/>
        <item x="7"/>
        <item h="1" x="8"/>
        <item h="1" x="9"/>
        <item h="1"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23">
      <pivotArea type="all" dataOnly="0" outline="0" fieldPosition="0"/>
    </format>
    <format dxfId="22">
      <pivotArea outline="0" collapsedLevelsAreSubtotals="1" fieldPosition="0"/>
    </format>
    <format dxfId="21">
      <pivotArea type="origin" dataOnly="0" labelOnly="1" outline="0" fieldPosition="0"/>
    </format>
    <format dxfId="20">
      <pivotArea field="6" type="button" dataOnly="0" labelOnly="1" outline="0"/>
    </format>
    <format dxfId="19">
      <pivotArea type="topRight" dataOnly="0" labelOnly="1" outline="0" fieldPosition="0"/>
    </format>
    <format dxfId="18">
      <pivotArea field="16" type="button" dataOnly="0" labelOnly="1" outline="0" axis="axisPage" fieldPosition="0"/>
    </format>
    <format dxfId="17">
      <pivotArea dataOnly="0" labelOnly="1" outline="0" fieldPosition="0">
        <references count="1">
          <reference field="16" count="0"/>
        </references>
      </pivotArea>
    </format>
    <format dxfId="16">
      <pivotArea dataOnly="0" labelOnly="1" grandRow="1" outline="0" fieldPosition="0"/>
    </format>
    <format dxfId="1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9"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25">
      <pivotArea outline="0" collapsedLevelsAreSubtotals="1" fieldPosition="0"/>
    </format>
    <format dxfId="24">
      <pivotArea outline="0" collapsedLevelsAreSubtotals="1" fieldPosition="0"/>
    </format>
  </formats>
  <conditionalFormats count="2">
    <conditionalFormat priority="4">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 priority="1">
      <pivotAreas count="1">
        <pivotArea type="data" outline="0" collapsedLevelsAreSubtotals="1" fieldPosition="0">
          <references count="2">
            <reference field="4294967294" count="1" selected="0">
              <x v="0"/>
            </reference>
            <reference field="16" count="2" selected="0">
              <x v="9"/>
              <x v="10"/>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8"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2">
        <item x="1"/>
        <item x="2"/>
        <item x="3"/>
        <item x="4"/>
        <item x="5"/>
        <item x="0"/>
        <item x="6"/>
        <item x="7"/>
        <item x="8"/>
        <item x="9"/>
        <item x="10"/>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35">
      <pivotArea type="all" dataOnly="0" outline="0" fieldPosition="0"/>
    </format>
    <format dxfId="34">
      <pivotArea outline="0" collapsedLevelsAreSubtotals="1" fieldPosition="0"/>
    </format>
    <format dxfId="33">
      <pivotArea type="origin" dataOnly="0" labelOnly="1" outline="0" fieldPosition="0"/>
    </format>
    <format dxfId="32">
      <pivotArea field="6" type="button" dataOnly="0" labelOnly="1" outline="0" axis="axisCol" fieldPosition="0"/>
    </format>
    <format dxfId="31">
      <pivotArea type="topRight" dataOnly="0" labelOnly="1" outline="0" fieldPosition="0"/>
    </format>
    <format dxfId="30">
      <pivotArea field="16" type="button" dataOnly="0" labelOnly="1" outline="0" axis="axisRow" fieldPosition="0"/>
    </format>
    <format dxfId="29">
      <pivotArea dataOnly="0" labelOnly="1" outline="0" fieldPosition="0">
        <references count="1">
          <reference field="16" count="0"/>
        </references>
      </pivotArea>
    </format>
    <format dxfId="28">
      <pivotArea dataOnly="0" labelOnly="1" grandRow="1" outline="0" fieldPosition="0"/>
    </format>
    <format dxfId="27">
      <pivotArea dataOnly="0" labelOnly="1" outline="0" fieldPosition="0">
        <references count="1">
          <reference field="6" count="0"/>
        </references>
      </pivotArea>
    </format>
    <format dxfId="26">
      <pivotArea dataOnly="0" labelOnly="1" grandCol="1" outline="0" fieldPosition="0"/>
    </format>
  </formats>
  <conditionalFormats count="2">
    <conditionalFormat priority="5">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10">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3"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2">
    <i>
      <x/>
    </i>
    <i>
      <x v="1"/>
    </i>
    <i>
      <x v="2"/>
    </i>
    <i>
      <x v="3"/>
    </i>
    <i>
      <x v="4"/>
    </i>
    <i>
      <x v="5"/>
    </i>
    <i>
      <x v="6"/>
    </i>
    <i>
      <x v="7"/>
    </i>
    <i>
      <x v="8"/>
    </i>
    <i>
      <x v="9"/>
    </i>
    <i>
      <x v="10"/>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6">
      <pivotArea outline="0" collapsedLevelsAreSubtotals="1" fieldPosition="0"/>
    </format>
    <format dxfId="5">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40" firstHeaderRow="1" firstDataRow="2"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v="1"/>
    </i>
    <i>
      <x v="2"/>
    </i>
    <i>
      <x v="3"/>
    </i>
    <i>
      <x v="4"/>
    </i>
    <i>
      <x v="5"/>
    </i>
    <i>
      <x v="6"/>
    </i>
    <i>
      <x v="7"/>
    </i>
    <i>
      <x v="8"/>
    </i>
    <i>
      <x v="9"/>
    </i>
    <i>
      <x v="10"/>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8">
      <pivotArea outline="0" collapsedLevelsAreSubtotals="1" fieldPosition="0"/>
    </format>
    <format dxfId="7">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5">
        <item h="1" x="1"/>
        <item h="1" x="4"/>
        <item h="1" x="12"/>
        <item h="1" x="6"/>
        <item h="1" x="18"/>
        <item h="1" x="23"/>
        <item h="1" x="3"/>
        <item h="1" x="2"/>
        <item h="1" x="5"/>
        <item h="1" x="14"/>
        <item h="1" x="20"/>
        <item h="1" x="8"/>
        <item h="1" x="11"/>
        <item h="1" x="17"/>
        <item m="1" x="33"/>
        <item h="1" x="9"/>
        <item h="1" x="13"/>
        <item h="1" x="19"/>
        <item h="1" x="10"/>
        <item h="1" x="15"/>
        <item h="1" x="22"/>
        <item h="1" x="7"/>
        <item h="1" x="16"/>
        <item h="1" x="21"/>
        <item h="1" x="0"/>
        <item h="1" x="24"/>
        <item h="1" m="1" x="32"/>
        <item h="1" x="25"/>
        <item h="1" x="26"/>
        <item h="1" x="27"/>
        <item x="29"/>
        <item x="28"/>
        <item h="1" x="30"/>
        <item h="1"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2">
        <item x="0"/>
        <item x="1"/>
        <item x="2"/>
        <item x="3"/>
        <item x="4"/>
        <item x="5"/>
        <item x="6"/>
        <item x="7"/>
        <item x="8"/>
        <item x="9"/>
        <item x="10"/>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5"/>
  </dataFields>
  <formats count="2">
    <format dxfId="10">
      <pivotArea outline="0" collapsedLevelsAreSubtotals="1" fieldPosition="0"/>
    </format>
    <format dxfId="9">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5">
        <item x="5"/>
        <item x="9"/>
        <item x="6"/>
        <item x="1"/>
        <item x="4"/>
        <item x="3"/>
        <item x="2"/>
        <item x="7"/>
        <item x="8"/>
        <item x="10"/>
        <item m="1" x="13"/>
        <item x="0"/>
        <item x="11"/>
        <item x="12"/>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12">
      <pivotArea outline="0" collapsedLevelsAreSubtotals="1" fieldPosition="0"/>
    </format>
    <format dxfId="11">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52"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9" firstHeaderRow="1" firstDataRow="2" firstDataCol="1" rowPageCount="1" colPageCount="1"/>
  <pivotFields count="25">
    <pivotField compact="0" outline="0" showAll="0"/>
    <pivotField axis="axisRow" compact="0" outline="0" showAll="0">
      <items count="35">
        <item x="1"/>
        <item x="4"/>
        <item x="12"/>
        <item x="6"/>
        <item x="18"/>
        <item x="23"/>
        <item x="3"/>
        <item x="2"/>
        <item x="5"/>
        <item x="14"/>
        <item x="20"/>
        <item x="8"/>
        <item x="11"/>
        <item x="17"/>
        <item m="1" x="33"/>
        <item x="9"/>
        <item x="13"/>
        <item x="19"/>
        <item x="10"/>
        <item x="15"/>
        <item x="22"/>
        <item x="7"/>
        <item x="16"/>
        <item x="21"/>
        <item x="0"/>
        <item x="24"/>
        <item m="1" x="32"/>
        <item x="25"/>
        <item x="26"/>
        <item x="27"/>
        <item x="29"/>
        <item x="28"/>
        <item x="30"/>
        <item x="31"/>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3">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x v="33"/>
    </i>
    <i t="grand">
      <x/>
    </i>
  </rowItems>
  <colFields count="1">
    <field x="6"/>
  </colFields>
  <colItems count="4">
    <i>
      <x/>
    </i>
    <i>
      <x v="1"/>
    </i>
    <i>
      <x v="3"/>
    </i>
    <i t="grand">
      <x/>
    </i>
  </colItems>
  <pageFields count="1">
    <pageField fld="15" hier="-1"/>
  </pageFields>
  <dataFields count="1">
    <dataField name="Sum of Total amount in $" fld="12" baseField="16" baseItem="0" numFmtId="165"/>
  </dataFields>
  <formats count="5">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1" totalsRowShown="0" headerRowDxfId="66" headerRowBorderDxfId="65" tableBorderDxfId="64" totalsRowBorderDxfId="63">
  <autoFilter ref="A1:Y501" xr:uid="{00000000-0009-0000-0100-000001000000}"/>
  <tableColumns count="25">
    <tableColumn id="1" xr3:uid="{00000000-0010-0000-0000-000001000000}" name="No." dataDxfId="62"/>
    <tableColumn id="2" xr3:uid="{00000000-0010-0000-0000-000002000000}" name="Reporting Period" dataDxfId="61"/>
    <tableColumn id="3" xr3:uid="{00000000-0010-0000-0000-000003000000}" name="Unique ID" dataDxfId="60"/>
    <tableColumn id="4" xr3:uid="{00000000-0010-0000-0000-000004000000}" name="Surname" dataDxfId="59"/>
    <tableColumn id="5" xr3:uid="{00000000-0010-0000-0000-000005000000}" name="Middle name" dataDxfId="58"/>
    <tableColumn id="6" xr3:uid="{00000000-0010-0000-0000-000006000000}" name="First Name" dataDxfId="57"/>
    <tableColumn id="7" xr3:uid="{00000000-0010-0000-0000-000007000000}" name="Sex" dataDxfId="56"/>
    <tableColumn id="8" xr3:uid="{00000000-0010-0000-0000-000008000000}" name="Cohort Number" dataDxfId="55">
      <calculatedColumnFormula>VALUE(MID(LEFT(Table1[[#This Row],[Unique ID]], FIND("/", Table1[[#This Row],[Unique ID]]) - 1), 2, LEN(Table1[[#This Row],[Unique ID]])))</calculatedColumnFormula>
    </tableColumn>
    <tableColumn id="9" xr3:uid="{00000000-0010-0000-0000-000009000000}" name="Institution of employment at registration " dataDxfId="54"/>
    <tableColumn id="10" xr3:uid="{00000000-0010-0000-0000-00000A000000}" name="Institution of PhD Registration " dataDxfId="53"/>
    <tableColumn id="11" xr3:uid="{00000000-0010-0000-0000-00000B000000}" name="Type of Achievement Award " dataDxfId="52"/>
    <tableColumn id="12" xr3:uid="{00000000-0010-0000-0000-00000C000000}" name="Name of Grant Awarded" dataDxfId="51"/>
    <tableColumn id="13" xr3:uid="{00000000-0010-0000-0000-00000D000000}" name="Total amount in $" dataDxfId="50"/>
    <tableColumn id="14" xr3:uid="{00000000-0010-0000-0000-00000E000000}" name="Name of Funder" dataDxfId="49"/>
    <tableColumn id="15" xr3:uid="{00000000-0010-0000-0000-00000F000000}" name="Duration of Funding (in months)" dataDxfId="48"/>
    <tableColumn id="16" xr3:uid="{00000000-0010-0000-0000-000010000000}" name="Type of Grant" dataDxfId="47"/>
    <tableColumn id="17" xr3:uid="{00000000-0010-0000-0000-000011000000}" name="Year" dataDxfId="46"/>
    <tableColumn id="18" xr3:uid="{00000000-0010-0000-0000-000012000000}" name="Research title" dataDxfId="45"/>
    <tableColumn id="19" xr3:uid="{00000000-0010-0000-0000-000013000000}" name="Grant type" dataDxfId="44"/>
    <tableColumn id="20" xr3:uid="{00000000-0010-0000-0000-000014000000}" name="Award date" dataDxfId="43"/>
    <tableColumn id="22" xr3:uid="{00000000-0010-0000-0000-000016000000}" name="Role in research grants" dataDxfId="42"/>
    <tableColumn id="23" xr3:uid="{00000000-0010-0000-0000-000017000000}" name="CARTA fellows collaborating" dataDxfId="41"/>
    <tableColumn id="21" xr3:uid="{00000000-0010-0000-0000-000015000000}" name="Quotes if any" dataDxfId="40"/>
    <tableColumn id="24" xr3:uid="{8F739350-F194-4949-8FB8-3B5117495301}" name="Please, give a brief description of the award and tell us why you were selected for the award?" dataDxfId="39"/>
    <tableColumn id="25" xr3:uid="{DEC15114-D51E-40AE-ABE3-49AF6027BB3A}" name="Column1" dataDxfId="3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5" x14ac:dyDescent="0.35"/>
  <cols>
    <col min="1" max="1" width="5.81640625" hidden="1" customWidth="1"/>
    <col min="8" max="8" width="11.453125" customWidth="1"/>
    <col min="9" max="9" width="2.81640625" customWidth="1"/>
  </cols>
  <sheetData>
    <row r="2" spans="2:14" x14ac:dyDescent="0.35">
      <c r="B2" s="20" t="s">
        <v>0</v>
      </c>
      <c r="C2" s="21"/>
      <c r="D2" s="21"/>
      <c r="E2" s="21"/>
      <c r="F2" s="21"/>
      <c r="J2" s="20" t="s">
        <v>1</v>
      </c>
      <c r="K2" s="21"/>
      <c r="L2" s="21"/>
      <c r="M2" s="21"/>
      <c r="N2" s="21"/>
    </row>
    <row r="3" spans="2:14" x14ac:dyDescent="0.35">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1"/>
  <sheetViews>
    <sheetView topLeftCell="C485" zoomScale="83" zoomScaleNormal="83" workbookViewId="0">
      <selection activeCell="U501" sqref="U501"/>
    </sheetView>
  </sheetViews>
  <sheetFormatPr defaultRowHeight="14.5" x14ac:dyDescent="0.35"/>
  <cols>
    <col min="2" max="2" width="17" customWidth="1"/>
    <col min="3" max="3" width="14" customWidth="1"/>
    <col min="4" max="4" width="17.1796875" customWidth="1"/>
    <col min="5" max="5" width="15.453125" customWidth="1"/>
    <col min="6" max="6" width="21" customWidth="1"/>
    <col min="7" max="7" width="13.54296875" customWidth="1"/>
    <col min="8" max="8" width="12.453125" customWidth="1"/>
    <col min="9" max="9" width="36.453125" customWidth="1"/>
    <col min="10" max="10" width="31" customWidth="1"/>
    <col min="11" max="11" width="27.1796875" customWidth="1"/>
    <col min="12" max="12" width="58.453125" customWidth="1"/>
    <col min="13" max="13" width="22.54296875" style="23" customWidth="1"/>
    <col min="14" max="14" width="26.81640625" customWidth="1"/>
    <col min="15" max="15" width="29.81640625" style="46" customWidth="1"/>
    <col min="16" max="16" width="20.453125" customWidth="1"/>
    <col min="17" max="17" width="15.54296875" customWidth="1"/>
    <col min="18" max="18" width="14.453125" customWidth="1"/>
    <col min="19" max="19" width="8.81640625" customWidth="1"/>
    <col min="20" max="20" width="27.7265625" style="34" customWidth="1"/>
    <col min="21" max="21" width="19.453125" style="1" customWidth="1"/>
    <col min="22" max="22" width="18.54296875" style="1" customWidth="1"/>
    <col min="23" max="23" width="13" customWidth="1"/>
    <col min="24" max="24" width="21.26953125" customWidth="1"/>
  </cols>
  <sheetData>
    <row r="1" spans="1:25" s="2" customFormat="1" ht="13.75" customHeight="1" x14ac:dyDescent="0.35">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x14ac:dyDescent="0.35">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x14ac:dyDescent="0.3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x14ac:dyDescent="0.3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x14ac:dyDescent="0.3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x14ac:dyDescent="0.3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x14ac:dyDescent="0.3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x14ac:dyDescent="0.3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x14ac:dyDescent="0.3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x14ac:dyDescent="0.3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x14ac:dyDescent="0.3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x14ac:dyDescent="0.3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x14ac:dyDescent="0.3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x14ac:dyDescent="0.3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x14ac:dyDescent="0.3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x14ac:dyDescent="0.3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x14ac:dyDescent="0.3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x14ac:dyDescent="0.3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x14ac:dyDescent="0.3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x14ac:dyDescent="0.3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x14ac:dyDescent="0.3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x14ac:dyDescent="0.3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x14ac:dyDescent="0.3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x14ac:dyDescent="0.3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x14ac:dyDescent="0.3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x14ac:dyDescent="0.3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x14ac:dyDescent="0.3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x14ac:dyDescent="0.3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x14ac:dyDescent="0.3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x14ac:dyDescent="0.3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x14ac:dyDescent="0.3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x14ac:dyDescent="0.3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x14ac:dyDescent="0.3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x14ac:dyDescent="0.3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x14ac:dyDescent="0.3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x14ac:dyDescent="0.3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x14ac:dyDescent="0.3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x14ac:dyDescent="0.3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x14ac:dyDescent="0.3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x14ac:dyDescent="0.3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x14ac:dyDescent="0.3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x14ac:dyDescent="0.3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x14ac:dyDescent="0.3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x14ac:dyDescent="0.3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x14ac:dyDescent="0.3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x14ac:dyDescent="0.3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x14ac:dyDescent="0.3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x14ac:dyDescent="0.3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x14ac:dyDescent="0.3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x14ac:dyDescent="0.3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x14ac:dyDescent="0.3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x14ac:dyDescent="0.3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x14ac:dyDescent="0.3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x14ac:dyDescent="0.3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x14ac:dyDescent="0.3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x14ac:dyDescent="0.3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x14ac:dyDescent="0.3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x14ac:dyDescent="0.3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x14ac:dyDescent="0.3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x14ac:dyDescent="0.3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x14ac:dyDescent="0.3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x14ac:dyDescent="0.3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x14ac:dyDescent="0.3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x14ac:dyDescent="0.3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x14ac:dyDescent="0.3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x14ac:dyDescent="0.3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x14ac:dyDescent="0.3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x14ac:dyDescent="0.3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x14ac:dyDescent="0.3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x14ac:dyDescent="0.3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x14ac:dyDescent="0.3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x14ac:dyDescent="0.3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x14ac:dyDescent="0.3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x14ac:dyDescent="0.3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x14ac:dyDescent="0.3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x14ac:dyDescent="0.3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x14ac:dyDescent="0.3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x14ac:dyDescent="0.3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x14ac:dyDescent="0.3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x14ac:dyDescent="0.3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x14ac:dyDescent="0.3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x14ac:dyDescent="0.3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x14ac:dyDescent="0.3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x14ac:dyDescent="0.3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x14ac:dyDescent="0.3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x14ac:dyDescent="0.3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x14ac:dyDescent="0.3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x14ac:dyDescent="0.3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x14ac:dyDescent="0.3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x14ac:dyDescent="0.3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x14ac:dyDescent="0.3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x14ac:dyDescent="0.3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x14ac:dyDescent="0.3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x14ac:dyDescent="0.3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x14ac:dyDescent="0.3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x14ac:dyDescent="0.3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x14ac:dyDescent="0.3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x14ac:dyDescent="0.3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x14ac:dyDescent="0.3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x14ac:dyDescent="0.3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x14ac:dyDescent="0.3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x14ac:dyDescent="0.3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x14ac:dyDescent="0.3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x14ac:dyDescent="0.3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x14ac:dyDescent="0.3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x14ac:dyDescent="0.3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x14ac:dyDescent="0.3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x14ac:dyDescent="0.3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x14ac:dyDescent="0.3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x14ac:dyDescent="0.3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x14ac:dyDescent="0.3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x14ac:dyDescent="0.3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x14ac:dyDescent="0.3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x14ac:dyDescent="0.3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x14ac:dyDescent="0.3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x14ac:dyDescent="0.3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x14ac:dyDescent="0.3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x14ac:dyDescent="0.3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x14ac:dyDescent="0.3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x14ac:dyDescent="0.3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x14ac:dyDescent="0.3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x14ac:dyDescent="0.3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x14ac:dyDescent="0.3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x14ac:dyDescent="0.3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x14ac:dyDescent="0.3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x14ac:dyDescent="0.3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x14ac:dyDescent="0.3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x14ac:dyDescent="0.3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x14ac:dyDescent="0.3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x14ac:dyDescent="0.3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x14ac:dyDescent="0.3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x14ac:dyDescent="0.3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x14ac:dyDescent="0.3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x14ac:dyDescent="0.3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x14ac:dyDescent="0.3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x14ac:dyDescent="0.3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x14ac:dyDescent="0.3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x14ac:dyDescent="0.3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x14ac:dyDescent="0.3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x14ac:dyDescent="0.3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x14ac:dyDescent="0.3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x14ac:dyDescent="0.3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x14ac:dyDescent="0.3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x14ac:dyDescent="0.3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x14ac:dyDescent="0.3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x14ac:dyDescent="0.3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x14ac:dyDescent="0.3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x14ac:dyDescent="0.3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x14ac:dyDescent="0.3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x14ac:dyDescent="0.3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x14ac:dyDescent="0.3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x14ac:dyDescent="0.3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x14ac:dyDescent="0.3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x14ac:dyDescent="0.3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x14ac:dyDescent="0.3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x14ac:dyDescent="0.3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x14ac:dyDescent="0.3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x14ac:dyDescent="0.3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x14ac:dyDescent="0.3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x14ac:dyDescent="0.3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x14ac:dyDescent="0.3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x14ac:dyDescent="0.3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x14ac:dyDescent="0.3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x14ac:dyDescent="0.3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x14ac:dyDescent="0.3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x14ac:dyDescent="0.3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x14ac:dyDescent="0.3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x14ac:dyDescent="0.3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x14ac:dyDescent="0.3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x14ac:dyDescent="0.3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x14ac:dyDescent="0.3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x14ac:dyDescent="0.3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x14ac:dyDescent="0.3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x14ac:dyDescent="0.3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x14ac:dyDescent="0.3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x14ac:dyDescent="0.3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x14ac:dyDescent="0.3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x14ac:dyDescent="0.3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x14ac:dyDescent="0.3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x14ac:dyDescent="0.3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x14ac:dyDescent="0.3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x14ac:dyDescent="0.3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x14ac:dyDescent="0.3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x14ac:dyDescent="0.3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x14ac:dyDescent="0.3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x14ac:dyDescent="0.3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x14ac:dyDescent="0.3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x14ac:dyDescent="0.3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x14ac:dyDescent="0.3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x14ac:dyDescent="0.3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x14ac:dyDescent="0.3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x14ac:dyDescent="0.3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x14ac:dyDescent="0.3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x14ac:dyDescent="0.3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x14ac:dyDescent="0.3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x14ac:dyDescent="0.3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x14ac:dyDescent="0.3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x14ac:dyDescent="0.3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x14ac:dyDescent="0.3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x14ac:dyDescent="0.3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x14ac:dyDescent="0.3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x14ac:dyDescent="0.3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x14ac:dyDescent="0.3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x14ac:dyDescent="0.3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x14ac:dyDescent="0.3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x14ac:dyDescent="0.3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x14ac:dyDescent="0.3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x14ac:dyDescent="0.3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x14ac:dyDescent="0.3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x14ac:dyDescent="0.3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x14ac:dyDescent="0.3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x14ac:dyDescent="0.3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x14ac:dyDescent="0.3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x14ac:dyDescent="0.3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x14ac:dyDescent="0.3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x14ac:dyDescent="0.3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x14ac:dyDescent="0.3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x14ac:dyDescent="0.3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x14ac:dyDescent="0.3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x14ac:dyDescent="0.3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x14ac:dyDescent="0.3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x14ac:dyDescent="0.3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x14ac:dyDescent="0.3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x14ac:dyDescent="0.3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x14ac:dyDescent="0.3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x14ac:dyDescent="0.3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x14ac:dyDescent="0.3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x14ac:dyDescent="0.3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x14ac:dyDescent="0.3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x14ac:dyDescent="0.3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x14ac:dyDescent="0.3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x14ac:dyDescent="0.3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x14ac:dyDescent="0.3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x14ac:dyDescent="0.3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x14ac:dyDescent="0.3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x14ac:dyDescent="0.3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x14ac:dyDescent="0.3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x14ac:dyDescent="0.3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x14ac:dyDescent="0.3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x14ac:dyDescent="0.3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x14ac:dyDescent="0.3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x14ac:dyDescent="0.3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x14ac:dyDescent="0.3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x14ac:dyDescent="0.3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x14ac:dyDescent="0.3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x14ac:dyDescent="0.3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x14ac:dyDescent="0.3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x14ac:dyDescent="0.3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x14ac:dyDescent="0.3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x14ac:dyDescent="0.3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x14ac:dyDescent="0.3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x14ac:dyDescent="0.3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x14ac:dyDescent="0.3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x14ac:dyDescent="0.3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x14ac:dyDescent="0.3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x14ac:dyDescent="0.3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x14ac:dyDescent="0.3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x14ac:dyDescent="0.3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x14ac:dyDescent="0.3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x14ac:dyDescent="0.3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x14ac:dyDescent="0.3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x14ac:dyDescent="0.3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x14ac:dyDescent="0.3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x14ac:dyDescent="0.3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x14ac:dyDescent="0.3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x14ac:dyDescent="0.3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x14ac:dyDescent="0.3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x14ac:dyDescent="0.3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x14ac:dyDescent="0.3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x14ac:dyDescent="0.3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x14ac:dyDescent="0.3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x14ac:dyDescent="0.3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x14ac:dyDescent="0.3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x14ac:dyDescent="0.3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x14ac:dyDescent="0.3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x14ac:dyDescent="0.3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x14ac:dyDescent="0.3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x14ac:dyDescent="0.3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x14ac:dyDescent="0.3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x14ac:dyDescent="0.3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x14ac:dyDescent="0.3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x14ac:dyDescent="0.3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x14ac:dyDescent="0.3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x14ac:dyDescent="0.3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x14ac:dyDescent="0.3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x14ac:dyDescent="0.3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x14ac:dyDescent="0.3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x14ac:dyDescent="0.3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x14ac:dyDescent="0.3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x14ac:dyDescent="0.3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x14ac:dyDescent="0.3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x14ac:dyDescent="0.3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x14ac:dyDescent="0.3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x14ac:dyDescent="0.3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x14ac:dyDescent="0.3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x14ac:dyDescent="0.3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x14ac:dyDescent="0.3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x14ac:dyDescent="0.3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x14ac:dyDescent="0.3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x14ac:dyDescent="0.3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x14ac:dyDescent="0.3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x14ac:dyDescent="0.3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x14ac:dyDescent="0.3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x14ac:dyDescent="0.3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x14ac:dyDescent="0.3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x14ac:dyDescent="0.3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x14ac:dyDescent="0.3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x14ac:dyDescent="0.3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x14ac:dyDescent="0.3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x14ac:dyDescent="0.3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x14ac:dyDescent="0.3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x14ac:dyDescent="0.3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x14ac:dyDescent="0.3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x14ac:dyDescent="0.3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x14ac:dyDescent="0.3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x14ac:dyDescent="0.3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x14ac:dyDescent="0.3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x14ac:dyDescent="0.3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x14ac:dyDescent="0.3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x14ac:dyDescent="0.3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x14ac:dyDescent="0.3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x14ac:dyDescent="0.3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x14ac:dyDescent="0.3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x14ac:dyDescent="0.3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x14ac:dyDescent="0.3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x14ac:dyDescent="0.3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x14ac:dyDescent="0.3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5" customHeight="1" x14ac:dyDescent="0.35">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5" customHeight="1" x14ac:dyDescent="0.35">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x14ac:dyDescent="0.3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x14ac:dyDescent="0.3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x14ac:dyDescent="0.3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x14ac:dyDescent="0.3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x14ac:dyDescent="0.3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x14ac:dyDescent="0.3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x14ac:dyDescent="0.3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x14ac:dyDescent="0.3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x14ac:dyDescent="0.3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x14ac:dyDescent="0.3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x14ac:dyDescent="0.3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x14ac:dyDescent="0.3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x14ac:dyDescent="0.3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x14ac:dyDescent="0.3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x14ac:dyDescent="0.3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x14ac:dyDescent="0.3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x14ac:dyDescent="0.3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x14ac:dyDescent="0.3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x14ac:dyDescent="0.3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x14ac:dyDescent="0.3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x14ac:dyDescent="0.3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x14ac:dyDescent="0.3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x14ac:dyDescent="0.3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x14ac:dyDescent="0.3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x14ac:dyDescent="0.3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x14ac:dyDescent="0.3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x14ac:dyDescent="0.3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x14ac:dyDescent="0.3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x14ac:dyDescent="0.3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x14ac:dyDescent="0.3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x14ac:dyDescent="0.3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x14ac:dyDescent="0.3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x14ac:dyDescent="0.3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x14ac:dyDescent="0.3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x14ac:dyDescent="0.3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x14ac:dyDescent="0.3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x14ac:dyDescent="0.3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x14ac:dyDescent="0.3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x14ac:dyDescent="0.3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x14ac:dyDescent="0.3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x14ac:dyDescent="0.3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x14ac:dyDescent="0.3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x14ac:dyDescent="0.3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x14ac:dyDescent="0.3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x14ac:dyDescent="0.3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x14ac:dyDescent="0.3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x14ac:dyDescent="0.3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x14ac:dyDescent="0.3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x14ac:dyDescent="0.3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x14ac:dyDescent="0.3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x14ac:dyDescent="0.3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x14ac:dyDescent="0.3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x14ac:dyDescent="0.3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x14ac:dyDescent="0.3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x14ac:dyDescent="0.3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x14ac:dyDescent="0.3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x14ac:dyDescent="0.3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x14ac:dyDescent="0.3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x14ac:dyDescent="0.3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x14ac:dyDescent="0.3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x14ac:dyDescent="0.3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x14ac:dyDescent="0.3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x14ac:dyDescent="0.3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x14ac:dyDescent="0.3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x14ac:dyDescent="0.3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x14ac:dyDescent="0.3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x14ac:dyDescent="0.3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x14ac:dyDescent="0.3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x14ac:dyDescent="0.3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x14ac:dyDescent="0.3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x14ac:dyDescent="0.3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x14ac:dyDescent="0.3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x14ac:dyDescent="0.3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x14ac:dyDescent="0.3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x14ac:dyDescent="0.3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x14ac:dyDescent="0.3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x14ac:dyDescent="0.3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x14ac:dyDescent="0.3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x14ac:dyDescent="0.3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x14ac:dyDescent="0.3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x14ac:dyDescent="0.3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x14ac:dyDescent="0.3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x14ac:dyDescent="0.3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x14ac:dyDescent="0.3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x14ac:dyDescent="0.3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x14ac:dyDescent="0.3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x14ac:dyDescent="0.3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x14ac:dyDescent="0.3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x14ac:dyDescent="0.3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x14ac:dyDescent="0.3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x14ac:dyDescent="0.3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x14ac:dyDescent="0.3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x14ac:dyDescent="0.3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x14ac:dyDescent="0.3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x14ac:dyDescent="0.3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x14ac:dyDescent="0.3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x14ac:dyDescent="0.3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x14ac:dyDescent="0.3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x14ac:dyDescent="0.3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x14ac:dyDescent="0.3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x14ac:dyDescent="0.3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x14ac:dyDescent="0.3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x14ac:dyDescent="0.3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x14ac:dyDescent="0.3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x14ac:dyDescent="0.3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x14ac:dyDescent="0.3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x14ac:dyDescent="0.3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x14ac:dyDescent="0.3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x14ac:dyDescent="0.3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x14ac:dyDescent="0.3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x14ac:dyDescent="0.3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x14ac:dyDescent="0.3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x14ac:dyDescent="0.3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x14ac:dyDescent="0.3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x14ac:dyDescent="0.3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x14ac:dyDescent="0.3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x14ac:dyDescent="0.3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x14ac:dyDescent="0.3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x14ac:dyDescent="0.3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x14ac:dyDescent="0.3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x14ac:dyDescent="0.3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x14ac:dyDescent="0.3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x14ac:dyDescent="0.3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x14ac:dyDescent="0.3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x14ac:dyDescent="0.3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x14ac:dyDescent="0.3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x14ac:dyDescent="0.3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x14ac:dyDescent="0.3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x14ac:dyDescent="0.3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x14ac:dyDescent="0.3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x14ac:dyDescent="0.3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x14ac:dyDescent="0.3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x14ac:dyDescent="0.3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x14ac:dyDescent="0.3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x14ac:dyDescent="0.3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x14ac:dyDescent="0.35">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x14ac:dyDescent="0.3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x14ac:dyDescent="0.3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x14ac:dyDescent="0.3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x14ac:dyDescent="0.3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x14ac:dyDescent="0.3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x14ac:dyDescent="0.3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x14ac:dyDescent="0.3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x14ac:dyDescent="0.3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x14ac:dyDescent="0.3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x14ac:dyDescent="0.3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x14ac:dyDescent="0.3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x14ac:dyDescent="0.3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x14ac:dyDescent="0.3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x14ac:dyDescent="0.3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x14ac:dyDescent="0.3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x14ac:dyDescent="0.3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x14ac:dyDescent="0.3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x14ac:dyDescent="0.3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x14ac:dyDescent="0.3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x14ac:dyDescent="0.3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x14ac:dyDescent="0.3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x14ac:dyDescent="0.3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x14ac:dyDescent="0.3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x14ac:dyDescent="0.3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x14ac:dyDescent="0.3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x14ac:dyDescent="0.35">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x14ac:dyDescent="0.35">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x14ac:dyDescent="0.35">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x14ac:dyDescent="0.35">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x14ac:dyDescent="0.35">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60">
        <v>0</v>
      </c>
      <c r="P495" s="31" t="s">
        <v>42</v>
      </c>
      <c r="Q495" s="3">
        <v>2026</v>
      </c>
      <c r="R495" s="17"/>
      <c r="S495" s="17" t="s">
        <v>507</v>
      </c>
      <c r="T495" s="14">
        <v>46196</v>
      </c>
      <c r="U495" s="31" t="s">
        <v>1460</v>
      </c>
      <c r="V495" s="18"/>
      <c r="W495" s="17"/>
      <c r="X495" s="31" t="s">
        <v>1728</v>
      </c>
      <c r="Y495" s="18"/>
    </row>
    <row r="496" spans="1:25" x14ac:dyDescent="0.35">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x14ac:dyDescent="0.35">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28" t="s">
        <v>1735</v>
      </c>
      <c r="M497" s="28">
        <v>100000</v>
      </c>
      <c r="N497" s="28" t="s">
        <v>1736</v>
      </c>
      <c r="O497" s="28">
        <v>24</v>
      </c>
      <c r="P497" s="28" t="s">
        <v>56</v>
      </c>
      <c r="Q497" s="3">
        <v>2026</v>
      </c>
      <c r="R497" s="28" t="s">
        <v>1737</v>
      </c>
      <c r="S497" s="3" t="s">
        <v>43</v>
      </c>
      <c r="T497" s="61">
        <v>46051</v>
      </c>
      <c r="U497" s="28"/>
      <c r="V497" s="4"/>
      <c r="W497" s="3"/>
      <c r="X497" s="28" t="s">
        <v>1738</v>
      </c>
      <c r="Y497" s="4"/>
    </row>
    <row r="498" spans="1:25" x14ac:dyDescent="0.35">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31" t="s">
        <v>1742</v>
      </c>
      <c r="M498" s="31">
        <v>43000</v>
      </c>
      <c r="N498" s="31" t="s">
        <v>1743</v>
      </c>
      <c r="O498" s="31">
        <v>36</v>
      </c>
      <c r="P498" s="31" t="s">
        <v>56</v>
      </c>
      <c r="Q498" s="3">
        <v>2026</v>
      </c>
      <c r="R498" s="31" t="s">
        <v>1744</v>
      </c>
      <c r="S498" s="3" t="s">
        <v>43</v>
      </c>
      <c r="T498" s="62">
        <v>46142</v>
      </c>
      <c r="U498" s="31" t="s">
        <v>1105</v>
      </c>
      <c r="V498" s="4"/>
      <c r="W498" s="3"/>
      <c r="X498" s="31" t="s">
        <v>1745</v>
      </c>
      <c r="Y498" s="4"/>
    </row>
    <row r="499" spans="1:25" x14ac:dyDescent="0.35">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31" t="s">
        <v>1746</v>
      </c>
      <c r="M499" s="31">
        <v>30416</v>
      </c>
      <c r="N499" s="31" t="s">
        <v>1747</v>
      </c>
      <c r="O499" s="31">
        <v>36</v>
      </c>
      <c r="P499" s="31" t="s">
        <v>56</v>
      </c>
      <c r="Q499" s="3">
        <v>2026</v>
      </c>
      <c r="R499" s="31" t="s">
        <v>1744</v>
      </c>
      <c r="S499" s="3" t="s">
        <v>43</v>
      </c>
      <c r="T499" s="62">
        <v>46143</v>
      </c>
      <c r="U499" s="31" t="s">
        <v>1105</v>
      </c>
      <c r="V499" s="4"/>
      <c r="W499" s="3"/>
      <c r="X499" s="31" t="s">
        <v>1748</v>
      </c>
      <c r="Y499" s="4"/>
    </row>
    <row r="500" spans="1:25" x14ac:dyDescent="0.35">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31" t="s">
        <v>1752</v>
      </c>
      <c r="M500" s="31">
        <v>1153.8499999999999</v>
      </c>
      <c r="N500" s="31" t="s">
        <v>1753</v>
      </c>
      <c r="O500" s="31">
        <v>12</v>
      </c>
      <c r="P500" s="31" t="s">
        <v>53</v>
      </c>
      <c r="Q500" s="3">
        <v>2026</v>
      </c>
      <c r="R500" s="31" t="s">
        <v>1460</v>
      </c>
      <c r="S500" s="3" t="s">
        <v>43</v>
      </c>
      <c r="T500" s="62">
        <v>46023</v>
      </c>
      <c r="U500" s="31" t="s">
        <v>1460</v>
      </c>
      <c r="V500" s="18"/>
      <c r="W500" s="17"/>
      <c r="X500" s="31" t="s">
        <v>1460</v>
      </c>
      <c r="Y500" s="18"/>
    </row>
    <row r="501" spans="1:25" x14ac:dyDescent="0.35">
      <c r="A501" s="3">
        <v>501</v>
      </c>
      <c r="B501" s="17" t="s">
        <v>1714</v>
      </c>
      <c r="C501" s="17" t="s">
        <v>560</v>
      </c>
      <c r="D501" s="17" t="s">
        <v>561</v>
      </c>
      <c r="E501" s="17" t="s">
        <v>562</v>
      </c>
      <c r="F501" s="17" t="s">
        <v>563</v>
      </c>
      <c r="G501" s="17" t="s">
        <v>61</v>
      </c>
      <c r="H501" s="17">
        <f>VALUE(MID(LEFT(Table1[[#This Row],[Unique ID]], FIND("/", Table1[[#This Row],[Unique ID]]) - 1), 2, LEN(Table1[[#This Row],[Unique ID]])))</f>
        <v>8</v>
      </c>
      <c r="I501" s="17" t="s">
        <v>37</v>
      </c>
      <c r="J501" s="17"/>
      <c r="K501" s="31" t="s">
        <v>53</v>
      </c>
      <c r="L501" s="17" t="s">
        <v>1764</v>
      </c>
      <c r="M501" s="26">
        <v>97509</v>
      </c>
      <c r="N501" s="17" t="s">
        <v>1763</v>
      </c>
      <c r="O501" s="31">
        <v>12</v>
      </c>
      <c r="P501" s="31" t="s">
        <v>53</v>
      </c>
      <c r="Q501" s="63">
        <v>2026</v>
      </c>
      <c r="R501" s="17" t="s">
        <v>1762</v>
      </c>
      <c r="S501" s="17" t="s">
        <v>507</v>
      </c>
      <c r="T501" s="62">
        <v>46216</v>
      </c>
      <c r="U501" s="31" t="s">
        <v>1105</v>
      </c>
      <c r="V501" s="18"/>
      <c r="W501" s="17"/>
      <c r="X501" s="18"/>
      <c r="Y501"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3" workbookViewId="0">
      <selection activeCell="G6" sqref="G6"/>
    </sheetView>
  </sheetViews>
  <sheetFormatPr defaultRowHeight="14.5" x14ac:dyDescent="0.35"/>
  <cols>
    <col min="1" max="1" width="22.1796875" bestFit="1" customWidth="1"/>
    <col min="2" max="2" width="11.1796875" style="35" bestFit="1" customWidth="1"/>
    <col min="3" max="9" width="11.1796875" bestFit="1" customWidth="1"/>
  </cols>
  <sheetData>
    <row r="1" spans="1:5" x14ac:dyDescent="0.35">
      <c r="A1" s="5" t="s">
        <v>17</v>
      </c>
      <c r="B1" t="s">
        <v>1754</v>
      </c>
    </row>
    <row r="2" spans="1:5" x14ac:dyDescent="0.35">
      <c r="A2" s="5" t="s">
        <v>18</v>
      </c>
      <c r="B2" t="s">
        <v>1754</v>
      </c>
    </row>
    <row r="3" spans="1:5" x14ac:dyDescent="0.35">
      <c r="A3" s="5" t="s">
        <v>20</v>
      </c>
      <c r="B3" t="s">
        <v>1754</v>
      </c>
    </row>
    <row r="4" spans="1:5" x14ac:dyDescent="0.35">
      <c r="B4"/>
    </row>
    <row r="5" spans="1:5" x14ac:dyDescent="0.35">
      <c r="A5" s="5" t="s">
        <v>1755</v>
      </c>
      <c r="B5" s="5" t="s">
        <v>8</v>
      </c>
    </row>
    <row r="6" spans="1:5" x14ac:dyDescent="0.35">
      <c r="A6" s="5" t="s">
        <v>4</v>
      </c>
      <c r="B6" t="s">
        <v>61</v>
      </c>
      <c r="C6" t="s">
        <v>35</v>
      </c>
      <c r="D6" t="s">
        <v>29</v>
      </c>
      <c r="E6" t="s">
        <v>1756</v>
      </c>
    </row>
    <row r="7" spans="1:5" x14ac:dyDescent="0.35">
      <c r="A7" t="s">
        <v>741</v>
      </c>
      <c r="B7" s="13"/>
      <c r="C7" s="13">
        <v>6123726</v>
      </c>
      <c r="D7" s="13"/>
      <c r="E7" s="13">
        <v>6123726</v>
      </c>
    </row>
    <row r="8" spans="1:5" x14ac:dyDescent="0.35">
      <c r="A8">
        <v>2016</v>
      </c>
      <c r="B8" s="13"/>
      <c r="C8" s="13"/>
      <c r="D8" s="13">
        <v>5227040</v>
      </c>
      <c r="E8" s="13">
        <v>5227040</v>
      </c>
    </row>
    <row r="9" spans="1:5" x14ac:dyDescent="0.35">
      <c r="A9" t="s">
        <v>704</v>
      </c>
      <c r="B9" s="13">
        <v>5000000</v>
      </c>
      <c r="C9" s="13"/>
      <c r="D9" s="13"/>
      <c r="E9" s="13">
        <v>5000000</v>
      </c>
    </row>
    <row r="10" spans="1:5" x14ac:dyDescent="0.35">
      <c r="A10" t="s">
        <v>469</v>
      </c>
      <c r="B10" s="13">
        <v>3683000</v>
      </c>
      <c r="C10" s="13"/>
      <c r="D10" s="13"/>
      <c r="E10" s="13">
        <v>3683000</v>
      </c>
    </row>
    <row r="11" spans="1:5" x14ac:dyDescent="0.35">
      <c r="A11" t="s">
        <v>205</v>
      </c>
      <c r="B11" s="13"/>
      <c r="C11" s="13">
        <v>3345121</v>
      </c>
      <c r="D11" s="13"/>
      <c r="E11" s="13">
        <v>3345121</v>
      </c>
    </row>
    <row r="12" spans="1:5" x14ac:dyDescent="0.35">
      <c r="A12" t="s">
        <v>646</v>
      </c>
      <c r="B12" s="13"/>
      <c r="C12" s="13">
        <v>2035038.5299999998</v>
      </c>
      <c r="D12" s="13"/>
      <c r="E12" s="13">
        <v>2035038.5299999998</v>
      </c>
    </row>
    <row r="13" spans="1:5" x14ac:dyDescent="0.35">
      <c r="A13" t="s">
        <v>287</v>
      </c>
      <c r="B13" s="13"/>
      <c r="C13" s="13">
        <v>1926920.77</v>
      </c>
      <c r="D13" s="13"/>
      <c r="E13" s="13">
        <v>1926920.77</v>
      </c>
    </row>
    <row r="14" spans="1:5" x14ac:dyDescent="0.35">
      <c r="A14" t="s">
        <v>549</v>
      </c>
      <c r="B14" s="13">
        <v>1898763.53</v>
      </c>
      <c r="C14" s="13"/>
      <c r="D14" s="13"/>
      <c r="E14" s="13">
        <v>1898763.53</v>
      </c>
    </row>
    <row r="15" spans="1:5" x14ac:dyDescent="0.35">
      <c r="A15" t="s">
        <v>1050</v>
      </c>
      <c r="B15" s="13"/>
      <c r="C15" s="13">
        <v>1419000</v>
      </c>
      <c r="D15" s="13"/>
      <c r="E15" s="13">
        <v>1419000</v>
      </c>
    </row>
    <row r="16" spans="1:5" x14ac:dyDescent="0.35">
      <c r="A16" t="s">
        <v>716</v>
      </c>
      <c r="B16" s="13">
        <v>1391000</v>
      </c>
      <c r="C16" s="13"/>
      <c r="D16" s="13"/>
      <c r="E16" s="13">
        <v>1391000</v>
      </c>
    </row>
    <row r="17" spans="1:5" x14ac:dyDescent="0.35">
      <c r="A17" t="s">
        <v>120</v>
      </c>
      <c r="B17" s="13"/>
      <c r="C17" s="13">
        <v>1102552</v>
      </c>
      <c r="D17" s="13"/>
      <c r="E17" s="13">
        <v>1102552</v>
      </c>
    </row>
    <row r="18" spans="1:5" x14ac:dyDescent="0.35">
      <c r="A18" t="s">
        <v>321</v>
      </c>
      <c r="B18" s="13">
        <v>996505</v>
      </c>
      <c r="C18" s="13"/>
      <c r="D18" s="13"/>
      <c r="E18" s="13">
        <v>996505</v>
      </c>
    </row>
    <row r="19" spans="1:5" x14ac:dyDescent="0.35">
      <c r="A19" t="s">
        <v>326</v>
      </c>
      <c r="B19" s="13">
        <v>883100</v>
      </c>
      <c r="C19" s="13"/>
      <c r="D19" s="13"/>
      <c r="E19" s="13">
        <v>883100</v>
      </c>
    </row>
    <row r="20" spans="1:5" x14ac:dyDescent="0.35">
      <c r="A20" t="s">
        <v>381</v>
      </c>
      <c r="B20" s="13">
        <v>850939.32000000007</v>
      </c>
      <c r="C20" s="13"/>
      <c r="D20" s="13"/>
      <c r="E20" s="13">
        <v>850939.32000000007</v>
      </c>
    </row>
    <row r="21" spans="1:5" x14ac:dyDescent="0.35">
      <c r="A21" t="s">
        <v>687</v>
      </c>
      <c r="B21" s="13"/>
      <c r="C21" s="13">
        <v>778554</v>
      </c>
      <c r="D21" s="13"/>
      <c r="E21" s="13">
        <v>778554</v>
      </c>
    </row>
    <row r="22" spans="1:5" x14ac:dyDescent="0.35">
      <c r="A22" t="s">
        <v>394</v>
      </c>
      <c r="B22" s="13">
        <v>750298</v>
      </c>
      <c r="C22" s="13"/>
      <c r="D22" s="13"/>
      <c r="E22" s="13">
        <v>750298</v>
      </c>
    </row>
    <row r="23" spans="1:5" x14ac:dyDescent="0.35">
      <c r="A23" t="s">
        <v>263</v>
      </c>
      <c r="B23" s="13">
        <v>725264.68</v>
      </c>
      <c r="C23" s="13"/>
      <c r="D23" s="13"/>
      <c r="E23" s="13">
        <v>725264.68</v>
      </c>
    </row>
    <row r="24" spans="1:5" x14ac:dyDescent="0.35">
      <c r="A24" t="s">
        <v>235</v>
      </c>
      <c r="B24" s="13"/>
      <c r="C24" s="13">
        <v>719926</v>
      </c>
      <c r="D24" s="13"/>
      <c r="E24" s="13">
        <v>719926</v>
      </c>
    </row>
    <row r="25" spans="1:5" x14ac:dyDescent="0.35">
      <c r="A25" t="s">
        <v>961</v>
      </c>
      <c r="B25" s="13"/>
      <c r="C25" s="13">
        <v>613311.71</v>
      </c>
      <c r="D25" s="13"/>
      <c r="E25" s="13">
        <v>613311.71</v>
      </c>
    </row>
    <row r="26" spans="1:5" x14ac:dyDescent="0.35">
      <c r="A26" t="s">
        <v>303</v>
      </c>
      <c r="B26" s="13"/>
      <c r="C26" s="13">
        <v>504695.73</v>
      </c>
      <c r="D26" s="13"/>
      <c r="E26" s="13">
        <v>504695.73</v>
      </c>
    </row>
    <row r="27" spans="1:5" x14ac:dyDescent="0.35">
      <c r="A27" t="s">
        <v>409</v>
      </c>
      <c r="B27" s="13"/>
      <c r="C27" s="13">
        <v>375000</v>
      </c>
      <c r="D27" s="13"/>
      <c r="E27" s="13">
        <v>375000</v>
      </c>
    </row>
    <row r="28" spans="1:5" x14ac:dyDescent="0.35">
      <c r="A28" t="s">
        <v>879</v>
      </c>
      <c r="B28" s="13">
        <v>345797.99</v>
      </c>
      <c r="C28" s="13"/>
      <c r="D28" s="13"/>
      <c r="E28" s="13">
        <v>345797.99</v>
      </c>
    </row>
    <row r="29" spans="1:5" x14ac:dyDescent="0.35">
      <c r="A29" t="s">
        <v>1015</v>
      </c>
      <c r="B29" s="13">
        <v>305511</v>
      </c>
      <c r="C29" s="13"/>
      <c r="D29" s="13"/>
      <c r="E29" s="13">
        <v>305511</v>
      </c>
    </row>
    <row r="30" spans="1:5" x14ac:dyDescent="0.35">
      <c r="A30" t="s">
        <v>747</v>
      </c>
      <c r="B30" s="13">
        <v>277989.58</v>
      </c>
      <c r="C30" s="13"/>
      <c r="D30" s="13"/>
      <c r="E30" s="13">
        <v>277989.58</v>
      </c>
    </row>
    <row r="31" spans="1:5" x14ac:dyDescent="0.35">
      <c r="A31" t="s">
        <v>89</v>
      </c>
      <c r="B31" s="13">
        <v>251130</v>
      </c>
      <c r="C31" s="13"/>
      <c r="D31" s="13"/>
      <c r="E31" s="13">
        <v>251130</v>
      </c>
    </row>
    <row r="32" spans="1:5" x14ac:dyDescent="0.35">
      <c r="A32" t="s">
        <v>711</v>
      </c>
      <c r="B32" s="13">
        <v>251128</v>
      </c>
      <c r="C32" s="13"/>
      <c r="D32" s="13"/>
      <c r="E32" s="13">
        <v>251128</v>
      </c>
    </row>
    <row r="33" spans="1:5" x14ac:dyDescent="0.35">
      <c r="A33" t="s">
        <v>766</v>
      </c>
      <c r="B33" s="13"/>
      <c r="C33" s="13">
        <v>242972</v>
      </c>
      <c r="D33" s="13"/>
      <c r="E33" s="13">
        <v>242972</v>
      </c>
    </row>
    <row r="34" spans="1:5" x14ac:dyDescent="0.35">
      <c r="A34" t="s">
        <v>812</v>
      </c>
      <c r="B34" s="13">
        <v>220000</v>
      </c>
      <c r="C34" s="13"/>
      <c r="D34" s="13"/>
      <c r="E34" s="13">
        <v>220000</v>
      </c>
    </row>
    <row r="35" spans="1:5" x14ac:dyDescent="0.35">
      <c r="A35" t="s">
        <v>920</v>
      </c>
      <c r="B35" s="13"/>
      <c r="C35" s="13">
        <v>210000</v>
      </c>
      <c r="D35" s="13"/>
      <c r="E35" s="13">
        <v>210000</v>
      </c>
    </row>
    <row r="36" spans="1:5" x14ac:dyDescent="0.35">
      <c r="A36" t="s">
        <v>1588</v>
      </c>
      <c r="B36" s="13">
        <v>200000</v>
      </c>
      <c r="C36" s="13"/>
      <c r="D36" s="13"/>
      <c r="E36" s="13">
        <v>200000</v>
      </c>
    </row>
    <row r="37" spans="1:5" x14ac:dyDescent="0.35">
      <c r="A37" t="s">
        <v>641</v>
      </c>
      <c r="B37" s="13">
        <v>189690</v>
      </c>
      <c r="C37" s="13"/>
      <c r="D37" s="13"/>
      <c r="E37" s="13">
        <v>189690</v>
      </c>
    </row>
    <row r="38" spans="1:5" x14ac:dyDescent="0.35">
      <c r="A38" t="s">
        <v>134</v>
      </c>
      <c r="B38" s="13"/>
      <c r="C38" s="13">
        <v>158000</v>
      </c>
      <c r="D38" s="13"/>
      <c r="E38" s="13">
        <v>158000</v>
      </c>
    </row>
    <row r="39" spans="1:5" x14ac:dyDescent="0.35">
      <c r="A39" t="s">
        <v>100</v>
      </c>
      <c r="B39" s="13">
        <v>150561</v>
      </c>
      <c r="C39" s="13"/>
      <c r="D39" s="13"/>
      <c r="E39" s="13">
        <v>150561</v>
      </c>
    </row>
    <row r="40" spans="1:5" x14ac:dyDescent="0.35">
      <c r="A40" t="s">
        <v>560</v>
      </c>
      <c r="B40" s="13">
        <v>149553.72</v>
      </c>
      <c r="C40" s="13"/>
      <c r="D40" s="13"/>
      <c r="E40" s="13">
        <v>149553.72</v>
      </c>
    </row>
    <row r="41" spans="1:5" x14ac:dyDescent="0.35">
      <c r="A41" t="s">
        <v>432</v>
      </c>
      <c r="B41" s="13"/>
      <c r="C41" s="13">
        <v>128974</v>
      </c>
      <c r="D41" s="13"/>
      <c r="E41" s="13">
        <v>128974</v>
      </c>
    </row>
    <row r="42" spans="1:5" x14ac:dyDescent="0.35">
      <c r="A42" t="s">
        <v>774</v>
      </c>
      <c r="B42" s="13">
        <v>127754</v>
      </c>
      <c r="C42" s="13"/>
      <c r="D42" s="13"/>
      <c r="E42" s="13">
        <v>127754</v>
      </c>
    </row>
    <row r="43" spans="1:5" x14ac:dyDescent="0.35">
      <c r="A43" t="s">
        <v>269</v>
      </c>
      <c r="B43" s="13">
        <v>127700</v>
      </c>
      <c r="C43" s="13"/>
      <c r="D43" s="13"/>
      <c r="E43" s="13">
        <v>127700</v>
      </c>
    </row>
    <row r="44" spans="1:5" x14ac:dyDescent="0.35">
      <c r="A44" t="s">
        <v>361</v>
      </c>
      <c r="B44" s="13"/>
      <c r="C44" s="13">
        <v>121300</v>
      </c>
      <c r="D44" s="13"/>
      <c r="E44" s="13">
        <v>121300</v>
      </c>
    </row>
    <row r="45" spans="1:5" x14ac:dyDescent="0.35">
      <c r="A45" t="s">
        <v>1043</v>
      </c>
      <c r="B45" s="13"/>
      <c r="C45" s="13">
        <v>103352.20999999999</v>
      </c>
      <c r="D45" s="13"/>
      <c r="E45" s="13">
        <v>103352.20999999999</v>
      </c>
    </row>
    <row r="46" spans="1:5" x14ac:dyDescent="0.35">
      <c r="A46" t="s">
        <v>218</v>
      </c>
      <c r="B46" s="13">
        <v>100000</v>
      </c>
      <c r="C46" s="13"/>
      <c r="D46" s="13"/>
      <c r="E46" s="13">
        <v>100000</v>
      </c>
    </row>
    <row r="47" spans="1:5" x14ac:dyDescent="0.35">
      <c r="A47" t="s">
        <v>1732</v>
      </c>
      <c r="B47" s="13">
        <v>100000</v>
      </c>
      <c r="C47" s="13"/>
      <c r="D47" s="13"/>
      <c r="E47" s="13">
        <v>100000</v>
      </c>
    </row>
    <row r="48" spans="1:5" x14ac:dyDescent="0.35">
      <c r="A48" t="s">
        <v>199</v>
      </c>
      <c r="B48" s="13"/>
      <c r="C48" s="13">
        <v>100000</v>
      </c>
      <c r="D48" s="13"/>
      <c r="E48" s="13">
        <v>100000</v>
      </c>
    </row>
    <row r="49" spans="1:5" x14ac:dyDescent="0.35">
      <c r="A49" t="s">
        <v>414</v>
      </c>
      <c r="B49" s="13">
        <v>97866.4</v>
      </c>
      <c r="C49" s="13"/>
      <c r="D49" s="13"/>
      <c r="E49" s="13">
        <v>97866.4</v>
      </c>
    </row>
    <row r="50" spans="1:5" x14ac:dyDescent="0.35">
      <c r="A50" t="s">
        <v>803</v>
      </c>
      <c r="B50" s="13"/>
      <c r="C50" s="13">
        <v>91320</v>
      </c>
      <c r="D50" s="13"/>
      <c r="E50" s="13">
        <v>91320</v>
      </c>
    </row>
    <row r="51" spans="1:5" x14ac:dyDescent="0.35">
      <c r="A51" t="s">
        <v>1601</v>
      </c>
      <c r="B51" s="13"/>
      <c r="C51" s="13">
        <v>85000</v>
      </c>
      <c r="D51" s="13"/>
      <c r="E51" s="13">
        <v>85000</v>
      </c>
    </row>
    <row r="52" spans="1:5" x14ac:dyDescent="0.35">
      <c r="A52" t="s">
        <v>760</v>
      </c>
      <c r="B52" s="13">
        <v>80499</v>
      </c>
      <c r="C52" s="13"/>
      <c r="D52" s="13"/>
      <c r="E52" s="13">
        <v>80499</v>
      </c>
    </row>
    <row r="53" spans="1:5" x14ac:dyDescent="0.35">
      <c r="A53" t="s">
        <v>1739</v>
      </c>
      <c r="B53" s="13">
        <v>73416</v>
      </c>
      <c r="C53" s="13"/>
      <c r="D53" s="13"/>
      <c r="E53" s="13">
        <v>73416</v>
      </c>
    </row>
    <row r="54" spans="1:5" x14ac:dyDescent="0.35">
      <c r="A54" t="s">
        <v>1482</v>
      </c>
      <c r="B54" s="13">
        <v>71990</v>
      </c>
      <c r="C54" s="13"/>
      <c r="D54" s="13"/>
      <c r="E54" s="13">
        <v>71990</v>
      </c>
    </row>
    <row r="55" spans="1:5" x14ac:dyDescent="0.35">
      <c r="A55" t="s">
        <v>906</v>
      </c>
      <c r="B55" s="13">
        <v>65693.259999999995</v>
      </c>
      <c r="C55" s="13"/>
      <c r="D55" s="13"/>
      <c r="E55" s="13">
        <v>65693.259999999995</v>
      </c>
    </row>
    <row r="56" spans="1:5" x14ac:dyDescent="0.35">
      <c r="A56" t="s">
        <v>57</v>
      </c>
      <c r="B56" s="13">
        <v>65488</v>
      </c>
      <c r="C56" s="13"/>
      <c r="D56" s="13"/>
      <c r="E56" s="13">
        <v>65488</v>
      </c>
    </row>
    <row r="57" spans="1:5" x14ac:dyDescent="0.35">
      <c r="A57" t="s">
        <v>608</v>
      </c>
      <c r="B57" s="13"/>
      <c r="C57" s="13">
        <v>64904.729999999996</v>
      </c>
      <c r="D57" s="13"/>
      <c r="E57" s="13">
        <v>64904.729999999996</v>
      </c>
    </row>
    <row r="58" spans="1:5" x14ac:dyDescent="0.35">
      <c r="A58" t="s">
        <v>899</v>
      </c>
      <c r="B58" s="13"/>
      <c r="C58" s="13">
        <v>63557</v>
      </c>
      <c r="D58" s="13"/>
      <c r="E58" s="13">
        <v>63557</v>
      </c>
    </row>
    <row r="59" spans="1:5" x14ac:dyDescent="0.35">
      <c r="A59" t="s">
        <v>590</v>
      </c>
      <c r="B59" s="13"/>
      <c r="C59" s="13">
        <v>60000</v>
      </c>
      <c r="D59" s="13"/>
      <c r="E59" s="13">
        <v>60000</v>
      </c>
    </row>
    <row r="60" spans="1:5" x14ac:dyDescent="0.35">
      <c r="A60" t="s">
        <v>141</v>
      </c>
      <c r="B60" s="13">
        <v>59012.640000000007</v>
      </c>
      <c r="C60" s="13"/>
      <c r="D60" s="13"/>
      <c r="E60" s="13">
        <v>59012.640000000007</v>
      </c>
    </row>
    <row r="61" spans="1:5" x14ac:dyDescent="0.35">
      <c r="A61" t="s">
        <v>978</v>
      </c>
      <c r="B61" s="13"/>
      <c r="C61" s="13">
        <v>56000</v>
      </c>
      <c r="D61" s="13"/>
      <c r="E61" s="13">
        <v>56000</v>
      </c>
    </row>
    <row r="62" spans="1:5" x14ac:dyDescent="0.35">
      <c r="A62" t="s">
        <v>526</v>
      </c>
      <c r="B62" s="13">
        <v>52181.040000000008</v>
      </c>
      <c r="C62" s="13"/>
      <c r="D62" s="13"/>
      <c r="E62" s="13">
        <v>52181.040000000008</v>
      </c>
    </row>
    <row r="63" spans="1:5" x14ac:dyDescent="0.35">
      <c r="A63" t="s">
        <v>955</v>
      </c>
      <c r="B63" s="13">
        <v>52054</v>
      </c>
      <c r="C63" s="13"/>
      <c r="D63" s="13"/>
      <c r="E63" s="13">
        <v>52054</v>
      </c>
    </row>
    <row r="64" spans="1:5" x14ac:dyDescent="0.35">
      <c r="A64" t="s">
        <v>1513</v>
      </c>
      <c r="B64" s="13"/>
      <c r="C64" s="13">
        <v>51500</v>
      </c>
      <c r="D64" s="13"/>
      <c r="E64" s="13">
        <v>51500</v>
      </c>
    </row>
    <row r="65" spans="1:5" x14ac:dyDescent="0.35">
      <c r="A65" t="s">
        <v>885</v>
      </c>
      <c r="B65" s="13">
        <v>51000</v>
      </c>
      <c r="C65" s="13"/>
      <c r="D65" s="13"/>
      <c r="E65" s="13">
        <v>51000</v>
      </c>
    </row>
    <row r="66" spans="1:5" x14ac:dyDescent="0.35">
      <c r="A66" t="s">
        <v>1662</v>
      </c>
      <c r="B66" s="13">
        <v>50000</v>
      </c>
      <c r="C66" s="13"/>
      <c r="D66" s="13"/>
      <c r="E66" s="13">
        <v>50000</v>
      </c>
    </row>
    <row r="67" spans="1:5" x14ac:dyDescent="0.35">
      <c r="A67" t="s">
        <v>1257</v>
      </c>
      <c r="B67" s="13"/>
      <c r="C67" s="13">
        <v>50000</v>
      </c>
      <c r="D67" s="13"/>
      <c r="E67" s="13">
        <v>50000</v>
      </c>
    </row>
    <row r="68" spans="1:5" x14ac:dyDescent="0.35">
      <c r="A68" t="s">
        <v>515</v>
      </c>
      <c r="B68" s="13"/>
      <c r="C68" s="13">
        <v>46500</v>
      </c>
      <c r="D68" s="13"/>
      <c r="E68" s="13">
        <v>46500</v>
      </c>
    </row>
    <row r="69" spans="1:5" x14ac:dyDescent="0.35">
      <c r="A69" t="s">
        <v>543</v>
      </c>
      <c r="B69" s="13">
        <v>46000</v>
      </c>
      <c r="C69" s="13"/>
      <c r="D69" s="13"/>
      <c r="E69" s="13">
        <v>46000</v>
      </c>
    </row>
    <row r="70" spans="1:5" x14ac:dyDescent="0.35">
      <c r="A70" t="s">
        <v>389</v>
      </c>
      <c r="B70" s="13">
        <v>43650</v>
      </c>
      <c r="C70" s="13"/>
      <c r="D70" s="13"/>
      <c r="E70" s="13">
        <v>43650</v>
      </c>
    </row>
    <row r="71" spans="1:5" x14ac:dyDescent="0.35">
      <c r="A71" t="s">
        <v>31</v>
      </c>
      <c r="B71" s="13"/>
      <c r="C71" s="13">
        <v>43452</v>
      </c>
      <c r="D71" s="13"/>
      <c r="E71" s="13">
        <v>43452</v>
      </c>
    </row>
    <row r="72" spans="1:5" x14ac:dyDescent="0.35">
      <c r="A72" t="s">
        <v>664</v>
      </c>
      <c r="B72" s="13">
        <v>40497</v>
      </c>
      <c r="C72" s="13"/>
      <c r="D72" s="13"/>
      <c r="E72" s="13">
        <v>40497</v>
      </c>
    </row>
    <row r="73" spans="1:5" x14ac:dyDescent="0.35">
      <c r="A73" t="s">
        <v>537</v>
      </c>
      <c r="B73" s="13">
        <v>40000</v>
      </c>
      <c r="C73" s="13"/>
      <c r="D73" s="13"/>
      <c r="E73" s="13">
        <v>40000</v>
      </c>
    </row>
    <row r="74" spans="1:5" x14ac:dyDescent="0.35">
      <c r="A74" t="s">
        <v>347</v>
      </c>
      <c r="B74" s="13"/>
      <c r="C74" s="13">
        <v>38015.22</v>
      </c>
      <c r="D74" s="13"/>
      <c r="E74" s="13">
        <v>38015.22</v>
      </c>
    </row>
    <row r="75" spans="1:5" x14ac:dyDescent="0.35">
      <c r="A75" t="s">
        <v>598</v>
      </c>
      <c r="B75" s="13">
        <v>37700</v>
      </c>
      <c r="C75" s="13"/>
      <c r="D75" s="13"/>
      <c r="E75" s="13">
        <v>37700</v>
      </c>
    </row>
    <row r="76" spans="1:5" x14ac:dyDescent="0.35">
      <c r="A76" t="s">
        <v>1174</v>
      </c>
      <c r="B76" s="13">
        <v>37500</v>
      </c>
      <c r="C76" s="13"/>
      <c r="D76" s="13"/>
      <c r="E76" s="13">
        <v>37500</v>
      </c>
    </row>
    <row r="77" spans="1:5" x14ac:dyDescent="0.35">
      <c r="A77" t="s">
        <v>873</v>
      </c>
      <c r="B77" s="13"/>
      <c r="C77" s="13">
        <v>35535.760000000002</v>
      </c>
      <c r="D77" s="13"/>
      <c r="E77" s="13">
        <v>35535.760000000002</v>
      </c>
    </row>
    <row r="78" spans="1:5" x14ac:dyDescent="0.35">
      <c r="A78" t="s">
        <v>489</v>
      </c>
      <c r="B78" s="13">
        <v>33548</v>
      </c>
      <c r="C78" s="13"/>
      <c r="D78" s="13"/>
      <c r="E78" s="13">
        <v>33548</v>
      </c>
    </row>
    <row r="79" spans="1:5" x14ac:dyDescent="0.35">
      <c r="A79" t="s">
        <v>508</v>
      </c>
      <c r="B79" s="13"/>
      <c r="C79" s="13">
        <v>33015.949999999997</v>
      </c>
      <c r="D79" s="13"/>
      <c r="E79" s="13">
        <v>33015.949999999997</v>
      </c>
    </row>
    <row r="80" spans="1:5" x14ac:dyDescent="0.35">
      <c r="A80" t="s">
        <v>1466</v>
      </c>
      <c r="B80" s="13">
        <v>30000</v>
      </c>
      <c r="C80" s="13"/>
      <c r="D80" s="13"/>
      <c r="E80" s="13">
        <v>30000</v>
      </c>
    </row>
    <row r="81" spans="1:5" x14ac:dyDescent="0.35">
      <c r="A81" t="s">
        <v>565</v>
      </c>
      <c r="B81" s="13">
        <v>26380.03</v>
      </c>
      <c r="C81" s="13"/>
      <c r="D81" s="13"/>
      <c r="E81" s="13">
        <v>26380.03</v>
      </c>
    </row>
    <row r="82" spans="1:5" x14ac:dyDescent="0.35">
      <c r="A82" t="s">
        <v>367</v>
      </c>
      <c r="B82" s="13">
        <v>25434</v>
      </c>
      <c r="C82" s="13"/>
      <c r="D82" s="13"/>
      <c r="E82" s="13">
        <v>25434</v>
      </c>
    </row>
    <row r="83" spans="1:5" x14ac:dyDescent="0.35">
      <c r="A83" t="s">
        <v>818</v>
      </c>
      <c r="B83" s="13"/>
      <c r="C83" s="13">
        <v>24990</v>
      </c>
      <c r="D83" s="13"/>
      <c r="E83" s="13">
        <v>24990</v>
      </c>
    </row>
    <row r="84" spans="1:5" x14ac:dyDescent="0.35">
      <c r="A84" t="s">
        <v>631</v>
      </c>
      <c r="B84" s="13">
        <v>24393</v>
      </c>
      <c r="C84" s="13"/>
      <c r="D84" s="13"/>
      <c r="E84" s="13">
        <v>24393</v>
      </c>
    </row>
    <row r="85" spans="1:5" x14ac:dyDescent="0.35">
      <c r="A85" t="s">
        <v>625</v>
      </c>
      <c r="B85" s="13"/>
      <c r="C85" s="13">
        <v>23888</v>
      </c>
      <c r="D85" s="13"/>
      <c r="E85" s="13">
        <v>23888</v>
      </c>
    </row>
    <row r="86" spans="1:5" x14ac:dyDescent="0.35">
      <c r="A86" t="s">
        <v>1417</v>
      </c>
      <c r="B86" s="13"/>
      <c r="C86" s="13">
        <v>21090</v>
      </c>
      <c r="D86" s="13"/>
      <c r="E86" s="13">
        <v>21090</v>
      </c>
    </row>
    <row r="87" spans="1:5" x14ac:dyDescent="0.35">
      <c r="A87" t="s">
        <v>192</v>
      </c>
      <c r="B87" s="13">
        <v>20000</v>
      </c>
      <c r="C87" s="13"/>
      <c r="D87" s="13"/>
      <c r="E87" s="13">
        <v>20000</v>
      </c>
    </row>
    <row r="88" spans="1:5" x14ac:dyDescent="0.35">
      <c r="A88" t="s">
        <v>1024</v>
      </c>
      <c r="B88" s="13"/>
      <c r="C88" s="13">
        <v>20000</v>
      </c>
      <c r="D88" s="13"/>
      <c r="E88" s="13">
        <v>20000</v>
      </c>
    </row>
    <row r="89" spans="1:5" x14ac:dyDescent="0.35">
      <c r="A89" t="s">
        <v>72</v>
      </c>
      <c r="B89" s="13"/>
      <c r="C89" s="13">
        <v>18250</v>
      </c>
      <c r="D89" s="13"/>
      <c r="E89" s="13">
        <v>18250</v>
      </c>
    </row>
    <row r="90" spans="1:5" x14ac:dyDescent="0.35">
      <c r="A90" t="s">
        <v>107</v>
      </c>
      <c r="B90" s="13"/>
      <c r="C90" s="13">
        <v>18193</v>
      </c>
      <c r="D90" s="13"/>
      <c r="E90" s="13">
        <v>18193</v>
      </c>
    </row>
    <row r="91" spans="1:5" x14ac:dyDescent="0.35">
      <c r="A91" t="s">
        <v>680</v>
      </c>
      <c r="B91" s="13"/>
      <c r="C91" s="13">
        <v>17179.64</v>
      </c>
      <c r="D91" s="13"/>
      <c r="E91" s="13">
        <v>17179.64</v>
      </c>
    </row>
    <row r="92" spans="1:5" x14ac:dyDescent="0.35">
      <c r="A92" t="s">
        <v>477</v>
      </c>
      <c r="B92" s="13">
        <v>17000</v>
      </c>
      <c r="C92" s="13"/>
      <c r="D92" s="13"/>
      <c r="E92" s="13">
        <v>17000</v>
      </c>
    </row>
    <row r="93" spans="1:5" x14ac:dyDescent="0.35">
      <c r="A93" t="s">
        <v>225</v>
      </c>
      <c r="B93" s="13">
        <v>16543</v>
      </c>
      <c r="C93" s="13"/>
      <c r="D93" s="13"/>
      <c r="E93" s="13">
        <v>16543</v>
      </c>
    </row>
    <row r="94" spans="1:5" x14ac:dyDescent="0.35">
      <c r="A94" t="s">
        <v>151</v>
      </c>
      <c r="B94" s="13">
        <v>15440</v>
      </c>
      <c r="C94" s="13"/>
      <c r="D94" s="13"/>
      <c r="E94" s="13">
        <v>15440</v>
      </c>
    </row>
    <row r="95" spans="1:5" x14ac:dyDescent="0.35">
      <c r="A95" t="s">
        <v>45</v>
      </c>
      <c r="B95" s="13"/>
      <c r="C95" s="13">
        <v>15000</v>
      </c>
      <c r="D95" s="13"/>
      <c r="E95" s="13">
        <v>15000</v>
      </c>
    </row>
    <row r="96" spans="1:5" x14ac:dyDescent="0.35">
      <c r="A96" t="s">
        <v>1132</v>
      </c>
      <c r="B96" s="13">
        <v>14500</v>
      </c>
      <c r="C96" s="13"/>
      <c r="D96" s="13"/>
      <c r="E96" s="13">
        <v>14500</v>
      </c>
    </row>
    <row r="97" spans="1:5" x14ac:dyDescent="0.35">
      <c r="A97" t="s">
        <v>675</v>
      </c>
      <c r="B97" s="13">
        <v>14300</v>
      </c>
      <c r="C97" s="13"/>
      <c r="D97" s="13"/>
      <c r="E97" s="13">
        <v>14300</v>
      </c>
    </row>
    <row r="98" spans="1:5" x14ac:dyDescent="0.35">
      <c r="A98" t="s">
        <v>574</v>
      </c>
      <c r="B98" s="13">
        <v>14178</v>
      </c>
      <c r="C98" s="13"/>
      <c r="D98" s="13"/>
      <c r="E98" s="13">
        <v>14178</v>
      </c>
    </row>
    <row r="99" spans="1:5" x14ac:dyDescent="0.35">
      <c r="A99" t="s">
        <v>863</v>
      </c>
      <c r="B99" s="13"/>
      <c r="C99" s="13">
        <v>13870</v>
      </c>
      <c r="D99" s="13"/>
      <c r="E99" s="13">
        <v>13870</v>
      </c>
    </row>
    <row r="100" spans="1:5" x14ac:dyDescent="0.35">
      <c r="A100" t="s">
        <v>278</v>
      </c>
      <c r="B100" s="13">
        <v>13500</v>
      </c>
      <c r="C100" s="13"/>
      <c r="D100" s="13"/>
      <c r="E100" s="13">
        <v>13500</v>
      </c>
    </row>
    <row r="101" spans="1:5" x14ac:dyDescent="0.35">
      <c r="A101" t="s">
        <v>336</v>
      </c>
      <c r="B101" s="13">
        <v>13500</v>
      </c>
      <c r="C101" s="13"/>
      <c r="D101" s="13"/>
      <c r="E101" s="13">
        <v>13500</v>
      </c>
    </row>
    <row r="102" spans="1:5" x14ac:dyDescent="0.35">
      <c r="A102" t="s">
        <v>731</v>
      </c>
      <c r="B102" s="13"/>
      <c r="C102" s="13">
        <v>13500</v>
      </c>
      <c r="D102" s="13"/>
      <c r="E102" s="13">
        <v>13500</v>
      </c>
    </row>
    <row r="103" spans="1:5" x14ac:dyDescent="0.35">
      <c r="A103" t="s">
        <v>659</v>
      </c>
      <c r="B103" s="13">
        <v>12579.59</v>
      </c>
      <c r="C103" s="13"/>
      <c r="D103" s="13"/>
      <c r="E103" s="13">
        <v>12579.59</v>
      </c>
    </row>
    <row r="104" spans="1:5" x14ac:dyDescent="0.35">
      <c r="A104" t="s">
        <v>637</v>
      </c>
      <c r="B104" s="13"/>
      <c r="C104" s="13">
        <v>12000</v>
      </c>
      <c r="D104" s="13"/>
      <c r="E104" s="13">
        <v>12000</v>
      </c>
    </row>
    <row r="105" spans="1:5" x14ac:dyDescent="0.35">
      <c r="A105" t="s">
        <v>249</v>
      </c>
      <c r="B105" s="13">
        <v>10317.39</v>
      </c>
      <c r="C105" s="13"/>
      <c r="D105" s="13"/>
      <c r="E105" s="13">
        <v>10317.39</v>
      </c>
    </row>
    <row r="106" spans="1:5" x14ac:dyDescent="0.35">
      <c r="A106" t="s">
        <v>520</v>
      </c>
      <c r="B106" s="13">
        <v>8363.39</v>
      </c>
      <c r="C106" s="13"/>
      <c r="D106" s="13"/>
      <c r="E106" s="13">
        <v>8363.39</v>
      </c>
    </row>
    <row r="107" spans="1:5" x14ac:dyDescent="0.35">
      <c r="A107" t="s">
        <v>722</v>
      </c>
      <c r="B107" s="13"/>
      <c r="C107" s="13">
        <v>7859.77</v>
      </c>
      <c r="D107" s="13"/>
      <c r="E107" s="13">
        <v>7859.77</v>
      </c>
    </row>
    <row r="108" spans="1:5" x14ac:dyDescent="0.35">
      <c r="A108" t="s">
        <v>1669</v>
      </c>
      <c r="B108" s="13">
        <v>7500</v>
      </c>
      <c r="C108" s="13"/>
      <c r="D108" s="13"/>
      <c r="E108" s="13">
        <v>7500</v>
      </c>
    </row>
    <row r="109" spans="1:5" x14ac:dyDescent="0.35">
      <c r="A109" t="s">
        <v>172</v>
      </c>
      <c r="B109" s="13"/>
      <c r="C109" s="13">
        <v>7500</v>
      </c>
      <c r="D109" s="13"/>
      <c r="E109" s="13">
        <v>7500</v>
      </c>
    </row>
    <row r="110" spans="1:5" x14ac:dyDescent="0.35">
      <c r="A110" t="s">
        <v>1627</v>
      </c>
      <c r="B110" s="13">
        <v>7244.36</v>
      </c>
      <c r="C110" s="13"/>
      <c r="D110" s="13"/>
      <c r="E110" s="13">
        <v>7244.36</v>
      </c>
    </row>
    <row r="111" spans="1:5" x14ac:dyDescent="0.35">
      <c r="A111" t="s">
        <v>442</v>
      </c>
      <c r="B111" s="13"/>
      <c r="C111" s="13">
        <v>6669.62</v>
      </c>
      <c r="D111" s="13"/>
      <c r="E111" s="13">
        <v>6669.62</v>
      </c>
    </row>
    <row r="112" spans="1:5" x14ac:dyDescent="0.35">
      <c r="A112" t="s">
        <v>950</v>
      </c>
      <c r="B112" s="13"/>
      <c r="C112" s="13">
        <v>6400</v>
      </c>
      <c r="D112" s="13"/>
      <c r="E112" s="13">
        <v>6400</v>
      </c>
    </row>
    <row r="113" spans="1:5" x14ac:dyDescent="0.35">
      <c r="A113" t="s">
        <v>1220</v>
      </c>
      <c r="B113" s="13"/>
      <c r="C113" s="13">
        <v>6000</v>
      </c>
      <c r="D113" s="13"/>
      <c r="E113" s="13">
        <v>6000</v>
      </c>
    </row>
    <row r="114" spans="1:5" x14ac:dyDescent="0.35">
      <c r="A114" t="s">
        <v>179</v>
      </c>
      <c r="B114" s="13">
        <v>5780</v>
      </c>
      <c r="C114" s="13"/>
      <c r="D114" s="13"/>
      <c r="E114" s="13">
        <v>5780</v>
      </c>
    </row>
    <row r="115" spans="1:5" x14ac:dyDescent="0.35">
      <c r="A115" t="s">
        <v>372</v>
      </c>
      <c r="B115" s="13"/>
      <c r="C115" s="13">
        <v>5021</v>
      </c>
      <c r="D115" s="13"/>
      <c r="E115" s="13">
        <v>5021</v>
      </c>
    </row>
    <row r="116" spans="1:5" x14ac:dyDescent="0.35">
      <c r="A116" t="s">
        <v>1184</v>
      </c>
      <c r="B116" s="13">
        <v>5000</v>
      </c>
      <c r="C116" s="13"/>
      <c r="D116" s="13"/>
      <c r="E116" s="13">
        <v>5000</v>
      </c>
    </row>
    <row r="117" spans="1:5" x14ac:dyDescent="0.35">
      <c r="A117" t="s">
        <v>619</v>
      </c>
      <c r="B117" s="13"/>
      <c r="C117" s="13">
        <v>5000</v>
      </c>
      <c r="D117" s="13"/>
      <c r="E117" s="13">
        <v>5000</v>
      </c>
    </row>
    <row r="118" spans="1:5" x14ac:dyDescent="0.35">
      <c r="A118" t="s">
        <v>1108</v>
      </c>
      <c r="B118" s="13"/>
      <c r="C118" s="13">
        <v>4153</v>
      </c>
      <c r="D118" s="13"/>
      <c r="E118" s="13">
        <v>4153</v>
      </c>
    </row>
    <row r="119" spans="1:5" x14ac:dyDescent="0.35">
      <c r="A119" t="s">
        <v>426</v>
      </c>
      <c r="B119" s="13">
        <v>3500</v>
      </c>
      <c r="C119" s="13"/>
      <c r="D119" s="13"/>
      <c r="E119" s="13">
        <v>3500</v>
      </c>
    </row>
    <row r="120" spans="1:5" x14ac:dyDescent="0.35">
      <c r="A120" t="s">
        <v>1150</v>
      </c>
      <c r="B120" s="13"/>
      <c r="C120" s="13">
        <v>3400</v>
      </c>
      <c r="D120" s="13"/>
      <c r="E120" s="13">
        <v>3400</v>
      </c>
    </row>
    <row r="121" spans="1:5" x14ac:dyDescent="0.35">
      <c r="A121" t="s">
        <v>555</v>
      </c>
      <c r="B121" s="13">
        <v>3100</v>
      </c>
      <c r="C121" s="13"/>
      <c r="D121" s="13"/>
      <c r="E121" s="13">
        <v>3100</v>
      </c>
    </row>
    <row r="122" spans="1:5" x14ac:dyDescent="0.35">
      <c r="A122" t="s">
        <v>1550</v>
      </c>
      <c r="B122" s="13">
        <v>2700</v>
      </c>
      <c r="C122" s="13"/>
      <c r="D122" s="13"/>
      <c r="E122" s="13">
        <v>2700</v>
      </c>
    </row>
    <row r="123" spans="1:5" x14ac:dyDescent="0.35">
      <c r="A123" t="s">
        <v>1358</v>
      </c>
      <c r="B123" s="13">
        <v>2100</v>
      </c>
      <c r="C123" s="13"/>
      <c r="D123" s="13"/>
      <c r="E123" s="13">
        <v>2100</v>
      </c>
    </row>
    <row r="124" spans="1:5" x14ac:dyDescent="0.35">
      <c r="A124" t="s">
        <v>82</v>
      </c>
      <c r="B124" s="13">
        <v>2000</v>
      </c>
      <c r="C124" s="13"/>
      <c r="D124" s="13"/>
      <c r="E124" s="13">
        <v>2000</v>
      </c>
    </row>
    <row r="125" spans="1:5" x14ac:dyDescent="0.35">
      <c r="A125" t="s">
        <v>791</v>
      </c>
      <c r="B125" s="13"/>
      <c r="C125" s="13">
        <v>2000</v>
      </c>
      <c r="D125" s="13"/>
      <c r="E125" s="13">
        <v>2000</v>
      </c>
    </row>
    <row r="126" spans="1:5" x14ac:dyDescent="0.35">
      <c r="A126" t="s">
        <v>967</v>
      </c>
      <c r="B126" s="13"/>
      <c r="C126" s="13">
        <v>1570</v>
      </c>
      <c r="D126" s="13"/>
      <c r="E126" s="13">
        <v>1570</v>
      </c>
    </row>
    <row r="127" spans="1:5" x14ac:dyDescent="0.35">
      <c r="A127" t="s">
        <v>670</v>
      </c>
      <c r="B127" s="13">
        <v>1500</v>
      </c>
      <c r="C127" s="13"/>
      <c r="D127" s="13"/>
      <c r="E127" s="13">
        <v>1500</v>
      </c>
    </row>
    <row r="128" spans="1:5" x14ac:dyDescent="0.35">
      <c r="A128" t="s">
        <v>463</v>
      </c>
      <c r="B128" s="13">
        <v>1500</v>
      </c>
      <c r="C128" s="13"/>
      <c r="D128" s="13"/>
      <c r="E128" s="13">
        <v>1500</v>
      </c>
    </row>
    <row r="129" spans="1:5" x14ac:dyDescent="0.35">
      <c r="A129" t="s">
        <v>1091</v>
      </c>
      <c r="B129" s="13">
        <v>1500</v>
      </c>
      <c r="C129" s="13"/>
      <c r="D129" s="13"/>
      <c r="E129" s="13">
        <v>1500</v>
      </c>
    </row>
    <row r="130" spans="1:5" x14ac:dyDescent="0.35">
      <c r="A130" t="s">
        <v>185</v>
      </c>
      <c r="B130" s="13">
        <v>1380</v>
      </c>
      <c r="C130" s="13"/>
      <c r="D130" s="13"/>
      <c r="E130" s="13">
        <v>1380</v>
      </c>
    </row>
    <row r="131" spans="1:5" x14ac:dyDescent="0.35">
      <c r="A131" t="s">
        <v>1749</v>
      </c>
      <c r="B131" s="13">
        <v>1153.8499999999999</v>
      </c>
      <c r="C131" s="13"/>
      <c r="D131" s="13"/>
      <c r="E131" s="13">
        <v>1153.8499999999999</v>
      </c>
    </row>
    <row r="132" spans="1:5" x14ac:dyDescent="0.35">
      <c r="A132" t="s">
        <v>296</v>
      </c>
      <c r="B132" s="13">
        <v>1150</v>
      </c>
      <c r="C132" s="13"/>
      <c r="D132" s="13"/>
      <c r="E132" s="13">
        <v>1150</v>
      </c>
    </row>
    <row r="133" spans="1:5" x14ac:dyDescent="0.35">
      <c r="A133" t="s">
        <v>834</v>
      </c>
      <c r="B133" s="13"/>
      <c r="C133" s="13">
        <v>1100</v>
      </c>
      <c r="D133" s="13"/>
      <c r="E133" s="13">
        <v>1100</v>
      </c>
    </row>
    <row r="134" spans="1:5" x14ac:dyDescent="0.35">
      <c r="A134" t="s">
        <v>501</v>
      </c>
      <c r="B134" s="13">
        <v>820</v>
      </c>
      <c r="C134" s="13"/>
      <c r="D134" s="13"/>
      <c r="E134" s="13">
        <v>820</v>
      </c>
    </row>
    <row r="135" spans="1:5" x14ac:dyDescent="0.35">
      <c r="A135" t="s">
        <v>419</v>
      </c>
      <c r="B135" s="13">
        <v>800</v>
      </c>
      <c r="C135" s="13"/>
      <c r="D135" s="13"/>
      <c r="E135" s="13">
        <v>800</v>
      </c>
    </row>
    <row r="136" spans="1:5" x14ac:dyDescent="0.35">
      <c r="A136" t="s">
        <v>114</v>
      </c>
      <c r="B136" s="13">
        <v>670</v>
      </c>
      <c r="C136" s="13"/>
      <c r="D136" s="13"/>
      <c r="E136" s="13">
        <v>670</v>
      </c>
    </row>
    <row r="137" spans="1:5" x14ac:dyDescent="0.35">
      <c r="A137" t="s">
        <v>314</v>
      </c>
      <c r="B137" s="13">
        <v>610</v>
      </c>
      <c r="C137" s="13"/>
      <c r="D137" s="13"/>
      <c r="E137" s="13">
        <v>610</v>
      </c>
    </row>
    <row r="138" spans="1:5" x14ac:dyDescent="0.35">
      <c r="A138" t="s">
        <v>698</v>
      </c>
      <c r="B138" s="13"/>
      <c r="C138" s="13">
        <v>500</v>
      </c>
      <c r="D138" s="13"/>
      <c r="E138" s="13">
        <v>500</v>
      </c>
    </row>
    <row r="139" spans="1:5" x14ac:dyDescent="0.35">
      <c r="A139" t="s">
        <v>1576</v>
      </c>
      <c r="B139" s="13">
        <v>157</v>
      </c>
      <c r="C139" s="13"/>
      <c r="D139" s="13"/>
      <c r="E139" s="13">
        <v>157</v>
      </c>
    </row>
    <row r="140" spans="1:5" x14ac:dyDescent="0.35">
      <c r="A140" t="s">
        <v>932</v>
      </c>
      <c r="B140" s="13">
        <v>100</v>
      </c>
      <c r="C140" s="13"/>
      <c r="D140" s="13"/>
      <c r="E140" s="13">
        <v>100</v>
      </c>
    </row>
    <row r="141" spans="1:5" x14ac:dyDescent="0.35">
      <c r="A141" t="s">
        <v>457</v>
      </c>
      <c r="B141" s="13"/>
      <c r="C141" s="13"/>
      <c r="D141" s="13"/>
      <c r="E141" s="13"/>
    </row>
    <row r="142" spans="1:5" x14ac:dyDescent="0.35">
      <c r="A142" t="s">
        <v>450</v>
      </c>
      <c r="B142" s="13">
        <v>0</v>
      </c>
      <c r="C142" s="13"/>
      <c r="D142" s="13"/>
      <c r="E142" s="13">
        <v>0</v>
      </c>
    </row>
    <row r="143" spans="1:5" x14ac:dyDescent="0.35">
      <c r="A143" t="s">
        <v>1203</v>
      </c>
      <c r="B143" s="13"/>
      <c r="C143" s="13"/>
      <c r="D143" s="13"/>
      <c r="E143" s="13"/>
    </row>
    <row r="144" spans="1:5" x14ac:dyDescent="0.35">
      <c r="A144" t="s">
        <v>1160</v>
      </c>
      <c r="B144" s="13"/>
      <c r="C144" s="13"/>
      <c r="D144" s="13"/>
      <c r="E144" s="13"/>
    </row>
    <row r="145" spans="1:5" x14ac:dyDescent="0.35">
      <c r="A145" t="s">
        <v>213</v>
      </c>
      <c r="B145" s="13"/>
      <c r="C145" s="13"/>
      <c r="D145" s="13"/>
      <c r="E145" s="13"/>
    </row>
    <row r="146" spans="1:5" x14ac:dyDescent="0.35">
      <c r="A146" t="s">
        <v>1037</v>
      </c>
      <c r="B146" s="13"/>
      <c r="C146" s="13"/>
      <c r="D146" s="13"/>
      <c r="E146" s="13"/>
    </row>
    <row r="147" spans="1:5" x14ac:dyDescent="0.35">
      <c r="A147" t="s">
        <v>258</v>
      </c>
      <c r="B147" s="13"/>
      <c r="C147" s="13"/>
      <c r="D147" s="13"/>
      <c r="E147" s="13"/>
    </row>
    <row r="148" spans="1:5" x14ac:dyDescent="0.35">
      <c r="A148" t="s">
        <v>582</v>
      </c>
      <c r="B148" s="13"/>
      <c r="C148" s="13"/>
      <c r="D148" s="13"/>
      <c r="E148" s="13"/>
    </row>
    <row r="149" spans="1:5" x14ac:dyDescent="0.35">
      <c r="A149" t="s">
        <v>1756</v>
      </c>
      <c r="B149" s="13">
        <v>20300474.770000003</v>
      </c>
      <c r="C149" s="13">
        <v>20982378.640000001</v>
      </c>
      <c r="D149" s="13">
        <v>5227040</v>
      </c>
      <c r="E149" s="13">
        <v>46509893.410000004</v>
      </c>
    </row>
    <row r="150" spans="1:5" x14ac:dyDescent="0.35">
      <c r="B150"/>
    </row>
    <row r="151" spans="1:5" x14ac:dyDescent="0.35">
      <c r="B151"/>
    </row>
    <row r="152" spans="1:5" x14ac:dyDescent="0.35">
      <c r="B152"/>
    </row>
    <row r="153" spans="1:5" x14ac:dyDescent="0.35">
      <c r="B153"/>
    </row>
    <row r="154" spans="1:5" x14ac:dyDescent="0.35">
      <c r="B154"/>
    </row>
    <row r="155" spans="1:5" x14ac:dyDescent="0.35">
      <c r="B155"/>
    </row>
    <row r="156" spans="1:5" x14ac:dyDescent="0.35">
      <c r="B156"/>
    </row>
    <row r="157" spans="1:5" x14ac:dyDescent="0.35">
      <c r="B157"/>
    </row>
    <row r="158" spans="1:5" x14ac:dyDescent="0.35">
      <c r="B158"/>
    </row>
    <row r="159" spans="1:5" x14ac:dyDescent="0.35">
      <c r="B159"/>
    </row>
    <row r="160" spans="1:5"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row r="1001" spans="2:2" x14ac:dyDescent="0.35">
      <c r="B1001"/>
    </row>
    <row r="1002" spans="2:2" x14ac:dyDescent="0.35">
      <c r="B1002"/>
    </row>
    <row r="1003" spans="2:2" x14ac:dyDescent="0.35">
      <c r="B1003"/>
    </row>
    <row r="1004" spans="2:2" x14ac:dyDescent="0.35">
      <c r="B1004"/>
    </row>
    <row r="1005" spans="2:2" x14ac:dyDescent="0.35">
      <c r="B1005"/>
    </row>
    <row r="1006" spans="2:2" x14ac:dyDescent="0.35">
      <c r="B1006"/>
    </row>
    <row r="1007" spans="2:2" x14ac:dyDescent="0.35">
      <c r="B1007"/>
    </row>
    <row r="1008" spans="2:2" x14ac:dyDescent="0.35">
      <c r="B1008"/>
    </row>
    <row r="1009" spans="2:2" x14ac:dyDescent="0.35">
      <c r="B1009"/>
    </row>
    <row r="1010" spans="2:2" x14ac:dyDescent="0.35">
      <c r="B1010"/>
    </row>
    <row r="1011" spans="2:2" x14ac:dyDescent="0.35">
      <c r="B1011"/>
    </row>
    <row r="1012" spans="2:2" x14ac:dyDescent="0.35">
      <c r="B1012"/>
    </row>
    <row r="1013" spans="2:2" x14ac:dyDescent="0.35">
      <c r="B1013"/>
    </row>
    <row r="1014" spans="2:2" x14ac:dyDescent="0.35">
      <c r="B1014"/>
    </row>
    <row r="1015" spans="2:2" x14ac:dyDescent="0.35">
      <c r="B1015"/>
    </row>
    <row r="1016" spans="2:2" x14ac:dyDescent="0.35">
      <c r="B1016"/>
    </row>
    <row r="1017" spans="2:2" x14ac:dyDescent="0.35">
      <c r="B1017"/>
    </row>
    <row r="1018" spans="2:2" x14ac:dyDescent="0.35">
      <c r="B1018"/>
    </row>
    <row r="1019" spans="2:2" x14ac:dyDescent="0.35">
      <c r="B1019"/>
    </row>
    <row r="1020" spans="2:2" x14ac:dyDescent="0.35">
      <c r="B1020"/>
    </row>
    <row r="1021" spans="2:2" x14ac:dyDescent="0.35">
      <c r="B1021"/>
    </row>
    <row r="1022" spans="2:2" x14ac:dyDescent="0.35">
      <c r="B1022"/>
    </row>
    <row r="1023" spans="2:2" x14ac:dyDescent="0.35">
      <c r="B1023"/>
    </row>
    <row r="1024" spans="2:2" x14ac:dyDescent="0.35">
      <c r="B1024"/>
    </row>
    <row r="1025" spans="2:2" x14ac:dyDescent="0.35">
      <c r="B1025"/>
    </row>
    <row r="1026" spans="2:2" x14ac:dyDescent="0.35">
      <c r="B1026"/>
    </row>
    <row r="1027" spans="2:2" x14ac:dyDescent="0.35">
      <c r="B1027"/>
    </row>
    <row r="1028" spans="2:2" x14ac:dyDescent="0.35">
      <c r="B1028"/>
    </row>
    <row r="1029" spans="2:2" x14ac:dyDescent="0.35">
      <c r="B1029"/>
    </row>
    <row r="1030" spans="2:2" x14ac:dyDescent="0.35">
      <c r="B1030"/>
    </row>
    <row r="1031" spans="2:2" x14ac:dyDescent="0.35">
      <c r="B1031"/>
    </row>
    <row r="1032" spans="2:2" x14ac:dyDescent="0.35">
      <c r="B1032"/>
    </row>
    <row r="1033" spans="2:2" x14ac:dyDescent="0.35">
      <c r="B1033"/>
    </row>
    <row r="1034" spans="2:2" x14ac:dyDescent="0.35">
      <c r="B1034"/>
    </row>
    <row r="1035" spans="2:2" x14ac:dyDescent="0.35">
      <c r="B1035"/>
    </row>
    <row r="1036" spans="2:2" x14ac:dyDescent="0.35">
      <c r="B1036"/>
    </row>
    <row r="1037" spans="2:2" x14ac:dyDescent="0.35">
      <c r="B1037"/>
    </row>
    <row r="1038" spans="2:2" x14ac:dyDescent="0.35">
      <c r="B1038"/>
    </row>
    <row r="1039" spans="2:2" x14ac:dyDescent="0.35">
      <c r="B1039"/>
    </row>
    <row r="1040" spans="2:2" x14ac:dyDescent="0.35">
      <c r="B1040"/>
    </row>
    <row r="1041" spans="2:2" x14ac:dyDescent="0.35">
      <c r="B1041"/>
    </row>
    <row r="1042" spans="2:2" x14ac:dyDescent="0.35">
      <c r="B1042"/>
    </row>
    <row r="1043" spans="2:2" x14ac:dyDescent="0.35">
      <c r="B1043"/>
    </row>
    <row r="1044" spans="2:2" x14ac:dyDescent="0.35">
      <c r="B1044"/>
    </row>
    <row r="1045" spans="2:2" x14ac:dyDescent="0.35">
      <c r="B1045"/>
    </row>
    <row r="1046" spans="2:2" x14ac:dyDescent="0.35">
      <c r="B1046"/>
    </row>
    <row r="1047" spans="2:2" x14ac:dyDescent="0.35">
      <c r="B1047"/>
    </row>
    <row r="1048" spans="2:2" x14ac:dyDescent="0.35">
      <c r="B1048"/>
    </row>
    <row r="1049" spans="2:2" x14ac:dyDescent="0.35">
      <c r="B1049"/>
    </row>
    <row r="1050" spans="2:2" x14ac:dyDescent="0.35">
      <c r="B1050"/>
    </row>
    <row r="1051" spans="2:2" x14ac:dyDescent="0.35">
      <c r="B1051"/>
    </row>
    <row r="1052" spans="2:2" x14ac:dyDescent="0.35">
      <c r="B1052"/>
    </row>
    <row r="1053" spans="2:2" x14ac:dyDescent="0.35">
      <c r="B1053"/>
    </row>
    <row r="1054" spans="2:2" x14ac:dyDescent="0.35">
      <c r="B1054"/>
    </row>
    <row r="1055" spans="2:2" x14ac:dyDescent="0.35">
      <c r="B1055"/>
    </row>
    <row r="1056" spans="2:2" x14ac:dyDescent="0.35">
      <c r="B1056"/>
    </row>
    <row r="1057" spans="2:2" x14ac:dyDescent="0.35">
      <c r="B1057"/>
    </row>
    <row r="1058" spans="2:2" x14ac:dyDescent="0.35">
      <c r="B1058"/>
    </row>
    <row r="1059" spans="2:2" x14ac:dyDescent="0.35">
      <c r="B1059"/>
    </row>
    <row r="1060" spans="2:2" x14ac:dyDescent="0.35">
      <c r="B1060"/>
    </row>
    <row r="1061" spans="2:2" x14ac:dyDescent="0.35">
      <c r="B1061"/>
    </row>
    <row r="1062" spans="2:2" x14ac:dyDescent="0.35">
      <c r="B1062"/>
    </row>
    <row r="1063" spans="2:2" x14ac:dyDescent="0.35">
      <c r="B1063"/>
    </row>
    <row r="1064" spans="2:2" x14ac:dyDescent="0.35">
      <c r="B1064"/>
    </row>
    <row r="1065" spans="2:2" x14ac:dyDescent="0.35">
      <c r="B1065"/>
    </row>
    <row r="1066" spans="2:2" x14ac:dyDescent="0.35">
      <c r="B1066"/>
    </row>
    <row r="1067" spans="2:2" x14ac:dyDescent="0.35">
      <c r="B1067"/>
    </row>
    <row r="1068" spans="2:2" x14ac:dyDescent="0.35">
      <c r="B1068"/>
    </row>
    <row r="1069" spans="2:2" x14ac:dyDescent="0.35">
      <c r="B1069"/>
    </row>
    <row r="1070" spans="2:2" x14ac:dyDescent="0.35">
      <c r="B1070"/>
    </row>
    <row r="1071" spans="2:2" x14ac:dyDescent="0.35">
      <c r="B1071"/>
    </row>
    <row r="1072" spans="2:2" x14ac:dyDescent="0.35">
      <c r="B1072"/>
    </row>
    <row r="1073" spans="2:2" x14ac:dyDescent="0.35">
      <c r="B1073"/>
    </row>
    <row r="1074" spans="2:2" x14ac:dyDescent="0.35">
      <c r="B1074"/>
    </row>
    <row r="1075" spans="2:2" x14ac:dyDescent="0.35">
      <c r="B1075"/>
    </row>
    <row r="1076" spans="2:2" x14ac:dyDescent="0.35">
      <c r="B1076"/>
    </row>
    <row r="1077" spans="2:2" x14ac:dyDescent="0.35">
      <c r="B1077"/>
    </row>
    <row r="1078" spans="2:2" x14ac:dyDescent="0.35">
      <c r="B1078"/>
    </row>
    <row r="1079" spans="2:2" x14ac:dyDescent="0.35">
      <c r="B1079"/>
    </row>
    <row r="1080" spans="2:2" x14ac:dyDescent="0.35">
      <c r="B1080"/>
    </row>
    <row r="1081" spans="2:2" x14ac:dyDescent="0.35">
      <c r="B1081"/>
    </row>
    <row r="1082" spans="2:2" x14ac:dyDescent="0.35">
      <c r="B1082"/>
    </row>
    <row r="1083" spans="2:2" x14ac:dyDescent="0.35">
      <c r="B1083"/>
    </row>
    <row r="1084" spans="2:2" x14ac:dyDescent="0.35">
      <c r="B1084"/>
    </row>
    <row r="1085" spans="2:2" x14ac:dyDescent="0.35">
      <c r="B1085"/>
    </row>
    <row r="1086" spans="2:2" x14ac:dyDescent="0.35">
      <c r="B1086"/>
    </row>
    <row r="1087" spans="2:2" x14ac:dyDescent="0.35">
      <c r="B1087"/>
    </row>
    <row r="1088" spans="2:2" x14ac:dyDescent="0.35">
      <c r="B1088"/>
    </row>
    <row r="1089" spans="2:2" x14ac:dyDescent="0.35">
      <c r="B1089"/>
    </row>
    <row r="1090" spans="2:2" x14ac:dyDescent="0.35">
      <c r="B1090"/>
    </row>
    <row r="1091" spans="2:2" x14ac:dyDescent="0.35">
      <c r="B1091"/>
    </row>
    <row r="1092" spans="2:2" x14ac:dyDescent="0.35">
      <c r="B1092"/>
    </row>
    <row r="1093" spans="2:2" x14ac:dyDescent="0.35">
      <c r="B1093"/>
    </row>
    <row r="1094" spans="2:2" x14ac:dyDescent="0.35">
      <c r="B1094"/>
    </row>
    <row r="1095" spans="2:2" x14ac:dyDescent="0.35">
      <c r="B1095"/>
    </row>
    <row r="1096" spans="2:2" x14ac:dyDescent="0.35">
      <c r="B1096"/>
    </row>
    <row r="1097" spans="2:2" x14ac:dyDescent="0.35">
      <c r="B1097"/>
    </row>
    <row r="1098" spans="2:2" x14ac:dyDescent="0.35">
      <c r="B1098"/>
    </row>
    <row r="1099" spans="2:2" x14ac:dyDescent="0.35">
      <c r="B1099"/>
    </row>
    <row r="1100" spans="2:2" x14ac:dyDescent="0.35">
      <c r="B1100"/>
    </row>
    <row r="1101" spans="2:2" x14ac:dyDescent="0.35">
      <c r="B1101"/>
    </row>
    <row r="1102" spans="2:2" x14ac:dyDescent="0.35">
      <c r="B1102"/>
    </row>
    <row r="1103" spans="2:2" x14ac:dyDescent="0.35">
      <c r="B1103"/>
    </row>
    <row r="1104" spans="2:2" x14ac:dyDescent="0.35">
      <c r="B1104"/>
    </row>
    <row r="1105" spans="2:2" x14ac:dyDescent="0.35">
      <c r="B1105"/>
    </row>
    <row r="1106" spans="2:2" x14ac:dyDescent="0.35">
      <c r="B1106"/>
    </row>
    <row r="1107" spans="2:2" x14ac:dyDescent="0.35">
      <c r="B1107"/>
    </row>
    <row r="1108" spans="2:2" x14ac:dyDescent="0.35">
      <c r="B1108"/>
    </row>
    <row r="1109" spans="2:2" x14ac:dyDescent="0.35">
      <c r="B1109"/>
    </row>
    <row r="1110" spans="2:2" x14ac:dyDescent="0.35">
      <c r="B1110"/>
    </row>
    <row r="1111" spans="2:2" x14ac:dyDescent="0.35">
      <c r="B1111"/>
    </row>
    <row r="1112" spans="2:2" x14ac:dyDescent="0.35">
      <c r="B1112"/>
    </row>
    <row r="1113" spans="2:2" x14ac:dyDescent="0.35">
      <c r="B1113"/>
    </row>
    <row r="1114" spans="2:2" x14ac:dyDescent="0.35">
      <c r="B1114"/>
    </row>
    <row r="1115" spans="2:2" x14ac:dyDescent="0.35">
      <c r="B1115"/>
    </row>
    <row r="1116" spans="2:2" x14ac:dyDescent="0.35">
      <c r="B1116"/>
    </row>
    <row r="1117" spans="2:2" x14ac:dyDescent="0.35">
      <c r="B1117"/>
    </row>
    <row r="1118" spans="2:2" x14ac:dyDescent="0.35">
      <c r="B1118"/>
    </row>
    <row r="1119" spans="2:2" x14ac:dyDescent="0.35">
      <c r="B1119"/>
    </row>
    <row r="1120" spans="2:2" x14ac:dyDescent="0.35">
      <c r="B1120"/>
    </row>
    <row r="1121" spans="2:2" x14ac:dyDescent="0.35">
      <c r="B1121"/>
    </row>
    <row r="1122" spans="2:2" x14ac:dyDescent="0.35">
      <c r="B1122"/>
    </row>
    <row r="1123" spans="2:2" x14ac:dyDescent="0.35">
      <c r="B1123"/>
    </row>
    <row r="1124" spans="2:2" x14ac:dyDescent="0.35">
      <c r="B1124"/>
    </row>
    <row r="1125" spans="2:2" x14ac:dyDescent="0.35">
      <c r="B1125"/>
    </row>
    <row r="1126" spans="2:2" x14ac:dyDescent="0.35">
      <c r="B1126"/>
    </row>
    <row r="1127" spans="2:2" x14ac:dyDescent="0.35">
      <c r="B1127"/>
    </row>
    <row r="1128" spans="2:2" x14ac:dyDescent="0.35">
      <c r="B1128"/>
    </row>
    <row r="1129" spans="2:2" x14ac:dyDescent="0.35">
      <c r="B1129"/>
    </row>
    <row r="1130" spans="2:2" x14ac:dyDescent="0.35">
      <c r="B1130"/>
    </row>
    <row r="1131" spans="2:2" x14ac:dyDescent="0.35">
      <c r="B1131"/>
    </row>
    <row r="1132" spans="2:2" x14ac:dyDescent="0.35">
      <c r="B1132"/>
    </row>
    <row r="1133" spans="2:2" x14ac:dyDescent="0.35">
      <c r="B1133"/>
    </row>
    <row r="1134" spans="2:2" x14ac:dyDescent="0.35">
      <c r="B1134"/>
    </row>
    <row r="1135" spans="2:2" x14ac:dyDescent="0.35">
      <c r="B1135"/>
    </row>
    <row r="1136" spans="2:2" x14ac:dyDescent="0.35">
      <c r="B1136"/>
    </row>
    <row r="1137" spans="2:2" x14ac:dyDescent="0.35">
      <c r="B1137"/>
    </row>
    <row r="1138" spans="2:2" x14ac:dyDescent="0.35">
      <c r="B1138"/>
    </row>
    <row r="1139" spans="2:2" x14ac:dyDescent="0.35">
      <c r="B1139"/>
    </row>
    <row r="1140" spans="2:2" x14ac:dyDescent="0.35">
      <c r="B1140"/>
    </row>
    <row r="1141" spans="2:2" x14ac:dyDescent="0.35">
      <c r="B1141"/>
    </row>
    <row r="1142" spans="2:2" x14ac:dyDescent="0.35">
      <c r="B1142"/>
    </row>
    <row r="1143" spans="2:2" x14ac:dyDescent="0.35">
      <c r="B1143"/>
    </row>
    <row r="1144" spans="2:2" x14ac:dyDescent="0.35">
      <c r="B1144"/>
    </row>
    <row r="1145" spans="2:2" x14ac:dyDescent="0.35">
      <c r="B1145"/>
    </row>
    <row r="1146" spans="2:2" x14ac:dyDescent="0.35">
      <c r="B1146"/>
    </row>
    <row r="1147" spans="2:2" x14ac:dyDescent="0.35">
      <c r="B1147"/>
    </row>
    <row r="1148" spans="2:2" x14ac:dyDescent="0.35">
      <c r="B1148"/>
    </row>
    <row r="1149" spans="2:2" x14ac:dyDescent="0.35">
      <c r="B1149"/>
    </row>
    <row r="1150" spans="2:2" x14ac:dyDescent="0.35">
      <c r="B1150"/>
    </row>
    <row r="1151" spans="2:2" x14ac:dyDescent="0.35">
      <c r="B1151"/>
    </row>
    <row r="1152" spans="2:2" x14ac:dyDescent="0.35">
      <c r="B1152"/>
    </row>
    <row r="1153" spans="2:2" x14ac:dyDescent="0.35">
      <c r="B1153"/>
    </row>
    <row r="1154" spans="2:2" x14ac:dyDescent="0.35">
      <c r="B1154"/>
    </row>
    <row r="1155" spans="2:2" x14ac:dyDescent="0.35">
      <c r="B1155"/>
    </row>
    <row r="1156" spans="2:2" x14ac:dyDescent="0.35">
      <c r="B1156"/>
    </row>
    <row r="1157" spans="2:2" x14ac:dyDescent="0.35">
      <c r="B1157"/>
    </row>
    <row r="1158" spans="2:2" x14ac:dyDescent="0.35">
      <c r="B1158"/>
    </row>
    <row r="1159" spans="2:2" x14ac:dyDescent="0.35">
      <c r="B1159"/>
    </row>
    <row r="1160" spans="2:2" x14ac:dyDescent="0.35">
      <c r="B1160"/>
    </row>
    <row r="1161" spans="2:2" x14ac:dyDescent="0.35">
      <c r="B1161"/>
    </row>
    <row r="1162" spans="2:2" x14ac:dyDescent="0.35">
      <c r="B1162"/>
    </row>
    <row r="1163" spans="2:2" x14ac:dyDescent="0.35">
      <c r="B1163"/>
    </row>
    <row r="1164" spans="2:2" x14ac:dyDescent="0.35">
      <c r="B1164"/>
    </row>
    <row r="1165" spans="2:2" x14ac:dyDescent="0.35">
      <c r="B1165"/>
    </row>
    <row r="1166" spans="2:2" x14ac:dyDescent="0.35">
      <c r="B1166"/>
    </row>
    <row r="1167" spans="2:2" x14ac:dyDescent="0.35">
      <c r="B1167"/>
    </row>
    <row r="1168" spans="2:2" x14ac:dyDescent="0.35">
      <c r="B1168"/>
    </row>
    <row r="1169" spans="2:2" x14ac:dyDescent="0.35">
      <c r="B1169"/>
    </row>
    <row r="1170" spans="2:2" x14ac:dyDescent="0.35">
      <c r="B1170"/>
    </row>
    <row r="1171" spans="2:2" x14ac:dyDescent="0.35">
      <c r="B1171"/>
    </row>
    <row r="1172" spans="2:2" x14ac:dyDescent="0.35">
      <c r="B1172"/>
    </row>
    <row r="1173" spans="2:2" x14ac:dyDescent="0.35">
      <c r="B1173"/>
    </row>
    <row r="1174" spans="2:2" x14ac:dyDescent="0.35">
      <c r="B1174"/>
    </row>
    <row r="1175" spans="2:2" x14ac:dyDescent="0.35">
      <c r="B1175"/>
    </row>
    <row r="1176" spans="2:2" x14ac:dyDescent="0.35">
      <c r="B1176"/>
    </row>
    <row r="1177" spans="2:2" x14ac:dyDescent="0.35">
      <c r="B1177"/>
    </row>
    <row r="1178" spans="2:2" x14ac:dyDescent="0.35">
      <c r="B1178"/>
    </row>
    <row r="1179" spans="2:2" x14ac:dyDescent="0.35">
      <c r="B1179"/>
    </row>
    <row r="1180" spans="2:2" x14ac:dyDescent="0.35">
      <c r="B1180"/>
    </row>
    <row r="1181" spans="2:2" x14ac:dyDescent="0.35">
      <c r="B1181"/>
    </row>
    <row r="1182" spans="2:2" x14ac:dyDescent="0.35">
      <c r="B1182"/>
    </row>
    <row r="1183" spans="2:2" x14ac:dyDescent="0.35">
      <c r="B1183"/>
    </row>
    <row r="1184" spans="2:2" x14ac:dyDescent="0.35">
      <c r="B1184"/>
    </row>
    <row r="1185" spans="2:2" x14ac:dyDescent="0.35">
      <c r="B1185"/>
    </row>
    <row r="1186" spans="2:2" x14ac:dyDescent="0.35">
      <c r="B1186"/>
    </row>
    <row r="1187" spans="2:2" x14ac:dyDescent="0.35">
      <c r="B1187"/>
    </row>
    <row r="1188" spans="2:2" x14ac:dyDescent="0.35">
      <c r="B1188"/>
    </row>
    <row r="1189" spans="2:2" x14ac:dyDescent="0.35">
      <c r="B1189"/>
    </row>
    <row r="1190" spans="2:2" x14ac:dyDescent="0.35">
      <c r="B1190"/>
    </row>
    <row r="1191" spans="2:2" x14ac:dyDescent="0.35">
      <c r="B1191"/>
    </row>
    <row r="1192" spans="2:2" x14ac:dyDescent="0.35">
      <c r="B1192"/>
    </row>
    <row r="1193" spans="2:2" x14ac:dyDescent="0.35">
      <c r="B1193"/>
    </row>
    <row r="1194" spans="2:2" x14ac:dyDescent="0.35">
      <c r="B1194"/>
    </row>
    <row r="1195" spans="2:2" x14ac:dyDescent="0.35">
      <c r="B1195"/>
    </row>
    <row r="1196" spans="2:2" x14ac:dyDescent="0.35">
      <c r="B1196"/>
    </row>
    <row r="1197" spans="2:2" x14ac:dyDescent="0.35">
      <c r="B1197"/>
    </row>
    <row r="1198" spans="2:2" x14ac:dyDescent="0.35">
      <c r="B1198"/>
    </row>
    <row r="1199" spans="2:2" x14ac:dyDescent="0.35">
      <c r="B1199"/>
    </row>
    <row r="1200" spans="2:2" x14ac:dyDescent="0.35">
      <c r="B1200"/>
    </row>
    <row r="1201" spans="2:2" x14ac:dyDescent="0.35">
      <c r="B1201"/>
    </row>
    <row r="1202" spans="2:2" x14ac:dyDescent="0.35">
      <c r="B1202"/>
    </row>
    <row r="1203" spans="2:2" x14ac:dyDescent="0.35">
      <c r="B1203"/>
    </row>
    <row r="1204" spans="2:2" x14ac:dyDescent="0.35">
      <c r="B1204"/>
    </row>
    <row r="1205" spans="2:2" x14ac:dyDescent="0.35">
      <c r="B1205"/>
    </row>
    <row r="1206" spans="2:2" x14ac:dyDescent="0.35">
      <c r="B1206"/>
    </row>
    <row r="1207" spans="2:2" x14ac:dyDescent="0.35">
      <c r="B1207"/>
    </row>
    <row r="1208" spans="2:2" x14ac:dyDescent="0.35">
      <c r="B1208"/>
    </row>
    <row r="1209" spans="2:2" x14ac:dyDescent="0.35">
      <c r="B1209"/>
    </row>
    <row r="1210" spans="2:2" x14ac:dyDescent="0.35">
      <c r="B1210"/>
    </row>
    <row r="1211" spans="2:2" x14ac:dyDescent="0.35">
      <c r="B1211"/>
    </row>
    <row r="1212" spans="2:2" x14ac:dyDescent="0.35">
      <c r="B1212"/>
    </row>
    <row r="1213" spans="2:2" x14ac:dyDescent="0.35">
      <c r="B1213"/>
    </row>
    <row r="1214" spans="2:2" x14ac:dyDescent="0.35">
      <c r="B1214"/>
    </row>
    <row r="1215" spans="2:2" x14ac:dyDescent="0.35">
      <c r="B1215"/>
    </row>
    <row r="1216" spans="2:2" x14ac:dyDescent="0.35">
      <c r="B1216"/>
    </row>
    <row r="1217" spans="2:2" x14ac:dyDescent="0.35">
      <c r="B1217"/>
    </row>
    <row r="1218" spans="2:2" x14ac:dyDescent="0.35">
      <c r="B1218"/>
    </row>
    <row r="1219" spans="2:2" x14ac:dyDescent="0.35">
      <c r="B1219"/>
    </row>
    <row r="1220" spans="2:2" x14ac:dyDescent="0.35">
      <c r="B1220"/>
    </row>
    <row r="1221" spans="2:2" x14ac:dyDescent="0.35">
      <c r="B1221"/>
    </row>
    <row r="1222" spans="2:2" x14ac:dyDescent="0.35">
      <c r="B1222"/>
    </row>
    <row r="1223" spans="2:2" x14ac:dyDescent="0.35">
      <c r="B1223"/>
    </row>
    <row r="1224" spans="2:2" x14ac:dyDescent="0.35">
      <c r="B1224"/>
    </row>
    <row r="1225" spans="2:2" x14ac:dyDescent="0.35">
      <c r="B1225"/>
    </row>
    <row r="1226" spans="2:2" x14ac:dyDescent="0.35">
      <c r="B1226"/>
    </row>
    <row r="1227" spans="2:2" x14ac:dyDescent="0.35">
      <c r="B1227"/>
    </row>
    <row r="1228" spans="2:2" x14ac:dyDescent="0.35">
      <c r="B1228"/>
    </row>
    <row r="1229" spans="2:2" x14ac:dyDescent="0.35">
      <c r="B1229"/>
    </row>
    <row r="1230" spans="2:2" x14ac:dyDescent="0.35">
      <c r="B1230"/>
    </row>
    <row r="1231" spans="2:2" x14ac:dyDescent="0.35">
      <c r="B1231"/>
    </row>
    <row r="1232" spans="2:2" x14ac:dyDescent="0.35">
      <c r="B1232"/>
    </row>
    <row r="1233" spans="2:2" x14ac:dyDescent="0.35">
      <c r="B1233"/>
    </row>
    <row r="1234" spans="2:2" x14ac:dyDescent="0.35">
      <c r="B1234"/>
    </row>
    <row r="1235" spans="2:2" x14ac:dyDescent="0.35">
      <c r="B1235"/>
    </row>
    <row r="1236" spans="2:2" x14ac:dyDescent="0.35">
      <c r="B1236"/>
    </row>
    <row r="1237" spans="2:2" x14ac:dyDescent="0.35">
      <c r="B1237"/>
    </row>
    <row r="1238" spans="2:2" x14ac:dyDescent="0.35">
      <c r="B1238"/>
    </row>
    <row r="1239" spans="2:2" x14ac:dyDescent="0.35">
      <c r="B1239"/>
    </row>
    <row r="1240" spans="2:2" x14ac:dyDescent="0.35">
      <c r="B1240"/>
    </row>
    <row r="1241" spans="2:2" x14ac:dyDescent="0.35">
      <c r="B1241"/>
    </row>
    <row r="1242" spans="2:2" x14ac:dyDescent="0.35">
      <c r="B1242"/>
    </row>
    <row r="1243" spans="2:2" x14ac:dyDescent="0.35">
      <c r="B1243"/>
    </row>
    <row r="1244" spans="2:2" x14ac:dyDescent="0.35">
      <c r="B1244"/>
    </row>
    <row r="1245" spans="2:2" x14ac:dyDescent="0.35">
      <c r="B1245"/>
    </row>
    <row r="1246" spans="2:2" x14ac:dyDescent="0.35">
      <c r="B1246"/>
    </row>
    <row r="1247" spans="2:2" x14ac:dyDescent="0.35">
      <c r="B1247"/>
    </row>
    <row r="1248" spans="2:2" x14ac:dyDescent="0.35">
      <c r="B1248"/>
    </row>
    <row r="1249" spans="2:2" x14ac:dyDescent="0.35">
      <c r="B1249"/>
    </row>
    <row r="1250" spans="2:2" x14ac:dyDescent="0.35">
      <c r="B1250"/>
    </row>
    <row r="1251" spans="2:2" x14ac:dyDescent="0.35">
      <c r="B1251"/>
    </row>
    <row r="1252" spans="2:2" x14ac:dyDescent="0.35">
      <c r="B1252"/>
    </row>
    <row r="1253" spans="2:2" x14ac:dyDescent="0.35">
      <c r="B1253"/>
    </row>
    <row r="1254" spans="2:2" x14ac:dyDescent="0.35">
      <c r="B1254"/>
    </row>
    <row r="1255" spans="2:2" x14ac:dyDescent="0.35">
      <c r="B1255"/>
    </row>
    <row r="1256" spans="2:2" x14ac:dyDescent="0.35">
      <c r="B1256"/>
    </row>
    <row r="1257" spans="2:2" x14ac:dyDescent="0.35">
      <c r="B1257"/>
    </row>
    <row r="1258" spans="2:2" x14ac:dyDescent="0.35">
      <c r="B1258"/>
    </row>
    <row r="1259" spans="2:2" x14ac:dyDescent="0.35">
      <c r="B1259"/>
    </row>
    <row r="1260" spans="2:2" x14ac:dyDescent="0.35">
      <c r="B1260"/>
    </row>
    <row r="1261" spans="2:2" x14ac:dyDescent="0.35">
      <c r="B1261"/>
    </row>
    <row r="1262" spans="2:2" x14ac:dyDescent="0.35">
      <c r="B1262"/>
    </row>
    <row r="1263" spans="2:2" x14ac:dyDescent="0.35">
      <c r="B1263"/>
    </row>
    <row r="1264" spans="2:2" x14ac:dyDescent="0.35">
      <c r="B1264"/>
    </row>
    <row r="1265" spans="2:2" x14ac:dyDescent="0.35">
      <c r="B1265"/>
    </row>
    <row r="1266" spans="2:2" x14ac:dyDescent="0.35">
      <c r="B1266"/>
    </row>
    <row r="1267" spans="2:2" x14ac:dyDescent="0.35">
      <c r="B1267"/>
    </row>
    <row r="1268" spans="2:2" x14ac:dyDescent="0.35">
      <c r="B1268"/>
    </row>
    <row r="1269" spans="2:2" x14ac:dyDescent="0.35">
      <c r="B1269"/>
    </row>
    <row r="1270" spans="2:2" x14ac:dyDescent="0.35">
      <c r="B1270"/>
    </row>
    <row r="1271" spans="2:2" x14ac:dyDescent="0.35">
      <c r="B1271"/>
    </row>
    <row r="1272" spans="2:2" x14ac:dyDescent="0.35">
      <c r="B1272"/>
    </row>
    <row r="1273" spans="2:2" x14ac:dyDescent="0.35">
      <c r="B1273"/>
    </row>
    <row r="1274" spans="2:2" x14ac:dyDescent="0.35">
      <c r="B1274"/>
    </row>
    <row r="1275" spans="2:2" x14ac:dyDescent="0.35">
      <c r="B1275"/>
    </row>
    <row r="1276" spans="2:2" x14ac:dyDescent="0.35">
      <c r="B1276"/>
    </row>
    <row r="1277" spans="2:2" x14ac:dyDescent="0.35">
      <c r="B1277"/>
    </row>
    <row r="1278" spans="2:2" x14ac:dyDescent="0.35">
      <c r="B1278"/>
    </row>
    <row r="1279" spans="2:2" x14ac:dyDescent="0.35">
      <c r="B1279"/>
    </row>
    <row r="1280" spans="2:2" x14ac:dyDescent="0.35">
      <c r="B1280"/>
    </row>
    <row r="1281" spans="2:2" x14ac:dyDescent="0.35">
      <c r="B1281"/>
    </row>
    <row r="1282" spans="2:2" x14ac:dyDescent="0.35">
      <c r="B1282"/>
    </row>
    <row r="1283" spans="2:2" x14ac:dyDescent="0.35">
      <c r="B1283"/>
    </row>
    <row r="1284" spans="2:2" x14ac:dyDescent="0.35">
      <c r="B1284"/>
    </row>
    <row r="1285" spans="2:2" x14ac:dyDescent="0.35">
      <c r="B1285"/>
    </row>
    <row r="1286" spans="2:2" x14ac:dyDescent="0.35">
      <c r="B1286"/>
    </row>
    <row r="1287" spans="2:2" x14ac:dyDescent="0.35">
      <c r="B1287"/>
    </row>
    <row r="1288" spans="2:2" x14ac:dyDescent="0.35">
      <c r="B1288"/>
    </row>
    <row r="1289" spans="2:2" x14ac:dyDescent="0.35">
      <c r="B1289"/>
    </row>
    <row r="1290" spans="2:2" x14ac:dyDescent="0.35">
      <c r="B1290"/>
    </row>
    <row r="1291" spans="2:2" x14ac:dyDescent="0.35">
      <c r="B1291"/>
    </row>
    <row r="1292" spans="2:2" x14ac:dyDescent="0.35">
      <c r="B1292"/>
    </row>
    <row r="1293" spans="2:2" x14ac:dyDescent="0.35">
      <c r="B1293"/>
    </row>
    <row r="1294" spans="2:2" x14ac:dyDescent="0.35">
      <c r="B1294"/>
    </row>
    <row r="1295" spans="2:2" x14ac:dyDescent="0.35">
      <c r="B1295"/>
    </row>
    <row r="1296" spans="2:2" x14ac:dyDescent="0.35">
      <c r="B1296"/>
    </row>
    <row r="1297" spans="2:2" x14ac:dyDescent="0.35">
      <c r="B1297"/>
    </row>
    <row r="1298" spans="2:2" x14ac:dyDescent="0.35">
      <c r="B1298"/>
    </row>
    <row r="1299" spans="2:2" x14ac:dyDescent="0.35">
      <c r="B1299"/>
    </row>
    <row r="1300" spans="2:2" x14ac:dyDescent="0.35">
      <c r="B1300"/>
    </row>
    <row r="1301" spans="2:2" x14ac:dyDescent="0.35">
      <c r="B1301"/>
    </row>
    <row r="1302" spans="2:2" x14ac:dyDescent="0.35">
      <c r="B1302"/>
    </row>
    <row r="1303" spans="2:2" x14ac:dyDescent="0.35">
      <c r="B1303"/>
    </row>
    <row r="1304" spans="2:2" x14ac:dyDescent="0.35">
      <c r="B1304"/>
    </row>
    <row r="1305" spans="2:2" x14ac:dyDescent="0.35">
      <c r="B1305"/>
    </row>
    <row r="1306" spans="2:2" x14ac:dyDescent="0.35">
      <c r="B1306"/>
    </row>
    <row r="1307" spans="2:2" x14ac:dyDescent="0.35">
      <c r="B1307"/>
    </row>
    <row r="1308" spans="2:2" x14ac:dyDescent="0.35">
      <c r="B1308"/>
    </row>
    <row r="1309" spans="2:2" x14ac:dyDescent="0.35">
      <c r="B1309"/>
    </row>
    <row r="1310" spans="2:2" x14ac:dyDescent="0.35">
      <c r="B1310"/>
    </row>
    <row r="1311" spans="2:2" x14ac:dyDescent="0.35">
      <c r="B1311"/>
    </row>
    <row r="1312" spans="2:2" x14ac:dyDescent="0.35">
      <c r="B1312"/>
    </row>
    <row r="1313" spans="2:2" x14ac:dyDescent="0.35">
      <c r="B1313"/>
    </row>
    <row r="1314" spans="2:2" x14ac:dyDescent="0.35">
      <c r="B1314"/>
    </row>
    <row r="1315" spans="2:2" x14ac:dyDescent="0.35">
      <c r="B1315"/>
    </row>
    <row r="1316" spans="2:2" x14ac:dyDescent="0.35">
      <c r="B1316"/>
    </row>
    <row r="1317" spans="2:2" x14ac:dyDescent="0.35">
      <c r="B1317"/>
    </row>
    <row r="1318" spans="2:2" x14ac:dyDescent="0.35">
      <c r="B1318"/>
    </row>
    <row r="1319" spans="2:2" x14ac:dyDescent="0.35">
      <c r="B1319"/>
    </row>
    <row r="1320" spans="2:2" x14ac:dyDescent="0.35">
      <c r="B1320"/>
    </row>
    <row r="1321" spans="2:2" x14ac:dyDescent="0.35">
      <c r="B1321"/>
    </row>
    <row r="1322" spans="2:2" x14ac:dyDescent="0.35">
      <c r="B1322"/>
    </row>
    <row r="1323" spans="2:2" x14ac:dyDescent="0.35">
      <c r="B1323"/>
    </row>
    <row r="1324" spans="2:2" x14ac:dyDescent="0.35">
      <c r="B1324"/>
    </row>
    <row r="1325" spans="2:2" x14ac:dyDescent="0.35">
      <c r="B1325"/>
    </row>
    <row r="1326" spans="2:2" x14ac:dyDescent="0.35">
      <c r="B1326"/>
    </row>
    <row r="1327" spans="2:2" x14ac:dyDescent="0.35">
      <c r="B1327"/>
    </row>
    <row r="1328" spans="2:2" x14ac:dyDescent="0.35">
      <c r="B1328"/>
    </row>
    <row r="1329" spans="2:2" x14ac:dyDescent="0.35">
      <c r="B1329"/>
    </row>
    <row r="1330" spans="2:2" x14ac:dyDescent="0.35">
      <c r="B1330"/>
    </row>
    <row r="1331" spans="2:2" x14ac:dyDescent="0.35">
      <c r="B1331"/>
    </row>
    <row r="1332" spans="2:2" x14ac:dyDescent="0.35">
      <c r="B1332"/>
    </row>
    <row r="1333" spans="2:2" x14ac:dyDescent="0.35">
      <c r="B1333"/>
    </row>
    <row r="1334" spans="2:2" x14ac:dyDescent="0.35">
      <c r="B1334"/>
    </row>
    <row r="1335" spans="2:2" x14ac:dyDescent="0.35">
      <c r="B1335"/>
    </row>
    <row r="1336" spans="2:2" x14ac:dyDescent="0.35">
      <c r="B1336"/>
    </row>
    <row r="1337" spans="2:2" x14ac:dyDescent="0.35">
      <c r="B1337"/>
    </row>
    <row r="1338" spans="2:2" x14ac:dyDescent="0.35">
      <c r="B1338"/>
    </row>
    <row r="1339" spans="2:2" x14ac:dyDescent="0.35">
      <c r="B1339"/>
    </row>
    <row r="1340" spans="2:2" x14ac:dyDescent="0.35">
      <c r="B1340"/>
    </row>
    <row r="1341" spans="2:2" x14ac:dyDescent="0.35">
      <c r="B1341"/>
    </row>
    <row r="1342" spans="2:2" x14ac:dyDescent="0.35">
      <c r="B1342"/>
    </row>
    <row r="1343" spans="2:2" x14ac:dyDescent="0.35">
      <c r="B1343"/>
    </row>
    <row r="1344" spans="2:2" x14ac:dyDescent="0.35">
      <c r="B1344"/>
    </row>
    <row r="1345" spans="2:2" x14ac:dyDescent="0.35">
      <c r="B1345"/>
    </row>
    <row r="1346" spans="2:2" x14ac:dyDescent="0.35">
      <c r="B1346"/>
    </row>
    <row r="1347" spans="2:2" x14ac:dyDescent="0.35">
      <c r="B1347"/>
    </row>
    <row r="1348" spans="2:2" x14ac:dyDescent="0.35">
      <c r="B1348"/>
    </row>
    <row r="1349" spans="2:2" x14ac:dyDescent="0.35">
      <c r="B1349"/>
    </row>
    <row r="1350" spans="2:2" x14ac:dyDescent="0.35">
      <c r="B1350"/>
    </row>
    <row r="1351" spans="2:2" x14ac:dyDescent="0.35">
      <c r="B1351"/>
    </row>
    <row r="1352" spans="2:2" x14ac:dyDescent="0.35">
      <c r="B1352"/>
    </row>
    <row r="1353" spans="2:2" x14ac:dyDescent="0.35">
      <c r="B1353"/>
    </row>
    <row r="1354" spans="2:2" x14ac:dyDescent="0.35">
      <c r="B1354"/>
    </row>
    <row r="1355" spans="2:2" x14ac:dyDescent="0.35">
      <c r="B1355"/>
    </row>
    <row r="1356" spans="2:2" x14ac:dyDescent="0.35">
      <c r="B1356"/>
    </row>
    <row r="1357" spans="2:2" x14ac:dyDescent="0.35">
      <c r="B1357"/>
    </row>
    <row r="1358" spans="2:2" x14ac:dyDescent="0.35">
      <c r="B1358"/>
    </row>
    <row r="1359" spans="2:2" x14ac:dyDescent="0.35">
      <c r="B1359"/>
    </row>
    <row r="1360" spans="2:2" x14ac:dyDescent="0.35">
      <c r="B1360"/>
    </row>
    <row r="1361" spans="2:2" x14ac:dyDescent="0.35">
      <c r="B1361"/>
    </row>
    <row r="1362" spans="2:2" x14ac:dyDescent="0.35">
      <c r="B1362"/>
    </row>
    <row r="1363" spans="2:2" x14ac:dyDescent="0.35">
      <c r="B1363"/>
    </row>
    <row r="1364" spans="2:2" x14ac:dyDescent="0.35">
      <c r="B1364"/>
    </row>
    <row r="1365" spans="2:2" x14ac:dyDescent="0.35">
      <c r="B1365"/>
    </row>
    <row r="1366" spans="2:2" x14ac:dyDescent="0.35">
      <c r="B1366"/>
    </row>
    <row r="1367" spans="2:2" x14ac:dyDescent="0.35">
      <c r="B1367"/>
    </row>
    <row r="1368" spans="2:2" x14ac:dyDescent="0.35">
      <c r="B1368"/>
    </row>
    <row r="1369" spans="2:2" x14ac:dyDescent="0.35">
      <c r="B1369"/>
    </row>
    <row r="1370" spans="2:2" x14ac:dyDescent="0.35">
      <c r="B1370"/>
    </row>
    <row r="1371" spans="2:2" x14ac:dyDescent="0.35">
      <c r="B1371"/>
    </row>
    <row r="1372" spans="2:2" x14ac:dyDescent="0.35">
      <c r="B1372"/>
    </row>
    <row r="1373" spans="2:2" x14ac:dyDescent="0.35">
      <c r="B1373"/>
    </row>
    <row r="1374" spans="2:2" x14ac:dyDescent="0.35">
      <c r="B1374"/>
    </row>
    <row r="1375" spans="2:2" x14ac:dyDescent="0.35">
      <c r="B1375"/>
    </row>
    <row r="1376" spans="2:2" x14ac:dyDescent="0.35">
      <c r="B1376"/>
    </row>
    <row r="1377" spans="2:2" x14ac:dyDescent="0.35">
      <c r="B1377"/>
    </row>
    <row r="1378" spans="2:2" x14ac:dyDescent="0.35">
      <c r="B1378"/>
    </row>
    <row r="1379" spans="2:2" x14ac:dyDescent="0.35">
      <c r="B1379"/>
    </row>
    <row r="1380" spans="2:2" x14ac:dyDescent="0.35">
      <c r="B1380"/>
    </row>
    <row r="1381" spans="2:2" x14ac:dyDescent="0.35">
      <c r="B1381"/>
    </row>
    <row r="1382" spans="2:2" x14ac:dyDescent="0.35">
      <c r="B1382"/>
    </row>
    <row r="1383" spans="2:2" x14ac:dyDescent="0.35">
      <c r="B1383"/>
    </row>
    <row r="1384" spans="2:2" x14ac:dyDescent="0.35">
      <c r="B1384"/>
    </row>
    <row r="1385" spans="2:2" x14ac:dyDescent="0.35">
      <c r="B1385"/>
    </row>
    <row r="1386" spans="2:2" x14ac:dyDescent="0.35">
      <c r="B1386"/>
    </row>
    <row r="1387" spans="2:2" x14ac:dyDescent="0.35">
      <c r="B1387"/>
    </row>
    <row r="1388" spans="2:2" x14ac:dyDescent="0.35">
      <c r="B1388"/>
    </row>
    <row r="1389" spans="2:2" x14ac:dyDescent="0.35">
      <c r="B1389"/>
    </row>
    <row r="1390" spans="2:2" x14ac:dyDescent="0.35">
      <c r="B1390"/>
    </row>
    <row r="1391" spans="2:2" x14ac:dyDescent="0.35">
      <c r="B1391"/>
    </row>
    <row r="1392" spans="2:2" x14ac:dyDescent="0.35">
      <c r="B1392"/>
    </row>
    <row r="1393" spans="2:2" x14ac:dyDescent="0.35">
      <c r="B1393"/>
    </row>
    <row r="1394" spans="2:2" x14ac:dyDescent="0.35">
      <c r="B1394"/>
    </row>
    <row r="1395" spans="2:2" x14ac:dyDescent="0.35">
      <c r="B1395"/>
    </row>
    <row r="1396" spans="2:2" x14ac:dyDescent="0.35">
      <c r="B1396"/>
    </row>
    <row r="1397" spans="2:2" x14ac:dyDescent="0.35">
      <c r="B1397"/>
    </row>
    <row r="1398" spans="2:2" x14ac:dyDescent="0.35">
      <c r="B1398"/>
    </row>
    <row r="1399" spans="2:2" x14ac:dyDescent="0.35">
      <c r="B1399"/>
    </row>
    <row r="1400" spans="2:2" x14ac:dyDescent="0.35">
      <c r="B1400"/>
    </row>
    <row r="1401" spans="2:2" x14ac:dyDescent="0.35">
      <c r="B1401"/>
    </row>
    <row r="1402" spans="2:2" x14ac:dyDescent="0.35">
      <c r="B1402"/>
    </row>
    <row r="1403" spans="2:2" x14ac:dyDescent="0.35">
      <c r="B1403"/>
    </row>
    <row r="1404" spans="2:2" x14ac:dyDescent="0.35">
      <c r="B1404"/>
    </row>
    <row r="1405" spans="2:2" x14ac:dyDescent="0.35">
      <c r="B1405"/>
    </row>
    <row r="1406" spans="2:2" x14ac:dyDescent="0.35">
      <c r="B1406"/>
    </row>
    <row r="1407" spans="2:2" x14ac:dyDescent="0.35">
      <c r="B1407"/>
    </row>
    <row r="1408" spans="2:2" x14ac:dyDescent="0.35">
      <c r="B1408"/>
    </row>
    <row r="1409" spans="2:2" x14ac:dyDescent="0.35">
      <c r="B1409"/>
    </row>
    <row r="1410" spans="2:2" x14ac:dyDescent="0.35">
      <c r="B1410"/>
    </row>
    <row r="1411" spans="2:2" x14ac:dyDescent="0.35">
      <c r="B1411"/>
    </row>
    <row r="1412" spans="2:2" x14ac:dyDescent="0.35">
      <c r="B1412"/>
    </row>
    <row r="1413" spans="2:2" x14ac:dyDescent="0.35">
      <c r="B1413"/>
    </row>
    <row r="1414" spans="2:2" x14ac:dyDescent="0.35">
      <c r="B1414"/>
    </row>
    <row r="1415" spans="2:2" x14ac:dyDescent="0.35">
      <c r="B1415"/>
    </row>
    <row r="1416" spans="2:2" x14ac:dyDescent="0.35">
      <c r="B1416"/>
    </row>
    <row r="1417" spans="2:2" x14ac:dyDescent="0.35">
      <c r="B1417"/>
    </row>
    <row r="1418" spans="2:2" x14ac:dyDescent="0.35">
      <c r="B1418"/>
    </row>
    <row r="1419" spans="2:2" x14ac:dyDescent="0.35">
      <c r="B1419"/>
    </row>
    <row r="1420" spans="2:2" x14ac:dyDescent="0.35">
      <c r="B1420"/>
    </row>
    <row r="1421" spans="2:2" x14ac:dyDescent="0.35">
      <c r="B1421"/>
    </row>
    <row r="1422" spans="2:2" x14ac:dyDescent="0.35">
      <c r="B1422"/>
    </row>
    <row r="1423" spans="2:2" x14ac:dyDescent="0.35">
      <c r="B1423"/>
    </row>
    <row r="1424" spans="2:2" x14ac:dyDescent="0.35">
      <c r="B1424"/>
    </row>
    <row r="1425" spans="2:2" x14ac:dyDescent="0.35">
      <c r="B1425"/>
    </row>
    <row r="1426" spans="2:2" x14ac:dyDescent="0.35">
      <c r="B1426"/>
    </row>
    <row r="1427" spans="2:2" x14ac:dyDescent="0.35">
      <c r="B1427"/>
    </row>
    <row r="1428" spans="2:2" x14ac:dyDescent="0.35">
      <c r="B1428"/>
    </row>
    <row r="1429" spans="2:2" x14ac:dyDescent="0.35">
      <c r="B1429"/>
    </row>
    <row r="1430" spans="2:2" x14ac:dyDescent="0.35">
      <c r="B1430"/>
    </row>
    <row r="1431" spans="2:2" x14ac:dyDescent="0.35">
      <c r="B1431"/>
    </row>
    <row r="1432" spans="2:2" x14ac:dyDescent="0.35">
      <c r="B1432"/>
    </row>
    <row r="1433" spans="2:2" x14ac:dyDescent="0.35">
      <c r="B1433"/>
    </row>
    <row r="1434" spans="2:2" x14ac:dyDescent="0.35">
      <c r="B1434"/>
    </row>
    <row r="1435" spans="2:2" x14ac:dyDescent="0.35">
      <c r="B1435"/>
    </row>
    <row r="1436" spans="2:2" x14ac:dyDescent="0.35">
      <c r="B1436"/>
    </row>
    <row r="1437" spans="2:2" x14ac:dyDescent="0.35">
      <c r="B1437"/>
    </row>
    <row r="1438" spans="2:2" x14ac:dyDescent="0.35">
      <c r="B1438"/>
    </row>
    <row r="1439" spans="2:2" x14ac:dyDescent="0.35">
      <c r="B1439"/>
    </row>
    <row r="1440" spans="2:2" x14ac:dyDescent="0.35">
      <c r="B1440"/>
    </row>
    <row r="1441" spans="2:2" x14ac:dyDescent="0.35">
      <c r="B1441"/>
    </row>
    <row r="1442" spans="2:2" x14ac:dyDescent="0.35">
      <c r="B1442"/>
    </row>
    <row r="1443" spans="2:2" x14ac:dyDescent="0.35">
      <c r="B1443"/>
    </row>
    <row r="1444" spans="2:2" x14ac:dyDescent="0.35">
      <c r="B1444"/>
    </row>
    <row r="1445" spans="2:2" x14ac:dyDescent="0.35">
      <c r="B1445"/>
    </row>
    <row r="1446" spans="2:2" x14ac:dyDescent="0.35">
      <c r="B1446"/>
    </row>
    <row r="1447" spans="2:2" x14ac:dyDescent="0.35">
      <c r="B1447"/>
    </row>
    <row r="1448" spans="2:2" x14ac:dyDescent="0.35">
      <c r="B1448"/>
    </row>
    <row r="1449" spans="2:2" x14ac:dyDescent="0.35">
      <c r="B1449"/>
    </row>
    <row r="1450" spans="2:2" x14ac:dyDescent="0.35">
      <c r="B1450"/>
    </row>
    <row r="1451" spans="2:2" x14ac:dyDescent="0.35">
      <c r="B1451"/>
    </row>
    <row r="1452" spans="2:2" x14ac:dyDescent="0.35">
      <c r="B1452"/>
    </row>
    <row r="1453" spans="2:2" x14ac:dyDescent="0.35">
      <c r="B1453"/>
    </row>
    <row r="1454" spans="2:2" x14ac:dyDescent="0.35">
      <c r="B1454"/>
    </row>
    <row r="1455" spans="2:2" x14ac:dyDescent="0.35">
      <c r="B1455"/>
    </row>
    <row r="1456" spans="2:2" x14ac:dyDescent="0.35">
      <c r="B1456"/>
    </row>
    <row r="1457" spans="2:2" x14ac:dyDescent="0.35">
      <c r="B1457"/>
    </row>
    <row r="1458" spans="2:2" x14ac:dyDescent="0.35">
      <c r="B1458"/>
    </row>
    <row r="1459" spans="2:2" x14ac:dyDescent="0.35">
      <c r="B1459"/>
    </row>
    <row r="1460" spans="2:2" x14ac:dyDescent="0.35">
      <c r="B1460"/>
    </row>
    <row r="1461" spans="2:2" x14ac:dyDescent="0.35">
      <c r="B1461"/>
    </row>
    <row r="1462" spans="2:2" x14ac:dyDescent="0.35">
      <c r="B1462"/>
    </row>
    <row r="1463" spans="2:2" x14ac:dyDescent="0.35">
      <c r="B1463"/>
    </row>
    <row r="1464" spans="2:2" x14ac:dyDescent="0.35">
      <c r="B1464"/>
    </row>
    <row r="1465" spans="2:2" x14ac:dyDescent="0.35">
      <c r="B1465"/>
    </row>
    <row r="1466" spans="2:2" x14ac:dyDescent="0.35">
      <c r="B1466"/>
    </row>
    <row r="1467" spans="2:2" x14ac:dyDescent="0.35">
      <c r="B1467"/>
    </row>
    <row r="1468" spans="2:2" x14ac:dyDescent="0.35">
      <c r="B1468"/>
    </row>
    <row r="1469" spans="2:2" x14ac:dyDescent="0.35">
      <c r="B1469"/>
    </row>
    <row r="1470" spans="2:2" x14ac:dyDescent="0.35">
      <c r="B1470"/>
    </row>
    <row r="1471" spans="2:2" x14ac:dyDescent="0.35">
      <c r="B1471"/>
    </row>
    <row r="1472" spans="2:2" x14ac:dyDescent="0.35">
      <c r="B1472"/>
    </row>
    <row r="1473" spans="2:2" x14ac:dyDescent="0.35">
      <c r="B1473"/>
    </row>
    <row r="1474" spans="2:2" x14ac:dyDescent="0.35">
      <c r="B1474"/>
    </row>
    <row r="1475" spans="2:2" x14ac:dyDescent="0.35">
      <c r="B1475"/>
    </row>
    <row r="1476" spans="2:2" x14ac:dyDescent="0.35">
      <c r="B1476"/>
    </row>
    <row r="1477" spans="2:2" x14ac:dyDescent="0.35">
      <c r="B1477"/>
    </row>
    <row r="1478" spans="2:2" x14ac:dyDescent="0.35">
      <c r="B1478"/>
    </row>
    <row r="1479" spans="2:2" x14ac:dyDescent="0.35">
      <c r="B1479"/>
    </row>
    <row r="1480" spans="2:2" x14ac:dyDescent="0.35">
      <c r="B1480"/>
    </row>
    <row r="1481" spans="2:2" x14ac:dyDescent="0.35">
      <c r="B1481"/>
    </row>
    <row r="1482" spans="2:2" x14ac:dyDescent="0.35">
      <c r="B1482"/>
    </row>
    <row r="1483" spans="2:2" x14ac:dyDescent="0.35">
      <c r="B1483"/>
    </row>
    <row r="1484" spans="2:2" x14ac:dyDescent="0.35">
      <c r="B1484"/>
    </row>
    <row r="1485" spans="2:2" x14ac:dyDescent="0.35">
      <c r="B1485"/>
    </row>
    <row r="1486" spans="2:2" x14ac:dyDescent="0.35">
      <c r="B1486"/>
    </row>
    <row r="1487" spans="2:2" x14ac:dyDescent="0.35">
      <c r="B1487"/>
    </row>
    <row r="1488" spans="2:2" x14ac:dyDescent="0.35">
      <c r="B1488"/>
    </row>
    <row r="1489" spans="2:2" x14ac:dyDescent="0.35">
      <c r="B1489"/>
    </row>
    <row r="1490" spans="2:2" x14ac:dyDescent="0.35">
      <c r="B1490"/>
    </row>
    <row r="1491" spans="2:2" x14ac:dyDescent="0.35">
      <c r="B1491"/>
    </row>
    <row r="1492" spans="2:2" x14ac:dyDescent="0.35">
      <c r="B1492"/>
    </row>
    <row r="1493" spans="2:2" x14ac:dyDescent="0.35">
      <c r="B1493"/>
    </row>
    <row r="1494" spans="2:2" x14ac:dyDescent="0.35">
      <c r="B1494"/>
    </row>
    <row r="1495" spans="2:2" x14ac:dyDescent="0.35">
      <c r="B1495"/>
    </row>
    <row r="1496" spans="2:2" x14ac:dyDescent="0.35">
      <c r="B1496"/>
    </row>
    <row r="1497" spans="2:2" x14ac:dyDescent="0.35">
      <c r="B1497"/>
    </row>
    <row r="1498" spans="2:2" x14ac:dyDescent="0.35">
      <c r="B1498"/>
    </row>
    <row r="1499" spans="2:2" x14ac:dyDescent="0.35">
      <c r="B1499"/>
    </row>
    <row r="1500" spans="2:2" x14ac:dyDescent="0.35">
      <c r="B1500"/>
    </row>
    <row r="1501" spans="2:2" x14ac:dyDescent="0.35">
      <c r="B1501"/>
    </row>
    <row r="1502" spans="2:2" x14ac:dyDescent="0.35">
      <c r="B1502"/>
    </row>
    <row r="1503" spans="2:2" x14ac:dyDescent="0.35">
      <c r="B1503"/>
    </row>
    <row r="1504" spans="2:2" x14ac:dyDescent="0.35">
      <c r="B1504"/>
    </row>
    <row r="1505" spans="2:2" x14ac:dyDescent="0.35">
      <c r="B1505"/>
    </row>
    <row r="1506" spans="2:2" x14ac:dyDescent="0.35">
      <c r="B1506"/>
    </row>
    <row r="1507" spans="2:2" x14ac:dyDescent="0.35">
      <c r="B1507"/>
    </row>
    <row r="1508" spans="2:2" x14ac:dyDescent="0.35">
      <c r="B1508"/>
    </row>
    <row r="1509" spans="2:2" x14ac:dyDescent="0.35">
      <c r="B1509"/>
    </row>
    <row r="1510" spans="2:2" x14ac:dyDescent="0.35">
      <c r="B1510"/>
    </row>
    <row r="1511" spans="2:2" x14ac:dyDescent="0.35">
      <c r="B1511"/>
    </row>
    <row r="1512" spans="2:2" x14ac:dyDescent="0.35">
      <c r="B1512"/>
    </row>
    <row r="1513" spans="2:2" x14ac:dyDescent="0.35">
      <c r="B1513"/>
    </row>
    <row r="1514" spans="2:2" x14ac:dyDescent="0.35">
      <c r="B1514"/>
    </row>
    <row r="1515" spans="2:2" x14ac:dyDescent="0.35">
      <c r="B1515"/>
    </row>
    <row r="1516" spans="2:2" x14ac:dyDescent="0.35">
      <c r="B1516"/>
    </row>
    <row r="1517" spans="2:2" x14ac:dyDescent="0.35">
      <c r="B1517"/>
    </row>
    <row r="1518" spans="2:2" x14ac:dyDescent="0.35">
      <c r="B1518"/>
    </row>
    <row r="1519" spans="2:2" x14ac:dyDescent="0.35">
      <c r="B1519"/>
    </row>
    <row r="1520" spans="2:2" x14ac:dyDescent="0.35">
      <c r="B1520"/>
    </row>
    <row r="1521" spans="2:2" x14ac:dyDescent="0.35">
      <c r="B1521"/>
    </row>
    <row r="1522" spans="2:2" x14ac:dyDescent="0.35">
      <c r="B1522"/>
    </row>
    <row r="1523" spans="2:2" x14ac:dyDescent="0.35">
      <c r="B1523"/>
    </row>
    <row r="1524" spans="2:2" x14ac:dyDescent="0.35">
      <c r="B1524"/>
    </row>
    <row r="1525" spans="2:2" x14ac:dyDescent="0.35">
      <c r="B1525"/>
    </row>
    <row r="1526" spans="2:2" x14ac:dyDescent="0.35">
      <c r="B1526"/>
    </row>
    <row r="1527" spans="2:2" x14ac:dyDescent="0.35">
      <c r="B1527"/>
    </row>
    <row r="1528" spans="2:2" x14ac:dyDescent="0.35">
      <c r="B1528"/>
    </row>
    <row r="1529" spans="2:2" x14ac:dyDescent="0.35">
      <c r="B1529"/>
    </row>
    <row r="1530" spans="2:2" x14ac:dyDescent="0.35">
      <c r="B1530"/>
    </row>
    <row r="1531" spans="2:2" x14ac:dyDescent="0.35">
      <c r="B1531"/>
    </row>
    <row r="1532" spans="2:2" x14ac:dyDescent="0.35">
      <c r="B1532"/>
    </row>
    <row r="1533" spans="2:2" x14ac:dyDescent="0.35">
      <c r="B1533"/>
    </row>
    <row r="1534" spans="2:2" x14ac:dyDescent="0.35">
      <c r="B1534"/>
    </row>
    <row r="1535" spans="2:2" x14ac:dyDescent="0.35">
      <c r="B1535"/>
    </row>
    <row r="1536" spans="2:2" x14ac:dyDescent="0.35">
      <c r="B1536"/>
    </row>
    <row r="1537" spans="2:2" x14ac:dyDescent="0.35">
      <c r="B1537"/>
    </row>
    <row r="1538" spans="2:2" x14ac:dyDescent="0.35">
      <c r="B1538"/>
    </row>
    <row r="1539" spans="2:2" x14ac:dyDescent="0.35">
      <c r="B1539"/>
    </row>
    <row r="1540" spans="2:2" x14ac:dyDescent="0.35">
      <c r="B1540"/>
    </row>
    <row r="1541" spans="2:2" x14ac:dyDescent="0.35">
      <c r="B1541"/>
    </row>
    <row r="1542" spans="2:2" x14ac:dyDescent="0.35">
      <c r="B1542"/>
    </row>
    <row r="1543" spans="2:2" x14ac:dyDescent="0.35">
      <c r="B1543"/>
    </row>
    <row r="1544" spans="2:2" x14ac:dyDescent="0.35">
      <c r="B1544"/>
    </row>
    <row r="1545" spans="2:2" x14ac:dyDescent="0.35">
      <c r="B1545"/>
    </row>
    <row r="1546" spans="2:2" x14ac:dyDescent="0.35">
      <c r="B1546"/>
    </row>
    <row r="1547" spans="2:2" x14ac:dyDescent="0.35">
      <c r="B1547"/>
    </row>
    <row r="1548" spans="2:2" x14ac:dyDescent="0.35">
      <c r="B1548"/>
    </row>
    <row r="1549" spans="2:2" x14ac:dyDescent="0.35">
      <c r="B1549"/>
    </row>
    <row r="1550" spans="2:2" x14ac:dyDescent="0.35">
      <c r="B1550"/>
    </row>
    <row r="1551" spans="2:2" x14ac:dyDescent="0.35">
      <c r="B1551"/>
    </row>
    <row r="1552" spans="2:2" x14ac:dyDescent="0.35">
      <c r="B1552"/>
    </row>
    <row r="1553" spans="2:2" x14ac:dyDescent="0.35">
      <c r="B1553"/>
    </row>
    <row r="1554" spans="2:2" x14ac:dyDescent="0.35">
      <c r="B1554"/>
    </row>
    <row r="1555" spans="2:2" x14ac:dyDescent="0.35">
      <c r="B1555"/>
    </row>
    <row r="1556" spans="2:2" x14ac:dyDescent="0.35">
      <c r="B1556"/>
    </row>
    <row r="1557" spans="2:2" x14ac:dyDescent="0.35">
      <c r="B1557"/>
    </row>
    <row r="1558" spans="2:2" x14ac:dyDescent="0.35">
      <c r="B1558"/>
    </row>
    <row r="1559" spans="2:2" x14ac:dyDescent="0.35">
      <c r="B1559"/>
    </row>
    <row r="1560" spans="2:2" x14ac:dyDescent="0.35">
      <c r="B1560"/>
    </row>
    <row r="1561" spans="2:2" x14ac:dyDescent="0.35">
      <c r="B1561"/>
    </row>
    <row r="1562" spans="2:2" x14ac:dyDescent="0.35">
      <c r="B1562"/>
    </row>
    <row r="1563" spans="2:2" x14ac:dyDescent="0.35">
      <c r="B1563"/>
    </row>
    <row r="1564" spans="2:2" x14ac:dyDescent="0.35">
      <c r="B1564"/>
    </row>
    <row r="1565" spans="2:2" x14ac:dyDescent="0.35">
      <c r="B1565"/>
    </row>
    <row r="1566" spans="2:2" x14ac:dyDescent="0.35">
      <c r="B1566"/>
    </row>
    <row r="1567" spans="2:2" x14ac:dyDescent="0.35">
      <c r="B1567"/>
    </row>
    <row r="1568" spans="2:2" x14ac:dyDescent="0.35">
      <c r="B1568"/>
    </row>
    <row r="1569" spans="2:2" x14ac:dyDescent="0.35">
      <c r="B1569"/>
    </row>
    <row r="1570" spans="2:2" x14ac:dyDescent="0.35">
      <c r="B1570"/>
    </row>
    <row r="1571" spans="2:2" x14ac:dyDescent="0.35">
      <c r="B1571"/>
    </row>
    <row r="1572" spans="2:2" x14ac:dyDescent="0.35">
      <c r="B1572"/>
    </row>
    <row r="1573" spans="2:2" x14ac:dyDescent="0.35">
      <c r="B1573"/>
    </row>
    <row r="1574" spans="2:2" x14ac:dyDescent="0.35">
      <c r="B1574"/>
    </row>
    <row r="1575" spans="2:2" x14ac:dyDescent="0.35">
      <c r="B1575"/>
    </row>
    <row r="1576" spans="2:2" x14ac:dyDescent="0.35">
      <c r="B1576"/>
    </row>
    <row r="1577" spans="2:2" x14ac:dyDescent="0.35">
      <c r="B1577"/>
    </row>
    <row r="1578" spans="2:2" x14ac:dyDescent="0.35">
      <c r="B1578"/>
    </row>
    <row r="1579" spans="2:2" x14ac:dyDescent="0.35">
      <c r="B1579"/>
    </row>
    <row r="1580" spans="2:2" x14ac:dyDescent="0.35">
      <c r="B1580"/>
    </row>
    <row r="1581" spans="2:2" x14ac:dyDescent="0.35">
      <c r="B1581"/>
    </row>
    <row r="1582" spans="2:2" x14ac:dyDescent="0.35">
      <c r="B1582"/>
    </row>
    <row r="1583" spans="2:2" x14ac:dyDescent="0.35">
      <c r="B1583"/>
    </row>
    <row r="1584" spans="2:2" x14ac:dyDescent="0.35">
      <c r="B1584"/>
    </row>
    <row r="1585" spans="2:2" x14ac:dyDescent="0.35">
      <c r="B1585"/>
    </row>
    <row r="1586" spans="2:2" x14ac:dyDescent="0.35">
      <c r="B1586"/>
    </row>
    <row r="1587" spans="2:2" x14ac:dyDescent="0.35">
      <c r="B1587"/>
    </row>
    <row r="1588" spans="2:2" x14ac:dyDescent="0.35">
      <c r="B1588"/>
    </row>
    <row r="1589" spans="2:2" x14ac:dyDescent="0.35">
      <c r="B1589"/>
    </row>
    <row r="1590" spans="2:2" x14ac:dyDescent="0.35">
      <c r="B1590"/>
    </row>
    <row r="1591" spans="2:2" x14ac:dyDescent="0.35">
      <c r="B1591"/>
    </row>
    <row r="1592" spans="2:2" x14ac:dyDescent="0.35">
      <c r="B1592"/>
    </row>
    <row r="1593" spans="2:2" x14ac:dyDescent="0.35">
      <c r="B1593"/>
    </row>
    <row r="1594" spans="2:2" x14ac:dyDescent="0.35">
      <c r="B1594"/>
    </row>
    <row r="1595" spans="2:2" x14ac:dyDescent="0.35">
      <c r="B1595"/>
    </row>
    <row r="1596" spans="2:2" x14ac:dyDescent="0.35">
      <c r="B1596"/>
    </row>
    <row r="1597" spans="2:2" x14ac:dyDescent="0.35">
      <c r="B1597"/>
    </row>
    <row r="1598" spans="2:2" x14ac:dyDescent="0.35">
      <c r="B1598"/>
    </row>
    <row r="1599" spans="2:2" x14ac:dyDescent="0.35">
      <c r="B1599"/>
    </row>
    <row r="1600" spans="2:2" x14ac:dyDescent="0.35">
      <c r="B1600"/>
    </row>
    <row r="1601" spans="2:2" x14ac:dyDescent="0.35">
      <c r="B1601"/>
    </row>
    <row r="1602" spans="2:2" x14ac:dyDescent="0.35">
      <c r="B1602"/>
    </row>
    <row r="1603" spans="2:2" x14ac:dyDescent="0.35">
      <c r="B1603"/>
    </row>
    <row r="1604" spans="2:2" x14ac:dyDescent="0.35">
      <c r="B1604"/>
    </row>
    <row r="1605" spans="2:2" x14ac:dyDescent="0.35">
      <c r="B1605"/>
    </row>
    <row r="1606" spans="2:2" x14ac:dyDescent="0.35">
      <c r="B1606"/>
    </row>
    <row r="1607" spans="2:2" x14ac:dyDescent="0.35">
      <c r="B1607"/>
    </row>
    <row r="1608" spans="2:2" x14ac:dyDescent="0.35">
      <c r="B1608"/>
    </row>
    <row r="1609" spans="2:2" x14ac:dyDescent="0.35">
      <c r="B1609"/>
    </row>
    <row r="1610" spans="2:2" x14ac:dyDescent="0.35">
      <c r="B1610"/>
    </row>
    <row r="1611" spans="2:2" x14ac:dyDescent="0.35">
      <c r="B1611"/>
    </row>
    <row r="1612" spans="2:2" x14ac:dyDescent="0.35">
      <c r="B1612"/>
    </row>
    <row r="1613" spans="2:2" x14ac:dyDescent="0.35">
      <c r="B1613"/>
    </row>
    <row r="1614" spans="2:2" x14ac:dyDescent="0.35">
      <c r="B1614"/>
    </row>
    <row r="1615" spans="2:2" x14ac:dyDescent="0.35">
      <c r="B1615"/>
    </row>
    <row r="1616" spans="2:2" x14ac:dyDescent="0.35">
      <c r="B1616"/>
    </row>
    <row r="1617" spans="2:2" x14ac:dyDescent="0.35">
      <c r="B1617"/>
    </row>
    <row r="1618" spans="2:2" x14ac:dyDescent="0.35">
      <c r="B1618"/>
    </row>
    <row r="1619" spans="2:2" x14ac:dyDescent="0.35">
      <c r="B1619"/>
    </row>
    <row r="1620" spans="2:2" x14ac:dyDescent="0.35">
      <c r="B1620"/>
    </row>
    <row r="1621" spans="2:2" x14ac:dyDescent="0.35">
      <c r="B1621"/>
    </row>
    <row r="1622" spans="2:2" x14ac:dyDescent="0.35">
      <c r="B1622"/>
    </row>
    <row r="1623" spans="2:2" x14ac:dyDescent="0.35">
      <c r="B1623"/>
    </row>
    <row r="1624" spans="2:2" x14ac:dyDescent="0.35">
      <c r="B1624"/>
    </row>
    <row r="1625" spans="2:2" x14ac:dyDescent="0.35">
      <c r="B1625"/>
    </row>
    <row r="1626" spans="2:2" x14ac:dyDescent="0.35">
      <c r="B1626"/>
    </row>
    <row r="1627" spans="2:2" x14ac:dyDescent="0.35">
      <c r="B1627"/>
    </row>
    <row r="1628" spans="2:2" x14ac:dyDescent="0.35">
      <c r="B1628"/>
    </row>
    <row r="1629" spans="2:2" x14ac:dyDescent="0.35">
      <c r="B1629"/>
    </row>
    <row r="1630" spans="2:2" x14ac:dyDescent="0.35">
      <c r="B1630"/>
    </row>
    <row r="1631" spans="2:2" x14ac:dyDescent="0.35">
      <c r="B1631"/>
    </row>
    <row r="1632" spans="2:2" x14ac:dyDescent="0.35">
      <c r="B1632"/>
    </row>
    <row r="1633" spans="2:2" x14ac:dyDescent="0.35">
      <c r="B1633"/>
    </row>
    <row r="1634" spans="2:2" x14ac:dyDescent="0.35">
      <c r="B1634"/>
    </row>
    <row r="1635" spans="2:2" x14ac:dyDescent="0.35">
      <c r="B1635"/>
    </row>
    <row r="1636" spans="2:2" x14ac:dyDescent="0.35">
      <c r="B1636"/>
    </row>
    <row r="1637" spans="2:2" x14ac:dyDescent="0.35">
      <c r="B1637"/>
    </row>
    <row r="1638" spans="2:2" x14ac:dyDescent="0.35">
      <c r="B1638"/>
    </row>
    <row r="1639" spans="2:2" x14ac:dyDescent="0.35">
      <c r="B1639"/>
    </row>
    <row r="1640" spans="2:2" x14ac:dyDescent="0.35">
      <c r="B1640"/>
    </row>
    <row r="1641" spans="2:2" x14ac:dyDescent="0.35">
      <c r="B1641"/>
    </row>
    <row r="1642" spans="2:2" x14ac:dyDescent="0.35">
      <c r="B1642"/>
    </row>
    <row r="1643" spans="2:2" x14ac:dyDescent="0.35">
      <c r="B1643"/>
    </row>
    <row r="1644" spans="2:2" x14ac:dyDescent="0.35">
      <c r="B1644"/>
    </row>
    <row r="1645" spans="2:2" x14ac:dyDescent="0.35">
      <c r="B1645"/>
    </row>
    <row r="1646" spans="2:2" x14ac:dyDescent="0.35">
      <c r="B1646"/>
    </row>
    <row r="1647" spans="2:2" x14ac:dyDescent="0.35">
      <c r="B1647"/>
    </row>
    <row r="1648" spans="2:2" x14ac:dyDescent="0.35">
      <c r="B1648"/>
    </row>
    <row r="1649" spans="2:2" x14ac:dyDescent="0.35">
      <c r="B1649"/>
    </row>
    <row r="1650" spans="2:2" x14ac:dyDescent="0.35">
      <c r="B1650"/>
    </row>
    <row r="1651" spans="2:2" x14ac:dyDescent="0.35">
      <c r="B1651"/>
    </row>
    <row r="1652" spans="2:2" x14ac:dyDescent="0.35">
      <c r="B1652"/>
    </row>
    <row r="1653" spans="2:2" x14ac:dyDescent="0.35">
      <c r="B1653"/>
    </row>
    <row r="1654" spans="2:2" x14ac:dyDescent="0.35">
      <c r="B1654"/>
    </row>
    <row r="1655" spans="2:2" x14ac:dyDescent="0.35">
      <c r="B1655"/>
    </row>
    <row r="1656" spans="2:2" x14ac:dyDescent="0.35">
      <c r="B1656"/>
    </row>
    <row r="1657" spans="2:2" x14ac:dyDescent="0.35">
      <c r="B1657"/>
    </row>
    <row r="1658" spans="2:2" x14ac:dyDescent="0.35">
      <c r="B1658"/>
    </row>
    <row r="1659" spans="2:2" x14ac:dyDescent="0.35">
      <c r="B1659"/>
    </row>
    <row r="1660" spans="2:2" x14ac:dyDescent="0.35">
      <c r="B1660"/>
    </row>
    <row r="1661" spans="2:2" x14ac:dyDescent="0.35">
      <c r="B1661"/>
    </row>
    <row r="1662" spans="2:2" x14ac:dyDescent="0.35">
      <c r="B1662"/>
    </row>
    <row r="1663" spans="2:2" x14ac:dyDescent="0.35">
      <c r="B1663"/>
    </row>
    <row r="1664" spans="2:2" x14ac:dyDescent="0.35">
      <c r="B1664"/>
    </row>
    <row r="1665" spans="2:2" x14ac:dyDescent="0.35">
      <c r="B1665"/>
    </row>
    <row r="1666" spans="2:2" x14ac:dyDescent="0.35">
      <c r="B1666"/>
    </row>
    <row r="1667" spans="2:2" x14ac:dyDescent="0.35">
      <c r="B1667"/>
    </row>
    <row r="1668" spans="2:2" x14ac:dyDescent="0.35">
      <c r="B1668"/>
    </row>
    <row r="1669" spans="2:2" x14ac:dyDescent="0.35">
      <c r="B1669"/>
    </row>
    <row r="1670" spans="2:2" x14ac:dyDescent="0.35">
      <c r="B1670"/>
    </row>
    <row r="1671" spans="2:2" x14ac:dyDescent="0.35">
      <c r="B1671"/>
    </row>
    <row r="1672" spans="2:2" x14ac:dyDescent="0.35">
      <c r="B1672"/>
    </row>
    <row r="1673" spans="2:2" x14ac:dyDescent="0.35">
      <c r="B1673"/>
    </row>
    <row r="1674" spans="2:2" x14ac:dyDescent="0.35">
      <c r="B1674"/>
    </row>
    <row r="1675" spans="2:2" x14ac:dyDescent="0.35">
      <c r="B1675"/>
    </row>
    <row r="1676" spans="2:2" x14ac:dyDescent="0.35">
      <c r="B1676"/>
    </row>
    <row r="1677" spans="2:2" x14ac:dyDescent="0.35">
      <c r="B1677"/>
    </row>
    <row r="1678" spans="2:2" x14ac:dyDescent="0.35">
      <c r="B1678"/>
    </row>
    <row r="1679" spans="2:2" x14ac:dyDescent="0.35">
      <c r="B1679"/>
    </row>
    <row r="1680" spans="2:2" x14ac:dyDescent="0.35">
      <c r="B1680"/>
    </row>
    <row r="1681" spans="2:2" x14ac:dyDescent="0.35">
      <c r="B1681"/>
    </row>
    <row r="1682" spans="2:2" x14ac:dyDescent="0.35">
      <c r="B1682"/>
    </row>
    <row r="1683" spans="2:2" x14ac:dyDescent="0.35">
      <c r="B1683"/>
    </row>
    <row r="1684" spans="2:2" x14ac:dyDescent="0.35">
      <c r="B1684"/>
    </row>
    <row r="1685" spans="2:2" x14ac:dyDescent="0.35">
      <c r="B1685"/>
    </row>
    <row r="1686" spans="2:2" x14ac:dyDescent="0.35">
      <c r="B1686"/>
    </row>
    <row r="1687" spans="2:2" x14ac:dyDescent="0.35">
      <c r="B1687"/>
    </row>
    <row r="1688" spans="2:2" x14ac:dyDescent="0.35">
      <c r="B1688"/>
    </row>
    <row r="1689" spans="2:2" x14ac:dyDescent="0.35">
      <c r="B1689"/>
    </row>
    <row r="1690" spans="2:2" x14ac:dyDescent="0.35">
      <c r="B1690"/>
    </row>
    <row r="1691" spans="2:2" x14ac:dyDescent="0.35">
      <c r="B1691"/>
    </row>
    <row r="1692" spans="2:2" x14ac:dyDescent="0.35">
      <c r="B1692"/>
    </row>
    <row r="1693" spans="2:2" x14ac:dyDescent="0.35">
      <c r="B1693"/>
    </row>
    <row r="1694" spans="2:2" x14ac:dyDescent="0.35">
      <c r="B1694"/>
    </row>
    <row r="1695" spans="2:2" x14ac:dyDescent="0.35">
      <c r="B1695"/>
    </row>
    <row r="1696" spans="2:2" x14ac:dyDescent="0.35">
      <c r="B1696"/>
    </row>
    <row r="1697" spans="2:2" x14ac:dyDescent="0.35">
      <c r="B1697"/>
    </row>
    <row r="1698" spans="2:2" x14ac:dyDescent="0.35">
      <c r="B1698"/>
    </row>
    <row r="1699" spans="2:2" x14ac:dyDescent="0.35">
      <c r="B1699"/>
    </row>
    <row r="1700" spans="2:2" x14ac:dyDescent="0.35">
      <c r="B1700"/>
    </row>
    <row r="1701" spans="2:2" x14ac:dyDescent="0.35">
      <c r="B1701"/>
    </row>
    <row r="1702" spans="2:2" x14ac:dyDescent="0.35">
      <c r="B1702"/>
    </row>
    <row r="1703" spans="2:2" x14ac:dyDescent="0.35">
      <c r="B1703"/>
    </row>
    <row r="1704" spans="2:2" x14ac:dyDescent="0.35">
      <c r="B1704"/>
    </row>
    <row r="1705" spans="2:2" x14ac:dyDescent="0.35">
      <c r="B1705"/>
    </row>
    <row r="1706" spans="2:2" x14ac:dyDescent="0.35">
      <c r="B1706"/>
    </row>
    <row r="1707" spans="2:2" x14ac:dyDescent="0.35">
      <c r="B1707"/>
    </row>
    <row r="1708" spans="2:2" x14ac:dyDescent="0.35">
      <c r="B1708"/>
    </row>
    <row r="1709" spans="2:2" x14ac:dyDescent="0.35">
      <c r="B1709"/>
    </row>
    <row r="1710" spans="2:2" x14ac:dyDescent="0.35">
      <c r="B1710"/>
    </row>
    <row r="1711" spans="2:2" x14ac:dyDescent="0.35">
      <c r="B1711"/>
    </row>
    <row r="1712" spans="2:2" x14ac:dyDescent="0.35">
      <c r="B1712"/>
    </row>
    <row r="1713" spans="2:2" x14ac:dyDescent="0.35">
      <c r="B1713"/>
    </row>
    <row r="1714" spans="2:2" x14ac:dyDescent="0.35">
      <c r="B1714"/>
    </row>
    <row r="1715" spans="2:2" x14ac:dyDescent="0.35">
      <c r="B1715"/>
    </row>
    <row r="1716" spans="2:2" x14ac:dyDescent="0.35">
      <c r="B1716"/>
    </row>
    <row r="1717" spans="2:2" x14ac:dyDescent="0.35">
      <c r="B1717"/>
    </row>
    <row r="1718" spans="2:2" x14ac:dyDescent="0.35">
      <c r="B1718"/>
    </row>
    <row r="1719" spans="2:2" x14ac:dyDescent="0.35">
      <c r="B1719"/>
    </row>
    <row r="1720" spans="2:2" x14ac:dyDescent="0.35">
      <c r="B1720"/>
    </row>
    <row r="1721" spans="2:2" x14ac:dyDescent="0.35">
      <c r="B1721"/>
    </row>
    <row r="1722" spans="2:2" x14ac:dyDescent="0.35">
      <c r="B1722"/>
    </row>
    <row r="1723" spans="2:2" x14ac:dyDescent="0.35">
      <c r="B1723"/>
    </row>
    <row r="1724" spans="2:2" x14ac:dyDescent="0.35">
      <c r="B1724"/>
    </row>
    <row r="1725" spans="2:2" x14ac:dyDescent="0.35">
      <c r="B1725"/>
    </row>
    <row r="1726" spans="2:2" x14ac:dyDescent="0.35">
      <c r="B1726"/>
    </row>
    <row r="1727" spans="2:2" x14ac:dyDescent="0.35">
      <c r="B1727"/>
    </row>
    <row r="1728" spans="2:2" x14ac:dyDescent="0.35">
      <c r="B1728"/>
    </row>
    <row r="1729" spans="2:2" x14ac:dyDescent="0.35">
      <c r="B1729"/>
    </row>
    <row r="1730" spans="2:2" x14ac:dyDescent="0.35">
      <c r="B1730"/>
    </row>
    <row r="1731" spans="2:2" x14ac:dyDescent="0.35">
      <c r="B1731"/>
    </row>
    <row r="1732" spans="2:2" x14ac:dyDescent="0.35">
      <c r="B1732"/>
    </row>
    <row r="1733" spans="2:2" x14ac:dyDescent="0.35">
      <c r="B1733"/>
    </row>
    <row r="1734" spans="2:2" x14ac:dyDescent="0.35">
      <c r="B1734"/>
    </row>
    <row r="1735" spans="2:2" x14ac:dyDescent="0.35">
      <c r="B1735"/>
    </row>
    <row r="1736" spans="2:2" x14ac:dyDescent="0.35">
      <c r="B1736"/>
    </row>
    <row r="1737" spans="2:2" x14ac:dyDescent="0.35">
      <c r="B1737"/>
    </row>
    <row r="1738" spans="2:2" x14ac:dyDescent="0.35">
      <c r="B1738"/>
    </row>
    <row r="1739" spans="2:2" x14ac:dyDescent="0.35">
      <c r="B1739"/>
    </row>
    <row r="1740" spans="2:2" x14ac:dyDescent="0.35">
      <c r="B1740"/>
    </row>
    <row r="1741" spans="2:2" x14ac:dyDescent="0.35">
      <c r="B1741"/>
    </row>
    <row r="1742" spans="2:2" x14ac:dyDescent="0.35">
      <c r="B1742"/>
    </row>
    <row r="1743" spans="2:2" x14ac:dyDescent="0.35">
      <c r="B1743"/>
    </row>
    <row r="1744" spans="2:2" x14ac:dyDescent="0.35">
      <c r="B1744"/>
    </row>
    <row r="1745" spans="2:2" x14ac:dyDescent="0.35">
      <c r="B1745"/>
    </row>
    <row r="1746" spans="2:2" x14ac:dyDescent="0.35">
      <c r="B1746"/>
    </row>
    <row r="1747" spans="2:2" x14ac:dyDescent="0.35">
      <c r="B1747"/>
    </row>
    <row r="1748" spans="2:2" x14ac:dyDescent="0.35">
      <c r="B1748"/>
    </row>
    <row r="1749" spans="2:2" x14ac:dyDescent="0.35">
      <c r="B1749"/>
    </row>
    <row r="1750" spans="2:2" x14ac:dyDescent="0.35">
      <c r="B1750"/>
    </row>
    <row r="1751" spans="2:2" x14ac:dyDescent="0.35">
      <c r="B1751"/>
    </row>
    <row r="1752" spans="2:2" x14ac:dyDescent="0.35">
      <c r="B1752"/>
    </row>
    <row r="1753" spans="2:2" x14ac:dyDescent="0.35">
      <c r="B1753"/>
    </row>
    <row r="1754" spans="2:2" x14ac:dyDescent="0.35">
      <c r="B1754"/>
    </row>
    <row r="1755" spans="2:2" x14ac:dyDescent="0.35">
      <c r="B1755"/>
    </row>
    <row r="1756" spans="2:2" x14ac:dyDescent="0.35">
      <c r="B1756"/>
    </row>
    <row r="1757" spans="2:2" x14ac:dyDescent="0.35">
      <c r="B1757"/>
    </row>
    <row r="1758" spans="2:2" x14ac:dyDescent="0.35">
      <c r="B1758"/>
    </row>
    <row r="1759" spans="2:2" x14ac:dyDescent="0.35">
      <c r="B1759"/>
    </row>
    <row r="1760" spans="2:2" x14ac:dyDescent="0.35">
      <c r="B1760"/>
    </row>
    <row r="1761" spans="2:2" x14ac:dyDescent="0.35">
      <c r="B1761"/>
    </row>
    <row r="1762" spans="2:2" x14ac:dyDescent="0.35">
      <c r="B1762"/>
    </row>
    <row r="1763" spans="2:2" x14ac:dyDescent="0.35">
      <c r="B1763"/>
    </row>
    <row r="1764" spans="2:2" x14ac:dyDescent="0.35">
      <c r="B1764"/>
    </row>
    <row r="1765" spans="2:2" x14ac:dyDescent="0.35">
      <c r="B1765"/>
    </row>
    <row r="1766" spans="2:2" x14ac:dyDescent="0.35">
      <c r="B1766"/>
    </row>
    <row r="1767" spans="2:2" x14ac:dyDescent="0.35">
      <c r="B1767"/>
    </row>
    <row r="1768" spans="2:2" x14ac:dyDescent="0.35">
      <c r="B1768"/>
    </row>
    <row r="1769" spans="2:2" x14ac:dyDescent="0.35">
      <c r="B1769"/>
    </row>
    <row r="1770" spans="2:2" x14ac:dyDescent="0.35">
      <c r="B1770"/>
    </row>
    <row r="1771" spans="2:2" x14ac:dyDescent="0.35">
      <c r="B1771"/>
    </row>
    <row r="1772" spans="2:2" x14ac:dyDescent="0.35">
      <c r="B1772"/>
    </row>
    <row r="1773" spans="2:2" x14ac:dyDescent="0.35">
      <c r="B1773"/>
    </row>
    <row r="1774" spans="2:2" x14ac:dyDescent="0.35">
      <c r="B1774"/>
    </row>
    <row r="1775" spans="2:2" x14ac:dyDescent="0.35">
      <c r="B1775"/>
    </row>
    <row r="1776" spans="2:2" x14ac:dyDescent="0.35">
      <c r="B1776"/>
    </row>
    <row r="1777" spans="2:2" x14ac:dyDescent="0.35">
      <c r="B1777"/>
    </row>
    <row r="1778" spans="2:2" x14ac:dyDescent="0.35">
      <c r="B1778"/>
    </row>
    <row r="1779" spans="2:2" x14ac:dyDescent="0.35">
      <c r="B1779"/>
    </row>
    <row r="1780" spans="2:2" x14ac:dyDescent="0.35">
      <c r="B1780"/>
    </row>
    <row r="1781" spans="2:2" x14ac:dyDescent="0.35">
      <c r="B1781"/>
    </row>
    <row r="1782" spans="2:2" x14ac:dyDescent="0.35">
      <c r="B1782"/>
    </row>
    <row r="1783" spans="2:2" x14ac:dyDescent="0.35">
      <c r="B1783"/>
    </row>
    <row r="1784" spans="2:2" x14ac:dyDescent="0.35">
      <c r="B1784"/>
    </row>
    <row r="1785" spans="2:2" x14ac:dyDescent="0.35">
      <c r="B1785"/>
    </row>
    <row r="1786" spans="2:2" x14ac:dyDescent="0.35">
      <c r="B1786"/>
    </row>
    <row r="1787" spans="2:2" x14ac:dyDescent="0.35">
      <c r="B1787"/>
    </row>
    <row r="1788" spans="2:2" x14ac:dyDescent="0.35">
      <c r="B1788"/>
    </row>
    <row r="1789" spans="2:2" x14ac:dyDescent="0.35">
      <c r="B1789"/>
    </row>
    <row r="1790" spans="2:2" x14ac:dyDescent="0.35">
      <c r="B1790"/>
    </row>
    <row r="1791" spans="2:2" x14ac:dyDescent="0.35">
      <c r="B1791"/>
    </row>
    <row r="1792" spans="2:2" x14ac:dyDescent="0.35">
      <c r="B1792"/>
    </row>
    <row r="1793" spans="2:2" x14ac:dyDescent="0.35">
      <c r="B1793"/>
    </row>
    <row r="1794" spans="2:2" x14ac:dyDescent="0.35">
      <c r="B1794"/>
    </row>
    <row r="1795" spans="2:2" x14ac:dyDescent="0.35">
      <c r="B1795"/>
    </row>
    <row r="1796" spans="2:2" x14ac:dyDescent="0.35">
      <c r="B1796"/>
    </row>
    <row r="1797" spans="2:2" x14ac:dyDescent="0.35">
      <c r="B1797"/>
    </row>
    <row r="1798" spans="2:2" x14ac:dyDescent="0.35">
      <c r="B1798"/>
    </row>
    <row r="1799" spans="2:2" x14ac:dyDescent="0.35">
      <c r="B1799"/>
    </row>
    <row r="1800" spans="2:2" x14ac:dyDescent="0.35">
      <c r="B1800"/>
    </row>
    <row r="1801" spans="2:2" x14ac:dyDescent="0.35">
      <c r="B1801"/>
    </row>
    <row r="1802" spans="2:2" x14ac:dyDescent="0.35">
      <c r="B1802"/>
    </row>
    <row r="1803" spans="2:2" x14ac:dyDescent="0.35">
      <c r="B1803"/>
    </row>
    <row r="1804" spans="2:2" x14ac:dyDescent="0.35">
      <c r="B1804"/>
    </row>
    <row r="1805" spans="2:2" x14ac:dyDescent="0.35">
      <c r="B1805"/>
    </row>
    <row r="1806" spans="2:2" x14ac:dyDescent="0.35">
      <c r="B1806"/>
    </row>
    <row r="1807" spans="2:2" x14ac:dyDescent="0.35">
      <c r="B1807"/>
    </row>
    <row r="1808" spans="2:2" x14ac:dyDescent="0.35">
      <c r="B1808"/>
    </row>
    <row r="1809" spans="2:2" x14ac:dyDescent="0.35">
      <c r="B1809"/>
    </row>
    <row r="1810" spans="2:2" x14ac:dyDescent="0.35">
      <c r="B1810"/>
    </row>
    <row r="1811" spans="2:2" x14ac:dyDescent="0.35">
      <c r="B1811"/>
    </row>
    <row r="1812" spans="2:2" x14ac:dyDescent="0.35">
      <c r="B1812"/>
    </row>
    <row r="1813" spans="2:2" x14ac:dyDescent="0.35">
      <c r="B1813"/>
    </row>
    <row r="1814" spans="2:2" x14ac:dyDescent="0.35">
      <c r="B1814"/>
    </row>
    <row r="1815" spans="2:2" x14ac:dyDescent="0.35">
      <c r="B1815"/>
    </row>
    <row r="1816" spans="2:2" x14ac:dyDescent="0.35">
      <c r="B1816"/>
    </row>
    <row r="1817" spans="2:2" x14ac:dyDescent="0.35">
      <c r="B1817"/>
    </row>
    <row r="1818" spans="2:2" x14ac:dyDescent="0.35">
      <c r="B1818"/>
    </row>
    <row r="1819" spans="2:2" x14ac:dyDescent="0.35">
      <c r="B1819"/>
    </row>
    <row r="1820" spans="2:2" x14ac:dyDescent="0.35">
      <c r="B1820"/>
    </row>
    <row r="1821" spans="2:2" x14ac:dyDescent="0.35">
      <c r="B1821"/>
    </row>
    <row r="1822" spans="2:2" x14ac:dyDescent="0.35">
      <c r="B1822"/>
    </row>
    <row r="1823" spans="2:2" x14ac:dyDescent="0.35">
      <c r="B1823"/>
    </row>
    <row r="1824" spans="2:2" x14ac:dyDescent="0.35">
      <c r="B1824"/>
    </row>
    <row r="1825" spans="2:2" x14ac:dyDescent="0.35">
      <c r="B1825"/>
    </row>
    <row r="1826" spans="2:2" x14ac:dyDescent="0.35">
      <c r="B1826"/>
    </row>
    <row r="1827" spans="2:2" x14ac:dyDescent="0.35">
      <c r="B1827"/>
    </row>
    <row r="1828" spans="2:2" x14ac:dyDescent="0.35">
      <c r="B1828"/>
    </row>
    <row r="1829" spans="2:2" x14ac:dyDescent="0.35">
      <c r="B1829"/>
    </row>
    <row r="1830" spans="2:2" x14ac:dyDescent="0.35">
      <c r="B1830"/>
    </row>
    <row r="1831" spans="2:2" x14ac:dyDescent="0.35">
      <c r="B1831"/>
    </row>
    <row r="1832" spans="2:2" x14ac:dyDescent="0.35">
      <c r="B1832"/>
    </row>
    <row r="1833" spans="2:2" x14ac:dyDescent="0.35">
      <c r="B1833"/>
    </row>
    <row r="1834" spans="2:2" x14ac:dyDescent="0.35">
      <c r="B1834"/>
    </row>
    <row r="1835" spans="2:2" x14ac:dyDescent="0.35">
      <c r="B1835"/>
    </row>
    <row r="1836" spans="2:2" x14ac:dyDescent="0.35">
      <c r="B1836"/>
    </row>
    <row r="1837" spans="2:2" x14ac:dyDescent="0.35">
      <c r="B1837"/>
    </row>
    <row r="1838" spans="2:2" x14ac:dyDescent="0.35">
      <c r="B1838"/>
    </row>
    <row r="1839" spans="2:2" x14ac:dyDescent="0.35">
      <c r="B1839"/>
    </row>
    <row r="1840" spans="2:2" x14ac:dyDescent="0.35">
      <c r="B1840"/>
    </row>
    <row r="1841" spans="2:2" x14ac:dyDescent="0.35">
      <c r="B1841"/>
    </row>
    <row r="1842" spans="2:2" x14ac:dyDescent="0.35">
      <c r="B1842"/>
    </row>
    <row r="1843" spans="2:2" x14ac:dyDescent="0.35">
      <c r="B1843"/>
    </row>
    <row r="1844" spans="2:2" x14ac:dyDescent="0.35">
      <c r="B1844"/>
    </row>
    <row r="1845" spans="2:2" x14ac:dyDescent="0.35">
      <c r="B1845"/>
    </row>
    <row r="1846" spans="2:2" x14ac:dyDescent="0.35">
      <c r="B1846"/>
    </row>
    <row r="1847" spans="2:2" x14ac:dyDescent="0.35">
      <c r="B1847"/>
    </row>
    <row r="1848" spans="2:2" x14ac:dyDescent="0.35">
      <c r="B1848"/>
    </row>
    <row r="1849" spans="2:2" x14ac:dyDescent="0.35">
      <c r="B1849"/>
    </row>
    <row r="1850" spans="2:2" x14ac:dyDescent="0.35">
      <c r="B1850"/>
    </row>
    <row r="1851" spans="2:2" x14ac:dyDescent="0.35">
      <c r="B1851"/>
    </row>
    <row r="1852" spans="2:2" x14ac:dyDescent="0.35">
      <c r="B1852"/>
    </row>
    <row r="1853" spans="2:2" x14ac:dyDescent="0.35">
      <c r="B1853"/>
    </row>
    <row r="1854" spans="2:2" x14ac:dyDescent="0.35">
      <c r="B1854"/>
    </row>
    <row r="1855" spans="2:2" x14ac:dyDescent="0.35">
      <c r="B1855"/>
    </row>
    <row r="1856" spans="2:2" x14ac:dyDescent="0.35">
      <c r="B1856"/>
    </row>
    <row r="1857" spans="2:2" x14ac:dyDescent="0.35">
      <c r="B1857"/>
    </row>
    <row r="1858" spans="2:2" x14ac:dyDescent="0.35">
      <c r="B1858"/>
    </row>
    <row r="1859" spans="2:2" x14ac:dyDescent="0.35">
      <c r="B1859"/>
    </row>
    <row r="1860" spans="2:2" x14ac:dyDescent="0.35">
      <c r="B1860"/>
    </row>
    <row r="1861" spans="2:2" x14ac:dyDescent="0.35">
      <c r="B1861"/>
    </row>
    <row r="1862" spans="2:2" x14ac:dyDescent="0.35">
      <c r="B1862"/>
    </row>
    <row r="1863" spans="2:2" x14ac:dyDescent="0.35">
      <c r="B1863"/>
    </row>
    <row r="1864" spans="2:2" x14ac:dyDescent="0.35">
      <c r="B1864"/>
    </row>
    <row r="1865" spans="2:2" x14ac:dyDescent="0.35">
      <c r="B1865"/>
    </row>
    <row r="1866" spans="2:2" x14ac:dyDescent="0.35">
      <c r="B1866"/>
    </row>
    <row r="1867" spans="2:2" x14ac:dyDescent="0.35">
      <c r="B1867"/>
    </row>
    <row r="1868" spans="2:2" x14ac:dyDescent="0.35">
      <c r="B1868"/>
    </row>
    <row r="1869" spans="2:2" x14ac:dyDescent="0.35">
      <c r="B1869"/>
    </row>
    <row r="1870" spans="2:2" x14ac:dyDescent="0.35">
      <c r="B1870"/>
    </row>
    <row r="1871" spans="2:2" x14ac:dyDescent="0.35">
      <c r="B1871"/>
    </row>
    <row r="1872" spans="2:2" x14ac:dyDescent="0.35">
      <c r="B1872"/>
    </row>
    <row r="1873" spans="2:2" x14ac:dyDescent="0.35">
      <c r="B1873"/>
    </row>
    <row r="1874" spans="2:2" x14ac:dyDescent="0.35">
      <c r="B1874"/>
    </row>
    <row r="1875" spans="2:2" x14ac:dyDescent="0.35">
      <c r="B1875"/>
    </row>
    <row r="1876" spans="2:2" x14ac:dyDescent="0.35">
      <c r="B1876"/>
    </row>
    <row r="1877" spans="2:2" x14ac:dyDescent="0.35">
      <c r="B1877"/>
    </row>
    <row r="1878" spans="2:2" x14ac:dyDescent="0.35">
      <c r="B1878"/>
    </row>
    <row r="1879" spans="2:2" x14ac:dyDescent="0.35">
      <c r="B1879"/>
    </row>
    <row r="1880" spans="2:2" x14ac:dyDescent="0.35">
      <c r="B1880"/>
    </row>
    <row r="1881" spans="2:2" x14ac:dyDescent="0.35">
      <c r="B1881"/>
    </row>
    <row r="1882" spans="2:2" x14ac:dyDescent="0.35">
      <c r="B1882"/>
    </row>
    <row r="1883" spans="2:2" x14ac:dyDescent="0.35">
      <c r="B1883"/>
    </row>
    <row r="1884" spans="2:2" x14ac:dyDescent="0.35">
      <c r="B1884"/>
    </row>
    <row r="1885" spans="2:2" x14ac:dyDescent="0.35">
      <c r="B1885"/>
    </row>
    <row r="1886" spans="2:2" x14ac:dyDescent="0.35">
      <c r="B1886"/>
    </row>
    <row r="1887" spans="2:2" x14ac:dyDescent="0.35">
      <c r="B1887"/>
    </row>
    <row r="1888" spans="2:2" x14ac:dyDescent="0.35">
      <c r="B1888"/>
    </row>
    <row r="1889" spans="2:2" x14ac:dyDescent="0.35">
      <c r="B1889"/>
    </row>
    <row r="1890" spans="2:2" x14ac:dyDescent="0.35">
      <c r="B1890"/>
    </row>
    <row r="1891" spans="2:2" x14ac:dyDescent="0.35">
      <c r="B1891"/>
    </row>
    <row r="1892" spans="2:2" x14ac:dyDescent="0.35">
      <c r="B1892"/>
    </row>
    <row r="1893" spans="2:2" x14ac:dyDescent="0.35">
      <c r="B1893"/>
    </row>
    <row r="1894" spans="2:2" x14ac:dyDescent="0.35">
      <c r="B1894"/>
    </row>
    <row r="1895" spans="2:2" x14ac:dyDescent="0.35">
      <c r="B1895"/>
    </row>
    <row r="1896" spans="2:2" x14ac:dyDescent="0.35">
      <c r="B1896"/>
    </row>
    <row r="1897" spans="2:2" x14ac:dyDescent="0.35">
      <c r="B1897"/>
    </row>
    <row r="1898" spans="2:2" x14ac:dyDescent="0.35">
      <c r="B1898"/>
    </row>
    <row r="1899" spans="2:2" x14ac:dyDescent="0.35">
      <c r="B1899"/>
    </row>
    <row r="1900" spans="2:2" x14ac:dyDescent="0.35">
      <c r="B1900"/>
    </row>
    <row r="1901" spans="2:2" x14ac:dyDescent="0.35">
      <c r="B1901"/>
    </row>
    <row r="1902" spans="2:2" x14ac:dyDescent="0.35">
      <c r="B1902"/>
    </row>
    <row r="1903" spans="2:2" x14ac:dyDescent="0.35">
      <c r="B1903"/>
    </row>
    <row r="1904" spans="2:2" x14ac:dyDescent="0.35">
      <c r="B1904"/>
    </row>
    <row r="1905" spans="2:2" x14ac:dyDescent="0.35">
      <c r="B1905"/>
    </row>
    <row r="1906" spans="2:2" x14ac:dyDescent="0.35">
      <c r="B1906"/>
    </row>
    <row r="1907" spans="2:2" x14ac:dyDescent="0.35">
      <c r="B1907"/>
    </row>
    <row r="1908" spans="2:2" x14ac:dyDescent="0.35">
      <c r="B1908"/>
    </row>
    <row r="1909" spans="2:2" x14ac:dyDescent="0.35">
      <c r="B1909"/>
    </row>
    <row r="1910" spans="2:2" x14ac:dyDescent="0.35">
      <c r="B1910"/>
    </row>
    <row r="1911" spans="2:2" x14ac:dyDescent="0.35">
      <c r="B1911"/>
    </row>
    <row r="1912" spans="2:2" x14ac:dyDescent="0.35">
      <c r="B1912"/>
    </row>
    <row r="1913" spans="2:2" x14ac:dyDescent="0.35">
      <c r="B1913"/>
    </row>
    <row r="1914" spans="2:2" x14ac:dyDescent="0.35">
      <c r="B1914"/>
    </row>
    <row r="1915" spans="2:2" x14ac:dyDescent="0.35">
      <c r="B1915"/>
    </row>
    <row r="1916" spans="2:2" x14ac:dyDescent="0.35">
      <c r="B1916"/>
    </row>
    <row r="1917" spans="2:2" x14ac:dyDescent="0.35">
      <c r="B1917"/>
    </row>
    <row r="1918" spans="2:2" x14ac:dyDescent="0.35">
      <c r="B1918"/>
    </row>
    <row r="1919" spans="2:2" x14ac:dyDescent="0.35">
      <c r="B1919"/>
    </row>
    <row r="1920" spans="2:2" x14ac:dyDescent="0.35">
      <c r="B1920"/>
    </row>
    <row r="1921" spans="2:2" x14ac:dyDescent="0.35">
      <c r="B1921"/>
    </row>
    <row r="1922" spans="2:2" x14ac:dyDescent="0.35">
      <c r="B1922"/>
    </row>
    <row r="1923" spans="2:2" x14ac:dyDescent="0.35">
      <c r="B1923"/>
    </row>
    <row r="1924" spans="2:2" x14ac:dyDescent="0.35">
      <c r="B1924"/>
    </row>
    <row r="1925" spans="2:2" x14ac:dyDescent="0.35">
      <c r="B1925"/>
    </row>
    <row r="1926" spans="2:2" x14ac:dyDescent="0.35">
      <c r="B1926"/>
    </row>
    <row r="1927" spans="2:2" x14ac:dyDescent="0.35">
      <c r="B1927"/>
    </row>
    <row r="1928" spans="2:2" x14ac:dyDescent="0.35">
      <c r="B1928"/>
    </row>
    <row r="1929" spans="2:2" x14ac:dyDescent="0.35">
      <c r="B1929"/>
    </row>
    <row r="1930" spans="2:2" x14ac:dyDescent="0.35">
      <c r="B1930"/>
    </row>
    <row r="1931" spans="2:2" x14ac:dyDescent="0.35">
      <c r="B1931"/>
    </row>
    <row r="1932" spans="2:2" x14ac:dyDescent="0.35">
      <c r="B1932"/>
    </row>
    <row r="1933" spans="2:2" x14ac:dyDescent="0.35">
      <c r="B1933"/>
    </row>
    <row r="1934" spans="2:2" x14ac:dyDescent="0.35">
      <c r="B1934"/>
    </row>
    <row r="1935" spans="2:2" x14ac:dyDescent="0.35">
      <c r="B1935"/>
    </row>
    <row r="1936" spans="2:2" x14ac:dyDescent="0.35">
      <c r="B1936"/>
    </row>
    <row r="1937" spans="2:2" x14ac:dyDescent="0.35">
      <c r="B1937"/>
    </row>
    <row r="1938" spans="2:2" x14ac:dyDescent="0.35">
      <c r="B1938"/>
    </row>
    <row r="1939" spans="2:2" x14ac:dyDescent="0.35">
      <c r="B1939"/>
    </row>
    <row r="1940" spans="2:2" x14ac:dyDescent="0.35">
      <c r="B1940"/>
    </row>
    <row r="1941" spans="2:2" x14ac:dyDescent="0.35">
      <c r="B1941"/>
    </row>
    <row r="1942" spans="2:2" x14ac:dyDescent="0.35">
      <c r="B1942"/>
    </row>
    <row r="1943" spans="2:2" x14ac:dyDescent="0.35">
      <c r="B1943"/>
    </row>
    <row r="1944" spans="2:2" x14ac:dyDescent="0.35">
      <c r="B1944"/>
    </row>
    <row r="1945" spans="2:2" x14ac:dyDescent="0.35">
      <c r="B1945"/>
    </row>
    <row r="1946" spans="2:2" x14ac:dyDescent="0.35">
      <c r="B1946"/>
    </row>
    <row r="1947" spans="2:2" x14ac:dyDescent="0.35">
      <c r="B1947"/>
    </row>
    <row r="1948" spans="2:2" x14ac:dyDescent="0.35">
      <c r="B1948"/>
    </row>
    <row r="1949" spans="2:2" x14ac:dyDescent="0.35">
      <c r="B1949"/>
    </row>
    <row r="1950" spans="2:2" x14ac:dyDescent="0.35">
      <c r="B1950"/>
    </row>
    <row r="1951" spans="2:2" x14ac:dyDescent="0.35">
      <c r="B1951"/>
    </row>
    <row r="1952" spans="2:2" x14ac:dyDescent="0.35">
      <c r="B1952"/>
    </row>
    <row r="1953" spans="2:2" x14ac:dyDescent="0.35">
      <c r="B1953"/>
    </row>
    <row r="1954" spans="2:2" x14ac:dyDescent="0.35">
      <c r="B1954"/>
    </row>
    <row r="1955" spans="2:2" x14ac:dyDescent="0.35">
      <c r="B1955"/>
    </row>
    <row r="1956" spans="2:2" x14ac:dyDescent="0.35">
      <c r="B1956"/>
    </row>
    <row r="1957" spans="2:2" x14ac:dyDescent="0.35">
      <c r="B1957"/>
    </row>
    <row r="1958" spans="2:2" x14ac:dyDescent="0.35">
      <c r="B1958"/>
    </row>
    <row r="1959" spans="2:2" x14ac:dyDescent="0.35">
      <c r="B1959"/>
    </row>
    <row r="1960" spans="2:2" x14ac:dyDescent="0.35">
      <c r="B1960"/>
    </row>
    <row r="1961" spans="2:2" x14ac:dyDescent="0.35">
      <c r="B1961"/>
    </row>
    <row r="1962" spans="2:2" x14ac:dyDescent="0.35">
      <c r="B1962"/>
    </row>
    <row r="1963" spans="2:2" x14ac:dyDescent="0.35">
      <c r="B1963"/>
    </row>
    <row r="1964" spans="2:2" x14ac:dyDescent="0.35">
      <c r="B1964"/>
    </row>
    <row r="1965" spans="2:2" x14ac:dyDescent="0.35">
      <c r="B1965"/>
    </row>
    <row r="1966" spans="2:2" x14ac:dyDescent="0.35">
      <c r="B1966"/>
    </row>
    <row r="1967" spans="2:2" x14ac:dyDescent="0.35">
      <c r="B1967"/>
    </row>
    <row r="1968" spans="2:2" x14ac:dyDescent="0.35">
      <c r="B1968"/>
    </row>
    <row r="1969" spans="2:2" x14ac:dyDescent="0.35">
      <c r="B1969"/>
    </row>
    <row r="1970" spans="2:2" x14ac:dyDescent="0.35">
      <c r="B1970"/>
    </row>
    <row r="1971" spans="2:2" x14ac:dyDescent="0.35">
      <c r="B1971"/>
    </row>
    <row r="1972" spans="2:2" x14ac:dyDescent="0.35">
      <c r="B1972"/>
    </row>
    <row r="1973" spans="2:2" x14ac:dyDescent="0.35">
      <c r="B1973"/>
    </row>
    <row r="1974" spans="2:2" x14ac:dyDescent="0.35">
      <c r="B1974"/>
    </row>
    <row r="1975" spans="2:2" x14ac:dyDescent="0.35">
      <c r="B1975"/>
    </row>
    <row r="1976" spans="2:2" x14ac:dyDescent="0.35">
      <c r="B1976"/>
    </row>
    <row r="1977" spans="2:2" x14ac:dyDescent="0.35">
      <c r="B1977"/>
    </row>
    <row r="1978" spans="2:2" x14ac:dyDescent="0.35">
      <c r="B1978"/>
    </row>
    <row r="1979" spans="2:2" x14ac:dyDescent="0.35">
      <c r="B1979"/>
    </row>
    <row r="1980" spans="2:2" x14ac:dyDescent="0.35">
      <c r="B1980"/>
    </row>
    <row r="1981" spans="2:2" x14ac:dyDescent="0.35">
      <c r="B1981"/>
    </row>
    <row r="1982" spans="2:2" x14ac:dyDescent="0.35">
      <c r="B1982"/>
    </row>
    <row r="1983" spans="2:2" x14ac:dyDescent="0.35">
      <c r="B1983"/>
    </row>
    <row r="1984" spans="2:2" x14ac:dyDescent="0.35">
      <c r="B1984"/>
    </row>
    <row r="1985" spans="2:2" x14ac:dyDescent="0.35">
      <c r="B1985"/>
    </row>
    <row r="1986" spans="2:2" x14ac:dyDescent="0.35">
      <c r="B1986"/>
    </row>
    <row r="1987" spans="2:2" x14ac:dyDescent="0.35">
      <c r="B1987"/>
    </row>
    <row r="1988" spans="2:2" x14ac:dyDescent="0.35">
      <c r="B1988"/>
    </row>
    <row r="1989" spans="2:2" x14ac:dyDescent="0.35">
      <c r="B1989"/>
    </row>
    <row r="1990" spans="2:2" x14ac:dyDescent="0.35">
      <c r="B1990"/>
    </row>
    <row r="1991" spans="2:2" x14ac:dyDescent="0.35">
      <c r="B1991"/>
    </row>
    <row r="1992" spans="2:2" x14ac:dyDescent="0.35">
      <c r="B1992"/>
    </row>
    <row r="1993" spans="2:2" x14ac:dyDescent="0.35">
      <c r="B1993"/>
    </row>
    <row r="1994" spans="2:2" x14ac:dyDescent="0.35">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abSelected="1" topLeftCell="A6" workbookViewId="0">
      <selection activeCell="B18" sqref="B18"/>
    </sheetView>
  </sheetViews>
  <sheetFormatPr defaultRowHeight="14.5" x14ac:dyDescent="0.35"/>
  <cols>
    <col min="1" max="1" width="29" customWidth="1"/>
    <col min="2" max="2" width="23.54296875" customWidth="1"/>
    <col min="3" max="3" width="19.453125" customWidth="1"/>
    <col min="4" max="4" width="15.54296875" customWidth="1"/>
    <col min="5" max="5" width="28.453125" customWidth="1"/>
    <col min="6" max="6" width="21.453125" customWidth="1"/>
    <col min="7" max="7" width="20.81640625" customWidth="1"/>
    <col min="8" max="8" width="16.26953125" customWidth="1"/>
    <col min="9" max="9" width="13.1796875" customWidth="1"/>
    <col min="10" max="10" width="14.7265625" bestFit="1" customWidth="1"/>
    <col min="11" max="11" width="16.81640625" customWidth="1"/>
    <col min="12" max="12" width="11.453125" customWidth="1"/>
  </cols>
  <sheetData>
    <row r="1" spans="1:5" x14ac:dyDescent="0.35">
      <c r="A1" s="5" t="s">
        <v>9</v>
      </c>
      <c r="B1" t="s">
        <v>1754</v>
      </c>
      <c r="C1" t="s">
        <v>1757</v>
      </c>
    </row>
    <row r="2" spans="1:5" x14ac:dyDescent="0.35">
      <c r="A2" s="5" t="s">
        <v>20</v>
      </c>
      <c r="B2" t="s">
        <v>1754</v>
      </c>
    </row>
    <row r="3" spans="1:5" x14ac:dyDescent="0.35">
      <c r="A3" s="5" t="s">
        <v>12</v>
      </c>
      <c r="B3" t="s">
        <v>1754</v>
      </c>
    </row>
    <row r="4" spans="1:5" x14ac:dyDescent="0.35">
      <c r="A4" s="5" t="s">
        <v>3</v>
      </c>
      <c r="B4" t="s">
        <v>1754</v>
      </c>
    </row>
    <row r="6" spans="1:5" x14ac:dyDescent="0.35">
      <c r="A6" s="5" t="s">
        <v>1755</v>
      </c>
      <c r="B6" s="5" t="s">
        <v>8</v>
      </c>
    </row>
    <row r="7" spans="1:5" x14ac:dyDescent="0.35">
      <c r="A7" s="5" t="s">
        <v>18</v>
      </c>
      <c r="B7" t="s">
        <v>61</v>
      </c>
      <c r="C7" t="s">
        <v>35</v>
      </c>
      <c r="D7" t="s">
        <v>29</v>
      </c>
      <c r="E7" t="s">
        <v>1756</v>
      </c>
    </row>
    <row r="8" spans="1:5" x14ac:dyDescent="0.35">
      <c r="A8">
        <v>2016</v>
      </c>
      <c r="B8" s="13">
        <v>0</v>
      </c>
      <c r="C8" s="13">
        <v>108601</v>
      </c>
      <c r="D8" s="13">
        <v>5227040</v>
      </c>
      <c r="E8" s="13">
        <v>5335641</v>
      </c>
    </row>
    <row r="9" spans="1:5" x14ac:dyDescent="0.35">
      <c r="A9">
        <v>2017</v>
      </c>
      <c r="B9" s="13">
        <v>5661940.9199999999</v>
      </c>
      <c r="C9" s="13">
        <v>1927138.72</v>
      </c>
      <c r="D9" s="13">
        <v>0</v>
      </c>
      <c r="E9" s="13">
        <v>7589079.6399999997</v>
      </c>
    </row>
    <row r="10" spans="1:5" x14ac:dyDescent="0.35">
      <c r="A10">
        <v>2018</v>
      </c>
      <c r="B10" s="13">
        <v>2672381.38</v>
      </c>
      <c r="C10" s="13">
        <v>1065465.74</v>
      </c>
      <c r="D10" s="13">
        <v>0</v>
      </c>
      <c r="E10" s="13">
        <v>3737847.12</v>
      </c>
    </row>
    <row r="11" spans="1:5" x14ac:dyDescent="0.35">
      <c r="A11">
        <v>2019</v>
      </c>
      <c r="B11" s="13">
        <v>1370099.6</v>
      </c>
      <c r="C11" s="13">
        <v>1789625.31</v>
      </c>
      <c r="D11" s="13">
        <v>0</v>
      </c>
      <c r="E11" s="13">
        <v>3159724.91</v>
      </c>
    </row>
    <row r="12" spans="1:5" x14ac:dyDescent="0.35">
      <c r="A12">
        <v>2020</v>
      </c>
      <c r="B12" s="13">
        <v>1211745.7</v>
      </c>
      <c r="C12" s="13">
        <v>4566934.17</v>
      </c>
      <c r="D12" s="13">
        <v>0</v>
      </c>
      <c r="E12" s="13">
        <v>5778679.8700000001</v>
      </c>
    </row>
    <row r="13" spans="1:5" x14ac:dyDescent="0.35">
      <c r="A13">
        <v>2021</v>
      </c>
      <c r="B13" s="13">
        <v>215315.16999999998</v>
      </c>
      <c r="C13" s="13">
        <v>691492.67</v>
      </c>
      <c r="D13" s="13">
        <v>0</v>
      </c>
      <c r="E13" s="13">
        <v>906807.84000000008</v>
      </c>
    </row>
    <row r="14" spans="1:5" x14ac:dyDescent="0.35">
      <c r="A14">
        <v>2022</v>
      </c>
      <c r="B14" s="13">
        <v>4319856.8</v>
      </c>
      <c r="C14" s="13">
        <v>2010009.76</v>
      </c>
      <c r="D14" s="13">
        <v>0</v>
      </c>
      <c r="E14" s="13">
        <v>6329866.5599999996</v>
      </c>
    </row>
    <row r="15" spans="1:5" x14ac:dyDescent="0.35">
      <c r="A15">
        <v>2023</v>
      </c>
      <c r="B15" s="13">
        <v>824411.5</v>
      </c>
      <c r="C15" s="13">
        <v>5071327.75</v>
      </c>
      <c r="D15" s="13">
        <v>0</v>
      </c>
      <c r="E15" s="13">
        <v>5895739.25</v>
      </c>
    </row>
    <row r="16" spans="1:5" x14ac:dyDescent="0.35">
      <c r="A16">
        <v>2024</v>
      </c>
      <c r="B16" s="13">
        <v>2804451.46</v>
      </c>
      <c r="C16" s="13">
        <v>3196178.52</v>
      </c>
      <c r="D16" s="13">
        <v>0</v>
      </c>
      <c r="E16" s="13">
        <v>6000629.9800000004</v>
      </c>
    </row>
    <row r="17" spans="1:5" x14ac:dyDescent="0.35">
      <c r="A17">
        <v>2025</v>
      </c>
      <c r="B17" s="13">
        <v>921643.39</v>
      </c>
      <c r="C17" s="13">
        <v>406605</v>
      </c>
      <c r="D17" s="13">
        <v>0</v>
      </c>
      <c r="E17" s="13">
        <v>1328248.3900000001</v>
      </c>
    </row>
    <row r="18" spans="1:5" x14ac:dyDescent="0.35">
      <c r="A18">
        <v>2026</v>
      </c>
      <c r="B18" s="13">
        <v>298628.84999999998</v>
      </c>
      <c r="C18" s="13">
        <v>149000</v>
      </c>
      <c r="D18" s="13">
        <v>0</v>
      </c>
      <c r="E18" s="13">
        <v>447628.85</v>
      </c>
    </row>
    <row r="19" spans="1:5" x14ac:dyDescent="0.35">
      <c r="A19" t="s">
        <v>1756</v>
      </c>
      <c r="B19" s="13">
        <v>20300474.770000003</v>
      </c>
      <c r="C19" s="13">
        <v>20982378.639999997</v>
      </c>
      <c r="D19" s="13">
        <v>5227040</v>
      </c>
      <c r="E19" s="13">
        <v>46509893.410000004</v>
      </c>
    </row>
    <row r="20" spans="1:5" x14ac:dyDescent="0.35">
      <c r="B20" s="13"/>
      <c r="C20" s="13"/>
      <c r="D20" s="13"/>
      <c r="E20" s="13"/>
    </row>
    <row r="21" spans="1:5" x14ac:dyDescent="0.35">
      <c r="B21" s="13"/>
      <c r="C21" s="13"/>
      <c r="D21" s="13"/>
      <c r="E21" s="13"/>
    </row>
    <row r="22" spans="1:5" x14ac:dyDescent="0.35">
      <c r="B22" s="7"/>
      <c r="C22" s="7"/>
      <c r="D22" s="7"/>
      <c r="E22" s="7"/>
    </row>
    <row r="23" spans="1:5" x14ac:dyDescent="0.35">
      <c r="B23" s="7"/>
      <c r="C23" s="7"/>
      <c r="D23" s="7"/>
      <c r="E23" s="7"/>
    </row>
    <row r="25" spans="1:5" x14ac:dyDescent="0.35">
      <c r="A25" s="5" t="s">
        <v>17</v>
      </c>
      <c r="B25" t="s">
        <v>1754</v>
      </c>
    </row>
    <row r="27" spans="1:5" x14ac:dyDescent="0.35">
      <c r="B27" s="5" t="s">
        <v>8</v>
      </c>
    </row>
    <row r="28" spans="1:5" x14ac:dyDescent="0.35">
      <c r="B28" t="s">
        <v>61</v>
      </c>
      <c r="C28" t="s">
        <v>35</v>
      </c>
      <c r="D28" t="s">
        <v>29</v>
      </c>
      <c r="E28" t="s">
        <v>1756</v>
      </c>
    </row>
    <row r="29" spans="1:5" x14ac:dyDescent="0.35">
      <c r="A29" t="s">
        <v>1755</v>
      </c>
      <c r="B29" s="13">
        <v>20300474.770000003</v>
      </c>
      <c r="C29" s="13">
        <v>20982378.639999997</v>
      </c>
      <c r="D29" s="13">
        <v>5227040</v>
      </c>
      <c r="E29" s="13">
        <v>46509893.409999996</v>
      </c>
    </row>
    <row r="44" spans="2:5" x14ac:dyDescent="0.35">
      <c r="B44" s="13"/>
      <c r="C44" s="13"/>
      <c r="D44" s="13"/>
      <c r="E44" s="13"/>
    </row>
    <row r="45" spans="2:5" x14ac:dyDescent="0.35">
      <c r="B45" s="13"/>
      <c r="C45" s="13"/>
      <c r="D45" s="13"/>
      <c r="E45" s="13"/>
    </row>
    <row r="46" spans="2:5" x14ac:dyDescent="0.35">
      <c r="B46" s="13"/>
      <c r="C46" s="13"/>
      <c r="D46" s="13"/>
      <c r="E46" s="13"/>
    </row>
    <row r="47" spans="2:5" x14ac:dyDescent="0.35">
      <c r="B47" s="13"/>
      <c r="C47" s="13"/>
      <c r="D47" s="13"/>
      <c r="E47" s="13"/>
    </row>
    <row r="48" spans="2:5" x14ac:dyDescent="0.35">
      <c r="B48" s="13"/>
      <c r="C48" s="13"/>
      <c r="D48" s="13"/>
      <c r="E48" s="13"/>
    </row>
    <row r="50" spans="1:5" x14ac:dyDescent="0.35">
      <c r="A50" t="s">
        <v>1758</v>
      </c>
    </row>
    <row r="51" spans="1:5" x14ac:dyDescent="0.35">
      <c r="A51" s="10" t="s">
        <v>9</v>
      </c>
      <c r="B51" s="11" t="s">
        <v>1754</v>
      </c>
      <c r="C51" s="11"/>
      <c r="D51" s="11"/>
      <c r="E51" s="11"/>
    </row>
    <row r="52" spans="1:5" x14ac:dyDescent="0.35">
      <c r="A52" s="10" t="s">
        <v>20</v>
      </c>
      <c r="B52" s="11" t="s">
        <v>1754</v>
      </c>
      <c r="C52" s="11"/>
      <c r="D52" s="11"/>
      <c r="E52" s="11" t="s">
        <v>1757</v>
      </c>
    </row>
    <row r="53" spans="1:5" x14ac:dyDescent="0.35">
      <c r="A53" s="10" t="s">
        <v>12</v>
      </c>
      <c r="B53" s="11" t="s">
        <v>1754</v>
      </c>
      <c r="C53" s="11"/>
      <c r="D53" s="11"/>
      <c r="E53" s="11"/>
    </row>
    <row r="54" spans="1:5" x14ac:dyDescent="0.35">
      <c r="A54" s="11"/>
      <c r="B54" s="11"/>
      <c r="C54" s="11"/>
      <c r="D54" s="11"/>
      <c r="E54" s="11"/>
    </row>
    <row r="55" spans="1:5" x14ac:dyDescent="0.35">
      <c r="A55" s="10" t="s">
        <v>1759</v>
      </c>
      <c r="B55" s="10" t="s">
        <v>8</v>
      </c>
      <c r="C55" s="11"/>
      <c r="D55" s="11"/>
      <c r="E55" s="11"/>
    </row>
    <row r="56" spans="1:5" x14ac:dyDescent="0.35">
      <c r="A56" s="10" t="s">
        <v>18</v>
      </c>
      <c r="B56" s="11" t="s">
        <v>61</v>
      </c>
      <c r="C56" s="11" t="s">
        <v>35</v>
      </c>
      <c r="D56" s="11" t="s">
        <v>29</v>
      </c>
      <c r="E56" s="11" t="s">
        <v>1756</v>
      </c>
    </row>
    <row r="57" spans="1:5" x14ac:dyDescent="0.35">
      <c r="A57" s="11">
        <v>2017</v>
      </c>
      <c r="B57" s="11">
        <v>36</v>
      </c>
      <c r="C57" s="11">
        <v>17</v>
      </c>
      <c r="D57" s="11">
        <v>0</v>
      </c>
      <c r="E57" s="11">
        <v>53</v>
      </c>
    </row>
    <row r="58" spans="1:5" x14ac:dyDescent="0.35">
      <c r="A58" s="11">
        <v>2018</v>
      </c>
      <c r="B58" s="11">
        <v>36</v>
      </c>
      <c r="C58" s="11">
        <v>28</v>
      </c>
      <c r="D58" s="11">
        <v>0</v>
      </c>
      <c r="E58" s="11">
        <v>64</v>
      </c>
    </row>
    <row r="59" spans="1:5" x14ac:dyDescent="0.35">
      <c r="A59" s="11">
        <v>2019</v>
      </c>
      <c r="B59" s="11">
        <v>30</v>
      </c>
      <c r="C59" s="11">
        <v>28</v>
      </c>
      <c r="D59" s="11">
        <v>0</v>
      </c>
      <c r="E59" s="11">
        <v>58</v>
      </c>
    </row>
    <row r="60" spans="1:5" x14ac:dyDescent="0.35">
      <c r="A60" s="11">
        <v>2020</v>
      </c>
      <c r="B60" s="11">
        <v>31</v>
      </c>
      <c r="C60" s="11">
        <v>30</v>
      </c>
      <c r="D60" s="11">
        <v>0</v>
      </c>
      <c r="E60" s="11">
        <v>61</v>
      </c>
    </row>
    <row r="61" spans="1:5" x14ac:dyDescent="0.35">
      <c r="A61" s="11">
        <v>2021</v>
      </c>
      <c r="B61" s="11">
        <v>18</v>
      </c>
      <c r="C61" s="11">
        <v>21</v>
      </c>
      <c r="D61" s="11">
        <v>0</v>
      </c>
      <c r="E61" s="11">
        <v>39</v>
      </c>
    </row>
    <row r="62" spans="1:5" x14ac:dyDescent="0.35">
      <c r="A62" s="11">
        <v>2016</v>
      </c>
      <c r="B62" s="11">
        <v>0</v>
      </c>
      <c r="C62" s="11">
        <v>1</v>
      </c>
      <c r="D62" s="11">
        <v>1</v>
      </c>
      <c r="E62" s="11">
        <v>2</v>
      </c>
    </row>
    <row r="63" spans="1:5" x14ac:dyDescent="0.35">
      <c r="A63" s="11">
        <v>2022</v>
      </c>
      <c r="B63" s="11">
        <v>27</v>
      </c>
      <c r="C63" s="11">
        <v>17</v>
      </c>
      <c r="D63" s="11">
        <v>0</v>
      </c>
      <c r="E63" s="11">
        <v>44</v>
      </c>
    </row>
    <row r="64" spans="1:5" x14ac:dyDescent="0.35">
      <c r="A64" s="11">
        <v>2023</v>
      </c>
      <c r="B64" s="11">
        <v>18</v>
      </c>
      <c r="C64" s="11">
        <v>18</v>
      </c>
      <c r="D64" s="11">
        <v>0</v>
      </c>
      <c r="E64" s="11">
        <v>36</v>
      </c>
    </row>
    <row r="65" spans="1:5" x14ac:dyDescent="0.35">
      <c r="A65" s="11">
        <v>2024</v>
      </c>
      <c r="B65" s="11">
        <v>26</v>
      </c>
      <c r="C65" s="11">
        <v>10</v>
      </c>
      <c r="D65" s="11">
        <v>0</v>
      </c>
      <c r="E65" s="11">
        <v>36</v>
      </c>
    </row>
    <row r="66" spans="1:5" x14ac:dyDescent="0.35">
      <c r="A66" s="11">
        <v>2025</v>
      </c>
      <c r="B66" s="11">
        <v>18</v>
      </c>
      <c r="C66" s="11">
        <v>9</v>
      </c>
      <c r="D66" s="11">
        <v>0</v>
      </c>
      <c r="E66" s="11">
        <v>27</v>
      </c>
    </row>
    <row r="67" spans="1:5" x14ac:dyDescent="0.35">
      <c r="A67" s="11">
        <v>2026</v>
      </c>
      <c r="B67" s="11">
        <v>8</v>
      </c>
      <c r="C67" s="11">
        <v>3</v>
      </c>
      <c r="D67" s="11">
        <v>0</v>
      </c>
      <c r="E67" s="11">
        <v>11</v>
      </c>
    </row>
    <row r="68" spans="1:5" x14ac:dyDescent="0.35">
      <c r="A68" s="11" t="s">
        <v>1756</v>
      </c>
      <c r="B68" s="11">
        <v>248</v>
      </c>
      <c r="C68" s="11">
        <v>182</v>
      </c>
      <c r="D68" s="11">
        <v>1</v>
      </c>
      <c r="E68" s="11">
        <v>431</v>
      </c>
    </row>
    <row r="69" spans="1:5" x14ac:dyDescent="0.35">
      <c r="A69" s="11"/>
      <c r="B69" s="11"/>
      <c r="C69" s="11"/>
      <c r="D69" s="11"/>
      <c r="E69" s="11"/>
    </row>
    <row r="70" spans="1:5" x14ac:dyDescent="0.35">
      <c r="A70" s="11"/>
      <c r="B70" s="11"/>
      <c r="C70" s="11"/>
      <c r="D70" s="11"/>
      <c r="E70" s="11"/>
    </row>
    <row r="71" spans="1:5" x14ac:dyDescent="0.35">
      <c r="A71" s="11"/>
      <c r="B71" s="11"/>
      <c r="C71" s="11"/>
      <c r="D71" s="11"/>
      <c r="E71" s="11"/>
    </row>
    <row r="72" spans="1:5" x14ac:dyDescent="0.35">
      <c r="A72" s="11"/>
      <c r="B72" s="11"/>
      <c r="C72" s="11"/>
      <c r="D72" s="11"/>
      <c r="E72" s="11"/>
    </row>
    <row r="73" spans="1:5" x14ac:dyDescent="0.35">
      <c r="A73" s="11"/>
      <c r="B73" s="11"/>
      <c r="C73" s="11"/>
      <c r="D73" s="11"/>
      <c r="E73" s="11"/>
    </row>
    <row r="74" spans="1:5" x14ac:dyDescent="0.35">
      <c r="A74" s="11"/>
      <c r="B74" s="11"/>
      <c r="C74" s="11"/>
      <c r="D74" s="11"/>
      <c r="E74" s="11"/>
    </row>
    <row r="75" spans="1:5" x14ac:dyDescent="0.35">
      <c r="A75" s="11"/>
      <c r="B75" s="11"/>
      <c r="C75" s="11"/>
      <c r="D75" s="11"/>
      <c r="E75" s="11"/>
    </row>
    <row r="76" spans="1:5" x14ac:dyDescent="0.35">
      <c r="A76" s="11"/>
      <c r="B76" s="11"/>
      <c r="C76" s="11"/>
      <c r="D76" s="11"/>
      <c r="E76" s="11"/>
    </row>
    <row r="77" spans="1:5" x14ac:dyDescent="0.35">
      <c r="A77" s="10" t="s">
        <v>18</v>
      </c>
      <c r="B77" s="11" t="s">
        <v>1760</v>
      </c>
    </row>
    <row r="78" spans="1:5" x14ac:dyDescent="0.35">
      <c r="A78" s="10" t="s">
        <v>12</v>
      </c>
      <c r="B78" s="11" t="s">
        <v>1754</v>
      </c>
      <c r="C78" s="11"/>
      <c r="D78" s="11"/>
    </row>
    <row r="79" spans="1:5" x14ac:dyDescent="0.35">
      <c r="A79" s="10" t="s">
        <v>9</v>
      </c>
      <c r="B79" s="11" t="s">
        <v>1754</v>
      </c>
      <c r="C79" s="11"/>
      <c r="D79" s="11"/>
    </row>
    <row r="80" spans="1:5" x14ac:dyDescent="0.35">
      <c r="A80" s="10" t="s">
        <v>20</v>
      </c>
      <c r="B80" s="11" t="s">
        <v>1754</v>
      </c>
      <c r="C80" s="11"/>
      <c r="D80" s="11"/>
    </row>
    <row r="81" spans="1:4" x14ac:dyDescent="0.35">
      <c r="A81" s="11"/>
      <c r="B81" s="11"/>
      <c r="C81" s="11"/>
      <c r="D81" s="11"/>
    </row>
    <row r="82" spans="1:4" x14ac:dyDescent="0.35">
      <c r="A82" s="10" t="s">
        <v>4</v>
      </c>
      <c r="B82" s="11" t="s">
        <v>1755</v>
      </c>
    </row>
    <row r="83" spans="1:4" x14ac:dyDescent="0.35">
      <c r="A83" s="11" t="s">
        <v>885</v>
      </c>
      <c r="B83" s="11">
        <v>17000</v>
      </c>
    </row>
    <row r="84" spans="1:4" x14ac:dyDescent="0.35">
      <c r="A84" s="11" t="s">
        <v>1043</v>
      </c>
      <c r="B84" s="11">
        <v>26452.21</v>
      </c>
    </row>
    <row r="85" spans="1:4" x14ac:dyDescent="0.35">
      <c r="A85" s="11" t="s">
        <v>1050</v>
      </c>
      <c r="B85" s="11">
        <v>4000</v>
      </c>
    </row>
    <row r="86" spans="1:4" x14ac:dyDescent="0.35">
      <c r="A86" s="11" t="s">
        <v>967</v>
      </c>
      <c r="B86" s="11">
        <v>1570</v>
      </c>
    </row>
    <row r="87" spans="1:4" x14ac:dyDescent="0.35">
      <c r="A87" s="11" t="s">
        <v>879</v>
      </c>
      <c r="B87" s="11">
        <v>2500</v>
      </c>
    </row>
    <row r="88" spans="1:4" x14ac:dyDescent="0.35">
      <c r="A88" s="11" t="s">
        <v>1132</v>
      </c>
      <c r="B88" s="11">
        <v>14500</v>
      </c>
    </row>
    <row r="89" spans="1:4" x14ac:dyDescent="0.35">
      <c r="A89" s="11" t="s">
        <v>704</v>
      </c>
      <c r="B89" s="11">
        <v>3000000</v>
      </c>
    </row>
    <row r="90" spans="1:4" x14ac:dyDescent="0.35">
      <c r="A90" s="11" t="s">
        <v>687</v>
      </c>
      <c r="B90" s="11">
        <v>722555</v>
      </c>
    </row>
    <row r="91" spans="1:4" x14ac:dyDescent="0.35">
      <c r="A91" s="11" t="s">
        <v>741</v>
      </c>
      <c r="B91" s="11">
        <v>1968808</v>
      </c>
    </row>
    <row r="92" spans="1:4" x14ac:dyDescent="0.35">
      <c r="A92" s="11" t="s">
        <v>680</v>
      </c>
      <c r="B92" s="11">
        <v>14000</v>
      </c>
    </row>
    <row r="93" spans="1:4" x14ac:dyDescent="0.35">
      <c r="A93" s="11" t="s">
        <v>31</v>
      </c>
      <c r="B93" s="11">
        <v>16533</v>
      </c>
    </row>
    <row r="94" spans="1:4" x14ac:dyDescent="0.35">
      <c r="A94" s="11" t="s">
        <v>711</v>
      </c>
      <c r="B94" s="11">
        <v>7660</v>
      </c>
    </row>
    <row r="95" spans="1:4" x14ac:dyDescent="0.35">
      <c r="A95" s="11" t="s">
        <v>1015</v>
      </c>
      <c r="B95" s="11">
        <v>298011</v>
      </c>
    </row>
    <row r="96" spans="1:4" x14ac:dyDescent="0.35">
      <c r="A96" s="11" t="s">
        <v>303</v>
      </c>
      <c r="B96" s="11">
        <v>98000</v>
      </c>
    </row>
    <row r="97" spans="1:2" x14ac:dyDescent="0.35">
      <c r="A97" s="11" t="s">
        <v>834</v>
      </c>
      <c r="B97" s="11">
        <v>1100</v>
      </c>
    </row>
    <row r="98" spans="1:2" x14ac:dyDescent="0.35">
      <c r="A98" s="11" t="s">
        <v>520</v>
      </c>
      <c r="B98" s="11">
        <v>8163.3899999999994</v>
      </c>
    </row>
    <row r="99" spans="1:2" x14ac:dyDescent="0.35">
      <c r="A99" s="11" t="s">
        <v>205</v>
      </c>
      <c r="B99" s="11">
        <v>1844720</v>
      </c>
    </row>
    <row r="100" spans="1:2" x14ac:dyDescent="0.35">
      <c r="A100" s="11" t="s">
        <v>321</v>
      </c>
      <c r="B100" s="11">
        <v>567005</v>
      </c>
    </row>
    <row r="101" spans="1:2" x14ac:dyDescent="0.35">
      <c r="A101" s="11" t="s">
        <v>269</v>
      </c>
      <c r="B101" s="11">
        <v>52572</v>
      </c>
    </row>
    <row r="102" spans="1:2" x14ac:dyDescent="0.35">
      <c r="A102" s="11" t="s">
        <v>287</v>
      </c>
      <c r="B102" s="11">
        <v>1400720.38</v>
      </c>
    </row>
    <row r="103" spans="1:2" x14ac:dyDescent="0.35">
      <c r="A103" s="11" t="s">
        <v>326</v>
      </c>
      <c r="B103" s="11">
        <v>103000</v>
      </c>
    </row>
    <row r="104" spans="1:2" x14ac:dyDescent="0.35">
      <c r="A104" s="11" t="s">
        <v>347</v>
      </c>
      <c r="B104" s="11">
        <v>623</v>
      </c>
    </row>
    <row r="105" spans="1:2" x14ac:dyDescent="0.35">
      <c r="A105" s="11" t="s">
        <v>489</v>
      </c>
      <c r="B105" s="11">
        <v>11000</v>
      </c>
    </row>
    <row r="106" spans="1:2" x14ac:dyDescent="0.35">
      <c r="A106" s="11" t="s">
        <v>89</v>
      </c>
      <c r="B106" s="11">
        <v>5000</v>
      </c>
    </row>
    <row r="107" spans="1:2" x14ac:dyDescent="0.35">
      <c r="A107" s="11" t="s">
        <v>107</v>
      </c>
      <c r="B107" s="11">
        <v>2200</v>
      </c>
    </row>
    <row r="108" spans="1:2" x14ac:dyDescent="0.35">
      <c r="A108" s="11" t="s">
        <v>141</v>
      </c>
      <c r="B108" s="11">
        <v>10000</v>
      </c>
    </row>
    <row r="109" spans="1:2" x14ac:dyDescent="0.35">
      <c r="A109" s="11" t="s">
        <v>920</v>
      </c>
      <c r="B109" s="11">
        <v>0</v>
      </c>
    </row>
    <row r="110" spans="1:2" x14ac:dyDescent="0.35">
      <c r="A110" s="11" t="s">
        <v>249</v>
      </c>
      <c r="B110" s="11">
        <v>1000</v>
      </c>
    </row>
    <row r="111" spans="1:2" x14ac:dyDescent="0.35">
      <c r="A111" s="11" t="s">
        <v>381</v>
      </c>
      <c r="B111" s="11">
        <v>564087.01</v>
      </c>
    </row>
    <row r="112" spans="1:2" x14ac:dyDescent="0.35">
      <c r="A112" s="11" t="s">
        <v>394</v>
      </c>
      <c r="B112" s="11">
        <v>33000</v>
      </c>
    </row>
    <row r="113" spans="1:2" x14ac:dyDescent="0.35">
      <c r="A113" s="11" t="s">
        <v>414</v>
      </c>
      <c r="B113" s="11">
        <v>79623.399999999994</v>
      </c>
    </row>
    <row r="114" spans="1:2" x14ac:dyDescent="0.35">
      <c r="A114" s="11" t="s">
        <v>432</v>
      </c>
      <c r="B114" s="11">
        <v>86974</v>
      </c>
    </row>
    <row r="115" spans="1:2" x14ac:dyDescent="0.35">
      <c r="A115" s="11" t="s">
        <v>469</v>
      </c>
      <c r="B115" s="11">
        <v>3000</v>
      </c>
    </row>
    <row r="116" spans="1:2" x14ac:dyDescent="0.35">
      <c r="A116" s="11" t="s">
        <v>543</v>
      </c>
      <c r="B116" s="11">
        <v>38500</v>
      </c>
    </row>
    <row r="117" spans="1:2" x14ac:dyDescent="0.35">
      <c r="A117" s="11" t="s">
        <v>1108</v>
      </c>
      <c r="B117" s="11">
        <v>1003</v>
      </c>
    </row>
    <row r="118" spans="1:2" x14ac:dyDescent="0.35">
      <c r="A118" s="11" t="s">
        <v>549</v>
      </c>
      <c r="B118" s="11">
        <v>188598</v>
      </c>
    </row>
    <row r="119" spans="1:2" x14ac:dyDescent="0.35">
      <c r="A119" s="11" t="s">
        <v>565</v>
      </c>
      <c r="B119" s="11">
        <v>2200</v>
      </c>
    </row>
    <row r="120" spans="1:2" x14ac:dyDescent="0.35">
      <c r="A120" s="11" t="s">
        <v>574</v>
      </c>
      <c r="B120" s="11">
        <v>11000</v>
      </c>
    </row>
    <row r="121" spans="1:2" x14ac:dyDescent="0.35">
      <c r="A121" s="11" t="s">
        <v>598</v>
      </c>
      <c r="B121" s="11">
        <v>2700</v>
      </c>
    </row>
    <row r="122" spans="1:2" x14ac:dyDescent="0.35">
      <c r="A122" s="11" t="s">
        <v>631</v>
      </c>
      <c r="B122" s="11">
        <v>550</v>
      </c>
    </row>
    <row r="123" spans="1:2" x14ac:dyDescent="0.35">
      <c r="A123" s="11" t="s">
        <v>641</v>
      </c>
      <c r="B123" s="11">
        <v>89000</v>
      </c>
    </row>
    <row r="124" spans="1:2" x14ac:dyDescent="0.35">
      <c r="A124" s="11" t="s">
        <v>646</v>
      </c>
      <c r="B124" s="11">
        <v>288773.92</v>
      </c>
    </row>
    <row r="125" spans="1:2" x14ac:dyDescent="0.35">
      <c r="A125" s="11" t="s">
        <v>664</v>
      </c>
      <c r="B125" s="11">
        <v>19998.5</v>
      </c>
    </row>
    <row r="126" spans="1:2" x14ac:dyDescent="0.35">
      <c r="A126" s="11" t="s">
        <v>961</v>
      </c>
      <c r="B126" s="11">
        <v>545305</v>
      </c>
    </row>
    <row r="127" spans="1:2" x14ac:dyDescent="0.35">
      <c r="A127" s="11" t="s">
        <v>1174</v>
      </c>
      <c r="B127" s="11">
        <v>7500</v>
      </c>
    </row>
    <row r="128" spans="1:2" x14ac:dyDescent="0.35">
      <c r="A128" s="11" t="s">
        <v>1184</v>
      </c>
      <c r="B128" s="11">
        <v>5000</v>
      </c>
    </row>
    <row r="129" spans="1:5" x14ac:dyDescent="0.35">
      <c r="A129" s="11" t="s">
        <v>1203</v>
      </c>
      <c r="B129" s="11">
        <v>0</v>
      </c>
    </row>
    <row r="130" spans="1:5" x14ac:dyDescent="0.35">
      <c r="A130" s="11" t="s">
        <v>1220</v>
      </c>
      <c r="B130" s="11">
        <v>6000</v>
      </c>
    </row>
    <row r="131" spans="1:5" x14ac:dyDescent="0.35">
      <c r="A131" s="11" t="s">
        <v>1257</v>
      </c>
      <c r="B131" s="11">
        <v>50000</v>
      </c>
    </row>
    <row r="132" spans="1:5" x14ac:dyDescent="0.35">
      <c r="A132" s="11" t="s">
        <v>1358</v>
      </c>
      <c r="B132" s="11">
        <v>2100</v>
      </c>
    </row>
    <row r="133" spans="1:5" x14ac:dyDescent="0.35">
      <c r="A133" s="11" t="s">
        <v>1417</v>
      </c>
      <c r="B133" s="11">
        <v>2000</v>
      </c>
    </row>
    <row r="134" spans="1:5" x14ac:dyDescent="0.35">
      <c r="A134" s="11" t="s">
        <v>1756</v>
      </c>
      <c r="B134" s="11">
        <v>12225605.810000001</v>
      </c>
    </row>
    <row r="135" spans="1:5" x14ac:dyDescent="0.35">
      <c r="A135" s="11"/>
      <c r="B135" s="11"/>
    </row>
    <row r="136" spans="1:5" x14ac:dyDescent="0.35">
      <c r="A136" s="11"/>
      <c r="B136" s="11"/>
    </row>
    <row r="137" spans="1:5" x14ac:dyDescent="0.35">
      <c r="A137" s="11"/>
      <c r="B137" s="11"/>
    </row>
    <row r="139" spans="1:5" x14ac:dyDescent="0.35">
      <c r="A139" s="5" t="s">
        <v>17</v>
      </c>
      <c r="B139" t="s">
        <v>1754</v>
      </c>
    </row>
    <row r="141" spans="1:5" x14ac:dyDescent="0.35">
      <c r="A141" s="5" t="s">
        <v>1755</v>
      </c>
      <c r="B141" s="5" t="s">
        <v>8</v>
      </c>
    </row>
    <row r="142" spans="1:5" x14ac:dyDescent="0.35">
      <c r="A142" s="5" t="s">
        <v>9</v>
      </c>
      <c r="B142" t="s">
        <v>61</v>
      </c>
      <c r="C142" t="s">
        <v>35</v>
      </c>
      <c r="D142" t="s">
        <v>29</v>
      </c>
      <c r="E142" t="s">
        <v>1756</v>
      </c>
    </row>
    <row r="143" spans="1:5" x14ac:dyDescent="0.35">
      <c r="A143">
        <v>1</v>
      </c>
      <c r="B143" s="13">
        <v>200820</v>
      </c>
      <c r="C143" s="13">
        <v>252831.77000000002</v>
      </c>
      <c r="D143" s="13">
        <v>0</v>
      </c>
      <c r="E143" s="13">
        <v>453651.77</v>
      </c>
    </row>
    <row r="144" spans="1:5" x14ac:dyDescent="0.35">
      <c r="A144">
        <v>2</v>
      </c>
      <c r="B144" s="13">
        <v>5220000</v>
      </c>
      <c r="C144" s="13">
        <v>792054</v>
      </c>
      <c r="D144" s="13">
        <v>0</v>
      </c>
      <c r="E144" s="13">
        <v>6012054</v>
      </c>
    </row>
    <row r="145" spans="1:5" x14ac:dyDescent="0.35">
      <c r="A145">
        <v>3</v>
      </c>
      <c r="B145" s="13">
        <v>1891542.58</v>
      </c>
      <c r="C145" s="13">
        <v>6212395.6400000006</v>
      </c>
      <c r="D145" s="13">
        <v>0</v>
      </c>
      <c r="E145" s="13">
        <v>8103938.2200000007</v>
      </c>
    </row>
    <row r="146" spans="1:5" x14ac:dyDescent="0.35">
      <c r="A146">
        <v>4</v>
      </c>
      <c r="B146" s="13">
        <v>1429257.07</v>
      </c>
      <c r="C146" s="13">
        <v>1199294.73</v>
      </c>
      <c r="D146" s="13">
        <v>0</v>
      </c>
      <c r="E146" s="13">
        <v>2628551.7999999998</v>
      </c>
    </row>
    <row r="147" spans="1:5" x14ac:dyDescent="0.35">
      <c r="A147">
        <v>5</v>
      </c>
      <c r="B147" s="13">
        <v>1099645</v>
      </c>
      <c r="C147" s="13">
        <v>5370609.6200000001</v>
      </c>
      <c r="D147" s="13">
        <v>0</v>
      </c>
      <c r="E147" s="13">
        <v>6470254.6200000001</v>
      </c>
    </row>
    <row r="148" spans="1:5" x14ac:dyDescent="0.35">
      <c r="A148">
        <v>6</v>
      </c>
      <c r="B148" s="13">
        <v>1305809</v>
      </c>
      <c r="C148" s="13">
        <v>2136235.9900000002</v>
      </c>
      <c r="D148" s="13">
        <v>0</v>
      </c>
      <c r="E148" s="13">
        <v>3442044.99</v>
      </c>
    </row>
    <row r="149" spans="1:5" x14ac:dyDescent="0.35">
      <c r="A149">
        <v>7</v>
      </c>
      <c r="B149" s="13">
        <v>5893149.79</v>
      </c>
      <c r="C149" s="13">
        <v>408432.95</v>
      </c>
      <c r="D149" s="13">
        <v>0</v>
      </c>
      <c r="E149" s="13">
        <v>6301582.7400000002</v>
      </c>
    </row>
    <row r="150" spans="1:5" x14ac:dyDescent="0.35">
      <c r="A150">
        <v>8</v>
      </c>
      <c r="B150" s="13">
        <v>2278968.54</v>
      </c>
      <c r="C150" s="13">
        <v>205557.72999999998</v>
      </c>
      <c r="D150" s="13">
        <v>0</v>
      </c>
      <c r="E150" s="13">
        <v>2484526.27</v>
      </c>
    </row>
    <row r="151" spans="1:5" x14ac:dyDescent="0.35">
      <c r="A151">
        <v>9</v>
      </c>
      <c r="B151" s="13">
        <v>333114.94999999995</v>
      </c>
      <c r="C151" s="13">
        <v>2789508.24</v>
      </c>
      <c r="D151" s="13">
        <v>0</v>
      </c>
      <c r="E151" s="13">
        <v>3122623.1900000004</v>
      </c>
    </row>
    <row r="152" spans="1:5" x14ac:dyDescent="0.35">
      <c r="A152">
        <v>10</v>
      </c>
      <c r="B152" s="13">
        <v>416097.99</v>
      </c>
      <c r="C152" s="13">
        <v>1615457.97</v>
      </c>
      <c r="D152" s="13">
        <v>0</v>
      </c>
      <c r="E152" s="13">
        <v>2031555.96</v>
      </c>
    </row>
    <row r="153" spans="1:5" x14ac:dyDescent="0.35">
      <c r="A153" t="s">
        <v>1761</v>
      </c>
      <c r="B153" s="13">
        <v>0</v>
      </c>
      <c r="C153" s="13">
        <v>0</v>
      </c>
      <c r="D153" s="13">
        <v>5227040</v>
      </c>
      <c r="E153" s="13">
        <v>5227040</v>
      </c>
    </row>
    <row r="154" spans="1:5" x14ac:dyDescent="0.35">
      <c r="A154">
        <v>11</v>
      </c>
      <c r="B154" s="13">
        <v>157500</v>
      </c>
      <c r="C154" s="13">
        <v>0</v>
      </c>
      <c r="D154" s="13">
        <v>0</v>
      </c>
      <c r="E154" s="13">
        <v>157500</v>
      </c>
    </row>
    <row r="155" spans="1:5" x14ac:dyDescent="0.35">
      <c r="A155">
        <v>12</v>
      </c>
      <c r="B155" s="13">
        <v>74569.850000000006</v>
      </c>
      <c r="C155" s="13">
        <v>0</v>
      </c>
      <c r="D155" s="13">
        <v>0</v>
      </c>
      <c r="E155" s="13">
        <v>74569.850000000006</v>
      </c>
    </row>
    <row r="156" spans="1:5" x14ac:dyDescent="0.35">
      <c r="A156" t="s">
        <v>1756</v>
      </c>
      <c r="B156" s="13">
        <v>20300474.77</v>
      </c>
      <c r="C156" s="13">
        <v>20982378.640000001</v>
      </c>
      <c r="D156" s="13">
        <v>5227040</v>
      </c>
      <c r="E156" s="13">
        <v>46509893.410000004</v>
      </c>
    </row>
    <row r="157" spans="1:5" x14ac:dyDescent="0.35">
      <c r="A157" s="11"/>
      <c r="B157" s="11"/>
    </row>
    <row r="158" spans="1:5" x14ac:dyDescent="0.35">
      <c r="A158" s="11"/>
      <c r="B158" s="11"/>
    </row>
    <row r="159" spans="1:5" x14ac:dyDescent="0.35">
      <c r="A159" s="11"/>
      <c r="B159" s="11"/>
    </row>
    <row r="160" spans="1:5" x14ac:dyDescent="0.35">
      <c r="A160" s="11"/>
      <c r="B160" s="11"/>
    </row>
    <row r="161" spans="1:2" x14ac:dyDescent="0.35">
      <c r="A161" s="11"/>
      <c r="B161" s="11"/>
    </row>
    <row r="162" spans="1:2" x14ac:dyDescent="0.35">
      <c r="A162" s="11"/>
      <c r="B162" s="11"/>
    </row>
    <row r="163" spans="1:2" x14ac:dyDescent="0.35">
      <c r="A163" s="11"/>
      <c r="B163" s="11"/>
    </row>
    <row r="164" spans="1:2" x14ac:dyDescent="0.35">
      <c r="A164" s="11"/>
      <c r="B164" s="11"/>
    </row>
    <row r="165" spans="1:2" x14ac:dyDescent="0.35">
      <c r="A165" s="11"/>
      <c r="B165" s="11"/>
    </row>
  </sheetData>
  <conditionalFormatting pivot="1" sqref="B57:E61">
    <cfRule type="dataBar" priority="10">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5">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4">
      <dataBar>
        <cfvo type="min"/>
        <cfvo type="max"/>
        <color rgb="FFFFB628"/>
      </dataBar>
      <extLst>
        <ext xmlns:x14="http://schemas.microsoft.com/office/spreadsheetml/2009/9/main" uri="{B025F937-C7B1-47D3-B67F-A62EFF666E3E}">
          <x14:id>{7E5B887E-7175-40AA-8248-8ED2DD874DA1}</x14:id>
        </ext>
      </extLst>
    </cfRule>
  </conditionalFormatting>
  <conditionalFormatting pivot="1" sqref="B17:E18">
    <cfRule type="dataBar" priority="1">
      <dataBar>
        <cfvo type="min"/>
        <cfvo type="max"/>
        <color rgb="FFFFB628"/>
      </dataBar>
      <extLst>
        <ext xmlns:x14="http://schemas.microsoft.com/office/spreadsheetml/2009/9/main" uri="{B025F937-C7B1-47D3-B67F-A62EFF666E3E}">
          <x14:id>{93786FCD-69D1-448C-A885-DC400C4FF061}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 xmlns:xm="http://schemas.microsoft.com/office/excel/2006/main" pivot="1">
          <x14:cfRule type="dataBar" id="{93786FCD-69D1-448C-A885-DC400C4FF061}">
            <x14:dataBar minLength="0" maxLength="100" gradient="0">
              <x14:cfvo type="autoMin"/>
              <x14:cfvo type="autoMax"/>
              <x14:negativeFillColor rgb="FFFF0000"/>
              <x14:axisColor rgb="FF000000"/>
            </x14:dataBar>
          </x14:cfRule>
          <xm:sqref>B17:E18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5" x14ac:dyDescent="0.35"/>
  <cols>
    <col min="3" max="3" width="14.26953125" customWidth="1"/>
    <col min="4" max="4" width="15.81640625" customWidth="1"/>
    <col min="5" max="5" width="12.54296875" customWidth="1"/>
    <col min="6" max="6" width="16.453125" customWidth="1"/>
  </cols>
  <sheetData>
    <row r="2" spans="2:6" x14ac:dyDescent="0.35">
      <c r="B2" s="5" t="s">
        <v>9</v>
      </c>
      <c r="C2" t="s">
        <v>1754</v>
      </c>
    </row>
    <row r="3" spans="2:6" x14ac:dyDescent="0.35">
      <c r="B3" s="5" t="s">
        <v>3</v>
      </c>
      <c r="C3" t="s">
        <v>1760</v>
      </c>
      <c r="F3" t="s">
        <v>1757</v>
      </c>
    </row>
    <row r="4" spans="2:6" x14ac:dyDescent="0.35">
      <c r="B4" s="5" t="s">
        <v>20</v>
      </c>
      <c r="C4" t="s">
        <v>1754</v>
      </c>
    </row>
    <row r="5" spans="2:6" x14ac:dyDescent="0.35">
      <c r="B5" s="5" t="s">
        <v>12</v>
      </c>
      <c r="C5" t="s">
        <v>1754</v>
      </c>
    </row>
    <row r="7" spans="2:6" x14ac:dyDescent="0.35">
      <c r="B7" s="5" t="s">
        <v>1759</v>
      </c>
      <c r="C7" s="5" t="s">
        <v>8</v>
      </c>
    </row>
    <row r="8" spans="2:6" x14ac:dyDescent="0.35">
      <c r="B8" s="5" t="s">
        <v>18</v>
      </c>
      <c r="C8" t="s">
        <v>61</v>
      </c>
      <c r="D8" t="s">
        <v>35</v>
      </c>
      <c r="E8" t="s">
        <v>1756</v>
      </c>
    </row>
    <row r="9" spans="2:6" x14ac:dyDescent="0.35">
      <c r="B9">
        <v>2024</v>
      </c>
      <c r="C9" s="13">
        <v>12</v>
      </c>
      <c r="D9" s="13">
        <v>4</v>
      </c>
      <c r="E9" s="13">
        <v>16</v>
      </c>
    </row>
    <row r="10" spans="2:6" x14ac:dyDescent="0.35">
      <c r="B10">
        <v>2025</v>
      </c>
      <c r="C10" s="13">
        <v>9</v>
      </c>
      <c r="D10" s="13">
        <v>6</v>
      </c>
      <c r="E10" s="13">
        <v>15</v>
      </c>
    </row>
    <row r="11" spans="2:6" x14ac:dyDescent="0.35">
      <c r="B11" t="s">
        <v>1756</v>
      </c>
      <c r="C11" s="13">
        <v>21</v>
      </c>
      <c r="D11" s="13">
        <v>10</v>
      </c>
      <c r="E11" s="13">
        <v>31</v>
      </c>
    </row>
    <row r="23" spans="2:6" x14ac:dyDescent="0.35">
      <c r="B23" s="5" t="s">
        <v>9</v>
      </c>
      <c r="C23" t="s">
        <v>1754</v>
      </c>
    </row>
    <row r="24" spans="2:6" x14ac:dyDescent="0.35">
      <c r="B24" s="5" t="s">
        <v>3</v>
      </c>
      <c r="C24" t="s">
        <v>1754</v>
      </c>
      <c r="F24" t="s">
        <v>1757</v>
      </c>
    </row>
    <row r="25" spans="2:6" x14ac:dyDescent="0.35">
      <c r="B25" s="5" t="s">
        <v>20</v>
      </c>
      <c r="C25" t="s">
        <v>43</v>
      </c>
    </row>
    <row r="26" spans="2:6" x14ac:dyDescent="0.35">
      <c r="B26" s="5" t="s">
        <v>12</v>
      </c>
      <c r="C26" t="s">
        <v>1754</v>
      </c>
    </row>
    <row r="28" spans="2:6" x14ac:dyDescent="0.35">
      <c r="B28" s="5" t="s">
        <v>1755</v>
      </c>
      <c r="C28" s="5" t="s">
        <v>8</v>
      </c>
    </row>
    <row r="29" spans="2:6" x14ac:dyDescent="0.35">
      <c r="B29" s="5" t="s">
        <v>18</v>
      </c>
      <c r="C29" t="s">
        <v>61</v>
      </c>
      <c r="D29" t="s">
        <v>35</v>
      </c>
      <c r="E29" t="s">
        <v>1756</v>
      </c>
    </row>
    <row r="30" spans="2:6" x14ac:dyDescent="0.35">
      <c r="B30">
        <v>2017</v>
      </c>
      <c r="C30" s="13">
        <v>4906940.92</v>
      </c>
      <c r="D30" s="13">
        <v>1888779.95</v>
      </c>
      <c r="E30" s="13">
        <v>6795720.8700000001</v>
      </c>
    </row>
    <row r="31" spans="2:6" x14ac:dyDescent="0.35">
      <c r="B31">
        <v>2018</v>
      </c>
      <c r="C31" s="13">
        <v>435892.80000000005</v>
      </c>
      <c r="D31" s="13">
        <v>1045965.74</v>
      </c>
      <c r="E31" s="13">
        <v>1481858.54</v>
      </c>
    </row>
    <row r="32" spans="2:6" x14ac:dyDescent="0.35">
      <c r="B32">
        <v>2019</v>
      </c>
      <c r="C32" s="13">
        <v>1024279.6000000001</v>
      </c>
      <c r="D32" s="13">
        <v>678539.30999999994</v>
      </c>
      <c r="E32" s="13">
        <v>1702818.9100000001</v>
      </c>
    </row>
    <row r="33" spans="2:6" x14ac:dyDescent="0.35">
      <c r="B33">
        <v>2020</v>
      </c>
      <c r="C33" s="13">
        <v>860777.7</v>
      </c>
      <c r="D33" s="13">
        <v>433954.17</v>
      </c>
      <c r="E33" s="13">
        <v>1294731.8699999999</v>
      </c>
    </row>
    <row r="34" spans="2:6" x14ac:dyDescent="0.35">
      <c r="B34">
        <v>2021</v>
      </c>
      <c r="C34" s="13">
        <v>151015.16999999998</v>
      </c>
      <c r="D34" s="13">
        <v>73565.030000000013</v>
      </c>
      <c r="E34" s="13">
        <v>224580.2</v>
      </c>
    </row>
    <row r="35" spans="2:6" x14ac:dyDescent="0.35">
      <c r="B35">
        <v>2022</v>
      </c>
      <c r="C35" s="13">
        <v>279523.40000000002</v>
      </c>
      <c r="D35" s="13">
        <v>714021.38</v>
      </c>
      <c r="E35" s="13">
        <v>993544.78</v>
      </c>
    </row>
    <row r="36" spans="2:6" x14ac:dyDescent="0.35">
      <c r="B36">
        <v>2023</v>
      </c>
      <c r="C36" s="13">
        <v>45098.5</v>
      </c>
      <c r="D36" s="13">
        <v>235753.75</v>
      </c>
      <c r="E36" s="13">
        <v>280852.25</v>
      </c>
    </row>
    <row r="37" spans="2:6" x14ac:dyDescent="0.35">
      <c r="B37">
        <v>2024</v>
      </c>
      <c r="C37" s="13">
        <v>289782.59999999998</v>
      </c>
      <c r="D37" s="13">
        <v>65000</v>
      </c>
      <c r="E37" s="13">
        <v>354782.6</v>
      </c>
    </row>
    <row r="38" spans="2:6" x14ac:dyDescent="0.35">
      <c r="B38">
        <v>2025</v>
      </c>
      <c r="C38" s="13">
        <v>60000</v>
      </c>
      <c r="D38" s="13">
        <v>0</v>
      </c>
      <c r="E38" s="13">
        <v>60000</v>
      </c>
    </row>
    <row r="39" spans="2:6" x14ac:dyDescent="0.35">
      <c r="B39">
        <v>2026</v>
      </c>
      <c r="C39" s="13">
        <v>174569.85</v>
      </c>
      <c r="D39" s="13">
        <v>0</v>
      </c>
      <c r="E39" s="13">
        <v>174569.85</v>
      </c>
    </row>
    <row r="40" spans="2:6" x14ac:dyDescent="0.35">
      <c r="B40" t="s">
        <v>1756</v>
      </c>
      <c r="C40" s="13">
        <v>8227880.54</v>
      </c>
      <c r="D40" s="13">
        <v>5135579.33</v>
      </c>
      <c r="E40" s="13">
        <v>13363459.869999997</v>
      </c>
    </row>
    <row r="45" spans="2:6" x14ac:dyDescent="0.35">
      <c r="B45" s="5" t="s">
        <v>9</v>
      </c>
      <c r="C45" t="s">
        <v>1754</v>
      </c>
    </row>
    <row r="46" spans="2:6" x14ac:dyDescent="0.35">
      <c r="B46" s="5" t="s">
        <v>3</v>
      </c>
      <c r="C46" t="s">
        <v>1754</v>
      </c>
      <c r="F46" t="s">
        <v>1757</v>
      </c>
    </row>
    <row r="47" spans="2:6" x14ac:dyDescent="0.35">
      <c r="B47" s="5" t="s">
        <v>20</v>
      </c>
      <c r="C47" t="s">
        <v>1754</v>
      </c>
    </row>
    <row r="48" spans="2:6" x14ac:dyDescent="0.35">
      <c r="B48" s="5" t="s">
        <v>12</v>
      </c>
      <c r="C48" t="s">
        <v>1754</v>
      </c>
    </row>
    <row r="50" spans="2:6" x14ac:dyDescent="0.35">
      <c r="B50" s="5" t="s">
        <v>1755</v>
      </c>
      <c r="C50" s="5" t="s">
        <v>8</v>
      </c>
    </row>
    <row r="51" spans="2:6" x14ac:dyDescent="0.35">
      <c r="B51" s="5" t="s">
        <v>18</v>
      </c>
      <c r="C51" t="s">
        <v>61</v>
      </c>
      <c r="D51" t="s">
        <v>35</v>
      </c>
      <c r="E51" t="s">
        <v>29</v>
      </c>
      <c r="F51" t="s">
        <v>1756</v>
      </c>
    </row>
    <row r="52" spans="2:6" x14ac:dyDescent="0.35">
      <c r="B52">
        <v>2016</v>
      </c>
      <c r="C52" s="13">
        <v>0</v>
      </c>
      <c r="D52" s="13">
        <v>108601</v>
      </c>
      <c r="E52" s="13">
        <v>5227040</v>
      </c>
      <c r="F52" s="13">
        <v>5335641</v>
      </c>
    </row>
    <row r="53" spans="2:6" x14ac:dyDescent="0.35">
      <c r="B53">
        <v>2017</v>
      </c>
      <c r="C53" s="13">
        <v>5661940.9199999999</v>
      </c>
      <c r="D53" s="13">
        <v>1927138.72</v>
      </c>
      <c r="E53" s="13">
        <v>0</v>
      </c>
      <c r="F53" s="13">
        <v>7589079.6399999997</v>
      </c>
    </row>
    <row r="54" spans="2:6" x14ac:dyDescent="0.35">
      <c r="B54">
        <v>2018</v>
      </c>
      <c r="C54" s="13">
        <v>2672381.38</v>
      </c>
      <c r="D54" s="13">
        <v>1065465.74</v>
      </c>
      <c r="E54" s="13">
        <v>0</v>
      </c>
      <c r="F54" s="13">
        <v>3737847.12</v>
      </c>
    </row>
    <row r="55" spans="2:6" x14ac:dyDescent="0.35">
      <c r="B55">
        <v>2019</v>
      </c>
      <c r="C55" s="13">
        <v>1370099.6</v>
      </c>
      <c r="D55" s="13">
        <v>1789625.31</v>
      </c>
      <c r="E55" s="13">
        <v>0</v>
      </c>
      <c r="F55" s="13">
        <v>3159724.91</v>
      </c>
    </row>
    <row r="56" spans="2:6" x14ac:dyDescent="0.35">
      <c r="B56">
        <v>2020</v>
      </c>
      <c r="C56" s="13">
        <v>1211745.7</v>
      </c>
      <c r="D56" s="13">
        <v>4566934.17</v>
      </c>
      <c r="E56" s="13">
        <v>0</v>
      </c>
      <c r="F56" s="13">
        <v>5778679.8700000001</v>
      </c>
    </row>
    <row r="57" spans="2:6" x14ac:dyDescent="0.35">
      <c r="B57">
        <v>2021</v>
      </c>
      <c r="C57" s="13">
        <v>215315.16999999998</v>
      </c>
      <c r="D57" s="13">
        <v>691492.67</v>
      </c>
      <c r="E57" s="13">
        <v>0</v>
      </c>
      <c r="F57" s="13">
        <v>906807.84000000008</v>
      </c>
    </row>
    <row r="58" spans="2:6" x14ac:dyDescent="0.35">
      <c r="B58">
        <v>2022</v>
      </c>
      <c r="C58" s="13">
        <v>4319856.8</v>
      </c>
      <c r="D58" s="13">
        <v>2010009.76</v>
      </c>
      <c r="E58" s="13">
        <v>0</v>
      </c>
      <c r="F58" s="13">
        <v>6329866.5599999996</v>
      </c>
    </row>
    <row r="59" spans="2:6" x14ac:dyDescent="0.35">
      <c r="B59">
        <v>2023</v>
      </c>
      <c r="C59" s="13">
        <v>824411.5</v>
      </c>
      <c r="D59" s="13">
        <v>5071327.75</v>
      </c>
      <c r="E59" s="13">
        <v>0</v>
      </c>
      <c r="F59" s="13">
        <v>5895739.25</v>
      </c>
    </row>
    <row r="60" spans="2:6" x14ac:dyDescent="0.35">
      <c r="B60">
        <v>2024</v>
      </c>
      <c r="C60" s="13">
        <v>2804451.46</v>
      </c>
      <c r="D60" s="13">
        <v>3196178.52</v>
      </c>
      <c r="E60" s="13">
        <v>0</v>
      </c>
      <c r="F60" s="13">
        <v>6000629.9800000004</v>
      </c>
    </row>
    <row r="61" spans="2:6" x14ac:dyDescent="0.35">
      <c r="B61">
        <v>2025</v>
      </c>
      <c r="C61" s="13">
        <v>921643.39</v>
      </c>
      <c r="D61" s="13">
        <v>406605</v>
      </c>
      <c r="E61" s="13">
        <v>0</v>
      </c>
      <c r="F61" s="13">
        <v>1328248.3900000001</v>
      </c>
    </row>
    <row r="62" spans="2:6" x14ac:dyDescent="0.35">
      <c r="B62">
        <v>2026</v>
      </c>
      <c r="C62" s="13">
        <v>298628.84999999998</v>
      </c>
      <c r="D62" s="13">
        <v>149000</v>
      </c>
      <c r="E62" s="13">
        <v>0</v>
      </c>
      <c r="F62" s="13">
        <v>447628.85</v>
      </c>
    </row>
    <row r="63" spans="2:6" x14ac:dyDescent="0.35">
      <c r="B63" t="s">
        <v>1756</v>
      </c>
      <c r="C63" s="13">
        <v>20300474.770000003</v>
      </c>
      <c r="D63" s="13">
        <v>20982378.639999997</v>
      </c>
      <c r="E63" s="13">
        <v>5227040</v>
      </c>
      <c r="F63" s="13">
        <v>46509893.410000004</v>
      </c>
    </row>
    <row r="69" spans="2:6" x14ac:dyDescent="0.35">
      <c r="B69" s="5" t="s">
        <v>9</v>
      </c>
      <c r="C69" t="s">
        <v>1754</v>
      </c>
    </row>
    <row r="70" spans="2:6" x14ac:dyDescent="0.35">
      <c r="B70" s="5" t="s">
        <v>3</v>
      </c>
      <c r="C70" t="s">
        <v>1754</v>
      </c>
      <c r="F70" t="s">
        <v>1757</v>
      </c>
    </row>
    <row r="71" spans="2:6" x14ac:dyDescent="0.35">
      <c r="B71" s="5" t="s">
        <v>20</v>
      </c>
      <c r="C71" t="s">
        <v>1754</v>
      </c>
    </row>
    <row r="72" spans="2:6" x14ac:dyDescent="0.35">
      <c r="B72" s="5" t="s">
        <v>12</v>
      </c>
      <c r="C72" t="s">
        <v>1754</v>
      </c>
    </row>
    <row r="74" spans="2:6" x14ac:dyDescent="0.35">
      <c r="B74" s="5" t="s">
        <v>8</v>
      </c>
      <c r="C74" t="s">
        <v>1755</v>
      </c>
    </row>
    <row r="75" spans="2:6" x14ac:dyDescent="0.35">
      <c r="B75" t="s">
        <v>61</v>
      </c>
      <c r="C75" s="13">
        <v>20300474.770000003</v>
      </c>
    </row>
    <row r="76" spans="2:6" x14ac:dyDescent="0.35">
      <c r="B76" t="s">
        <v>35</v>
      </c>
      <c r="C76" s="13">
        <v>20982378.639999997</v>
      </c>
    </row>
    <row r="77" spans="2:6" x14ac:dyDescent="0.35">
      <c r="B77" t="s">
        <v>29</v>
      </c>
      <c r="C77" s="13">
        <v>5227040</v>
      </c>
    </row>
    <row r="78" spans="2:6" x14ac:dyDescent="0.35">
      <c r="B78" t="s">
        <v>1756</v>
      </c>
      <c r="C78" s="13">
        <v>46509893.409999996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9"/>
  <sheetViews>
    <sheetView topLeftCell="H20" workbookViewId="0">
      <selection activeCell="H20" sqref="H20"/>
    </sheetView>
  </sheetViews>
  <sheetFormatPr defaultRowHeight="14.5" x14ac:dyDescent="0.35"/>
  <cols>
    <col min="3" max="3" width="17.453125" customWidth="1"/>
    <col min="4" max="4" width="13" customWidth="1"/>
    <col min="5" max="5" width="12.81640625" customWidth="1"/>
    <col min="6" max="6" width="15" customWidth="1"/>
    <col min="7" max="7" width="14.81640625" bestFit="1" customWidth="1"/>
  </cols>
  <sheetData>
    <row r="3" spans="2:6" x14ac:dyDescent="0.35">
      <c r="B3" s="5" t="s">
        <v>17</v>
      </c>
      <c r="C3" t="s">
        <v>1754</v>
      </c>
    </row>
    <row r="5" spans="2:6" x14ac:dyDescent="0.35">
      <c r="B5" s="5" t="s">
        <v>1755</v>
      </c>
      <c r="C5" s="5" t="s">
        <v>8</v>
      </c>
    </row>
    <row r="6" spans="2:6" x14ac:dyDescent="0.35">
      <c r="B6" s="5" t="s">
        <v>3</v>
      </c>
      <c r="C6" t="s">
        <v>61</v>
      </c>
      <c r="D6" t="s">
        <v>35</v>
      </c>
      <c r="E6" t="s">
        <v>29</v>
      </c>
      <c r="F6" t="s">
        <v>1756</v>
      </c>
    </row>
    <row r="7" spans="2:6" x14ac:dyDescent="0.35">
      <c r="B7" t="s">
        <v>30</v>
      </c>
      <c r="C7" s="13">
        <v>1211066.92</v>
      </c>
      <c r="D7" s="13">
        <v>136565.72</v>
      </c>
      <c r="E7" s="13">
        <v>0</v>
      </c>
      <c r="F7" s="13">
        <v>1347632.64</v>
      </c>
    </row>
    <row r="8" spans="2:6" x14ac:dyDescent="0.35">
      <c r="B8" t="s">
        <v>68</v>
      </c>
      <c r="C8" s="13">
        <v>1158936.8700000001</v>
      </c>
      <c r="D8" s="13">
        <v>362966.79</v>
      </c>
      <c r="E8" s="13">
        <v>0</v>
      </c>
      <c r="F8" s="13">
        <v>1521903.6600000001</v>
      </c>
    </row>
    <row r="9" spans="2:6" x14ac:dyDescent="0.35">
      <c r="B9" t="s">
        <v>841</v>
      </c>
      <c r="C9" s="13">
        <v>258543.43999999997</v>
      </c>
      <c r="D9" s="13">
        <v>136894.16999999998</v>
      </c>
      <c r="E9" s="13">
        <v>0</v>
      </c>
      <c r="F9" s="13">
        <v>395437.61</v>
      </c>
    </row>
    <row r="10" spans="2:6" x14ac:dyDescent="0.35">
      <c r="B10" t="s">
        <v>113</v>
      </c>
      <c r="C10" s="13">
        <v>247823.24000000002</v>
      </c>
      <c r="D10" s="13">
        <v>296192.21999999997</v>
      </c>
      <c r="E10" s="13">
        <v>0</v>
      </c>
      <c r="F10" s="13">
        <v>544015.46</v>
      </c>
    </row>
    <row r="11" spans="2:6" x14ac:dyDescent="0.35">
      <c r="B11" t="s">
        <v>1014</v>
      </c>
      <c r="C11" s="13">
        <v>41415.17</v>
      </c>
      <c r="D11" s="13">
        <v>41632.559999999998</v>
      </c>
      <c r="E11" s="13">
        <v>0</v>
      </c>
      <c r="F11" s="13">
        <v>83047.73</v>
      </c>
    </row>
    <row r="12" spans="2:6" x14ac:dyDescent="0.35">
      <c r="B12" t="s">
        <v>1165</v>
      </c>
      <c r="C12" s="13">
        <v>3196135.39</v>
      </c>
      <c r="D12" s="13">
        <v>828648.39</v>
      </c>
      <c r="E12" s="13">
        <v>0</v>
      </c>
      <c r="F12" s="13">
        <v>4024783.7800000003</v>
      </c>
    </row>
    <row r="13" spans="2:6" x14ac:dyDescent="0.35">
      <c r="B13" t="s">
        <v>65</v>
      </c>
      <c r="C13" s="13">
        <v>4450874</v>
      </c>
      <c r="D13" s="13">
        <v>1790573</v>
      </c>
      <c r="E13" s="13">
        <v>0</v>
      </c>
      <c r="F13" s="13">
        <v>6241447</v>
      </c>
    </row>
    <row r="14" spans="2:6" x14ac:dyDescent="0.35">
      <c r="B14" t="s">
        <v>44</v>
      </c>
      <c r="C14" s="13">
        <v>1513444.51</v>
      </c>
      <c r="D14" s="13">
        <v>702498.95</v>
      </c>
      <c r="E14" s="13">
        <v>0</v>
      </c>
      <c r="F14" s="13">
        <v>2215943.46</v>
      </c>
    </row>
    <row r="15" spans="2:6" x14ac:dyDescent="0.35">
      <c r="B15" t="s">
        <v>79</v>
      </c>
      <c r="C15" s="13">
        <v>776456.36</v>
      </c>
      <c r="D15" s="13">
        <v>731560.09</v>
      </c>
      <c r="E15" s="13">
        <v>0</v>
      </c>
      <c r="F15" s="13">
        <v>1508016.45</v>
      </c>
    </row>
    <row r="16" spans="2:6" x14ac:dyDescent="0.35">
      <c r="B16" t="s">
        <v>895</v>
      </c>
      <c r="C16" s="13">
        <v>602234.26</v>
      </c>
      <c r="D16" s="13">
        <v>301595.76</v>
      </c>
      <c r="E16" s="13">
        <v>0</v>
      </c>
      <c r="F16" s="13">
        <v>903830.02</v>
      </c>
    </row>
    <row r="17" spans="2:6" x14ac:dyDescent="0.35">
      <c r="B17" t="s">
        <v>1069</v>
      </c>
      <c r="C17" s="13">
        <v>109600</v>
      </c>
      <c r="D17" s="13">
        <v>27396.71</v>
      </c>
      <c r="E17" s="13">
        <v>0</v>
      </c>
      <c r="F17" s="13">
        <v>136996.71</v>
      </c>
    </row>
    <row r="18" spans="2:6" x14ac:dyDescent="0.35">
      <c r="B18" t="s">
        <v>773</v>
      </c>
      <c r="C18" s="13">
        <v>100000</v>
      </c>
      <c r="D18" s="13">
        <v>126500</v>
      </c>
      <c r="E18" s="13">
        <v>0</v>
      </c>
      <c r="F18" s="13">
        <v>226500</v>
      </c>
    </row>
    <row r="19" spans="2:6" x14ac:dyDescent="0.35">
      <c r="B19" t="s">
        <v>825</v>
      </c>
      <c r="C19" s="13">
        <v>92500</v>
      </c>
      <c r="D19" s="13">
        <v>70000</v>
      </c>
      <c r="E19" s="13">
        <v>0</v>
      </c>
      <c r="F19" s="13">
        <v>162500</v>
      </c>
    </row>
    <row r="20" spans="2:6" x14ac:dyDescent="0.35">
      <c r="B20" t="s">
        <v>1003</v>
      </c>
      <c r="C20" s="13">
        <v>38800</v>
      </c>
      <c r="D20" s="13">
        <v>60000</v>
      </c>
      <c r="E20" s="13">
        <v>0</v>
      </c>
      <c r="F20" s="13">
        <v>98800</v>
      </c>
    </row>
    <row r="21" spans="2:6" x14ac:dyDescent="0.35">
      <c r="B21" t="s">
        <v>780</v>
      </c>
      <c r="C21" s="13">
        <v>0</v>
      </c>
      <c r="D21" s="13">
        <v>27100</v>
      </c>
      <c r="E21" s="13">
        <v>0</v>
      </c>
      <c r="F21" s="13">
        <v>27100</v>
      </c>
    </row>
    <row r="22" spans="2:6" x14ac:dyDescent="0.35">
      <c r="B22" t="s">
        <v>889</v>
      </c>
      <c r="C22" s="13">
        <v>0</v>
      </c>
      <c r="D22" s="13">
        <v>76000</v>
      </c>
      <c r="E22" s="13">
        <v>0</v>
      </c>
      <c r="F22" s="13">
        <v>76000</v>
      </c>
    </row>
    <row r="23" spans="2:6" x14ac:dyDescent="0.35">
      <c r="B23" t="s">
        <v>1060</v>
      </c>
      <c r="C23" s="13">
        <v>20000</v>
      </c>
      <c r="D23" s="13">
        <v>40000</v>
      </c>
      <c r="E23" s="13">
        <v>0</v>
      </c>
      <c r="F23" s="13">
        <v>60000</v>
      </c>
    </row>
    <row r="24" spans="2:6" x14ac:dyDescent="0.35">
      <c r="B24" t="s">
        <v>784</v>
      </c>
      <c r="C24" s="13">
        <v>25000</v>
      </c>
      <c r="D24" s="13">
        <v>20000</v>
      </c>
      <c r="E24" s="13">
        <v>0</v>
      </c>
      <c r="F24" s="13">
        <v>45000</v>
      </c>
    </row>
    <row r="25" spans="2:6" x14ac:dyDescent="0.35">
      <c r="B25" t="s">
        <v>898</v>
      </c>
      <c r="C25" s="13">
        <v>221468</v>
      </c>
      <c r="D25" s="13">
        <v>85113</v>
      </c>
      <c r="E25" s="13">
        <v>0</v>
      </c>
      <c r="F25" s="13">
        <v>306581</v>
      </c>
    </row>
    <row r="26" spans="2:6" x14ac:dyDescent="0.35">
      <c r="B26" t="s">
        <v>1076</v>
      </c>
      <c r="C26" s="13">
        <v>1500</v>
      </c>
      <c r="D26" s="13">
        <v>53876</v>
      </c>
      <c r="E26" s="13">
        <v>0</v>
      </c>
      <c r="F26" s="13">
        <v>55376</v>
      </c>
    </row>
    <row r="27" spans="2:6" x14ac:dyDescent="0.35">
      <c r="B27" t="s">
        <v>500</v>
      </c>
      <c r="C27" s="13">
        <v>220820</v>
      </c>
      <c r="D27" s="13">
        <v>446956</v>
      </c>
      <c r="E27" s="13">
        <v>0</v>
      </c>
      <c r="F27" s="13">
        <v>667776</v>
      </c>
    </row>
    <row r="28" spans="2:6" x14ac:dyDescent="0.35">
      <c r="B28" t="s">
        <v>986</v>
      </c>
      <c r="C28" s="13">
        <v>37000</v>
      </c>
      <c r="D28" s="13">
        <v>801867</v>
      </c>
      <c r="E28" s="13">
        <v>0</v>
      </c>
      <c r="F28" s="13">
        <v>838867</v>
      </c>
    </row>
    <row r="29" spans="2:6" x14ac:dyDescent="0.35">
      <c r="B29" t="s">
        <v>1073</v>
      </c>
      <c r="C29" s="13">
        <v>4000</v>
      </c>
      <c r="D29" s="13">
        <v>464051.64</v>
      </c>
      <c r="E29" s="13">
        <v>0</v>
      </c>
      <c r="F29" s="13">
        <v>468051.64</v>
      </c>
    </row>
    <row r="30" spans="2:6" x14ac:dyDescent="0.35">
      <c r="B30" t="s">
        <v>27</v>
      </c>
      <c r="C30" s="13">
        <v>0</v>
      </c>
      <c r="D30" s="13">
        <v>0</v>
      </c>
      <c r="E30" s="13">
        <v>5227040</v>
      </c>
      <c r="F30" s="13">
        <v>5227040</v>
      </c>
    </row>
    <row r="31" spans="2:6" x14ac:dyDescent="0.35">
      <c r="B31" t="s">
        <v>1242</v>
      </c>
      <c r="C31" s="13">
        <v>1123721.4100000001</v>
      </c>
      <c r="D31" s="13">
        <v>1181361.3700000001</v>
      </c>
      <c r="E31" s="13">
        <v>0</v>
      </c>
      <c r="F31" s="13">
        <v>2305082.7800000003</v>
      </c>
    </row>
    <row r="32" spans="2:6" x14ac:dyDescent="0.35">
      <c r="B32" t="s">
        <v>1337</v>
      </c>
      <c r="C32" s="13">
        <v>578165</v>
      </c>
      <c r="D32" s="13">
        <v>2192656.75</v>
      </c>
      <c r="E32" s="13">
        <v>0</v>
      </c>
      <c r="F32" s="13">
        <v>2770821.75</v>
      </c>
    </row>
    <row r="33" spans="2:6" x14ac:dyDescent="0.35">
      <c r="B33" t="s">
        <v>1391</v>
      </c>
      <c r="C33" s="13">
        <v>246246.5</v>
      </c>
      <c r="D33" s="13">
        <v>909863</v>
      </c>
      <c r="E33" s="13">
        <v>0</v>
      </c>
      <c r="F33" s="13">
        <v>1156109.5</v>
      </c>
    </row>
    <row r="34" spans="2:6" x14ac:dyDescent="0.35">
      <c r="B34" t="s">
        <v>1449</v>
      </c>
      <c r="C34" s="13">
        <v>2653071.1</v>
      </c>
      <c r="D34" s="13">
        <v>7052816</v>
      </c>
      <c r="E34" s="13">
        <v>0</v>
      </c>
      <c r="F34" s="13">
        <v>9705887.0999999996</v>
      </c>
    </row>
    <row r="35" spans="2:6" x14ac:dyDescent="0.35">
      <c r="B35" t="s">
        <v>1587</v>
      </c>
      <c r="C35" s="13">
        <v>544091.36</v>
      </c>
      <c r="D35" s="13">
        <v>209425</v>
      </c>
      <c r="E35" s="13">
        <v>0</v>
      </c>
      <c r="F35" s="13">
        <v>753516.36</v>
      </c>
    </row>
    <row r="36" spans="2:6" x14ac:dyDescent="0.35">
      <c r="B36" t="s">
        <v>1534</v>
      </c>
      <c r="C36" s="13">
        <v>144136</v>
      </c>
      <c r="D36" s="13">
        <v>1462088.52</v>
      </c>
      <c r="E36" s="13">
        <v>0</v>
      </c>
      <c r="F36" s="13">
        <v>1606224.52</v>
      </c>
    </row>
    <row r="37" spans="2:6" x14ac:dyDescent="0.35">
      <c r="B37" t="s">
        <v>1661</v>
      </c>
      <c r="C37" s="13">
        <v>384796.39</v>
      </c>
      <c r="D37" s="13">
        <v>197180</v>
      </c>
      <c r="E37" s="13">
        <v>0</v>
      </c>
      <c r="F37" s="13">
        <v>581976.39</v>
      </c>
    </row>
    <row r="38" spans="2:6" x14ac:dyDescent="0.35">
      <c r="B38" t="s">
        <v>1714</v>
      </c>
      <c r="C38" s="13">
        <v>298628.84999999998</v>
      </c>
      <c r="D38" s="13">
        <v>149000</v>
      </c>
      <c r="E38" s="13">
        <v>0</v>
      </c>
      <c r="F38" s="13">
        <v>447628.85</v>
      </c>
    </row>
    <row r="39" spans="2:6" x14ac:dyDescent="0.35">
      <c r="B39" t="s">
        <v>1756</v>
      </c>
      <c r="C39" s="13">
        <v>20300474.770000003</v>
      </c>
      <c r="D39" s="13">
        <v>20982378.639999997</v>
      </c>
      <c r="E39" s="13">
        <v>5227040</v>
      </c>
      <c r="F39" s="13">
        <v>46509893.410000004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Extra Grants</vt:lpstr>
      <vt:lpstr>Per fellow</vt:lpstr>
      <vt:lpstr>Analysis</vt:lpstr>
      <vt:lpstr>Year</vt:lpstr>
      <vt:lpstr>Period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2026-07-31T07:35:18Z</dcterms:modified>
  <cp:category/>
  <cp:contentStatus/>
</cp:coreProperties>
</file>
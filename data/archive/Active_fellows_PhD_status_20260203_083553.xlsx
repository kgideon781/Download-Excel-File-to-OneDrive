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75" documentId="13_ncr:1_{503F577C-3F40-4625-BC6E-453B42AAE264}" xr6:coauthVersionLast="47" xr6:coauthVersionMax="47" xr10:uidLastSave="{E847DF14-1E7C-480A-8330-32107639CBBB}"/>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660" r:id="rId20"/>
    <pivotCache cacheId="2661" r:id="rId21"/>
    <pivotCache cacheId="2662" r:id="rId22"/>
    <pivotCache cacheId="2663"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<sst xmlns="http://schemas.openxmlformats.org/spreadsheetml/2006/main" count="2843" uniqueCount="947">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</sst>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 uri="{147F2762-F138-4A5C-976F-8EAC2B608ADB}">
              <a16:predDERef xmlns:a16="http://schemas.microsoft.com/office/drawing/2014/main" pre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26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7">
      <pivotArea outline="0" fieldPosition="0">
        <references count="1">
          <reference field="4294967294" count="1">
            <x v="1"/>
          </reference>
        </references>
      </pivotArea>
    </format>
    <format dxfId="98">
      <pivotArea outline="0" collapsedLevelsAreSubtotals="1" fieldPosition="0"/>
    </format>
    <format dxfId="99">
      <pivotArea field="8" type="button" dataOnly="0" labelOnly="1" outline="0" axis="axisRow" fieldPosition="0"/>
    </format>
    <format dxfId="100">
      <pivotArea dataOnly="0" labelOnly="1" outline="0" fieldPosition="0">
        <references count="1">
          <reference field="4294967294" count="5">
            <x v="0"/>
            <x v="1"/>
            <x v="2"/>
            <x v="3"/>
            <x v="4"/>
          </reference>
        </references>
      </pivotArea>
    </format>
    <format dxfId="101">
      <pivotArea field="8" type="button" dataOnly="0" labelOnly="1" outline="0" axis="axisRow" fieldPosition="0"/>
    </format>
    <format dxfId="102">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6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4">
      <pivotArea outline="0" collapsedLevelsAreSubtotals="1" fieldPosition="0"/>
    </format>
    <format dxfId="95">
      <pivotArea dataOnly="0" labelOnly="1" grandRow="1" outline="0" fieldPosition="0"/>
    </format>
    <format dxfId="96">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6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66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66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6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6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6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6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266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266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266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6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266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66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66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6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9">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66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1">
      <pivotArea outline="0" collapsedLevelsAreSubtotals="1" fieldPosition="0"/>
    </format>
    <format dxfId="82">
      <pivotArea outline="0" fieldPosition="0">
        <references count="1">
          <reference field="4294967294" count="1">
            <x v="0"/>
          </reference>
        </references>
      </pivotArea>
    </format>
    <format dxfId="83">
      <pivotArea outline="0" fieldPosition="0">
        <references count="1">
          <reference field="4294967294" count="1">
            <x v="1"/>
          </reference>
        </references>
      </pivotArea>
    </format>
    <format dxfId="84">
      <pivotArea outline="0" fieldPosition="0">
        <references count="3">
          <reference field="4294967294" count="1" selected="0">
            <x v="1"/>
          </reference>
          <reference field="8" count="0" selected="0"/>
          <reference field="19" count="1" selected="0">
            <x v="0"/>
          </reference>
        </references>
      </pivotArea>
    </format>
    <format dxfId="85">
      <pivotArea outline="0" fieldPosition="0">
        <references count="3">
          <reference field="4294967294" count="1" selected="0">
            <x v="1"/>
          </reference>
          <reference field="8" count="0" selected="0"/>
          <reference field="19" count="1" selected="0">
            <x v="1"/>
          </reference>
        </references>
      </pivotArea>
    </format>
    <format dxfId="86">
      <pivotArea field="19" grandCol="1" outline="0" axis="axisCol" fieldPosition="0">
        <references count="1">
          <reference field="4294967294" count="1" selected="0">
            <x v="1"/>
          </reference>
        </references>
      </pivotArea>
    </format>
    <format dxfId="87">
      <pivotArea field="19" grandRow="1" outline="0" axis="axisCol" fieldPosition="0">
        <references count="2">
          <reference field="4294967294" count="1" selected="0">
            <x v="1"/>
          </reference>
          <reference field="19" count="1" selected="0">
            <x v="0"/>
          </reference>
        </references>
      </pivotArea>
    </format>
    <format dxfId="88">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66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5">
      <pivotArea outline="0" fieldPosition="0">
        <references count="3">
          <reference field="4294967294" count="1" selected="0">
            <x v="1"/>
          </reference>
          <reference field="8" count="1" selected="0">
            <x v="0"/>
          </reference>
          <reference field="21" count="1" selected="0">
            <x v="0"/>
          </reference>
        </references>
      </pivotArea>
    </format>
    <format dxfId="56">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7">
      <pivotArea field="21" grandRow="1" outline="0" axis="axisCol" fieldPosition="0">
        <references count="2">
          <reference field="4294967294" count="1" selected="0">
            <x v="1"/>
          </reference>
          <reference field="21" count="1" selected="0">
            <x v="0"/>
          </reference>
        </references>
      </pivotArea>
    </format>
    <format dxfId="58">
      <pivotArea outline="0" fieldPosition="0">
        <references count="2">
          <reference field="4294967294" count="1" selected="0">
            <x v="1"/>
          </reference>
          <reference field="21" count="1" selected="0">
            <x v="1"/>
          </reference>
        </references>
      </pivotArea>
    </format>
    <format dxfId="59">
      <pivotArea outline="0" fieldPosition="0">
        <references count="2">
          <reference field="4294967294" count="1" selected="0">
            <x v="1"/>
          </reference>
          <reference field="21" count="1" selected="0">
            <x v="2"/>
          </reference>
        </references>
      </pivotArea>
    </format>
    <format dxfId="60">
      <pivotArea outline="0" fieldPosition="0">
        <references count="2">
          <reference field="4294967294" count="1" selected="0">
            <x v="1"/>
          </reference>
          <reference field="21" count="1" selected="0">
            <x v="3"/>
          </reference>
        </references>
      </pivotArea>
    </format>
    <format dxfId="61">
      <pivotArea field="21" grandCol="1" outline="0" axis="axisCol" fieldPosition="0">
        <references count="1">
          <reference field="4294967294" count="1" selected="0">
            <x v="1"/>
          </reference>
        </references>
      </pivotArea>
    </format>
    <format dxfId="62">
      <pivotArea outline="0" fieldPosition="0">
        <references count="2">
          <reference field="4294967294" count="2" selected="0">
            <x v="0"/>
            <x v="1"/>
          </reference>
          <reference field="21" count="1" selected="0">
            <x v="0"/>
          </reference>
        </references>
      </pivotArea>
    </format>
    <format dxfId="63">
      <pivotArea dataOnly="0" labelOnly="1" outline="0" fieldPosition="0">
        <references count="1">
          <reference field="21" count="1">
            <x v="0"/>
          </reference>
        </references>
      </pivotArea>
    </format>
    <format dxfId="64">
      <pivotArea dataOnly="0" labelOnly="1" outline="0" fieldPosition="0">
        <references count="2">
          <reference field="4294967294" count="2">
            <x v="0"/>
            <x v="1"/>
          </reference>
          <reference field="21" count="1" selected="0">
            <x v="0"/>
          </reference>
        </references>
      </pivotArea>
    </format>
    <format dxfId="65">
      <pivotArea outline="0" fieldPosition="0">
        <references count="2">
          <reference field="4294967294" count="2" selected="0">
            <x v="0"/>
            <x v="1"/>
          </reference>
          <reference field="21" count="1" selected="0">
            <x v="1"/>
          </reference>
        </references>
      </pivotArea>
    </format>
    <format dxfId="66">
      <pivotArea dataOnly="0" labelOnly="1" outline="0" fieldPosition="0">
        <references count="1">
          <reference field="21" count="1">
            <x v="1"/>
          </reference>
        </references>
      </pivotArea>
    </format>
    <format dxfId="67">
      <pivotArea dataOnly="0" labelOnly="1" outline="0" fieldPosition="0">
        <references count="2">
          <reference field="4294967294" count="2">
            <x v="0"/>
            <x v="1"/>
          </reference>
          <reference field="21" count="1" selected="0">
            <x v="1"/>
          </reference>
        </references>
      </pivotArea>
    </format>
    <format dxfId="68">
      <pivotArea outline="0" fieldPosition="0">
        <references count="2">
          <reference field="4294967294" count="2" selected="0">
            <x v="0"/>
            <x v="1"/>
          </reference>
          <reference field="21" count="1" selected="0">
            <x v="2"/>
          </reference>
        </references>
      </pivotArea>
    </format>
    <format dxfId="69">
      <pivotArea dataOnly="0" labelOnly="1" outline="0" fieldPosition="0">
        <references count="1">
          <reference field="21" count="1">
            <x v="2"/>
          </reference>
        </references>
      </pivotArea>
    </format>
    <format dxfId="70">
      <pivotArea dataOnly="0" labelOnly="1" outline="0" fieldPosition="0">
        <references count="2">
          <reference field="4294967294" count="2">
            <x v="0"/>
            <x v="1"/>
          </reference>
          <reference field="21" count="1" selected="0">
            <x v="2"/>
          </reference>
        </references>
      </pivotArea>
    </format>
    <format dxfId="71">
      <pivotArea outline="0" fieldPosition="0">
        <references count="2">
          <reference field="4294967294" count="2" selected="0">
            <x v="0"/>
            <x v="1"/>
          </reference>
          <reference field="21" count="1" selected="0">
            <x v="3"/>
          </reference>
        </references>
      </pivotArea>
    </format>
    <format dxfId="72">
      <pivotArea dataOnly="0" labelOnly="1" outline="0" fieldPosition="0">
        <references count="1">
          <reference field="21" count="1">
            <x v="3"/>
          </reference>
        </references>
      </pivotArea>
    </format>
    <format dxfId="73">
      <pivotArea dataOnly="0" labelOnly="1" outline="0" fieldPosition="0">
        <references count="2">
          <reference field="4294967294" count="2">
            <x v="0"/>
            <x v="1"/>
          </reference>
          <reference field="21" count="1" selected="0">
            <x v="3"/>
          </reference>
        </references>
      </pivotArea>
    </format>
    <format dxfId="74">
      <pivotArea field="21" grandCol="1" outline="0" axis="axisCol" fieldPosition="0">
        <references count="1">
          <reference field="4294967294" count="2" selected="0">
            <x v="0"/>
            <x v="1"/>
          </reference>
        </references>
      </pivotArea>
    </format>
    <format dxfId="75">
      <pivotArea field="21" dataOnly="0" labelOnly="1" grandCol="1" outline="0" axis="axisCol" fieldPosition="0">
        <references count="1">
          <reference field="4294967294" count="1" selected="0">
            <x v="0"/>
          </reference>
        </references>
      </pivotArea>
    </format>
    <format dxfId="76">
      <pivotArea field="21" dataOnly="0" labelOnly="1" grandCol="1" outline="0" axis="axisCol" fieldPosition="0">
        <references count="1">
          <reference field="4294967294" count="1" selected="0">
            <x v="1"/>
          </reference>
        </references>
      </pivotArea>
    </format>
    <format dxfId="77">
      <pivotArea type="origin" dataOnly="0" labelOnly="1" outline="0" offset="A2" fieldPosition="0"/>
    </format>
    <format dxfId="78">
      <pivotArea field="8" type="button" dataOnly="0" labelOnly="1" outline="0" axis="axisRow" fieldPosition="0"/>
    </format>
    <format dxfId="79">
      <pivotArea dataOnly="0" labelOnly="1" outline="0" fieldPosition="0">
        <references count="1">
          <reference field="8" count="0"/>
        </references>
      </pivotArea>
    </format>
    <format dxfId="80">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6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26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66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6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66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266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66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26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38">
      <pivotArea field="6" type="button" dataOnly="0" labelOnly="1" outline="0" axis="axisRow"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outline="0" fieldPosition="0">
        <references count="1">
          <reference field="4294967294" count="1">
            <x v="0"/>
          </reference>
        </references>
      </pivotArea>
    </format>
    <format dxfId="47">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6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9">
      <pivotArea field="6" type="button" dataOnly="0" labelOnly="1" outline="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6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24">
      <pivotArea field="6" type="button" dataOnly="0" labelOnly="1" outline="0"/>
    </format>
    <format dxfId="25">
      <pivotArea dataOnly="0" labelOnly="1" grandCol="1" outline="0" fieldPosition="0"/>
    </format>
    <format dxfId="26">
      <pivotArea dataOnly="0" labelOnly="1" grandCol="1" outline="0" fieldPosition="0"/>
    </format>
    <format dxfId="27">
      <pivotArea dataOnly="0" labelOnly="1" grandCol="1" outline="0" fieldPosition="0"/>
    </format>
    <format dxfId="2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6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6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6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6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661"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18"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127" activePane="bottomLeft" state="frozen"/>
      <selection pane="bottomLeft" activeCell="R1" sqref="R1:R1048576"/>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hidden="1" customWidth="1"/>
    <col min="10" max="10" width="29.42578125" hidden="1" customWidth="1"/>
    <col min="11" max="11" width="17.5703125" style="1" hidden="1" customWidth="1"/>
    <col min="12" max="13" width="16.42578125" style="1" hidden="1" customWidth="1"/>
    <col min="14" max="14" width="19.7109375" style="1" hidden="1" customWidth="1"/>
    <col min="15" max="16" width="14.140625" style="1" hidden="1" customWidth="1"/>
    <col min="17" max="17" width="14.140625" hidden="1" customWidth="1"/>
    <col min="18" max="18" width="15.85546875" hidden="1"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46056</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46056</v>
      </c>
      <c r="N3" s="14"/>
      <c r="O3" s="43"/>
      <c r="P3" s="14"/>
      <c r="Q3" s="14"/>
      <c r="R3" s="12">
        <f t="shared" si="1"/>
        <v>54</v>
      </c>
      <c r="S3" s="25">
        <v>45163</v>
      </c>
      <c r="T3" s="12" t="s">
        <v>38</v>
      </c>
      <c r="U3" s="60">
        <f t="shared" si="2"/>
        <v>54</v>
      </c>
      <c r="V3" s="53" t="str">
        <f t="shared" si="3"/>
        <v>Completed:Delayed</v>
      </c>
      <c r="W3" s="56">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46056</v>
      </c>
      <c r="N4" s="14"/>
      <c r="O4" s="43"/>
      <c r="P4" s="14"/>
      <c r="Q4" s="14"/>
      <c r="R4" s="12">
        <f t="shared" si="1"/>
        <v>58</v>
      </c>
      <c r="S4" s="25">
        <v>45280</v>
      </c>
      <c r="T4" s="12" t="s">
        <v>38</v>
      </c>
      <c r="U4" s="60">
        <f t="shared" si="2"/>
        <v>58</v>
      </c>
      <c r="V4" s="53" t="str">
        <f t="shared" si="3"/>
        <v>Completed:Delayed</v>
      </c>
      <c r="W4" s="56">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46056</v>
      </c>
      <c r="N5" s="13"/>
      <c r="O5" s="13"/>
      <c r="P5" s="13"/>
      <c r="Q5" s="12"/>
      <c r="R5" s="12">
        <f t="shared" si="1"/>
        <v>93</v>
      </c>
      <c r="S5" s="25">
        <v>43787</v>
      </c>
      <c r="T5" s="12" t="s">
        <v>38</v>
      </c>
      <c r="U5" s="60">
        <f t="shared" si="2"/>
        <v>93</v>
      </c>
      <c r="V5" s="53" t="str">
        <f t="shared" si="3"/>
        <v>Completed:Delayed</v>
      </c>
      <c r="W5" s="56">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46056</v>
      </c>
      <c r="N6" s="13"/>
      <c r="O6" s="13"/>
      <c r="P6" s="13"/>
      <c r="Q6" s="12"/>
      <c r="R6" s="12">
        <f t="shared" si="1"/>
        <v>34</v>
      </c>
      <c r="S6" s="25">
        <v>43813</v>
      </c>
      <c r="T6" s="12" t="s">
        <v>38</v>
      </c>
      <c r="U6" s="60">
        <f t="shared" si="2"/>
        <v>34</v>
      </c>
      <c r="V6" s="53" t="str">
        <f t="shared" si="3"/>
        <v xml:space="preserve"> Completed:On time</v>
      </c>
      <c r="W6" s="56">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46056</v>
      </c>
      <c r="N7" s="14">
        <f ca="1">DATEDIF(L7,M7,"M") +1</f>
        <v>168</v>
      </c>
      <c r="O7" s="43"/>
      <c r="P7" s="14"/>
      <c r="Q7" s="14"/>
      <c r="R7" s="12">
        <f t="shared" ca="1" si="1"/>
        <v>168</v>
      </c>
      <c r="S7" s="25">
        <v>45183</v>
      </c>
      <c r="T7" s="12" t="s">
        <v>38</v>
      </c>
      <c r="U7" s="60">
        <f t="shared" si="2"/>
        <v>139</v>
      </c>
      <c r="V7" s="53" t="str">
        <f t="shared" si="3"/>
        <v>Completed:Delayed</v>
      </c>
      <c r="W7" s="56">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46056</v>
      </c>
      <c r="N8" s="13"/>
      <c r="O8" s="13"/>
      <c r="P8" s="13"/>
      <c r="Q8" s="12"/>
      <c r="R8" s="12">
        <f t="shared" si="1"/>
        <v>56</v>
      </c>
      <c r="S8" s="25">
        <v>43038</v>
      </c>
      <c r="T8" s="12" t="s">
        <v>38</v>
      </c>
      <c r="U8" s="60">
        <f t="shared" si="2"/>
        <v>56</v>
      </c>
      <c r="V8" s="53" t="str">
        <f t="shared" si="3"/>
        <v>Completed:Delayed</v>
      </c>
      <c r="W8" s="56">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46056</v>
      </c>
      <c r="N9" s="14"/>
      <c r="O9" s="43"/>
      <c r="P9" s="14"/>
      <c r="Q9" s="14"/>
      <c r="R9" s="12">
        <f t="shared" si="1"/>
        <v>51</v>
      </c>
      <c r="S9" s="25">
        <v>44682</v>
      </c>
      <c r="T9" s="12" t="s">
        <v>38</v>
      </c>
      <c r="U9" s="60">
        <f t="shared" si="2"/>
        <v>51</v>
      </c>
      <c r="V9" s="53" t="str">
        <f t="shared" si="3"/>
        <v xml:space="preserve"> Completed:On time</v>
      </c>
      <c r="W9" s="56">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46056</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hidden="1"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46056</v>
      </c>
      <c r="N11" s="13"/>
      <c r="O11" s="13"/>
      <c r="P11" s="13"/>
      <c r="Q11" s="12"/>
      <c r="R11" s="12">
        <f t="shared" si="1"/>
        <v>52</v>
      </c>
      <c r="S11" s="25">
        <v>42916</v>
      </c>
      <c r="T11" s="12" t="s">
        <v>38</v>
      </c>
      <c r="U11" s="60">
        <f t="shared" si="2"/>
        <v>52</v>
      </c>
      <c r="V11" s="53" t="str">
        <f t="shared" si="3"/>
        <v>Completed:Delayed</v>
      </c>
      <c r="W11" s="56">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46056</v>
      </c>
      <c r="N12" s="13"/>
      <c r="O12" s="13"/>
      <c r="P12" s="13"/>
      <c r="Q12" s="12"/>
      <c r="R12" s="12">
        <f t="shared" si="1"/>
        <v>69</v>
      </c>
      <c r="S12" s="25">
        <v>43799</v>
      </c>
      <c r="T12" s="12" t="s">
        <v>38</v>
      </c>
      <c r="U12" s="60">
        <f t="shared" si="2"/>
        <v>69</v>
      </c>
      <c r="V12" s="53" t="str">
        <f t="shared" si="3"/>
        <v>Completed:Delayed</v>
      </c>
      <c r="W12" s="56">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46056</v>
      </c>
      <c r="N13" s="14"/>
      <c r="O13" s="25"/>
      <c r="P13" s="25"/>
      <c r="Q13" s="14"/>
      <c r="R13" s="12">
        <f t="shared" si="1"/>
        <v>59</v>
      </c>
      <c r="S13" s="25">
        <v>45313</v>
      </c>
      <c r="T13" s="12" t="s">
        <v>38</v>
      </c>
      <c r="U13" s="60">
        <f t="shared" si="2"/>
        <v>59</v>
      </c>
      <c r="V13" s="53" t="str">
        <f t="shared" si="3"/>
        <v>Completed:Delayed</v>
      </c>
      <c r="W13" s="56">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46056</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hidden="1"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46056</v>
      </c>
      <c r="N15" s="14">
        <f ca="1">DATEDIF(L15,M15,"M") +1</f>
        <v>72</v>
      </c>
      <c r="O15" s="43"/>
      <c r="P15" s="14"/>
      <c r="Q15" s="14"/>
      <c r="R15" s="12">
        <f t="shared" ca="1" si="1"/>
        <v>72</v>
      </c>
      <c r="S15" s="25">
        <v>45538</v>
      </c>
      <c r="T15" s="12" t="s">
        <v>38</v>
      </c>
      <c r="U15" s="60">
        <f t="shared" si="2"/>
        <v>55</v>
      </c>
      <c r="V15" s="53" t="str">
        <f t="shared" si="3"/>
        <v>Completed:Delayed</v>
      </c>
      <c r="W15" s="56">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46056</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46056</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46056</v>
      </c>
      <c r="N18" s="13"/>
      <c r="O18" s="13"/>
      <c r="P18" s="13"/>
      <c r="Q18" s="12"/>
      <c r="R18" s="12">
        <f t="shared" si="1"/>
        <v>82</v>
      </c>
      <c r="S18" s="25">
        <v>43819</v>
      </c>
      <c r="T18" s="12" t="s">
        <v>38</v>
      </c>
      <c r="U18" s="60">
        <f t="shared" si="2"/>
        <v>82</v>
      </c>
      <c r="V18" s="53" t="str">
        <f t="shared" si="3"/>
        <v>Completed:Delayed</v>
      </c>
      <c r="W18" s="56">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46056</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46056</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46056</v>
      </c>
      <c r="N21" s="14"/>
      <c r="O21" s="43"/>
      <c r="P21" s="14"/>
      <c r="Q21" s="14"/>
      <c r="R21" s="12">
        <f t="shared" si="1"/>
        <v>58</v>
      </c>
      <c r="S21" s="25">
        <v>44900</v>
      </c>
      <c r="T21" s="12" t="s">
        <v>38</v>
      </c>
      <c r="U21" s="60">
        <f t="shared" si="2"/>
        <v>58</v>
      </c>
      <c r="V21" s="53" t="str">
        <f t="shared" si="3"/>
        <v>Completed:Delayed</v>
      </c>
      <c r="W21" s="56">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46056</v>
      </c>
      <c r="N22" s="13"/>
      <c r="O22" s="13"/>
      <c r="P22" s="13"/>
      <c r="Q22" s="12"/>
      <c r="R22" s="12">
        <f t="shared" si="1"/>
        <v>57</v>
      </c>
      <c r="S22" s="25">
        <v>42704</v>
      </c>
      <c r="T22" s="12" t="s">
        <v>38</v>
      </c>
      <c r="U22" s="60">
        <f t="shared" si="2"/>
        <v>57</v>
      </c>
      <c r="V22" s="53" t="str">
        <f t="shared" si="3"/>
        <v>Completed:Delayed</v>
      </c>
      <c r="W22" s="56">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46056</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46056</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46056</v>
      </c>
      <c r="N25" s="14"/>
      <c r="O25" s="43"/>
      <c r="P25" s="14"/>
      <c r="Q25" s="14"/>
      <c r="R25" s="12">
        <f t="shared" si="1"/>
        <v>67</v>
      </c>
      <c r="S25" s="25">
        <v>44461</v>
      </c>
      <c r="T25" s="12" t="s">
        <v>38</v>
      </c>
      <c r="U25" s="60">
        <f t="shared" si="2"/>
        <v>67</v>
      </c>
      <c r="V25" s="53" t="str">
        <f t="shared" si="3"/>
        <v>Completed:Delayed</v>
      </c>
      <c r="W25" s="56">
        <f t="shared" si="4"/>
        <v>55</v>
      </c>
    </row>
    <row r="26" spans="1:25" ht="25.35" hidden="1"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46056</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46056</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46056</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46056</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hidden="1"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46056</v>
      </c>
      <c r="N30" s="14">
        <f ca="1">DATEDIF(L30,M30,"M") +1</f>
        <v>168</v>
      </c>
      <c r="O30" s="43"/>
      <c r="P30" s="14"/>
      <c r="Q30" s="14"/>
      <c r="R30" s="12">
        <f t="shared" ca="1" si="1"/>
        <v>168</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46056</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46056</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46056</v>
      </c>
      <c r="N33" s="14"/>
      <c r="O33" s="43"/>
      <c r="P33" s="14"/>
      <c r="Q33" s="14"/>
      <c r="R33" s="12">
        <f t="shared" si="1"/>
        <v>91</v>
      </c>
      <c r="S33" s="26">
        <v>44442</v>
      </c>
      <c r="T33" s="12" t="s">
        <v>38</v>
      </c>
      <c r="U33" s="60">
        <f t="shared" si="5"/>
        <v>91</v>
      </c>
      <c r="V33" s="53" t="str">
        <f t="shared" si="6"/>
        <v>Completed:Delayed</v>
      </c>
      <c r="W33" s="56">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46056</v>
      </c>
      <c r="N34" s="14"/>
      <c r="O34" s="43"/>
      <c r="P34" s="14"/>
      <c r="Q34" s="14"/>
      <c r="R34" s="12">
        <f t="shared" si="1"/>
        <v>55</v>
      </c>
      <c r="S34" s="25">
        <v>44468</v>
      </c>
      <c r="T34" s="12" t="s">
        <v>38</v>
      </c>
      <c r="U34" s="60">
        <f t="shared" si="5"/>
        <v>55</v>
      </c>
      <c r="V34" s="53" t="str">
        <f t="shared" si="6"/>
        <v>Completed:Delayed</v>
      </c>
      <c r="W34" s="56">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46056</v>
      </c>
      <c r="N35" s="13"/>
      <c r="O35" s="13"/>
      <c r="P35" s="13"/>
      <c r="Q35" s="12"/>
      <c r="R35" s="12">
        <f t="shared" si="1"/>
        <v>58</v>
      </c>
      <c r="S35" s="25">
        <v>43830</v>
      </c>
      <c r="T35" s="12" t="s">
        <v>38</v>
      </c>
      <c r="U35" s="60">
        <f t="shared" si="5"/>
        <v>58</v>
      </c>
      <c r="V35" s="53" t="str">
        <f t="shared" si="6"/>
        <v>Completed:Delayed</v>
      </c>
      <c r="W35" s="56">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46056</v>
      </c>
      <c r="N36" s="14"/>
      <c r="O36" s="43"/>
      <c r="P36" s="14"/>
      <c r="Q36" s="14"/>
      <c r="R36" s="12">
        <f t="shared" si="1"/>
        <v>82</v>
      </c>
      <c r="S36" s="25">
        <v>45273</v>
      </c>
      <c r="T36" s="12" t="s">
        <v>38</v>
      </c>
      <c r="U36" s="60">
        <f t="shared" si="5"/>
        <v>82</v>
      </c>
      <c r="V36" s="53" t="str">
        <f t="shared" si="6"/>
        <v>Completed:Delayed</v>
      </c>
      <c r="W36" s="56">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46056</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46056</v>
      </c>
      <c r="N38" s="13"/>
      <c r="O38" s="13"/>
      <c r="P38" s="13"/>
      <c r="Q38" s="12"/>
      <c r="R38" s="12">
        <f t="shared" si="1"/>
        <v>57</v>
      </c>
      <c r="S38" s="25">
        <v>43069</v>
      </c>
      <c r="T38" s="12" t="s">
        <v>38</v>
      </c>
      <c r="U38" s="60">
        <f t="shared" si="8"/>
        <v>57</v>
      </c>
      <c r="V38" s="53" t="str">
        <f t="shared" si="9"/>
        <v>Completed:Delayed</v>
      </c>
      <c r="W38" s="56">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46056</v>
      </c>
      <c r="N39" s="14"/>
      <c r="O39" s="43"/>
      <c r="P39" s="14"/>
      <c r="Q39" s="14"/>
      <c r="R39" s="12">
        <f t="shared" si="1"/>
        <v>55</v>
      </c>
      <c r="S39" s="25">
        <v>45174</v>
      </c>
      <c r="T39" s="12" t="s">
        <v>38</v>
      </c>
      <c r="U39" s="60">
        <f t="shared" si="8"/>
        <v>55</v>
      </c>
      <c r="V39" s="53" t="str">
        <f t="shared" si="9"/>
        <v>Completed:Delayed</v>
      </c>
      <c r="W39" s="56">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46056</v>
      </c>
      <c r="N40" s="13"/>
      <c r="O40" s="13"/>
      <c r="P40" s="13"/>
      <c r="Q40" s="12"/>
      <c r="R40" s="12">
        <f t="shared" si="1"/>
        <v>52</v>
      </c>
      <c r="S40" s="25">
        <v>43646</v>
      </c>
      <c r="T40" s="12" t="s">
        <v>38</v>
      </c>
      <c r="U40" s="60">
        <f t="shared" si="8"/>
        <v>52</v>
      </c>
      <c r="V40" s="53" t="str">
        <f t="shared" si="9"/>
        <v>Completed:Delayed</v>
      </c>
      <c r="W40" s="56">
        <f t="shared" si="10"/>
        <v>42</v>
      </c>
    </row>
    <row r="41" spans="1:25" ht="25.35" hidden="1"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46056</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46056</v>
      </c>
      <c r="N42" s="14"/>
      <c r="O42" s="43"/>
      <c r="P42" s="14"/>
      <c r="Q42" s="14"/>
      <c r="R42" s="12">
        <f t="shared" si="1"/>
        <v>89</v>
      </c>
      <c r="S42" s="25">
        <v>44392</v>
      </c>
      <c r="T42" s="12" t="s">
        <v>38</v>
      </c>
      <c r="U42" s="60">
        <f t="shared" si="8"/>
        <v>89</v>
      </c>
      <c r="V42" s="53" t="str">
        <f t="shared" si="9"/>
        <v>Completed:Delayed</v>
      </c>
      <c r="W42" s="56">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46056</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46056</v>
      </c>
      <c r="N44" s="13"/>
      <c r="O44" s="13"/>
      <c r="P44" s="13"/>
      <c r="Q44" s="12"/>
      <c r="R44" s="12">
        <f t="shared" si="1"/>
        <v>57</v>
      </c>
      <c r="S44" s="25">
        <v>42704</v>
      </c>
      <c r="T44" s="12" t="s">
        <v>38</v>
      </c>
      <c r="U44" s="60">
        <f t="shared" si="8"/>
        <v>57</v>
      </c>
      <c r="V44" s="53" t="str">
        <f t="shared" si="9"/>
        <v>Completed:Delayed</v>
      </c>
      <c r="W44" s="56">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46056</v>
      </c>
      <c r="N45" s="14"/>
      <c r="O45" s="43"/>
      <c r="P45" s="14"/>
      <c r="Q45" s="14"/>
      <c r="R45" s="12">
        <f t="shared" si="1"/>
        <v>101</v>
      </c>
      <c r="S45" s="25">
        <v>44746</v>
      </c>
      <c r="T45" s="12" t="s">
        <v>38</v>
      </c>
      <c r="U45" s="60">
        <f t="shared" si="8"/>
        <v>101</v>
      </c>
      <c r="V45" s="53" t="str">
        <f t="shared" si="9"/>
        <v>Completed:Delayed</v>
      </c>
      <c r="W45" s="56">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46056</v>
      </c>
      <c r="N46" s="14">
        <f ca="1">DATEDIF(L46,M46,"M") +1</f>
        <v>156</v>
      </c>
      <c r="O46" s="43"/>
      <c r="P46" s="14"/>
      <c r="Q46" s="14"/>
      <c r="R46" s="12">
        <f t="shared" ca="1" si="1"/>
        <v>156</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46056</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hidden="1"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46056</v>
      </c>
      <c r="N48" s="14">
        <f ca="1">DATEDIF(L48,M48,"M") +1</f>
        <v>156</v>
      </c>
      <c r="O48" s="43"/>
      <c r="P48" s="14"/>
      <c r="Q48" s="14"/>
      <c r="R48" s="12">
        <f t="shared" ca="1" si="1"/>
        <v>156</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46056</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46056</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46056</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46056</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46056</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46056</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46056</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46056</v>
      </c>
      <c r="N56" s="13"/>
      <c r="O56" s="13"/>
      <c r="P56" s="13"/>
      <c r="Q56" s="12"/>
      <c r="R56" s="12">
        <f t="shared" si="1"/>
        <v>58</v>
      </c>
      <c r="S56" s="25">
        <v>42735</v>
      </c>
      <c r="T56" s="12" t="s">
        <v>38</v>
      </c>
      <c r="U56" s="60">
        <f t="shared" si="11"/>
        <v>58</v>
      </c>
      <c r="V56" s="53" t="str">
        <f t="shared" si="12"/>
        <v>Completed:Delayed</v>
      </c>
      <c r="W56" s="56">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46056</v>
      </c>
      <c r="N57" s="14">
        <f ca="1">DATEDIF(L57,M57,"M") +1</f>
        <v>156</v>
      </c>
      <c r="O57" s="43"/>
      <c r="P57" s="14"/>
      <c r="Q57" s="14"/>
      <c r="R57" s="12">
        <f t="shared" ca="1" si="1"/>
        <v>156</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46056</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46056</v>
      </c>
      <c r="N59" s="14">
        <f ca="1">DATEDIF(L59,M59,"M") +1</f>
        <v>96</v>
      </c>
      <c r="O59" s="43"/>
      <c r="P59" s="14"/>
      <c r="Q59" s="14"/>
      <c r="R59" s="12">
        <f t="shared" ca="1" si="1"/>
        <v>96</v>
      </c>
      <c r="S59" s="25">
        <v>45247</v>
      </c>
      <c r="T59" s="12" t="s">
        <v>38</v>
      </c>
      <c r="U59" s="60">
        <f t="shared" si="14"/>
        <v>69</v>
      </c>
      <c r="V59" s="53" t="str">
        <f t="shared" si="15"/>
        <v>Completed:Delayed</v>
      </c>
      <c r="W59" s="56">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46056</v>
      </c>
      <c r="N60" s="14"/>
      <c r="O60" s="43"/>
      <c r="P60" s="14"/>
      <c r="Q60" s="14"/>
      <c r="R60" s="12">
        <f t="shared" si="1"/>
        <v>69</v>
      </c>
      <c r="S60" s="25">
        <v>44879</v>
      </c>
      <c r="T60" s="12" t="s">
        <v>38</v>
      </c>
      <c r="U60" s="60">
        <f t="shared" si="14"/>
        <v>69</v>
      </c>
      <c r="V60" s="53" t="str">
        <f t="shared" si="15"/>
        <v>Completed:Delayed</v>
      </c>
      <c r="W60" s="56">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46056</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46056</v>
      </c>
      <c r="N62" s="14"/>
      <c r="O62" s="43"/>
      <c r="P62" s="14"/>
      <c r="Q62" s="14"/>
      <c r="R62" s="12">
        <f t="shared" si="1"/>
        <v>93</v>
      </c>
      <c r="S62" s="25">
        <v>44508</v>
      </c>
      <c r="T62" s="12" t="s">
        <v>38</v>
      </c>
      <c r="U62" s="60">
        <f t="shared" si="14"/>
        <v>93</v>
      </c>
      <c r="V62" s="53" t="str">
        <f t="shared" si="15"/>
        <v>Completed:Delayed</v>
      </c>
      <c r="W62" s="56">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46056</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46056</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46056</v>
      </c>
      <c r="N65" s="13"/>
      <c r="O65" s="13"/>
      <c r="P65" s="13"/>
      <c r="Q65" s="12"/>
      <c r="R65" s="12">
        <f t="shared" si="18"/>
        <v>59</v>
      </c>
      <c r="S65" s="25">
        <v>43832</v>
      </c>
      <c r="T65" s="12" t="s">
        <v>38</v>
      </c>
      <c r="U65" s="60">
        <f t="shared" si="14"/>
        <v>59</v>
      </c>
      <c r="V65" s="53" t="str">
        <f t="shared" si="15"/>
        <v>Completed:Delayed</v>
      </c>
      <c r="W65" s="56">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46056</v>
      </c>
      <c r="N66" s="14">
        <f ca="1">DATEDIF(L66,M66,"M") +1</f>
        <v>96</v>
      </c>
      <c r="O66" s="43"/>
      <c r="P66" s="14"/>
      <c r="Q66" s="14"/>
      <c r="R66" s="12">
        <f t="shared" ca="1" si="18"/>
        <v>96</v>
      </c>
      <c r="S66" s="25">
        <v>45498</v>
      </c>
      <c r="T66" s="12" t="s">
        <v>38</v>
      </c>
      <c r="U66" s="60">
        <f t="shared" si="14"/>
        <v>77</v>
      </c>
      <c r="V66" s="53" t="str">
        <f t="shared" si="15"/>
        <v>Completed:Delayed</v>
      </c>
      <c r="W66" s="56">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46056</v>
      </c>
      <c r="N67" s="13"/>
      <c r="O67" s="13"/>
      <c r="P67" s="13"/>
      <c r="Q67" s="12"/>
      <c r="R67" s="12">
        <f t="shared" si="18"/>
        <v>76</v>
      </c>
      <c r="S67" s="25">
        <v>42947</v>
      </c>
      <c r="T67" s="12" t="s">
        <v>38</v>
      </c>
      <c r="U67" s="60">
        <f t="shared" si="14"/>
        <v>76</v>
      </c>
      <c r="V67" s="53" t="str">
        <f t="shared" si="15"/>
        <v>Completed:Delayed</v>
      </c>
      <c r="W67" s="56">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46056</v>
      </c>
      <c r="N68" s="13"/>
      <c r="O68" s="13"/>
      <c r="P68" s="13"/>
      <c r="Q68" s="12"/>
      <c r="R68" s="12">
        <f t="shared" si="18"/>
        <v>53</v>
      </c>
      <c r="S68" s="25">
        <v>43677</v>
      </c>
      <c r="T68" s="12" t="s">
        <v>38</v>
      </c>
      <c r="U68" s="60">
        <f t="shared" si="14"/>
        <v>53</v>
      </c>
      <c r="V68" s="53" t="str">
        <f t="shared" si="15"/>
        <v>Completed:Delayed</v>
      </c>
      <c r="W68" s="56">
        <f t="shared" si="16"/>
        <v>51</v>
      </c>
    </row>
    <row r="69" spans="1:23" ht="25.35" hidden="1"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46056</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46056</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46056</v>
      </c>
      <c r="N71" s="13"/>
      <c r="O71" s="13"/>
      <c r="P71" s="13"/>
      <c r="Q71" s="12"/>
      <c r="R71" s="12">
        <f t="shared" si="18"/>
        <v>65</v>
      </c>
      <c r="S71" s="25">
        <v>42613</v>
      </c>
      <c r="T71" s="12" t="s">
        <v>38</v>
      </c>
      <c r="U71" s="60">
        <f t="shared" si="14"/>
        <v>65</v>
      </c>
      <c r="V71" s="53" t="str">
        <f t="shared" si="15"/>
        <v>Completed:Delayed</v>
      </c>
      <c r="W71" s="56">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46056</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46056</v>
      </c>
      <c r="N73" s="14">
        <f ca="1">DATEDIF(L73,M73,"M") +1</f>
        <v>144</v>
      </c>
      <c r="O73" s="43"/>
      <c r="P73" s="14"/>
      <c r="Q73" s="14"/>
      <c r="R73" s="12">
        <f t="shared" ca="1" si="18"/>
        <v>144</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46056</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46056</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46056</v>
      </c>
      <c r="N76" s="14"/>
      <c r="O76" s="43"/>
      <c r="P76" s="14"/>
      <c r="Q76" s="14"/>
      <c r="R76" s="12">
        <f t="shared" si="18"/>
        <v>70</v>
      </c>
      <c r="S76" s="25">
        <v>44539</v>
      </c>
      <c r="T76" s="12" t="s">
        <v>38</v>
      </c>
      <c r="U76" s="60">
        <f t="shared" si="19"/>
        <v>70</v>
      </c>
      <c r="V76" s="53" t="str">
        <f t="shared" si="20"/>
        <v>Completed:Delayed</v>
      </c>
      <c r="W76" s="56">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46056</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46056</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46056</v>
      </c>
      <c r="N79" s="13"/>
      <c r="O79" s="13"/>
      <c r="P79" s="13"/>
      <c r="Q79" s="12"/>
      <c r="R79" s="12">
        <f t="shared" si="18"/>
        <v>56</v>
      </c>
      <c r="S79" s="25">
        <v>43399</v>
      </c>
      <c r="T79" s="12" t="s">
        <v>38</v>
      </c>
      <c r="U79" s="60">
        <f t="shared" si="19"/>
        <v>56</v>
      </c>
      <c r="V79" s="53" t="str">
        <f t="shared" si="20"/>
        <v>Completed:Delayed</v>
      </c>
      <c r="W79" s="56">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46056</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46056</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46056</v>
      </c>
      <c r="N82" s="13"/>
      <c r="O82" s="13"/>
      <c r="P82" s="13"/>
      <c r="Q82" s="12"/>
      <c r="R82" s="12">
        <f t="shared" si="18"/>
        <v>70</v>
      </c>
      <c r="S82" s="25">
        <v>43830</v>
      </c>
      <c r="T82" s="12" t="s">
        <v>38</v>
      </c>
      <c r="U82" s="60">
        <f t="shared" si="19"/>
        <v>70</v>
      </c>
      <c r="V82" s="53" t="str">
        <f t="shared" si="20"/>
        <v>Completed:Delayed</v>
      </c>
      <c r="W82" s="56">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46056</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hidden="1"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46056</v>
      </c>
      <c r="N84" s="14">
        <f ca="1">DATEDIF(L84,M84,"M") +1</f>
        <v>72</v>
      </c>
      <c r="O84" s="43"/>
      <c r="P84" s="14"/>
      <c r="Q84" s="14"/>
      <c r="R84" s="12">
        <f t="shared" ca="1" si="18"/>
        <v>72</v>
      </c>
      <c r="S84" s="25">
        <v>45610</v>
      </c>
      <c r="T84" s="12" t="s">
        <v>38</v>
      </c>
      <c r="U84" s="60">
        <f t="shared" si="19"/>
        <v>57</v>
      </c>
      <c r="V84" s="53" t="str">
        <f t="shared" si="20"/>
        <v>Completed:Delayed</v>
      </c>
      <c r="W84" s="56">
        <f t="shared" si="21"/>
        <v>45</v>
      </c>
    </row>
    <row r="85" spans="1:23" ht="25.35" hidden="1"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46056</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hidden="1"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46056</v>
      </c>
      <c r="N86" s="14">
        <f ca="1">DATEDIF(L86,M86,"M") +1</f>
        <v>72</v>
      </c>
      <c r="O86" s="43"/>
      <c r="P86" s="14"/>
      <c r="Q86" s="14"/>
      <c r="R86" s="12">
        <f t="shared" ca="1" si="18"/>
        <v>72</v>
      </c>
      <c r="S86" s="25">
        <v>45590</v>
      </c>
      <c r="T86" s="12" t="s">
        <v>38</v>
      </c>
      <c r="U86" s="60">
        <f t="shared" si="19"/>
        <v>56</v>
      </c>
      <c r="V86" s="53" t="str">
        <f t="shared" si="20"/>
        <v>Completed:Delayed</v>
      </c>
      <c r="W86" s="56">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46056</v>
      </c>
      <c r="N87" s="13"/>
      <c r="O87" s="13"/>
      <c r="P87" s="13"/>
      <c r="Q87" s="12"/>
      <c r="R87" s="12">
        <f t="shared" si="18"/>
        <v>69</v>
      </c>
      <c r="S87" s="25">
        <v>44160</v>
      </c>
      <c r="T87" s="12" t="s">
        <v>38</v>
      </c>
      <c r="U87" s="60">
        <f t="shared" si="19"/>
        <v>69</v>
      </c>
      <c r="V87" s="53" t="str">
        <f t="shared" si="20"/>
        <v>Completed:Delayed</v>
      </c>
      <c r="W87" s="56">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46056</v>
      </c>
      <c r="N88" s="13"/>
      <c r="O88" s="13"/>
      <c r="P88" s="13"/>
      <c r="Q88" s="12"/>
      <c r="R88" s="12">
        <f t="shared" si="18"/>
        <v>56</v>
      </c>
      <c r="S88" s="25">
        <v>43769</v>
      </c>
      <c r="T88" s="12" t="s">
        <v>38</v>
      </c>
      <c r="U88" s="60">
        <f t="shared" si="19"/>
        <v>56</v>
      </c>
      <c r="V88" s="53" t="str">
        <f t="shared" si="20"/>
        <v>Completed:Delayed</v>
      </c>
      <c r="W88" s="56">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46056</v>
      </c>
      <c r="N89" s="14"/>
      <c r="O89" s="43"/>
      <c r="P89" s="14"/>
      <c r="Q89" s="14"/>
      <c r="R89" s="12">
        <f t="shared" si="18"/>
        <v>72</v>
      </c>
      <c r="S89" s="25">
        <v>44607</v>
      </c>
      <c r="T89" s="12" t="s">
        <v>38</v>
      </c>
      <c r="U89" s="60">
        <f t="shared" si="19"/>
        <v>72</v>
      </c>
      <c r="V89" s="53" t="str">
        <f t="shared" si="20"/>
        <v>Completed:Delayed</v>
      </c>
      <c r="W89" s="56">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46056</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46056</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46056</v>
      </c>
      <c r="N92" s="14">
        <f ca="1">DATEDIF(L92,M92,"M") +1</f>
        <v>132</v>
      </c>
      <c r="O92" s="43"/>
      <c r="P92" s="14"/>
      <c r="Q92" s="14"/>
      <c r="R92" s="12">
        <f t="shared" ca="1" si="18"/>
        <v>132</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46056</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46056</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46056</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hidden="1"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46056</v>
      </c>
      <c r="N96" s="14">
        <f ca="1">DATEDIF(L96,M96,"M") +1</f>
        <v>132</v>
      </c>
      <c r="O96" s="43"/>
      <c r="P96" s="14"/>
      <c r="Q96" s="14"/>
      <c r="R96" s="12">
        <f t="shared" ca="1" si="18"/>
        <v>132</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46056</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46056</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46056</v>
      </c>
      <c r="N99" s="14">
        <f ca="1">DATEDIF(L99,M99,"M") +1</f>
        <v>120</v>
      </c>
      <c r="O99" s="43"/>
      <c r="P99" s="14"/>
      <c r="Q99" s="14"/>
      <c r="R99" s="12">
        <f t="shared" ca="1" si="18"/>
        <v>120</v>
      </c>
      <c r="S99" s="25">
        <v>45610</v>
      </c>
      <c r="T99" s="12" t="s">
        <v>38</v>
      </c>
      <c r="U99" s="60">
        <f>DATEDIF(L99,S99,"M")+1-Q99</f>
        <v>105</v>
      </c>
      <c r="V99" s="53" t="str">
        <f>IF(U99&gt;51,"Completed:Delayed"," Completed:On time")</f>
        <v>Completed:Delayed</v>
      </c>
      <c r="W99" s="56">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46056</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46056</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46056</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46056</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46056</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hidden="1"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46056</v>
      </c>
      <c r="N105" s="14">
        <f ca="1">DATEDIF(L105,M105,"M") +1</f>
        <v>72</v>
      </c>
      <c r="O105" s="43"/>
      <c r="P105" s="14"/>
      <c r="Q105" s="14"/>
      <c r="R105" s="12">
        <f t="shared" ca="1" si="18"/>
        <v>72</v>
      </c>
      <c r="S105" s="25">
        <v>45596</v>
      </c>
      <c r="T105" s="12" t="s">
        <v>38</v>
      </c>
      <c r="U105" s="60">
        <f t="shared" si="22"/>
        <v>56</v>
      </c>
      <c r="V105" s="53" t="str">
        <f t="shared" si="23"/>
        <v>Completed:Delayed</v>
      </c>
      <c r="W105" s="56">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46056</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46056</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46056</v>
      </c>
      <c r="N108" s="14">
        <f ca="1">DATEDIF(L108,M108,"M") +1</f>
        <v>84</v>
      </c>
      <c r="O108" s="43"/>
      <c r="P108" s="14"/>
      <c r="Q108" s="14"/>
      <c r="R108" s="12">
        <f t="shared" ca="1" si="18"/>
        <v>84</v>
      </c>
      <c r="S108" s="25">
        <v>45443</v>
      </c>
      <c r="T108" s="12" t="s">
        <v>38</v>
      </c>
      <c r="U108" s="60">
        <f t="shared" si="22"/>
        <v>63</v>
      </c>
      <c r="V108" s="53" t="str">
        <f t="shared" si="23"/>
        <v>Completed:Delayed</v>
      </c>
      <c r="W108" s="56">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46056</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46056</v>
      </c>
      <c r="N110" s="14">
        <f ca="1">DATEDIF(L110,M110,"M") +1</f>
        <v>96</v>
      </c>
      <c r="O110" s="43"/>
      <c r="P110" s="14"/>
      <c r="Q110" s="14"/>
      <c r="R110" s="12">
        <f t="shared" ca="1" si="18"/>
        <v>96</v>
      </c>
      <c r="S110" s="25">
        <v>45610</v>
      </c>
      <c r="T110" s="12" t="s">
        <v>38</v>
      </c>
      <c r="U110" s="60">
        <f t="shared" si="22"/>
        <v>81</v>
      </c>
      <c r="V110" s="53" t="str">
        <f t="shared" si="23"/>
        <v>Completed:Delayed</v>
      </c>
      <c r="W110" s="56">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46056</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46056</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46056</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46056</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46056</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46056</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46056</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46056</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46056</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46056</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hidden="1"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46056</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46056</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46056</v>
      </c>
      <c r="N123" s="14">
        <f ca="1">DATEDIF(L123,M123,"M") +1</f>
        <v>108</v>
      </c>
      <c r="O123" s="43"/>
      <c r="P123" s="14"/>
      <c r="Q123" s="14"/>
      <c r="R123" s="12">
        <f t="shared" ca="1" si="18"/>
        <v>108</v>
      </c>
      <c r="S123" s="25">
        <v>45595</v>
      </c>
      <c r="T123" s="12" t="s">
        <v>38</v>
      </c>
      <c r="U123" s="60">
        <f t="shared" si="22"/>
        <v>92</v>
      </c>
      <c r="V123" s="53" t="str">
        <f t="shared" si="23"/>
        <v>Completed:Delayed</v>
      </c>
      <c r="W123" s="56">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46056</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46056</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46056</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46056</v>
      </c>
      <c r="N127" s="14">
        <f ca="1">DATEDIF(L127,M127,"M") +1</f>
        <v>120</v>
      </c>
      <c r="O127" s="43"/>
      <c r="P127" s="14"/>
      <c r="Q127" s="14"/>
      <c r="R127" s="12">
        <f t="shared" ca="1" si="26"/>
        <v>120</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46056</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46056</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46056</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46056</v>
      </c>
      <c r="N131" s="14">
        <f ca="1">DATEDIF(L131,M131,"M") +1</f>
        <v>108</v>
      </c>
      <c r="O131" s="43"/>
      <c r="P131" s="14"/>
      <c r="Q131" s="14"/>
      <c r="R131" s="12">
        <f t="shared" ca="1" si="26"/>
        <v>108</v>
      </c>
      <c r="S131" s="25">
        <v>45852</v>
      </c>
      <c r="T131" s="12" t="s">
        <v>38</v>
      </c>
      <c r="U131" s="60">
        <f>DATEDIF(L131,S131,"M")+1-Q131</f>
        <v>101</v>
      </c>
      <c r="V131" s="53" t="str">
        <f>IF(U131&gt;51,"Completed:Delayed"," Completed:On time")</f>
        <v>Completed:Delayed</v>
      </c>
      <c r="W131" s="56">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46056</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46056</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46056</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46056</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46056</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46056</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46056</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46056</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46056</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46056</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46056</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46056</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46056</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46056</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46056</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46056</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46056</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46056</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46056</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46056</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46056</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46056</v>
      </c>
      <c r="N153" s="14">
        <f ca="1">DATEDIF(L153,M153,"M") +1</f>
        <v>96</v>
      </c>
      <c r="O153" s="43"/>
      <c r="P153" s="14"/>
      <c r="Q153" s="14"/>
      <c r="R153" s="12">
        <f t="shared" ca="1" si="26"/>
        <v>96</v>
      </c>
      <c r="S153" s="25">
        <v>45776</v>
      </c>
      <c r="T153" s="12" t="s">
        <v>38</v>
      </c>
      <c r="U153" s="60">
        <f t="shared" si="29"/>
        <v>86</v>
      </c>
      <c r="V153" s="53" t="str">
        <f t="shared" si="30"/>
        <v>Completed:Delayed</v>
      </c>
      <c r="W153" s="56">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46056</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hidden="1"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46056</v>
      </c>
      <c r="N155" s="14">
        <f ca="1">DATEDIF(L155,M155,"M") +1</f>
        <v>96</v>
      </c>
      <c r="O155" s="43"/>
      <c r="P155" s="14"/>
      <c r="Q155" s="14"/>
      <c r="R155" s="12">
        <f t="shared" ca="1" si="26"/>
        <v>96</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46056</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46056</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46056</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46056</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46056</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46056</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46056</v>
      </c>
      <c r="N162" s="14">
        <f ca="1">DATEDIF(L162,M162,"M") +1</f>
        <v>96</v>
      </c>
      <c r="O162" s="43"/>
      <c r="P162" s="14"/>
      <c r="Q162" s="14"/>
      <c r="R162" s="12">
        <f t="shared" ca="1" si="26"/>
        <v>96</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hidden="1"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46056</v>
      </c>
      <c r="N163" s="14">
        <f ca="1">DATEDIF(L163,M163,"M") +1</f>
        <v>96</v>
      </c>
      <c r="O163" s="43"/>
      <c r="P163" s="14"/>
      <c r="Q163" s="14"/>
      <c r="R163" s="12">
        <f t="shared" ca="1" si="26"/>
        <v>96</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46056</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46056</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46056</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46056</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46056</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46056</v>
      </c>
      <c r="N169" s="14">
        <f ca="1">DATEDIF(L169,M169,"M") +1</f>
        <v>96</v>
      </c>
      <c r="O169" s="43"/>
      <c r="P169" s="14"/>
      <c r="Q169" s="14"/>
      <c r="R169" s="12">
        <f t="shared" ca="1" si="26"/>
        <v>96</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46056</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46056</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46056</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hidden="1"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46056</v>
      </c>
      <c r="N173" s="14">
        <f ca="1">DATEDIF(L173,M173,"M") +1</f>
        <v>96</v>
      </c>
      <c r="O173" s="43"/>
      <c r="P173" s="14"/>
      <c r="Q173" s="14"/>
      <c r="R173" s="12">
        <f t="shared" ca="1" si="26"/>
        <v>96</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46056</v>
      </c>
      <c r="N174" s="14">
        <f ca="1">DATEDIF(L174,M174,"M") +1</f>
        <v>96</v>
      </c>
      <c r="O174" s="43"/>
      <c r="P174" s="14"/>
      <c r="Q174" s="14"/>
      <c r="R174" s="12">
        <f t="shared" ca="1" si="26"/>
        <v>96</v>
      </c>
      <c r="S174" s="25">
        <v>45701</v>
      </c>
      <c r="T174" s="12" t="s">
        <v>38</v>
      </c>
      <c r="U174" s="60">
        <f>DATEDIF(L174,S174,"M")+1-Q174</f>
        <v>84</v>
      </c>
      <c r="V174" s="53" t="str">
        <f>IF(U174&gt;51,"Completed:Delayed"," Completed:On time")</f>
        <v>Completed:Delayed</v>
      </c>
      <c r="W174" s="56">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46056</v>
      </c>
      <c r="N175" s="14">
        <f ca="1">DATEDIF(L175,M175,"M") +1</f>
        <v>96</v>
      </c>
      <c r="O175" s="43"/>
      <c r="P175" s="14"/>
      <c r="Q175" s="14"/>
      <c r="R175" s="12">
        <f t="shared" ca="1" si="26"/>
        <v>96</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46056</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hidden="1"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46056</v>
      </c>
      <c r="N177" s="14">
        <f ca="1">DATEDIF(L177,M177,"M") +1</f>
        <v>72</v>
      </c>
      <c r="O177" s="25">
        <v>45413</v>
      </c>
      <c r="P177" s="25">
        <v>45535</v>
      </c>
      <c r="Q177" s="14">
        <v>4</v>
      </c>
      <c r="R177" s="12">
        <f t="shared" ca="1" si="26"/>
        <v>72</v>
      </c>
      <c r="S177" s="25">
        <v>45568</v>
      </c>
      <c r="T177" s="12" t="s">
        <v>38</v>
      </c>
      <c r="U177" s="60">
        <f>DATEDIF(L177,S177,"M")+1-Q177</f>
        <v>52</v>
      </c>
      <c r="V177" s="53" t="str">
        <f>IF(U177&gt;51,"Completed:Delayed"," Completed:On time")</f>
        <v>Completed:Delayed</v>
      </c>
      <c r="W177" s="56">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46056</v>
      </c>
      <c r="N178" s="14">
        <f ca="1">DATEDIF(L178,M178,"M") +1</f>
        <v>96</v>
      </c>
      <c r="O178" s="43"/>
      <c r="P178" s="14"/>
      <c r="Q178" s="14"/>
      <c r="R178" s="12">
        <f t="shared" ca="1" si="26"/>
        <v>96</v>
      </c>
      <c r="S178" s="25">
        <v>45610</v>
      </c>
      <c r="T178" s="12" t="s">
        <v>38</v>
      </c>
      <c r="U178" s="60">
        <f>DATEDIF(L178,S178,"M")+1-Q178</f>
        <v>81</v>
      </c>
      <c r="V178" s="53" t="str">
        <f>IF(U178&gt;51,"Completed:Delayed"," Completed:On time")</f>
        <v>Completed:Delayed</v>
      </c>
      <c r="W178" s="56">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46056</v>
      </c>
      <c r="N179" s="14">
        <f ca="1">DATEDIF(L179,M179,"M") +1</f>
        <v>84</v>
      </c>
      <c r="O179" s="43"/>
      <c r="P179" s="14"/>
      <c r="Q179" s="14"/>
      <c r="R179" s="12">
        <f t="shared" ca="1" si="26"/>
        <v>84</v>
      </c>
      <c r="S179" s="25">
        <v>45889</v>
      </c>
      <c r="T179" s="12" t="s">
        <v>38</v>
      </c>
      <c r="U179" s="60">
        <f>DATEDIF(L179,S179,"M")+1-Q179</f>
        <v>78</v>
      </c>
      <c r="V179" s="53" t="str">
        <f>IF(U179&gt;51,"Completed:Delayed"," Completed:On time")</f>
        <v>Completed:Delayed</v>
      </c>
      <c r="W179" s="56">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46056</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46056</v>
      </c>
      <c r="N181" s="14">
        <f ca="1">DATEDIF(L181,M181,"M") +1</f>
        <v>84</v>
      </c>
      <c r="O181" s="25">
        <v>45170</v>
      </c>
      <c r="P181" s="25">
        <v>45473</v>
      </c>
      <c r="Q181" s="14">
        <v>10</v>
      </c>
      <c r="R181" s="12">
        <f t="shared" ca="1" si="26"/>
        <v>84</v>
      </c>
      <c r="S181" s="25">
        <v>45640</v>
      </c>
      <c r="T181" s="12" t="s">
        <v>38</v>
      </c>
      <c r="U181" s="60">
        <f>DATEDIF(L181,S181,"M")+1-Q181</f>
        <v>60</v>
      </c>
      <c r="V181" s="53" t="str">
        <f>IF(U181&gt;51,"Completed:Delayed"," Completed:On time")</f>
        <v>Completed:Delayed</v>
      </c>
      <c r="W181" s="56"/>
    </row>
    <row r="182" spans="1:23" ht="25.35" hidden="1"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46056</v>
      </c>
      <c r="N182" s="14">
        <f ca="1">DATEDIF(L182,M182,"M") +1</f>
        <v>84</v>
      </c>
      <c r="O182" s="43"/>
      <c r="P182" s="14"/>
      <c r="Q182" s="14"/>
      <c r="R182" s="12">
        <f t="shared" ca="1" si="26"/>
        <v>84</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46056</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hidden="1"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46056</v>
      </c>
      <c r="N184" s="14">
        <f ca="1">DATEDIF(L184,M184,"M") +1</f>
        <v>84</v>
      </c>
      <c r="O184" s="43"/>
      <c r="P184" s="14"/>
      <c r="Q184" s="14"/>
      <c r="R184" s="12">
        <f t="shared" ca="1" si="26"/>
        <v>84</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46056</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46056</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46056</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hidden="1"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46056</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46056</v>
      </c>
      <c r="N189" s="14">
        <f ca="1">DATEDIF(L189,M189,"M") +1</f>
        <v>84</v>
      </c>
      <c r="O189" s="43"/>
      <c r="P189" s="14"/>
      <c r="Q189" s="14"/>
      <c r="R189" s="12">
        <f t="shared" ca="1" si="26"/>
        <v>84</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46056</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46056</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46056</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hidden="1"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46056</v>
      </c>
      <c r="N193" s="14">
        <f ca="1">DATEDIF(L193,M193,"M") +1</f>
        <v>84</v>
      </c>
      <c r="O193" s="43"/>
      <c r="P193" s="14"/>
      <c r="Q193" s="14"/>
      <c r="R193" s="12">
        <f t="shared" ca="1" si="36"/>
        <v>84</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46056</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46056</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46056</v>
      </c>
      <c r="N196" s="14">
        <f ca="1">DATEDIF(L196,M196,"M") +1</f>
        <v>84</v>
      </c>
      <c r="O196" s="25">
        <v>45078</v>
      </c>
      <c r="P196" s="25">
        <v>45443</v>
      </c>
      <c r="Q196" s="14">
        <v>12</v>
      </c>
      <c r="R196" s="12">
        <f t="shared" ca="1" si="36"/>
        <v>84</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46056</v>
      </c>
      <c r="N197" s="14">
        <f ca="1">DATEDIF(L197,M197,"M") +1</f>
        <v>84</v>
      </c>
      <c r="O197" s="43"/>
      <c r="P197" s="14"/>
      <c r="Q197" s="14"/>
      <c r="R197" s="12">
        <f t="shared" ca="1" si="36"/>
        <v>84</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46056</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46056</v>
      </c>
      <c r="N199" s="14">
        <f ca="1">DATEDIF(L199,M199,"M") +1</f>
        <v>72</v>
      </c>
      <c r="O199" s="43"/>
      <c r="P199" s="14"/>
      <c r="Q199" s="14"/>
      <c r="R199" s="12">
        <f t="shared" ca="1" si="36"/>
        <v>72</v>
      </c>
      <c r="S199" s="25">
        <v>45936</v>
      </c>
      <c r="T199" s="12" t="s">
        <v>38</v>
      </c>
      <c r="U199" s="60">
        <f>DATEDIF(L199,S199,"M")+1-Q199</f>
        <v>68</v>
      </c>
      <c r="V199" s="53" t="str">
        <f>IF(U199&gt;51,"Completed:Delayed"," Completed:On time")</f>
        <v>Completed:Delayed</v>
      </c>
      <c r="W199" s="56">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46056</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46056</v>
      </c>
      <c r="N201" s="14">
        <f ca="1">DATEDIF(L201,M201,"M") +1</f>
        <v>72</v>
      </c>
      <c r="O201" s="43"/>
      <c r="P201" s="14"/>
      <c r="Q201" s="14"/>
      <c r="R201" s="12">
        <f t="shared" ca="1" si="36"/>
        <v>72</v>
      </c>
      <c r="S201" s="25">
        <v>45929</v>
      </c>
      <c r="T201" s="12" t="s">
        <v>38</v>
      </c>
      <c r="U201" s="60">
        <f>DATEDIF(L201,S201,"M")+1-Q201</f>
        <v>67</v>
      </c>
      <c r="V201" s="53" t="str">
        <f>IF(U201&gt;51,"Completed:Delayed"," Completed:On time")</f>
        <v>Completed:Delayed</v>
      </c>
      <c r="W201" s="56">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46056</v>
      </c>
      <c r="N202" s="14">
        <f ca="1">DATEDIF(L202,M202,"M") +1</f>
        <v>72</v>
      </c>
      <c r="O202" s="43"/>
      <c r="P202" s="14"/>
      <c r="Q202" s="14"/>
      <c r="R202" s="12">
        <f t="shared" ca="1" si="36"/>
        <v>72</v>
      </c>
      <c r="S202" s="25">
        <v>45950</v>
      </c>
      <c r="T202" s="12" t="s">
        <v>38</v>
      </c>
      <c r="U202" s="60">
        <f>DATEDIF(L202,S202,"M")+1-Q202</f>
        <v>68</v>
      </c>
      <c r="V202" s="53" t="str">
        <f>IF(U202&gt;51,"Completed:Delayed"," Completed:On time")</f>
        <v>Completed:Delayed</v>
      </c>
      <c r="W202" s="56">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46056</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46056</v>
      </c>
      <c r="N204" s="14">
        <f ca="1">DATEDIF(L204,M204,"M") +1</f>
        <v>120</v>
      </c>
      <c r="O204" s="43"/>
      <c r="P204" s="14"/>
      <c r="Q204" s="14"/>
      <c r="R204" s="12">
        <f t="shared" ca="1" si="36"/>
        <v>120</v>
      </c>
      <c r="S204" s="25">
        <v>45591</v>
      </c>
      <c r="T204" s="12" t="s">
        <v>38</v>
      </c>
      <c r="U204" s="60">
        <f t="shared" si="37"/>
        <v>104</v>
      </c>
      <c r="V204" s="53" t="str">
        <f t="shared" si="38"/>
        <v>Completed:Delayed</v>
      </c>
      <c r="W204" s="56">
        <f t="shared" si="39"/>
        <v>92</v>
      </c>
    </row>
    <row r="205" spans="1:25" ht="25.35" hidden="1"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46056</v>
      </c>
      <c r="N205" s="14">
        <f ca="1">DATEDIF(L205,M205,"M") +1</f>
        <v>72</v>
      </c>
      <c r="O205" s="43"/>
      <c r="P205" s="14"/>
      <c r="Q205" s="14"/>
      <c r="R205" s="12">
        <f t="shared" ca="1" si="36"/>
        <v>72</v>
      </c>
      <c r="S205" s="25">
        <v>45648</v>
      </c>
      <c r="T205" s="12" t="s">
        <v>38</v>
      </c>
      <c r="U205" s="60">
        <f t="shared" si="37"/>
        <v>58</v>
      </c>
      <c r="V205" s="53" t="str">
        <f t="shared" si="38"/>
        <v>Completed:Delayed</v>
      </c>
      <c r="W205" s="56">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46056</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46056</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46056</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46056</v>
      </c>
      <c r="N209" s="14">
        <f ca="1">DATEDIF(L209,M209,"M") +1</f>
        <v>84</v>
      </c>
      <c r="O209" s="43"/>
      <c r="P209" s="14"/>
      <c r="Q209" s="14"/>
      <c r="R209" s="12">
        <f t="shared" ca="1" si="36"/>
        <v>84</v>
      </c>
      <c r="S209" s="25">
        <v>45483</v>
      </c>
      <c r="T209" s="12" t="s">
        <v>38</v>
      </c>
      <c r="U209" s="60">
        <f t="shared" si="37"/>
        <v>65</v>
      </c>
      <c r="V209" s="53" t="str">
        <f t="shared" si="38"/>
        <v>Completed:Delayed</v>
      </c>
      <c r="W209" s="56">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46056</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46056</v>
      </c>
      <c r="N211" s="14">
        <f t="shared" ref="N211:N216" ca="1" si="40">DATEDIF(L211,M211,"M") +1</f>
        <v>72</v>
      </c>
      <c r="O211" s="43"/>
      <c r="P211" s="14"/>
      <c r="Q211" s="14"/>
      <c r="R211" s="12">
        <f t="shared" ca="1" si="36"/>
        <v>72</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hidden="1"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46056</v>
      </c>
      <c r="N212" s="14">
        <f t="shared" ca="1" si="40"/>
        <v>72</v>
      </c>
      <c r="O212" s="43"/>
      <c r="P212" s="14"/>
      <c r="Q212" s="14"/>
      <c r="R212" s="12">
        <f t="shared" ca="1" si="36"/>
        <v>72</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46056</v>
      </c>
      <c r="N213" s="14">
        <f t="shared" ca="1" si="40"/>
        <v>72</v>
      </c>
      <c r="O213" s="43"/>
      <c r="P213" s="14"/>
      <c r="Q213" s="14"/>
      <c r="R213" s="12">
        <f t="shared" ca="1" si="36"/>
        <v>72</v>
      </c>
      <c r="S213" s="25">
        <v>45889</v>
      </c>
      <c r="T213" s="12" t="s">
        <v>38</v>
      </c>
      <c r="U213" s="60">
        <f t="shared" si="41"/>
        <v>66</v>
      </c>
      <c r="V213" s="53" t="str">
        <f t="shared" si="42"/>
        <v>Completed:Delayed</v>
      </c>
      <c r="W213" s="56">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46056</v>
      </c>
      <c r="N214" s="14">
        <f t="shared" ca="1" si="40"/>
        <v>72</v>
      </c>
      <c r="O214" s="43"/>
      <c r="P214" s="14"/>
      <c r="Q214" s="14"/>
      <c r="R214" s="12">
        <f t="shared" ca="1" si="36"/>
        <v>72</v>
      </c>
      <c r="S214" s="25">
        <v>45747</v>
      </c>
      <c r="T214" s="12" t="s">
        <v>38</v>
      </c>
      <c r="U214" s="60">
        <f>DATEDIF(L214,S214,"M")+1-Q214</f>
        <v>61</v>
      </c>
      <c r="V214" s="53" t="str">
        <f t="shared" ref="V214" si="46">IF(U214&gt;51,"Completed:Delayed"," Completed:On time")</f>
        <v>Completed:Delayed</v>
      </c>
      <c r="W214" s="56">
        <f t="shared" si="43"/>
        <v>48</v>
      </c>
    </row>
    <row r="215" spans="1:23" ht="25.35" hidden="1"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46056</v>
      </c>
      <c r="N215" s="14">
        <f t="shared" ca="1" si="40"/>
        <v>72</v>
      </c>
      <c r="O215" s="43"/>
      <c r="P215" s="14"/>
      <c r="Q215" s="14"/>
      <c r="R215" s="12">
        <f t="shared" ca="1" si="36"/>
        <v>72</v>
      </c>
      <c r="S215" s="25"/>
      <c r="T215" s="12" t="s">
        <v>44</v>
      </c>
      <c r="U215" s="53" t="str">
        <f t="shared" ca="1" si="44"/>
        <v>In progress: Above 60 months</v>
      </c>
      <c r="V215" s="53" t="str">
        <f t="shared" ca="1" si="45"/>
        <v>In progress: Above 60 months</v>
      </c>
      <c r="W215" s="56"/>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46056</v>
      </c>
      <c r="N216" s="14">
        <f t="shared" ca="1" si="40"/>
        <v>72</v>
      </c>
      <c r="O216" s="43"/>
      <c r="P216" s="14"/>
      <c r="Q216" s="14"/>
      <c r="R216" s="12">
        <f t="shared" ca="1" si="36"/>
        <v>72</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46056</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hidden="1"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46056</v>
      </c>
      <c r="N218" s="14">
        <f ca="1">DATEDIF(L218,M218,"M") +1</f>
        <v>72</v>
      </c>
      <c r="O218" s="43"/>
      <c r="P218" s="14"/>
      <c r="Q218" s="14"/>
      <c r="R218" s="12">
        <f t="shared" ca="1" si="36"/>
        <v>72</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hidden="1"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46056</v>
      </c>
      <c r="N219" s="14">
        <f ca="1">DATEDIF(L219,M219,"M") +1</f>
        <v>72</v>
      </c>
      <c r="O219" s="43"/>
      <c r="P219" s="14"/>
      <c r="Q219" s="14"/>
      <c r="R219" s="12">
        <f t="shared" ca="1" si="36"/>
        <v>72</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hidden="1"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46056</v>
      </c>
      <c r="N220" s="14">
        <f ca="1">DATEDIF(L220,M220,"M") +1</f>
        <v>72</v>
      </c>
      <c r="O220" s="43"/>
      <c r="P220" s="14"/>
      <c r="Q220" s="14"/>
      <c r="R220" s="12">
        <f t="shared" ca="1" si="36"/>
        <v>72</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hidden="1"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46056</v>
      </c>
      <c r="N221" s="14">
        <f ca="1">DATEDIF(L221,M221,"M") +1</f>
        <v>72</v>
      </c>
      <c r="O221" s="43"/>
      <c r="P221" s="14"/>
      <c r="Q221" s="14"/>
      <c r="R221" s="12">
        <f t="shared" ca="1" si="36"/>
        <v>72</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46056</v>
      </c>
      <c r="N222" s="14">
        <f ca="1">DATEDIF(L222,M222,"M") +1</f>
        <v>12</v>
      </c>
      <c r="O222" s="43"/>
      <c r="P222" s="14"/>
      <c r="Q222" s="14"/>
      <c r="R222" s="12">
        <f t="shared" ca="1" si="36"/>
        <v>12</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hidden="1">
      <c r="A223" s="63">
        <v>222</v>
      </c>
      <c r="B223" s="63" t="s">
        <v>852</v>
      </c>
      <c r="C223" s="63" t="s">
        <v>853</v>
      </c>
      <c r="D223" s="63" t="s">
        <v>854</v>
      </c>
      <c r="E223" s="63" t="s">
        <v>855</v>
      </c>
      <c r="F223" s="63" t="s">
        <v>41</v>
      </c>
      <c r="G223" s="63">
        <v>11</v>
      </c>
      <c r="H223" s="63" t="s">
        <v>856</v>
      </c>
      <c r="I223" s="63" t="s">
        <v>857</v>
      </c>
      <c r="J223" s="63"/>
      <c r="K223" s="65"/>
      <c r="L223" s="65">
        <v>45717</v>
      </c>
      <c r="M223" s="15">
        <f t="shared" ca="1" si="35"/>
        <v>46056</v>
      </c>
      <c r="N223" s="14">
        <f t="shared" ref="N223:N241" ca="1" si="49">DATEDIF(L223,M223,"M") +1</f>
        <v>12</v>
      </c>
      <c r="O223" s="65"/>
      <c r="P223" s="65"/>
      <c r="Q223" s="63"/>
      <c r="R223" s="12">
        <f t="shared" ca="1" si="36"/>
        <v>12</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hidden="1">
      <c r="A224" s="63">
        <v>223</v>
      </c>
      <c r="B224" s="63" t="s">
        <v>858</v>
      </c>
      <c r="C224" s="63" t="s">
        <v>859</v>
      </c>
      <c r="D224" s="63"/>
      <c r="E224" s="63" t="s">
        <v>860</v>
      </c>
      <c r="F224" s="63" t="s">
        <v>41</v>
      </c>
      <c r="G224" s="63">
        <v>11</v>
      </c>
      <c r="H224" s="63" t="s">
        <v>117</v>
      </c>
      <c r="I224" s="63" t="s">
        <v>11</v>
      </c>
      <c r="J224" s="63" t="s">
        <v>11</v>
      </c>
      <c r="K224" s="65"/>
      <c r="L224" s="65">
        <v>45717</v>
      </c>
      <c r="M224" s="15">
        <f t="shared" ca="1" si="35"/>
        <v>46056</v>
      </c>
      <c r="N224" s="14">
        <f t="shared" ca="1" si="49"/>
        <v>12</v>
      </c>
      <c r="O224" s="65"/>
      <c r="P224" s="65"/>
      <c r="Q224" s="63"/>
      <c r="R224" s="12">
        <f t="shared" ca="1" si="36"/>
        <v>12</v>
      </c>
      <c r="S224" s="65"/>
      <c r="T224" s="63" t="s">
        <v>44</v>
      </c>
      <c r="U224" s="64" t="str">
        <f t="shared" ca="1" si="50"/>
        <v>In progress: Below 60 Months</v>
      </c>
      <c r="V224" s="64" t="str">
        <f t="shared" ca="1" si="51"/>
        <v>In progress: Below 60 Months</v>
      </c>
      <c r="W224" s="57"/>
    </row>
    <row r="225" spans="1:22" ht="15.95" hidden="1">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46056</v>
      </c>
      <c r="N225" s="14">
        <f t="shared" ca="1" si="49"/>
        <v>12</v>
      </c>
      <c r="O225" s="65"/>
      <c r="P225" s="65"/>
      <c r="Q225" s="63"/>
      <c r="R225" s="12">
        <f t="shared" ca="1" si="36"/>
        <v>12</v>
      </c>
      <c r="S225" s="65"/>
      <c r="T225" s="63" t="s">
        <v>44</v>
      </c>
      <c r="U225" s="64" t="str">
        <f t="shared" ca="1" si="50"/>
        <v>In progress: Below 60 Months</v>
      </c>
      <c r="V225" s="64" t="str">
        <f t="shared" ca="1" si="51"/>
        <v>In progress: Below 60 Months</v>
      </c>
    </row>
    <row r="226" spans="1:22" ht="15.95" hidden="1">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46056</v>
      </c>
      <c r="N226" s="14">
        <f t="shared" ca="1" si="49"/>
        <v>12</v>
      </c>
      <c r="O226" s="65"/>
      <c r="P226" s="65"/>
      <c r="Q226" s="63"/>
      <c r="R226" s="12">
        <f t="shared" ca="1" si="36"/>
        <v>12</v>
      </c>
      <c r="S226" s="65"/>
      <c r="T226" s="63" t="s">
        <v>44</v>
      </c>
      <c r="U226" s="64" t="str">
        <f t="shared" ca="1" si="50"/>
        <v>In progress: Below 60 Months</v>
      </c>
      <c r="V226" s="64" t="str">
        <f t="shared" ca="1" si="51"/>
        <v>In progress: Below 60 Months</v>
      </c>
    </row>
    <row r="227" spans="1:22" ht="15.95" hidden="1">
      <c r="A227" s="63">
        <v>226</v>
      </c>
      <c r="B227" s="63" t="s">
        <v>866</v>
      </c>
      <c r="C227" s="63" t="s">
        <v>867</v>
      </c>
      <c r="D227" s="63" t="s">
        <v>868</v>
      </c>
      <c r="E227" s="63" t="s">
        <v>869</v>
      </c>
      <c r="F227" s="63" t="s">
        <v>42</v>
      </c>
      <c r="G227" s="63">
        <v>11</v>
      </c>
      <c r="H227" s="63" t="s">
        <v>125</v>
      </c>
      <c r="I227" s="63" t="s">
        <v>16</v>
      </c>
      <c r="J227" s="63"/>
      <c r="K227" s="65"/>
      <c r="L227" s="65">
        <v>45717</v>
      </c>
      <c r="M227" s="15">
        <f t="shared" ca="1" si="35"/>
        <v>46056</v>
      </c>
      <c r="N227" s="14">
        <f t="shared" ca="1" si="49"/>
        <v>12</v>
      </c>
      <c r="O227" s="65"/>
      <c r="P227" s="65"/>
      <c r="Q227" s="63"/>
      <c r="R227" s="12">
        <f t="shared" ca="1" si="36"/>
        <v>12</v>
      </c>
      <c r="S227" s="65"/>
      <c r="T227" s="63" t="s">
        <v>44</v>
      </c>
      <c r="U227" s="64" t="str">
        <f t="shared" ca="1" si="50"/>
        <v>In progress: Below 60 Months</v>
      </c>
      <c r="V227" s="64" t="str">
        <f t="shared" ca="1" si="51"/>
        <v>In progress: Below 60 Months</v>
      </c>
    </row>
    <row r="228" spans="1:22" ht="15.95" hidden="1">
      <c r="A228" s="63">
        <v>227</v>
      </c>
      <c r="B228" s="63" t="s">
        <v>870</v>
      </c>
      <c r="C228" s="63" t="s">
        <v>325</v>
      </c>
      <c r="D228" s="63" t="s">
        <v>871</v>
      </c>
      <c r="E228" s="63" t="s">
        <v>872</v>
      </c>
      <c r="F228" s="63" t="s">
        <v>41</v>
      </c>
      <c r="G228" s="63">
        <v>11</v>
      </c>
      <c r="H228" s="63" t="s">
        <v>68</v>
      </c>
      <c r="I228" s="63" t="s">
        <v>13</v>
      </c>
      <c r="J228" s="63"/>
      <c r="K228" s="65"/>
      <c r="L228" s="65">
        <v>45717</v>
      </c>
      <c r="M228" s="15">
        <f t="shared" ca="1" si="35"/>
        <v>46056</v>
      </c>
      <c r="N228" s="14">
        <f t="shared" ca="1" si="49"/>
        <v>12</v>
      </c>
      <c r="O228" s="65"/>
      <c r="P228" s="65"/>
      <c r="Q228" s="63"/>
      <c r="R228" s="12">
        <f t="shared" ca="1" si="36"/>
        <v>12</v>
      </c>
      <c r="S228" s="65"/>
      <c r="T228" s="63" t="s">
        <v>44</v>
      </c>
      <c r="U228" s="64" t="str">
        <f t="shared" ca="1" si="50"/>
        <v>In progress: Below 60 Months</v>
      </c>
      <c r="V228" s="64" t="str">
        <f t="shared" ca="1" si="51"/>
        <v>In progress: Below 60 Months</v>
      </c>
    </row>
    <row r="229" spans="1:22" ht="15.95" hidden="1">
      <c r="A229" s="63">
        <v>228</v>
      </c>
      <c r="B229" s="63" t="s">
        <v>873</v>
      </c>
      <c r="C229" s="63" t="s">
        <v>874</v>
      </c>
      <c r="D229" s="63" t="s">
        <v>875</v>
      </c>
      <c r="E229" s="63" t="s">
        <v>854</v>
      </c>
      <c r="F229" s="63" t="s">
        <v>42</v>
      </c>
      <c r="G229" s="63">
        <v>11</v>
      </c>
      <c r="H229" s="63" t="s">
        <v>856</v>
      </c>
      <c r="I229" s="63" t="s">
        <v>857</v>
      </c>
      <c r="J229" s="63"/>
      <c r="K229" s="65"/>
      <c r="L229" s="65">
        <v>45717</v>
      </c>
      <c r="M229" s="15">
        <f t="shared" ca="1" si="35"/>
        <v>46056</v>
      </c>
      <c r="N229" s="14">
        <f t="shared" ca="1" si="49"/>
        <v>12</v>
      </c>
      <c r="O229" s="65"/>
      <c r="P229" s="65"/>
      <c r="Q229" s="63"/>
      <c r="R229" s="12">
        <f t="shared" ca="1" si="36"/>
        <v>12</v>
      </c>
      <c r="S229" s="65"/>
      <c r="T229" s="63" t="s">
        <v>44</v>
      </c>
      <c r="U229" s="64" t="str">
        <f t="shared" ca="1" si="50"/>
        <v>In progress: Below 60 Months</v>
      </c>
      <c r="V229" s="64" t="str">
        <f t="shared" ca="1" si="51"/>
        <v>In progress: Below 60 Months</v>
      </c>
    </row>
    <row r="230" spans="1:22" ht="15.95" hidden="1">
      <c r="A230" s="63">
        <v>229</v>
      </c>
      <c r="B230" s="63" t="s">
        <v>876</v>
      </c>
      <c r="C230" s="63" t="s">
        <v>877</v>
      </c>
      <c r="D230" s="63"/>
      <c r="E230" s="63" t="s">
        <v>878</v>
      </c>
      <c r="F230" s="63" t="s">
        <v>42</v>
      </c>
      <c r="G230" s="63">
        <v>11</v>
      </c>
      <c r="H230" s="63" t="s">
        <v>117</v>
      </c>
      <c r="I230" s="63" t="s">
        <v>11</v>
      </c>
      <c r="J230" s="63" t="s">
        <v>11</v>
      </c>
      <c r="K230" s="65"/>
      <c r="L230" s="65">
        <v>45717</v>
      </c>
      <c r="M230" s="15">
        <f t="shared" ca="1" si="35"/>
        <v>46056</v>
      </c>
      <c r="N230" s="14">
        <f t="shared" ca="1" si="49"/>
        <v>12</v>
      </c>
      <c r="O230" s="65"/>
      <c r="P230" s="65"/>
      <c r="Q230" s="63"/>
      <c r="R230" s="12">
        <f t="shared" ca="1" si="36"/>
        <v>12</v>
      </c>
      <c r="S230" s="65"/>
      <c r="T230" s="63" t="s">
        <v>44</v>
      </c>
      <c r="U230" s="64" t="str">
        <f t="shared" ca="1" si="50"/>
        <v>In progress: Below 60 Months</v>
      </c>
      <c r="V230" s="64" t="str">
        <f t="shared" ca="1" si="51"/>
        <v>In progress: Below 60 Months</v>
      </c>
    </row>
    <row r="231" spans="1:22" ht="15.95" hidden="1">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46056</v>
      </c>
      <c r="N231" s="14">
        <f t="shared" ca="1" si="49"/>
        <v>12</v>
      </c>
      <c r="O231" s="65"/>
      <c r="P231" s="65"/>
      <c r="Q231" s="63"/>
      <c r="R231" s="12">
        <f t="shared" ca="1" si="36"/>
        <v>12</v>
      </c>
      <c r="S231" s="65"/>
      <c r="T231" s="63" t="s">
        <v>44</v>
      </c>
      <c r="U231" s="64" t="str">
        <f t="shared" ca="1" si="50"/>
        <v>In progress: Below 60 Months</v>
      </c>
      <c r="V231" s="64" t="str">
        <f t="shared" ca="1" si="51"/>
        <v>In progress: Below 60 Months</v>
      </c>
    </row>
    <row r="232" spans="1:22" ht="15.95" hidden="1">
      <c r="A232" s="63">
        <v>231</v>
      </c>
      <c r="B232" s="63" t="s">
        <v>883</v>
      </c>
      <c r="C232" s="63" t="s">
        <v>508</v>
      </c>
      <c r="D232" s="63" t="s">
        <v>884</v>
      </c>
      <c r="E232" s="63" t="s">
        <v>885</v>
      </c>
      <c r="F232" s="63" t="s">
        <v>41</v>
      </c>
      <c r="G232" s="63">
        <v>11</v>
      </c>
      <c r="H232" s="63" t="s">
        <v>132</v>
      </c>
      <c r="I232" s="63" t="s">
        <v>17</v>
      </c>
      <c r="J232" s="63"/>
      <c r="K232" s="65"/>
      <c r="L232" s="65">
        <v>45717</v>
      </c>
      <c r="M232" s="15">
        <f t="shared" ca="1" si="35"/>
        <v>46056</v>
      </c>
      <c r="N232" s="14">
        <f t="shared" ca="1" si="49"/>
        <v>12</v>
      </c>
      <c r="O232" s="65"/>
      <c r="P232" s="65"/>
      <c r="Q232" s="63"/>
      <c r="R232" s="12">
        <f t="shared" ca="1" si="36"/>
        <v>12</v>
      </c>
      <c r="S232" s="65"/>
      <c r="T232" s="63" t="s">
        <v>44</v>
      </c>
      <c r="U232" s="64" t="str">
        <f t="shared" ca="1" si="50"/>
        <v>In progress: Below 60 Months</v>
      </c>
      <c r="V232" s="64" t="str">
        <f t="shared" ca="1" si="51"/>
        <v>In progress: Below 60 Months</v>
      </c>
    </row>
    <row r="233" spans="1:22" ht="15.95" hidden="1">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46056</v>
      </c>
      <c r="N233" s="14">
        <f t="shared" ca="1" si="49"/>
        <v>12</v>
      </c>
      <c r="O233" s="65"/>
      <c r="P233" s="65"/>
      <c r="Q233" s="63"/>
      <c r="R233" s="12">
        <f t="shared" ca="1" si="36"/>
        <v>12</v>
      </c>
      <c r="S233" s="65"/>
      <c r="T233" s="63" t="s">
        <v>44</v>
      </c>
      <c r="U233" s="64" t="str">
        <f t="shared" ca="1" si="50"/>
        <v>In progress: Below 60 Months</v>
      </c>
      <c r="V233" s="64" t="str">
        <f t="shared" ca="1" si="51"/>
        <v>In progress: Below 60 Months</v>
      </c>
    </row>
    <row r="234" spans="1:22" ht="15.95" hidden="1">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46056</v>
      </c>
      <c r="N234" s="14">
        <f t="shared" ca="1" si="49"/>
        <v>12</v>
      </c>
      <c r="O234" s="65"/>
      <c r="P234" s="65"/>
      <c r="Q234" s="63"/>
      <c r="R234" s="12">
        <f t="shared" ca="1" si="36"/>
        <v>12</v>
      </c>
      <c r="S234" s="65"/>
      <c r="T234" s="63" t="s">
        <v>44</v>
      </c>
      <c r="U234" s="64" t="str">
        <f t="shared" ca="1" si="50"/>
        <v>In progress: Below 60 Months</v>
      </c>
      <c r="V234" s="64" t="str">
        <f t="shared" ca="1" si="51"/>
        <v>In progress: Below 60 Months</v>
      </c>
    </row>
    <row r="235" spans="1:22" ht="15.95" hidden="1">
      <c r="A235" s="63">
        <v>234</v>
      </c>
      <c r="B235" s="63" t="s">
        <v>894</v>
      </c>
      <c r="C235" s="63" t="s">
        <v>895</v>
      </c>
      <c r="D235" s="63" t="s">
        <v>896</v>
      </c>
      <c r="E235" s="63" t="s">
        <v>897</v>
      </c>
      <c r="F235" s="63" t="s">
        <v>42</v>
      </c>
      <c r="G235" s="63">
        <v>11</v>
      </c>
      <c r="H235" s="63" t="s">
        <v>125</v>
      </c>
      <c r="I235" s="63" t="s">
        <v>898</v>
      </c>
      <c r="J235" s="63" t="s">
        <v>16</v>
      </c>
      <c r="K235" s="65"/>
      <c r="L235" s="65">
        <v>45717</v>
      </c>
      <c r="M235" s="15">
        <f t="shared" ca="1" si="35"/>
        <v>46056</v>
      </c>
      <c r="N235" s="14">
        <f t="shared" ca="1" si="49"/>
        <v>12</v>
      </c>
      <c r="O235" s="65"/>
      <c r="P235" s="65"/>
      <c r="Q235" s="63"/>
      <c r="R235" s="12">
        <f t="shared" ca="1" si="36"/>
        <v>12</v>
      </c>
      <c r="S235" s="65"/>
      <c r="T235" s="63" t="s">
        <v>44</v>
      </c>
      <c r="U235" s="64" t="str">
        <f t="shared" ca="1" si="50"/>
        <v>In progress: Below 60 Months</v>
      </c>
      <c r="V235" s="64" t="str">
        <f t="shared" ca="1" si="51"/>
        <v>In progress: Below 60 Months</v>
      </c>
    </row>
    <row r="236" spans="1:22" ht="15.95" hidden="1">
      <c r="A236" s="63">
        <v>235</v>
      </c>
      <c r="B236" s="63" t="s">
        <v>899</v>
      </c>
      <c r="C236" s="63" t="s">
        <v>900</v>
      </c>
      <c r="D236" s="63" t="s">
        <v>901</v>
      </c>
      <c r="E236" s="63" t="s">
        <v>902</v>
      </c>
      <c r="F236" s="63" t="s">
        <v>42</v>
      </c>
      <c r="G236" s="63">
        <v>11</v>
      </c>
      <c r="H236" s="63" t="s">
        <v>132</v>
      </c>
      <c r="I236" s="63" t="s">
        <v>17</v>
      </c>
      <c r="J236" s="63" t="s">
        <v>17</v>
      </c>
      <c r="K236" s="65"/>
      <c r="L236" s="65">
        <v>45717</v>
      </c>
      <c r="M236" s="15">
        <f t="shared" ca="1" si="35"/>
        <v>46056</v>
      </c>
      <c r="N236" s="14">
        <f t="shared" ca="1" si="49"/>
        <v>12</v>
      </c>
      <c r="O236" s="65"/>
      <c r="P236" s="65"/>
      <c r="Q236" s="63"/>
      <c r="R236" s="12">
        <f t="shared" ca="1" si="36"/>
        <v>12</v>
      </c>
      <c r="S236" s="65"/>
      <c r="T236" s="63" t="s">
        <v>44</v>
      </c>
      <c r="U236" s="64" t="str">
        <f t="shared" ca="1" si="50"/>
        <v>In progress: Below 60 Months</v>
      </c>
      <c r="V236" s="64" t="str">
        <f t="shared" ca="1" si="51"/>
        <v>In progress: Below 60 Months</v>
      </c>
    </row>
    <row r="237" spans="1:22" ht="15.95" hidden="1">
      <c r="A237" s="63">
        <v>236</v>
      </c>
      <c r="B237" s="63" t="s">
        <v>903</v>
      </c>
      <c r="C237" s="63" t="s">
        <v>904</v>
      </c>
      <c r="D237" s="63" t="s">
        <v>813</v>
      </c>
      <c r="E237" s="63" t="s">
        <v>905</v>
      </c>
      <c r="F237" s="63" t="s">
        <v>41</v>
      </c>
      <c r="G237" s="63">
        <v>11</v>
      </c>
      <c r="H237" s="63" t="s">
        <v>68</v>
      </c>
      <c r="I237" s="63" t="s">
        <v>13</v>
      </c>
      <c r="J237" s="63" t="s">
        <v>13</v>
      </c>
      <c r="K237" s="65"/>
      <c r="L237" s="65">
        <v>45717</v>
      </c>
      <c r="M237" s="15">
        <f t="shared" ca="1" si="35"/>
        <v>46056</v>
      </c>
      <c r="N237" s="14">
        <f t="shared" ca="1" si="49"/>
        <v>12</v>
      </c>
      <c r="O237" s="65"/>
      <c r="P237" s="65"/>
      <c r="Q237" s="63"/>
      <c r="R237" s="12">
        <f t="shared" ca="1" si="36"/>
        <v>12</v>
      </c>
      <c r="S237" s="65"/>
      <c r="T237" s="63" t="s">
        <v>44</v>
      </c>
      <c r="U237" s="64" t="str">
        <f t="shared" ca="1" si="50"/>
        <v>In progress: Below 60 Months</v>
      </c>
      <c r="V237" s="64" t="str">
        <f t="shared" ca="1" si="51"/>
        <v>In progress: Below 60 Months</v>
      </c>
    </row>
    <row r="238" spans="1:22" ht="15.95" hidden="1">
      <c r="A238" s="63">
        <v>237</v>
      </c>
      <c r="B238" s="63" t="s">
        <v>906</v>
      </c>
      <c r="C238" s="63" t="s">
        <v>907</v>
      </c>
      <c r="D238" s="63" t="s">
        <v>908</v>
      </c>
      <c r="E238" s="63" t="s">
        <v>909</v>
      </c>
      <c r="F238" s="63" t="s">
        <v>42</v>
      </c>
      <c r="G238" s="63">
        <v>11</v>
      </c>
      <c r="H238" s="63" t="s">
        <v>125</v>
      </c>
      <c r="I238" s="63" t="s">
        <v>16</v>
      </c>
      <c r="J238" s="63"/>
      <c r="K238" s="65"/>
      <c r="L238" s="65">
        <v>45717</v>
      </c>
      <c r="M238" s="15">
        <f t="shared" ca="1" si="35"/>
        <v>46056</v>
      </c>
      <c r="N238" s="14">
        <f t="shared" ca="1" si="49"/>
        <v>12</v>
      </c>
      <c r="O238" s="65"/>
      <c r="P238" s="65"/>
      <c r="Q238" s="63"/>
      <c r="R238" s="12">
        <f t="shared" ca="1" si="36"/>
        <v>12</v>
      </c>
      <c r="S238" s="65"/>
      <c r="T238" s="63" t="s">
        <v>44</v>
      </c>
      <c r="U238" s="64" t="str">
        <f t="shared" ca="1" si="50"/>
        <v>In progress: Below 60 Months</v>
      </c>
      <c r="V238" s="64" t="str">
        <f t="shared" ca="1" si="51"/>
        <v>In progress: Below 60 Months</v>
      </c>
    </row>
    <row r="239" spans="1:22" ht="15.95" hidden="1">
      <c r="A239" s="63">
        <v>238</v>
      </c>
      <c r="B239" s="63" t="s">
        <v>910</v>
      </c>
      <c r="C239" s="63" t="s">
        <v>911</v>
      </c>
      <c r="D239" s="63"/>
      <c r="E239" s="63" t="s">
        <v>912</v>
      </c>
      <c r="F239" s="63" t="s">
        <v>42</v>
      </c>
      <c r="G239" s="63">
        <v>11</v>
      </c>
      <c r="H239" s="63" t="s">
        <v>121</v>
      </c>
      <c r="I239" s="63" t="s">
        <v>18</v>
      </c>
      <c r="J239" s="63"/>
      <c r="K239" s="65"/>
      <c r="L239" s="65">
        <v>45717</v>
      </c>
      <c r="M239" s="15">
        <f t="shared" ca="1" si="35"/>
        <v>46056</v>
      </c>
      <c r="N239" s="14">
        <f t="shared" ca="1" si="49"/>
        <v>12</v>
      </c>
      <c r="O239" s="65"/>
      <c r="P239" s="65"/>
      <c r="Q239" s="63"/>
      <c r="R239" s="12">
        <f t="shared" ca="1" si="36"/>
        <v>12</v>
      </c>
      <c r="S239" s="65"/>
      <c r="T239" s="63" t="s">
        <v>44</v>
      </c>
      <c r="U239" s="64" t="str">
        <f t="shared" ca="1" si="50"/>
        <v>In progress: Below 60 Months</v>
      </c>
      <c r="V239" s="64" t="str">
        <f t="shared" ca="1" si="51"/>
        <v>In progress: Below 60 Months</v>
      </c>
    </row>
    <row r="240" spans="1:22" ht="15.95" hidden="1">
      <c r="A240" s="63">
        <v>239</v>
      </c>
      <c r="B240" s="63" t="s">
        <v>913</v>
      </c>
      <c r="C240" s="63" t="s">
        <v>914</v>
      </c>
      <c r="D240" s="63"/>
      <c r="E240" s="63" t="s">
        <v>915</v>
      </c>
      <c r="F240" s="63" t="s">
        <v>41</v>
      </c>
      <c r="G240" s="63">
        <v>11</v>
      </c>
      <c r="H240" s="63" t="s">
        <v>121</v>
      </c>
      <c r="I240" s="63" t="s">
        <v>18</v>
      </c>
      <c r="J240" s="63"/>
      <c r="K240" s="65"/>
      <c r="L240" s="65">
        <v>45717</v>
      </c>
      <c r="M240" s="15">
        <f t="shared" ca="1" si="35"/>
        <v>46056</v>
      </c>
      <c r="N240" s="14">
        <f t="shared" ca="1" si="49"/>
        <v>12</v>
      </c>
      <c r="O240" s="65"/>
      <c r="P240" s="65"/>
      <c r="Q240" s="63"/>
      <c r="R240" s="12">
        <f t="shared" ca="1" si="36"/>
        <v>12</v>
      </c>
      <c r="S240" s="65"/>
      <c r="T240" s="63" t="s">
        <v>44</v>
      </c>
      <c r="U240" s="64" t="str">
        <f t="shared" ca="1" si="50"/>
        <v>In progress: Below 60 Months</v>
      </c>
      <c r="V240" s="64" t="str">
        <f t="shared" ca="1" si="51"/>
        <v>In progress: Below 60 Months</v>
      </c>
    </row>
    <row r="241" spans="1:22" ht="15.95" hidden="1">
      <c r="A241" s="63">
        <v>240</v>
      </c>
      <c r="B241" s="63" t="s">
        <v>916</v>
      </c>
      <c r="C241" s="63" t="s">
        <v>917</v>
      </c>
      <c r="D241" s="63" t="s">
        <v>918</v>
      </c>
      <c r="E241" s="63" t="s">
        <v>919</v>
      </c>
      <c r="F241" s="63" t="s">
        <v>41</v>
      </c>
      <c r="G241" s="63">
        <v>11</v>
      </c>
      <c r="H241" s="63" t="s">
        <v>112</v>
      </c>
      <c r="I241" s="63" t="s">
        <v>10</v>
      </c>
      <c r="J241" s="63"/>
      <c r="K241" s="65"/>
      <c r="L241" s="65">
        <v>45717</v>
      </c>
      <c r="M241" s="15">
        <f t="shared" ca="1" si="35"/>
        <v>46056</v>
      </c>
      <c r="N241" s="14">
        <f t="shared" ca="1" si="49"/>
        <v>12</v>
      </c>
      <c r="O241" s="65"/>
      <c r="P241" s="65"/>
      <c r="Q241" s="63"/>
      <c r="R241" s="12">
        <f t="shared" ca="1" si="36"/>
        <v>12</v>
      </c>
      <c r="S241" s="65"/>
      <c r="T241" s="63" t="s">
        <v>44</v>
      </c>
      <c r="U241" s="64" t="str">
        <f t="shared" ca="1" si="50"/>
        <v>In progress: Below 60 Months</v>
      </c>
      <c r="V241" s="64" t="str">
        <f t="shared" ca="1" si="51"/>
        <v>In progress: Below 60 Months</v>
      </c>
    </row>
  </sheetData>
  <autoFilter ref="A1:Y241" xr:uid="{00000000-0001-0000-0100-000000000000}">
    <filterColumn colId="18">
      <filters>
        <dateGroupItem year="2025" dateTimeGrouping="year"/>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921</v>
      </c>
    </row>
    <row r="3" spans="1:20">
      <c r="J3" s="2" t="s">
        <v>37</v>
      </c>
      <c r="K3" t="s">
        <v>921</v>
      </c>
    </row>
    <row r="4" spans="1:20">
      <c r="B4" s="2" t="s">
        <v>37</v>
      </c>
      <c r="C4" s="2" t="s">
        <v>936</v>
      </c>
    </row>
    <row r="5" spans="1:20" ht="15">
      <c r="B5" t="s">
        <v>38</v>
      </c>
      <c r="D5" t="s">
        <v>44</v>
      </c>
      <c r="F5" t="s">
        <v>937</v>
      </c>
      <c r="G5" t="s">
        <v>938</v>
      </c>
      <c r="K5" s="2" t="s">
        <v>2</v>
      </c>
      <c r="L5" s="2" t="s">
        <v>936</v>
      </c>
    </row>
    <row r="6" spans="1:20" ht="15">
      <c r="A6" s="2" t="s">
        <v>3</v>
      </c>
      <c r="B6" t="s">
        <v>939</v>
      </c>
      <c r="C6" t="s">
        <v>940</v>
      </c>
      <c r="D6" t="s">
        <v>939</v>
      </c>
      <c r="E6" t="s">
        <v>940</v>
      </c>
      <c r="H6" s="8"/>
      <c r="J6" s="39"/>
      <c r="K6" s="39" t="s">
        <v>4</v>
      </c>
      <c r="L6" s="40"/>
      <c r="M6" s="41" t="s">
        <v>920</v>
      </c>
      <c r="N6" s="40"/>
      <c r="O6" s="41" t="s">
        <v>5</v>
      </c>
      <c r="P6" s="40"/>
      <c r="Q6" s="41" t="s">
        <v>6</v>
      </c>
      <c r="R6" s="40"/>
      <c r="S6" s="33" t="s">
        <v>937</v>
      </c>
      <c r="T6" s="33" t="s">
        <v>938</v>
      </c>
    </row>
    <row r="7" spans="1:20" ht="15">
      <c r="A7" t="s">
        <v>8</v>
      </c>
      <c r="B7">
        <v>1</v>
      </c>
      <c r="C7" s="8">
        <v>0.5</v>
      </c>
      <c r="D7">
        <v>1</v>
      </c>
      <c r="E7" s="8">
        <v>0.5</v>
      </c>
      <c r="F7">
        <v>2</v>
      </c>
      <c r="G7" s="8">
        <v>1</v>
      </c>
      <c r="H7" s="8"/>
      <c r="J7" s="42" t="s">
        <v>3</v>
      </c>
      <c r="K7" s="39" t="s">
        <v>939</v>
      </c>
      <c r="L7" s="40" t="s">
        <v>940</v>
      </c>
      <c r="M7" s="41" t="s">
        <v>939</v>
      </c>
      <c r="N7" s="40" t="s">
        <v>940</v>
      </c>
      <c r="O7" s="41" t="s">
        <v>939</v>
      </c>
      <c r="P7" s="40" t="s">
        <v>940</v>
      </c>
      <c r="Q7" s="41" t="s">
        <v>939</v>
      </c>
      <c r="R7" s="40" t="s">
        <v>940</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939</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920</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8</v>
      </c>
      <c r="C52">
        <v>7</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2021-05-13T07:42:22Z</dcterms:created>
  <dcterms:modified xsi:type="dcterms:W3CDTF">2026-02-03T05:52:28Z</dcterms:modified>
  <cp:category/>
  <cp:contentStatus/>
</cp:coreProperties>
</file>
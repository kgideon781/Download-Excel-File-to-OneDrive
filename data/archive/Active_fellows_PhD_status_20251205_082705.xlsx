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68" documentId="13_ncr:1_{503F577C-3F40-4625-BC6E-453B42AAE264}" xr6:coauthVersionLast="47" xr6:coauthVersionMax="47" xr10:uidLastSave="{FD04C285-B3D3-4C6A-8726-646968A78DA5}"/>
  <bookViews>
    <workbookView xWindow="-110" yWindow="-110" windowWidth="19420" windowHeight="10300" tabRatio="708"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569" r:id="rId20"/>
    <pivotCache cacheId="1570" r:id="rId21"/>
    <pivotCache cacheId="1571" r:id="rId22"/>
    <pivotCache cacheId="1572"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<sst xmlns="http://schemas.openxmlformats.org/spreadsheetml/2006/main" count="2843" uniqueCount="946">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</sst>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2" formatCode="0.00"/>
    </dxf>
    <dxf>
      <numFmt numFmtId="166" formatCode="0.0"/>
    </dxf>
    <dxf>
      <numFmt numFmtId="2" formatCode="0.00"/>
    </dxf>
    <dxf>
      <numFmt numFmtId="166"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274083</xdr:colOff>
      <xdr:row>29</xdr:row>
      <xdr:rowOff>179250</xdr:rowOff>
    </xdr:from>
    <xdr:to>
      <xdr:col>13</xdr:col>
      <xdr:colOff>33952</xdr:colOff>
      <xdr:row>46</xdr:row>
      <xdr:rowOff>23812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5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5">
      <pivotArea outline="0" collapsedLevelsAreSubtotals="1" fieldPosition="0"/>
    </format>
    <format dxfId="96">
      <pivotArea field="8" type="button" dataOnly="0" labelOnly="1" outline="0" axis="axisRow" fieldPosition="0"/>
    </format>
    <format dxfId="97">
      <pivotArea dataOnly="0" labelOnly="1" outline="0" fieldPosition="0">
        <references count="1">
          <reference field="4294967294" count="5">
            <x v="0"/>
            <x v="1"/>
            <x v="2"/>
            <x v="3"/>
            <x v="4"/>
          </reference>
        </references>
      </pivotArea>
    </format>
    <format dxfId="98">
      <pivotArea field="8" type="button" dataOnly="0" labelOnly="1" outline="0" axis="axisRow" fieldPosition="0"/>
    </format>
    <format dxfId="9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57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57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5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5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5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5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8">
      <pivotArea outline="0" collapsedLevelsAreSubtotals="1" fieldPosition="0"/>
    </format>
    <format dxfId="8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5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6">
      <pivotArea outline="0" collapsedLevelsAreSubtotals="1" fieldPosition="0"/>
    </format>
    <format dxfId="87">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57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8">
      <pivotArea outline="0" collapsedLevelsAreSubtotals="1" fieldPosition="0"/>
    </format>
    <format dxfId="79">
      <pivotArea outline="0" fieldPosition="0">
        <references count="1">
          <reference field="4294967294" count="1">
            <x v="0"/>
          </reference>
        </references>
      </pivotArea>
    </format>
    <format dxfId="80">
      <pivotArea outline="0" fieldPosition="0">
        <references count="1">
          <reference field="4294967294" count="1">
            <x v="1"/>
          </reference>
        </references>
      </pivotArea>
    </format>
    <format dxfId="81">
      <pivotArea outline="0" fieldPosition="0">
        <references count="3">
          <reference field="4294967294" count="1" selected="0">
            <x v="1"/>
          </reference>
          <reference field="8" count="0" selected="0"/>
          <reference field="19" count="1" selected="0">
            <x v="0"/>
          </reference>
        </references>
      </pivotArea>
    </format>
    <format dxfId="82">
      <pivotArea outline="0" fieldPosition="0">
        <references count="3">
          <reference field="4294967294" count="1" selected="0">
            <x v="1"/>
          </reference>
          <reference field="8" count="0" selected="0"/>
          <reference field="19" count="1" selected="0">
            <x v="1"/>
          </reference>
        </references>
      </pivotArea>
    </format>
    <format dxfId="83">
      <pivotArea field="19" grandCol="1" outline="0" axis="axisCol" fieldPosition="0">
        <references count="1">
          <reference field="4294967294" count="1" selected="0">
            <x v="1"/>
          </reference>
        </references>
      </pivotArea>
    </format>
    <format dxfId="84">
      <pivotArea field="19" grandRow="1" outline="0" axis="axisCol" fieldPosition="0">
        <references count="2">
          <reference field="4294967294" count="1" selected="0">
            <x v="1"/>
          </reference>
          <reference field="19" count="1" selected="0">
            <x v="0"/>
          </reference>
        </references>
      </pivotArea>
    </format>
    <format dxfId="85">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2">
      <pivotArea outline="0" fieldPosition="0">
        <references count="3">
          <reference field="4294967294" count="1" selected="0">
            <x v="1"/>
          </reference>
          <reference field="8" count="1" selected="0">
            <x v="0"/>
          </reference>
          <reference field="21" count="1" selected="0">
            <x v="0"/>
          </reference>
        </references>
      </pivotArea>
    </format>
    <format dxfId="53">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4">
      <pivotArea field="21" grandRow="1" outline="0" axis="axisCol" fieldPosition="0">
        <references count="2">
          <reference field="4294967294" count="1" selected="0">
            <x v="1"/>
          </reference>
          <reference field="21" count="1" selected="0">
            <x v="0"/>
          </reference>
        </references>
      </pivotArea>
    </format>
    <format dxfId="55">
      <pivotArea outline="0" fieldPosition="0">
        <references count="2">
          <reference field="4294967294" count="1" selected="0">
            <x v="1"/>
          </reference>
          <reference field="21" count="1" selected="0">
            <x v="1"/>
          </reference>
        </references>
      </pivotArea>
    </format>
    <format dxfId="56">
      <pivotArea outline="0" fieldPosition="0">
        <references count="2">
          <reference field="4294967294" count="1" selected="0">
            <x v="1"/>
          </reference>
          <reference field="21" count="1" selected="0">
            <x v="2"/>
          </reference>
        </references>
      </pivotArea>
    </format>
    <format dxfId="57">
      <pivotArea outline="0" fieldPosition="0">
        <references count="2">
          <reference field="4294967294" count="1" selected="0">
            <x v="1"/>
          </reference>
          <reference field="21" count="1" selected="0">
            <x v="3"/>
          </reference>
        </references>
      </pivotArea>
    </format>
    <format dxfId="58">
      <pivotArea field="21" grandCol="1" outline="0" axis="axisCol" fieldPosition="0">
        <references count="1">
          <reference field="4294967294" count="1" selected="0">
            <x v="1"/>
          </reference>
        </references>
      </pivotArea>
    </format>
    <format dxfId="59">
      <pivotArea outline="0" fieldPosition="0">
        <references count="2">
          <reference field="4294967294" count="2" selected="0">
            <x v="0"/>
            <x v="1"/>
          </reference>
          <reference field="21" count="1" selected="0">
            <x v="0"/>
          </reference>
        </references>
      </pivotArea>
    </format>
    <format dxfId="60">
      <pivotArea dataOnly="0" labelOnly="1" outline="0" fieldPosition="0">
        <references count="1">
          <reference field="21" count="1">
            <x v="0"/>
          </reference>
        </references>
      </pivotArea>
    </format>
    <format dxfId="61">
      <pivotArea dataOnly="0" labelOnly="1" outline="0" fieldPosition="0">
        <references count="2">
          <reference field="4294967294" count="2">
            <x v="0"/>
            <x v="1"/>
          </reference>
          <reference field="21" count="1" selected="0">
            <x v="0"/>
          </reference>
        </references>
      </pivotArea>
    </format>
    <format dxfId="62">
      <pivotArea outline="0" fieldPosition="0">
        <references count="2">
          <reference field="4294967294" count="2" selected="0">
            <x v="0"/>
            <x v="1"/>
          </reference>
          <reference field="21" count="1" selected="0">
            <x v="1"/>
          </reference>
        </references>
      </pivotArea>
    </format>
    <format dxfId="63">
      <pivotArea dataOnly="0" labelOnly="1" outline="0" fieldPosition="0">
        <references count="1">
          <reference field="21" count="1">
            <x v="1"/>
          </reference>
        </references>
      </pivotArea>
    </format>
    <format dxfId="64">
      <pivotArea dataOnly="0" labelOnly="1" outline="0" fieldPosition="0">
        <references count="2">
          <reference field="4294967294" count="2">
            <x v="0"/>
            <x v="1"/>
          </reference>
          <reference field="21" count="1" selected="0">
            <x v="1"/>
          </reference>
        </references>
      </pivotArea>
    </format>
    <format dxfId="65">
      <pivotArea outline="0" fieldPosition="0">
        <references count="2">
          <reference field="4294967294" count="2" selected="0">
            <x v="0"/>
            <x v="1"/>
          </reference>
          <reference field="21" count="1" selected="0">
            <x v="2"/>
          </reference>
        </references>
      </pivotArea>
    </format>
    <format dxfId="66">
      <pivotArea dataOnly="0" labelOnly="1" outline="0" fieldPosition="0">
        <references count="1">
          <reference field="21" count="1">
            <x v="2"/>
          </reference>
        </references>
      </pivotArea>
    </format>
    <format dxfId="67">
      <pivotArea dataOnly="0" labelOnly="1" outline="0" fieldPosition="0">
        <references count="2">
          <reference field="4294967294" count="2">
            <x v="0"/>
            <x v="1"/>
          </reference>
          <reference field="21" count="1" selected="0">
            <x v="2"/>
          </reference>
        </references>
      </pivotArea>
    </format>
    <format dxfId="68">
      <pivotArea outline="0" fieldPosition="0">
        <references count="2">
          <reference field="4294967294" count="2" selected="0">
            <x v="0"/>
            <x v="1"/>
          </reference>
          <reference field="21" count="1" selected="0">
            <x v="3"/>
          </reference>
        </references>
      </pivotArea>
    </format>
    <format dxfId="69">
      <pivotArea dataOnly="0" labelOnly="1" outline="0" fieldPosition="0">
        <references count="1">
          <reference field="21" count="1">
            <x v="3"/>
          </reference>
        </references>
      </pivotArea>
    </format>
    <format dxfId="70">
      <pivotArea dataOnly="0" labelOnly="1" outline="0" fieldPosition="0">
        <references count="2">
          <reference field="4294967294" count="2">
            <x v="0"/>
            <x v="1"/>
          </reference>
          <reference field="21" count="1" selected="0">
            <x v="3"/>
          </reference>
        </references>
      </pivotArea>
    </format>
    <format dxfId="71">
      <pivotArea field="21" grandCol="1" outline="0" axis="axisCol" fieldPosition="0">
        <references count="1">
          <reference field="4294967294" count="2" selected="0">
            <x v="0"/>
            <x v="1"/>
          </reference>
        </references>
      </pivotArea>
    </format>
    <format dxfId="72">
      <pivotArea field="21" dataOnly="0" labelOnly="1" grandCol="1" outline="0" axis="axisCol" fieldPosition="0">
        <references count="1">
          <reference field="4294967294" count="1" selected="0">
            <x v="0"/>
          </reference>
        </references>
      </pivotArea>
    </format>
    <format dxfId="73">
      <pivotArea field="21" dataOnly="0" labelOnly="1" grandCol="1" outline="0" axis="axisCol" fieldPosition="0">
        <references count="1">
          <reference field="4294967294" count="1" selected="0">
            <x v="1"/>
          </reference>
        </references>
      </pivotArea>
    </format>
    <format dxfId="74">
      <pivotArea type="origin" dataOnly="0" labelOnly="1" outline="0" offset="A2" fieldPosition="0"/>
    </format>
    <format dxfId="75">
      <pivotArea field="8" type="button" dataOnly="0" labelOnly="1" outline="0" axis="axisRow" fieldPosition="0"/>
    </format>
    <format dxfId="76">
      <pivotArea dataOnly="0" labelOnly="1" outline="0" fieldPosition="0">
        <references count="1">
          <reference field="8" count="0"/>
        </references>
      </pivotArea>
    </format>
    <format dxfId="77">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57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5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57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57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0">
      <pivotArea field="6" type="button" dataOnly="0" labelOnly="1" outline="0" axis="axisRow"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5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0">
      <pivotArea field="6" type="button" dataOnly="0" labelOnly="1" outline="0" axis="axisRow"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1">
      <pivotArea field="6" type="button" dataOnly="0" labelOnly="1" outline="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6">
      <pivotArea field="6" type="button" dataOnly="0" labelOnly="1" outline="0"/>
    </format>
    <format dxfId="7">
      <pivotArea dataOnly="0" labelOnly="1" grandCol="1" outline="0" fieldPosition="0"/>
    </format>
    <format dxfId="8">
      <pivotArea dataOnly="0" labelOnly="1" grandCol="1" outline="0" fieldPosition="0"/>
    </format>
    <format dxfId="9">
      <pivotArea dataOnly="0" labelOnly="1" grandCol="1" outline="0" fieldPosition="0"/>
    </format>
    <format dxfId="10">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57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57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57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abSelected="1" topLeftCell="A19" zoomScale="48" zoomScaleNormal="48" workbookViewId="0">
      <selection activeCell="O37" sqref="O3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K198" activePane="bottomLeft" state="frozen"/>
      <selection pane="bottomLeft" activeCell="W213" sqref="W213:W214"/>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45995</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45995</v>
      </c>
      <c r="N3" s="14"/>
      <c r="O3" s="43"/>
      <c r="P3" s="14"/>
      <c r="Q3" s="14"/>
      <c r="R3" s="12">
        <f t="shared" si="1"/>
        <v>54</v>
      </c>
      <c r="S3" s="25">
        <v>45163</v>
      </c>
      <c r="T3" s="12" t="s">
        <v>38</v>
      </c>
      <c r="U3" s="60">
        <f t="shared" si="2"/>
        <v>54</v>
      </c>
      <c r="V3" s="53" t="str">
        <f t="shared" si="3"/>
        <v>Completed:Delayed</v>
      </c>
      <c r="W3" s="56">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45995</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45995</v>
      </c>
      <c r="N5" s="13"/>
      <c r="O5" s="13"/>
      <c r="P5" s="13"/>
      <c r="Q5" s="12"/>
      <c r="R5" s="12">
        <f t="shared" si="1"/>
        <v>93</v>
      </c>
      <c r="S5" s="25">
        <v>43787</v>
      </c>
      <c r="T5" s="12" t="s">
        <v>38</v>
      </c>
      <c r="U5" s="60">
        <f t="shared" si="2"/>
        <v>93</v>
      </c>
      <c r="V5" s="53" t="str">
        <f t="shared" si="3"/>
        <v>Completed:Delayed</v>
      </c>
      <c r="W5" s="56">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45995</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45995</v>
      </c>
      <c r="N7" s="14">
        <f ca="1">DATEDIF(L7,M7,"M") +1</f>
        <v>166</v>
      </c>
      <c r="O7" s="43"/>
      <c r="P7" s="14"/>
      <c r="Q7" s="14"/>
      <c r="R7" s="12">
        <f t="shared" ca="1" si="1"/>
        <v>166</v>
      </c>
      <c r="S7" s="25">
        <v>45183</v>
      </c>
      <c r="T7" s="12" t="s">
        <v>38</v>
      </c>
      <c r="U7" s="60">
        <f t="shared" si="2"/>
        <v>139</v>
      </c>
      <c r="V7" s="53" t="str">
        <f t="shared" si="3"/>
        <v>Completed:Delayed</v>
      </c>
      <c r="W7" s="56">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45995</v>
      </c>
      <c r="N8" s="13"/>
      <c r="O8" s="13"/>
      <c r="P8" s="13"/>
      <c r="Q8" s="12"/>
      <c r="R8" s="12">
        <f t="shared" si="1"/>
        <v>56</v>
      </c>
      <c r="S8" s="25">
        <v>43038</v>
      </c>
      <c r="T8" s="12" t="s">
        <v>38</v>
      </c>
      <c r="U8" s="60">
        <f t="shared" si="2"/>
        <v>56</v>
      </c>
      <c r="V8" s="53" t="str">
        <f t="shared" si="3"/>
        <v>Completed:Delayed</v>
      </c>
      <c r="W8" s="56">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45995</v>
      </c>
      <c r="N9" s="14"/>
      <c r="O9" s="43"/>
      <c r="P9" s="14"/>
      <c r="Q9" s="14"/>
      <c r="R9" s="12">
        <f t="shared" si="1"/>
        <v>51</v>
      </c>
      <c r="S9" s="25">
        <v>44682</v>
      </c>
      <c r="T9" s="12" t="s">
        <v>38</v>
      </c>
      <c r="U9" s="60">
        <f t="shared" si="2"/>
        <v>51</v>
      </c>
      <c r="V9" s="53" t="str">
        <f t="shared" si="3"/>
        <v xml:space="preserve"> Completed:On time</v>
      </c>
      <c r="W9" s="56">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45995</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45995</v>
      </c>
      <c r="N11" s="13"/>
      <c r="O11" s="13"/>
      <c r="P11" s="13"/>
      <c r="Q11" s="12"/>
      <c r="R11" s="12">
        <f t="shared" si="1"/>
        <v>52</v>
      </c>
      <c r="S11" s="25">
        <v>42916</v>
      </c>
      <c r="T11" s="12" t="s">
        <v>38</v>
      </c>
      <c r="U11" s="60">
        <f t="shared" si="2"/>
        <v>52</v>
      </c>
      <c r="V11" s="53" t="str">
        <f t="shared" si="3"/>
        <v>Completed:Delayed</v>
      </c>
      <c r="W11" s="56">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45995</v>
      </c>
      <c r="N12" s="13"/>
      <c r="O12" s="13"/>
      <c r="P12" s="13"/>
      <c r="Q12" s="12"/>
      <c r="R12" s="12">
        <f t="shared" si="1"/>
        <v>69</v>
      </c>
      <c r="S12" s="25">
        <v>43799</v>
      </c>
      <c r="T12" s="12" t="s">
        <v>38</v>
      </c>
      <c r="U12" s="60">
        <f t="shared" si="2"/>
        <v>69</v>
      </c>
      <c r="V12" s="53" t="str">
        <f t="shared" si="3"/>
        <v>Completed:Delayed</v>
      </c>
      <c r="W12" s="56">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45995</v>
      </c>
      <c r="N13" s="14"/>
      <c r="O13" s="25"/>
      <c r="P13" s="25"/>
      <c r="Q13" s="14"/>
      <c r="R13" s="12">
        <f t="shared" si="1"/>
        <v>59</v>
      </c>
      <c r="S13" s="25">
        <v>45313</v>
      </c>
      <c r="T13" s="12" t="s">
        <v>38</v>
      </c>
      <c r="U13" s="60">
        <f t="shared" si="2"/>
        <v>59</v>
      </c>
      <c r="V13" s="53" t="str">
        <f t="shared" si="3"/>
        <v>Completed:Delayed</v>
      </c>
      <c r="W13" s="56">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45995</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45995</v>
      </c>
      <c r="N15" s="14">
        <f ca="1">DATEDIF(L15,M15,"M") +1</f>
        <v>70</v>
      </c>
      <c r="O15" s="43"/>
      <c r="P15" s="14"/>
      <c r="Q15" s="14"/>
      <c r="R15" s="12">
        <f t="shared" ca="1" si="1"/>
        <v>70</v>
      </c>
      <c r="S15" s="25">
        <v>45538</v>
      </c>
      <c r="T15" s="12" t="s">
        <v>38</v>
      </c>
      <c r="U15" s="60">
        <f t="shared" si="2"/>
        <v>55</v>
      </c>
      <c r="V15" s="53" t="str">
        <f t="shared" si="3"/>
        <v>Completed:Delayed</v>
      </c>
      <c r="W15" s="56">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45995</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45995</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45995</v>
      </c>
      <c r="N18" s="13"/>
      <c r="O18" s="13"/>
      <c r="P18" s="13"/>
      <c r="Q18" s="12"/>
      <c r="R18" s="12">
        <f t="shared" si="1"/>
        <v>82</v>
      </c>
      <c r="S18" s="25">
        <v>43819</v>
      </c>
      <c r="T18" s="12" t="s">
        <v>38</v>
      </c>
      <c r="U18" s="60">
        <f t="shared" si="2"/>
        <v>82</v>
      </c>
      <c r="V18" s="53" t="str">
        <f t="shared" si="3"/>
        <v>Completed:Delayed</v>
      </c>
      <c r="W18" s="56">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45995</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45995</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45995</v>
      </c>
      <c r="N21" s="14"/>
      <c r="O21" s="43"/>
      <c r="P21" s="14"/>
      <c r="Q21" s="14"/>
      <c r="R21" s="12">
        <f t="shared" si="1"/>
        <v>58</v>
      </c>
      <c r="S21" s="25">
        <v>44900</v>
      </c>
      <c r="T21" s="12" t="s">
        <v>38</v>
      </c>
      <c r="U21" s="60">
        <f t="shared" si="2"/>
        <v>58</v>
      </c>
      <c r="V21" s="53" t="str">
        <f t="shared" si="3"/>
        <v>Completed:Delayed</v>
      </c>
      <c r="W21" s="56">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45995</v>
      </c>
      <c r="N22" s="13"/>
      <c r="O22" s="13"/>
      <c r="P22" s="13"/>
      <c r="Q22" s="12"/>
      <c r="R22" s="12">
        <f t="shared" si="1"/>
        <v>57</v>
      </c>
      <c r="S22" s="25">
        <v>42704</v>
      </c>
      <c r="T22" s="12" t="s">
        <v>38</v>
      </c>
      <c r="U22" s="60">
        <f t="shared" si="2"/>
        <v>57</v>
      </c>
      <c r="V22" s="53" t="str">
        <f t="shared" si="3"/>
        <v>Completed:Delayed</v>
      </c>
      <c r="W22" s="56">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45995</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45995</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45995</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45995</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45995</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45995</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45995</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45995</v>
      </c>
      <c r="N30" s="14">
        <f ca="1">DATEDIF(L30,M30,"M") +1</f>
        <v>166</v>
      </c>
      <c r="O30" s="43"/>
      <c r="P30" s="14"/>
      <c r="Q30" s="14"/>
      <c r="R30" s="12">
        <f t="shared" ca="1" si="1"/>
        <v>166</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45995</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45995</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45995</v>
      </c>
      <c r="N33" s="14"/>
      <c r="O33" s="43"/>
      <c r="P33" s="14"/>
      <c r="Q33" s="14"/>
      <c r="R33" s="12">
        <f t="shared" si="1"/>
        <v>91</v>
      </c>
      <c r="S33" s="26">
        <v>44442</v>
      </c>
      <c r="T33" s="12" t="s">
        <v>38</v>
      </c>
      <c r="U33" s="60">
        <f t="shared" si="5"/>
        <v>91</v>
      </c>
      <c r="V33" s="53" t="str">
        <f t="shared" si="6"/>
        <v>Completed:Delayed</v>
      </c>
      <c r="W33" s="56">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45995</v>
      </c>
      <c r="N34" s="14"/>
      <c r="O34" s="43"/>
      <c r="P34" s="14"/>
      <c r="Q34" s="14"/>
      <c r="R34" s="12">
        <f t="shared" si="1"/>
        <v>55</v>
      </c>
      <c r="S34" s="25">
        <v>44468</v>
      </c>
      <c r="T34" s="12" t="s">
        <v>38</v>
      </c>
      <c r="U34" s="60">
        <f t="shared" si="5"/>
        <v>55</v>
      </c>
      <c r="V34" s="53" t="str">
        <f t="shared" si="6"/>
        <v>Completed:Delayed</v>
      </c>
      <c r="W34" s="56">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45995</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45995</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45995</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45995</v>
      </c>
      <c r="N38" s="13"/>
      <c r="O38" s="13"/>
      <c r="P38" s="13"/>
      <c r="Q38" s="12"/>
      <c r="R38" s="12">
        <f t="shared" si="1"/>
        <v>57</v>
      </c>
      <c r="S38" s="25">
        <v>43069</v>
      </c>
      <c r="T38" s="12" t="s">
        <v>38</v>
      </c>
      <c r="U38" s="60">
        <f t="shared" si="8"/>
        <v>57</v>
      </c>
      <c r="V38" s="53" t="str">
        <f t="shared" si="9"/>
        <v>Completed:Delayed</v>
      </c>
      <c r="W38" s="56">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45995</v>
      </c>
      <c r="N39" s="14"/>
      <c r="O39" s="43"/>
      <c r="P39" s="14"/>
      <c r="Q39" s="14"/>
      <c r="R39" s="12">
        <f t="shared" si="1"/>
        <v>55</v>
      </c>
      <c r="S39" s="25">
        <v>45174</v>
      </c>
      <c r="T39" s="12" t="s">
        <v>38</v>
      </c>
      <c r="U39" s="60">
        <f t="shared" si="8"/>
        <v>55</v>
      </c>
      <c r="V39" s="53" t="str">
        <f t="shared" si="9"/>
        <v>Completed:Delayed</v>
      </c>
      <c r="W39" s="56">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45995</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45995</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45995</v>
      </c>
      <c r="N42" s="14"/>
      <c r="O42" s="43"/>
      <c r="P42" s="14"/>
      <c r="Q42" s="14"/>
      <c r="R42" s="12">
        <f t="shared" si="1"/>
        <v>89</v>
      </c>
      <c r="S42" s="25">
        <v>44392</v>
      </c>
      <c r="T42" s="12" t="s">
        <v>38</v>
      </c>
      <c r="U42" s="60">
        <f t="shared" si="8"/>
        <v>89</v>
      </c>
      <c r="V42" s="53" t="str">
        <f t="shared" si="9"/>
        <v>Completed:Delayed</v>
      </c>
      <c r="W42" s="56">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45995</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45995</v>
      </c>
      <c r="N44" s="13"/>
      <c r="O44" s="13"/>
      <c r="P44" s="13"/>
      <c r="Q44" s="12"/>
      <c r="R44" s="12">
        <f t="shared" si="1"/>
        <v>57</v>
      </c>
      <c r="S44" s="25">
        <v>42704</v>
      </c>
      <c r="T44" s="12" t="s">
        <v>38</v>
      </c>
      <c r="U44" s="60">
        <f t="shared" si="8"/>
        <v>57</v>
      </c>
      <c r="V44" s="53" t="str">
        <f t="shared" si="9"/>
        <v>Completed:Delayed</v>
      </c>
      <c r="W44" s="56">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45995</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45995</v>
      </c>
      <c r="N46" s="14">
        <f ca="1">DATEDIF(L46,M46,"M") +1</f>
        <v>154</v>
      </c>
      <c r="O46" s="43"/>
      <c r="P46" s="14"/>
      <c r="Q46" s="14"/>
      <c r="R46" s="12">
        <f t="shared" ca="1" si="1"/>
        <v>154</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45995</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45995</v>
      </c>
      <c r="N48" s="14">
        <f ca="1">DATEDIF(L48,M48,"M") +1</f>
        <v>154</v>
      </c>
      <c r="O48" s="43"/>
      <c r="P48" s="14"/>
      <c r="Q48" s="14"/>
      <c r="R48" s="12">
        <f t="shared" ca="1" si="1"/>
        <v>154</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45995</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45995</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45995</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45995</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45995</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45995</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45995</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45995</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45995</v>
      </c>
      <c r="N57" s="14">
        <f ca="1">DATEDIF(L57,M57,"M") +1</f>
        <v>154</v>
      </c>
      <c r="O57" s="43"/>
      <c r="P57" s="14"/>
      <c r="Q57" s="14"/>
      <c r="R57" s="12">
        <f t="shared" ca="1" si="1"/>
        <v>154</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45995</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45995</v>
      </c>
      <c r="N59" s="14">
        <f ca="1">DATEDIF(L59,M59,"M") +1</f>
        <v>94</v>
      </c>
      <c r="O59" s="43"/>
      <c r="P59" s="14"/>
      <c r="Q59" s="14"/>
      <c r="R59" s="12">
        <f t="shared" ca="1" si="1"/>
        <v>94</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45995</v>
      </c>
      <c r="N60" s="14"/>
      <c r="O60" s="43"/>
      <c r="P60" s="14"/>
      <c r="Q60" s="14"/>
      <c r="R60" s="12">
        <f t="shared" si="1"/>
        <v>69</v>
      </c>
      <c r="S60" s="25">
        <v>44879</v>
      </c>
      <c r="T60" s="12" t="s">
        <v>38</v>
      </c>
      <c r="U60" s="60">
        <f t="shared" si="14"/>
        <v>69</v>
      </c>
      <c r="V60" s="53" t="str">
        <f t="shared" si="15"/>
        <v>Completed:Delayed</v>
      </c>
      <c r="W60" s="56">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45995</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45995</v>
      </c>
      <c r="N62" s="14"/>
      <c r="O62" s="43"/>
      <c r="P62" s="14"/>
      <c r="Q62" s="14"/>
      <c r="R62" s="12">
        <f t="shared" si="1"/>
        <v>93</v>
      </c>
      <c r="S62" s="25">
        <v>44508</v>
      </c>
      <c r="T62" s="12" t="s">
        <v>38</v>
      </c>
      <c r="U62" s="60">
        <f t="shared" si="14"/>
        <v>93</v>
      </c>
      <c r="V62" s="53" t="str">
        <f t="shared" si="15"/>
        <v>Completed:Delayed</v>
      </c>
      <c r="W62" s="56">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45995</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45995</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45995</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45995</v>
      </c>
      <c r="N66" s="14">
        <f ca="1">DATEDIF(L66,M66,"M") +1</f>
        <v>94</v>
      </c>
      <c r="O66" s="43"/>
      <c r="P66" s="14"/>
      <c r="Q66" s="14"/>
      <c r="R66" s="12">
        <f t="shared" ca="1" si="18"/>
        <v>94</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45995</v>
      </c>
      <c r="N67" s="13"/>
      <c r="O67" s="13"/>
      <c r="P67" s="13"/>
      <c r="Q67" s="12"/>
      <c r="R67" s="12">
        <f t="shared" si="18"/>
        <v>76</v>
      </c>
      <c r="S67" s="25">
        <v>42947</v>
      </c>
      <c r="T67" s="12" t="s">
        <v>38</v>
      </c>
      <c r="U67" s="60">
        <f t="shared" si="14"/>
        <v>76</v>
      </c>
      <c r="V67" s="53" t="str">
        <f t="shared" si="15"/>
        <v>Completed:Delayed</v>
      </c>
      <c r="W67" s="56">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45995</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45995</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45995</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45995</v>
      </c>
      <c r="N71" s="13"/>
      <c r="O71" s="13"/>
      <c r="P71" s="13"/>
      <c r="Q71" s="12"/>
      <c r="R71" s="12">
        <f t="shared" si="18"/>
        <v>65</v>
      </c>
      <c r="S71" s="25">
        <v>42613</v>
      </c>
      <c r="T71" s="12" t="s">
        <v>38</v>
      </c>
      <c r="U71" s="60">
        <f t="shared" si="14"/>
        <v>65</v>
      </c>
      <c r="V71" s="53" t="str">
        <f t="shared" si="15"/>
        <v>Completed:Delayed</v>
      </c>
      <c r="W71" s="56">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45995</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45995</v>
      </c>
      <c r="N73" s="14">
        <f ca="1">DATEDIF(L73,M73,"M") +1</f>
        <v>142</v>
      </c>
      <c r="O73" s="43"/>
      <c r="P73" s="14"/>
      <c r="Q73" s="14"/>
      <c r="R73" s="12">
        <f t="shared" ca="1" si="18"/>
        <v>142</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45995</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45995</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45995</v>
      </c>
      <c r="N76" s="14"/>
      <c r="O76" s="43"/>
      <c r="P76" s="14"/>
      <c r="Q76" s="14"/>
      <c r="R76" s="12">
        <f t="shared" si="18"/>
        <v>70</v>
      </c>
      <c r="S76" s="25">
        <v>44539</v>
      </c>
      <c r="T76" s="12" t="s">
        <v>38</v>
      </c>
      <c r="U76" s="60">
        <f t="shared" si="19"/>
        <v>70</v>
      </c>
      <c r="V76" s="53" t="str">
        <f t="shared" si="20"/>
        <v>Completed:Delayed</v>
      </c>
      <c r="W76" s="56">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45995</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45995</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45995</v>
      </c>
      <c r="N79" s="13"/>
      <c r="O79" s="13"/>
      <c r="P79" s="13"/>
      <c r="Q79" s="12"/>
      <c r="R79" s="12">
        <f t="shared" si="18"/>
        <v>56</v>
      </c>
      <c r="S79" s="25">
        <v>43399</v>
      </c>
      <c r="T79" s="12" t="s">
        <v>38</v>
      </c>
      <c r="U79" s="60">
        <f t="shared" si="19"/>
        <v>56</v>
      </c>
      <c r="V79" s="53" t="str">
        <f t="shared" si="20"/>
        <v>Completed:Delayed</v>
      </c>
      <c r="W79" s="56">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45995</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45995</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45995</v>
      </c>
      <c r="N82" s="13"/>
      <c r="O82" s="13"/>
      <c r="P82" s="13"/>
      <c r="Q82" s="12"/>
      <c r="R82" s="12">
        <f t="shared" si="18"/>
        <v>70</v>
      </c>
      <c r="S82" s="25">
        <v>43830</v>
      </c>
      <c r="T82" s="12" t="s">
        <v>38</v>
      </c>
      <c r="U82" s="60">
        <f t="shared" si="19"/>
        <v>70</v>
      </c>
      <c r="V82" s="53" t="str">
        <f t="shared" si="20"/>
        <v>Completed:Delayed</v>
      </c>
      <c r="W82" s="56">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45995</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45995</v>
      </c>
      <c r="N84" s="14">
        <f ca="1">DATEDIF(L84,M84,"M") +1</f>
        <v>70</v>
      </c>
      <c r="O84" s="43"/>
      <c r="P84" s="14"/>
      <c r="Q84" s="14"/>
      <c r="R84" s="12">
        <f t="shared" ca="1" si="18"/>
        <v>70</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45995</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45995</v>
      </c>
      <c r="N86" s="14">
        <f ca="1">DATEDIF(L86,M86,"M") +1</f>
        <v>70</v>
      </c>
      <c r="O86" s="43"/>
      <c r="P86" s="14"/>
      <c r="Q86" s="14"/>
      <c r="R86" s="12">
        <f t="shared" ca="1" si="18"/>
        <v>70</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45995</v>
      </c>
      <c r="N87" s="13"/>
      <c r="O87" s="13"/>
      <c r="P87" s="13"/>
      <c r="Q87" s="12"/>
      <c r="R87" s="12">
        <f t="shared" si="18"/>
        <v>69</v>
      </c>
      <c r="S87" s="25">
        <v>44160</v>
      </c>
      <c r="T87" s="12" t="s">
        <v>38</v>
      </c>
      <c r="U87" s="60">
        <f t="shared" si="19"/>
        <v>69</v>
      </c>
      <c r="V87" s="53" t="str">
        <f t="shared" si="20"/>
        <v>Completed:Delayed</v>
      </c>
      <c r="W87" s="56">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45995</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45995</v>
      </c>
      <c r="N89" s="14"/>
      <c r="O89" s="43"/>
      <c r="P89" s="14"/>
      <c r="Q89" s="14"/>
      <c r="R89" s="12">
        <f t="shared" si="18"/>
        <v>72</v>
      </c>
      <c r="S89" s="25">
        <v>44607</v>
      </c>
      <c r="T89" s="12" t="s">
        <v>38</v>
      </c>
      <c r="U89" s="60">
        <f t="shared" si="19"/>
        <v>72</v>
      </c>
      <c r="V89" s="53" t="str">
        <f t="shared" si="20"/>
        <v>Completed:Delayed</v>
      </c>
      <c r="W89" s="56">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45995</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45995</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45995</v>
      </c>
      <c r="N92" s="14">
        <f ca="1">DATEDIF(L92,M92,"M") +1</f>
        <v>130</v>
      </c>
      <c r="O92" s="43"/>
      <c r="P92" s="14"/>
      <c r="Q92" s="14"/>
      <c r="R92" s="12">
        <f t="shared" ca="1" si="18"/>
        <v>130</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45995</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45995</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45995</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45995</v>
      </c>
      <c r="N96" s="14">
        <f ca="1">DATEDIF(L96,M96,"M") +1</f>
        <v>130</v>
      </c>
      <c r="O96" s="43"/>
      <c r="P96" s="14"/>
      <c r="Q96" s="14"/>
      <c r="R96" s="12">
        <f t="shared" ca="1" si="18"/>
        <v>130</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45995</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45995</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45995</v>
      </c>
      <c r="N99" s="14">
        <f ca="1">DATEDIF(L99,M99,"M") +1</f>
        <v>118</v>
      </c>
      <c r="O99" s="43"/>
      <c r="P99" s="14"/>
      <c r="Q99" s="14"/>
      <c r="R99" s="12">
        <f t="shared" ca="1" si="18"/>
        <v>118</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45995</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45995</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45995</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45995</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45995</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45995</v>
      </c>
      <c r="N105" s="14">
        <f ca="1">DATEDIF(L105,M105,"M") +1</f>
        <v>70</v>
      </c>
      <c r="O105" s="43"/>
      <c r="P105" s="14"/>
      <c r="Q105" s="14"/>
      <c r="R105" s="12">
        <f t="shared" ca="1" si="18"/>
        <v>70</v>
      </c>
      <c r="S105" s="25">
        <v>45596</v>
      </c>
      <c r="T105" s="12" t="s">
        <v>38</v>
      </c>
      <c r="U105" s="60">
        <f t="shared" si="22"/>
        <v>56</v>
      </c>
      <c r="V105" s="53" t="str">
        <f t="shared" si="23"/>
        <v>Completed:Delayed</v>
      </c>
      <c r="W105" s="56">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45995</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45995</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45995</v>
      </c>
      <c r="N108" s="14">
        <f ca="1">DATEDIF(L108,M108,"M") +1</f>
        <v>82</v>
      </c>
      <c r="O108" s="43"/>
      <c r="P108" s="14"/>
      <c r="Q108" s="14"/>
      <c r="R108" s="12">
        <f t="shared" ca="1" si="18"/>
        <v>82</v>
      </c>
      <c r="S108" s="25">
        <v>45443</v>
      </c>
      <c r="T108" s="12" t="s">
        <v>38</v>
      </c>
      <c r="U108" s="60">
        <f t="shared" si="22"/>
        <v>63</v>
      </c>
      <c r="V108" s="53" t="str">
        <f t="shared" si="23"/>
        <v>Completed:Delayed</v>
      </c>
      <c r="W108" s="56">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45995</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45995</v>
      </c>
      <c r="N110" s="14">
        <f ca="1">DATEDIF(L110,M110,"M") +1</f>
        <v>94</v>
      </c>
      <c r="O110" s="43"/>
      <c r="P110" s="14"/>
      <c r="Q110" s="14"/>
      <c r="R110" s="12">
        <f t="shared" ca="1" si="18"/>
        <v>94</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45995</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45995</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45995</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45995</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45995</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45995</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45995</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45995</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45995</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45995</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45995</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45995</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45995</v>
      </c>
      <c r="N123" s="14">
        <f ca="1">DATEDIF(L123,M123,"M") +1</f>
        <v>106</v>
      </c>
      <c r="O123" s="43"/>
      <c r="P123" s="14"/>
      <c r="Q123" s="14"/>
      <c r="R123" s="12">
        <f t="shared" ca="1" si="18"/>
        <v>106</v>
      </c>
      <c r="S123" s="25">
        <v>45595</v>
      </c>
      <c r="T123" s="12" t="s">
        <v>38</v>
      </c>
      <c r="U123" s="60">
        <f t="shared" si="22"/>
        <v>92</v>
      </c>
      <c r="V123" s="53" t="str">
        <f t="shared" si="23"/>
        <v>Completed:Delayed</v>
      </c>
      <c r="W123" s="56">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45995</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45995</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45995</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45995</v>
      </c>
      <c r="N127" s="14">
        <f ca="1">DATEDIF(L127,M127,"M") +1</f>
        <v>118</v>
      </c>
      <c r="O127" s="43"/>
      <c r="P127" s="14"/>
      <c r="Q127" s="14"/>
      <c r="R127" s="12">
        <f t="shared" ca="1" si="26"/>
        <v>118</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45995</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45995</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45995</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45995</v>
      </c>
      <c r="N131" s="14">
        <f ca="1">DATEDIF(L131,M131,"M") +1</f>
        <v>106</v>
      </c>
      <c r="O131" s="43"/>
      <c r="P131" s="14"/>
      <c r="Q131" s="14"/>
      <c r="R131" s="12">
        <f t="shared" ca="1" si="26"/>
        <v>106</v>
      </c>
      <c r="S131" s="25">
        <v>45852</v>
      </c>
      <c r="T131" s="12" t="s">
        <v>38</v>
      </c>
      <c r="U131" s="60">
        <f>DATEDIF(L131,S131,"M")+1-Q131</f>
        <v>101</v>
      </c>
      <c r="V131" s="53" t="str">
        <f>IF(U131&gt;51,"Completed:Delayed"," Completed:On time")</f>
        <v>Completed:Delayed</v>
      </c>
      <c r="W131" s="56">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45995</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45995</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45995</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45995</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45995</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45995</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45995</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45995</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45995</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45995</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45995</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45995</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45995</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45995</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45995</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45995</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45995</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45995</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45995</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45995</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45995</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45995</v>
      </c>
      <c r="N153" s="14">
        <f ca="1">DATEDIF(L153,M153,"M") +1</f>
        <v>94</v>
      </c>
      <c r="O153" s="43"/>
      <c r="P153" s="14"/>
      <c r="Q153" s="14"/>
      <c r="R153" s="12">
        <f t="shared" ca="1" si="26"/>
        <v>94</v>
      </c>
      <c r="S153" s="25">
        <v>45776</v>
      </c>
      <c r="T153" s="12" t="s">
        <v>38</v>
      </c>
      <c r="U153" s="60">
        <f t="shared" si="29"/>
        <v>86</v>
      </c>
      <c r="V153" s="53" t="str">
        <f t="shared" si="30"/>
        <v>Completed:Delayed</v>
      </c>
      <c r="W153" s="56">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45995</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45995</v>
      </c>
      <c r="N155" s="14">
        <f ca="1">DATEDIF(L155,M155,"M") +1</f>
        <v>94</v>
      </c>
      <c r="O155" s="43"/>
      <c r="P155" s="14"/>
      <c r="Q155" s="14"/>
      <c r="R155" s="12">
        <f t="shared" ca="1" si="26"/>
        <v>94</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45995</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45995</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45995</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45995</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45995</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45995</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45995</v>
      </c>
      <c r="N162" s="14">
        <f ca="1">DATEDIF(L162,M162,"M") +1</f>
        <v>94</v>
      </c>
      <c r="O162" s="43"/>
      <c r="P162" s="14"/>
      <c r="Q162" s="14"/>
      <c r="R162" s="12">
        <f t="shared" ca="1" si="26"/>
        <v>94</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45995</v>
      </c>
      <c r="N163" s="14">
        <f ca="1">DATEDIF(L163,M163,"M") +1</f>
        <v>94</v>
      </c>
      <c r="O163" s="43"/>
      <c r="P163" s="14"/>
      <c r="Q163" s="14"/>
      <c r="R163" s="12">
        <f t="shared" ca="1" si="26"/>
        <v>94</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45995</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45995</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45995</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45995</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45995</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45995</v>
      </c>
      <c r="N169" s="14">
        <f ca="1">DATEDIF(L169,M169,"M") +1</f>
        <v>94</v>
      </c>
      <c r="O169" s="43"/>
      <c r="P169" s="14"/>
      <c r="Q169" s="14"/>
      <c r="R169" s="12">
        <f t="shared" ca="1" si="26"/>
        <v>94</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45995</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45995</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45995</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45995</v>
      </c>
      <c r="N173" s="14">
        <f ca="1">DATEDIF(L173,M173,"M") +1</f>
        <v>94</v>
      </c>
      <c r="O173" s="43"/>
      <c r="P173" s="14"/>
      <c r="Q173" s="14"/>
      <c r="R173" s="12">
        <f t="shared" ca="1" si="26"/>
        <v>94</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45995</v>
      </c>
      <c r="N174" s="14">
        <f ca="1">DATEDIF(L174,M174,"M") +1</f>
        <v>94</v>
      </c>
      <c r="O174" s="43"/>
      <c r="P174" s="14"/>
      <c r="Q174" s="14"/>
      <c r="R174" s="12">
        <f t="shared" ca="1" si="26"/>
        <v>94</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45995</v>
      </c>
      <c r="N175" s="14">
        <f ca="1">DATEDIF(L175,M175,"M") +1</f>
        <v>94</v>
      </c>
      <c r="O175" s="43"/>
      <c r="P175" s="14"/>
      <c r="Q175" s="14"/>
      <c r="R175" s="12">
        <f t="shared" ca="1" si="26"/>
        <v>94</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45995</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45995</v>
      </c>
      <c r="N177" s="14">
        <f ca="1">DATEDIF(L177,M177,"M") +1</f>
        <v>70</v>
      </c>
      <c r="O177" s="25">
        <v>45413</v>
      </c>
      <c r="P177" s="25">
        <v>45535</v>
      </c>
      <c r="Q177" s="14">
        <v>4</v>
      </c>
      <c r="R177" s="12">
        <f t="shared" ca="1" si="26"/>
        <v>70</v>
      </c>
      <c r="S177" s="25">
        <v>45568</v>
      </c>
      <c r="T177" s="12" t="s">
        <v>38</v>
      </c>
      <c r="U177" s="60">
        <f>DATEDIF(L177,S177,"M")+1-Q177</f>
        <v>52</v>
      </c>
      <c r="V177" s="53" t="str">
        <f>IF(U177&gt;51,"Completed:Delayed"," Completed:On time")</f>
        <v>Completed:Delayed</v>
      </c>
      <c r="W177" s="56">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45995</v>
      </c>
      <c r="N178" s="14">
        <f ca="1">DATEDIF(L178,M178,"M") +1</f>
        <v>94</v>
      </c>
      <c r="O178" s="43"/>
      <c r="P178" s="14"/>
      <c r="Q178" s="14"/>
      <c r="R178" s="12">
        <f t="shared" ca="1" si="26"/>
        <v>94</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45995</v>
      </c>
      <c r="N179" s="14">
        <f ca="1">DATEDIF(L179,M179,"M") +1</f>
        <v>82</v>
      </c>
      <c r="O179" s="43"/>
      <c r="P179" s="14"/>
      <c r="Q179" s="14"/>
      <c r="R179" s="12">
        <f t="shared" ca="1" si="26"/>
        <v>82</v>
      </c>
      <c r="S179" s="25">
        <v>45889</v>
      </c>
      <c r="T179" s="12" t="s">
        <v>38</v>
      </c>
      <c r="U179" s="60">
        <f>DATEDIF(L179,S179,"M")+1-Q179</f>
        <v>78</v>
      </c>
      <c r="V179" s="53" t="str">
        <f>IF(U179&gt;51,"Completed:Delayed"," Completed:On time")</f>
        <v>Completed:Delayed</v>
      </c>
      <c r="W179" s="56">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45995</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45995</v>
      </c>
      <c r="N181" s="14">
        <f ca="1">DATEDIF(L181,M181,"M") +1</f>
        <v>82</v>
      </c>
      <c r="O181" s="25">
        <v>45170</v>
      </c>
      <c r="P181" s="25">
        <v>45473</v>
      </c>
      <c r="Q181" s="14">
        <v>10</v>
      </c>
      <c r="R181" s="12">
        <f t="shared" ca="1" si="26"/>
        <v>82</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45995</v>
      </c>
      <c r="N182" s="14">
        <f ca="1">DATEDIF(L182,M182,"M") +1</f>
        <v>82</v>
      </c>
      <c r="O182" s="43"/>
      <c r="P182" s="14"/>
      <c r="Q182" s="14"/>
      <c r="R182" s="12">
        <f t="shared" ca="1" si="26"/>
        <v>82</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45995</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45995</v>
      </c>
      <c r="N184" s="14">
        <f ca="1">DATEDIF(L184,M184,"M") +1</f>
        <v>82</v>
      </c>
      <c r="O184" s="43"/>
      <c r="P184" s="14"/>
      <c r="Q184" s="14"/>
      <c r="R184" s="12">
        <f t="shared" ca="1" si="26"/>
        <v>82</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45995</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45995</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45995</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45995</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45995</v>
      </c>
      <c r="N189" s="14">
        <f ca="1">DATEDIF(L189,M189,"M") +1</f>
        <v>82</v>
      </c>
      <c r="O189" s="43"/>
      <c r="P189" s="14"/>
      <c r="Q189" s="14"/>
      <c r="R189" s="12">
        <f t="shared" ca="1" si="26"/>
        <v>82</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45995</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45995</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45995</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45995</v>
      </c>
      <c r="N193" s="14">
        <f ca="1">DATEDIF(L193,M193,"M") +1</f>
        <v>82</v>
      </c>
      <c r="O193" s="43"/>
      <c r="P193" s="14"/>
      <c r="Q193" s="14"/>
      <c r="R193" s="12">
        <f t="shared" ca="1" si="36"/>
        <v>82</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45995</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45995</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45995</v>
      </c>
      <c r="N196" s="14">
        <f ca="1">DATEDIF(L196,M196,"M") +1</f>
        <v>82</v>
      </c>
      <c r="O196" s="25">
        <v>45078</v>
      </c>
      <c r="P196" s="25">
        <v>45443</v>
      </c>
      <c r="Q196" s="14">
        <v>12</v>
      </c>
      <c r="R196" s="12">
        <f t="shared" ca="1" si="36"/>
        <v>82</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45995</v>
      </c>
      <c r="N197" s="14">
        <f ca="1">DATEDIF(L197,M197,"M") +1</f>
        <v>82</v>
      </c>
      <c r="O197" s="43"/>
      <c r="P197" s="14"/>
      <c r="Q197" s="14"/>
      <c r="R197" s="12">
        <f t="shared" ca="1" si="36"/>
        <v>82</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45995</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45995</v>
      </c>
      <c r="N199" s="14">
        <f ca="1">DATEDIF(L199,M199,"M") +1</f>
        <v>70</v>
      </c>
      <c r="O199" s="43"/>
      <c r="P199" s="14"/>
      <c r="Q199" s="14"/>
      <c r="R199" s="12">
        <f t="shared" ca="1" si="36"/>
        <v>70</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45995</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45995</v>
      </c>
      <c r="N201" s="14">
        <f ca="1">DATEDIF(L201,M201,"M") +1</f>
        <v>70</v>
      </c>
      <c r="O201" s="43"/>
      <c r="P201" s="14"/>
      <c r="Q201" s="14"/>
      <c r="R201" s="12">
        <f t="shared" ca="1" si="36"/>
        <v>70</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45995</v>
      </c>
      <c r="N202" s="14">
        <f ca="1">DATEDIF(L202,M202,"M") +1</f>
        <v>70</v>
      </c>
      <c r="O202" s="43"/>
      <c r="P202" s="14"/>
      <c r="Q202" s="14"/>
      <c r="R202" s="12">
        <f t="shared" ca="1" si="36"/>
        <v>70</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45995</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45995</v>
      </c>
      <c r="N204" s="14">
        <f ca="1">DATEDIF(L204,M204,"M") +1</f>
        <v>118</v>
      </c>
      <c r="O204" s="43"/>
      <c r="P204" s="14"/>
      <c r="Q204" s="14"/>
      <c r="R204" s="12">
        <f t="shared" ca="1" si="36"/>
        <v>118</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45995</v>
      </c>
      <c r="N205" s="14">
        <f ca="1">DATEDIF(L205,M205,"M") +1</f>
        <v>70</v>
      </c>
      <c r="O205" s="43"/>
      <c r="P205" s="14"/>
      <c r="Q205" s="14"/>
      <c r="R205" s="12">
        <f t="shared" ca="1" si="36"/>
        <v>70</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45995</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45995</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45995</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45995</v>
      </c>
      <c r="N209" s="14">
        <f ca="1">DATEDIF(L209,M209,"M") +1</f>
        <v>82</v>
      </c>
      <c r="O209" s="43"/>
      <c r="P209" s="14"/>
      <c r="Q209" s="14"/>
      <c r="R209" s="12">
        <f t="shared" ca="1" si="36"/>
        <v>82</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45995</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45995</v>
      </c>
      <c r="N211" s="14">
        <f t="shared" ref="N211:N216" ca="1" si="40">DATEDIF(L211,M211,"M") +1</f>
        <v>70</v>
      </c>
      <c r="O211" s="43"/>
      <c r="P211" s="14"/>
      <c r="Q211" s="14"/>
      <c r="R211" s="12">
        <f t="shared" ca="1" si="36"/>
        <v>70</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45995</v>
      </c>
      <c r="N212" s="14">
        <f t="shared" ca="1" si="40"/>
        <v>70</v>
      </c>
      <c r="O212" s="43"/>
      <c r="P212" s="14"/>
      <c r="Q212" s="14"/>
      <c r="R212" s="12">
        <f t="shared" ca="1" si="36"/>
        <v>70</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45995</v>
      </c>
      <c r="N213" s="14">
        <f t="shared" ca="1" si="40"/>
        <v>70</v>
      </c>
      <c r="O213" s="43"/>
      <c r="P213" s="14"/>
      <c r="Q213" s="14"/>
      <c r="R213" s="12">
        <f t="shared" ca="1" si="36"/>
        <v>70</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45995</v>
      </c>
      <c r="N214" s="14">
        <f t="shared" ca="1" si="40"/>
        <v>70</v>
      </c>
      <c r="O214" s="43"/>
      <c r="P214" s="14"/>
      <c r="Q214" s="14"/>
      <c r="R214" s="12">
        <f t="shared" ca="1" si="36"/>
        <v>70</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45995</v>
      </c>
      <c r="N215" s="14">
        <f t="shared" ca="1" si="40"/>
        <v>70</v>
      </c>
      <c r="O215" s="43"/>
      <c r="P215" s="14"/>
      <c r="Q215" s="14"/>
      <c r="R215" s="12">
        <f t="shared" ca="1" si="36"/>
        <v>70</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45995</v>
      </c>
      <c r="N216" s="14">
        <f t="shared" ca="1" si="40"/>
        <v>70</v>
      </c>
      <c r="O216" s="43"/>
      <c r="P216" s="14"/>
      <c r="Q216" s="14"/>
      <c r="R216" s="12">
        <f t="shared" ca="1" si="36"/>
        <v>70</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45995</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45995</v>
      </c>
      <c r="N218" s="14">
        <f ca="1">DATEDIF(L218,M218,"M") +1</f>
        <v>70</v>
      </c>
      <c r="O218" s="43"/>
      <c r="P218" s="14"/>
      <c r="Q218" s="14"/>
      <c r="R218" s="12">
        <f t="shared" ca="1" si="36"/>
        <v>70</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45995</v>
      </c>
      <c r="N219" s="14">
        <f ca="1">DATEDIF(L219,M219,"M") +1</f>
        <v>70</v>
      </c>
      <c r="O219" s="43"/>
      <c r="P219" s="14"/>
      <c r="Q219" s="14"/>
      <c r="R219" s="12">
        <f t="shared" ca="1" si="36"/>
        <v>70</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45995</v>
      </c>
      <c r="N220" s="14">
        <f ca="1">DATEDIF(L220,M220,"M") +1</f>
        <v>70</v>
      </c>
      <c r="O220" s="43"/>
      <c r="P220" s="14"/>
      <c r="Q220" s="14"/>
      <c r="R220" s="12">
        <f t="shared" ca="1" si="36"/>
        <v>70</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45995</v>
      </c>
      <c r="N221" s="14">
        <f ca="1">DATEDIF(L221,M221,"M") +1</f>
        <v>70</v>
      </c>
      <c r="O221" s="43"/>
      <c r="P221" s="14"/>
      <c r="Q221" s="14"/>
      <c r="R221" s="12">
        <f t="shared" ca="1" si="36"/>
        <v>70</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45995</v>
      </c>
      <c r="N222" s="14">
        <f ca="1">DATEDIF(L222,M222,"M") +1</f>
        <v>10</v>
      </c>
      <c r="O222" s="43"/>
      <c r="P222" s="14"/>
      <c r="Q222" s="14"/>
      <c r="R222" s="12">
        <f t="shared" ca="1" si="36"/>
        <v>10</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45995</v>
      </c>
      <c r="N223" s="14">
        <f t="shared" ref="N223:N241" ca="1" si="49">DATEDIF(L223,M223,"M") +1</f>
        <v>10</v>
      </c>
      <c r="O223" s="65"/>
      <c r="P223" s="65"/>
      <c r="Q223" s="63"/>
      <c r="R223" s="12">
        <f t="shared" ca="1" si="36"/>
        <v>10</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45995</v>
      </c>
      <c r="N224" s="14">
        <f t="shared" ca="1" si="49"/>
        <v>10</v>
      </c>
      <c r="O224" s="65"/>
      <c r="P224" s="65"/>
      <c r="Q224" s="63"/>
      <c r="R224" s="12">
        <f t="shared" ca="1" si="36"/>
        <v>10</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45995</v>
      </c>
      <c r="N225" s="14">
        <f t="shared" ca="1" si="49"/>
        <v>10</v>
      </c>
      <c r="O225" s="65"/>
      <c r="P225" s="65"/>
      <c r="Q225" s="63"/>
      <c r="R225" s="12">
        <f t="shared" ca="1" si="36"/>
        <v>10</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45995</v>
      </c>
      <c r="N226" s="14">
        <f t="shared" ca="1" si="49"/>
        <v>10</v>
      </c>
      <c r="O226" s="65"/>
      <c r="P226" s="65"/>
      <c r="Q226" s="63"/>
      <c r="R226" s="12">
        <f t="shared" ca="1" si="36"/>
        <v>10</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45995</v>
      </c>
      <c r="N227" s="14">
        <f t="shared" ca="1" si="49"/>
        <v>10</v>
      </c>
      <c r="O227" s="65"/>
      <c r="P227" s="65"/>
      <c r="Q227" s="63"/>
      <c r="R227" s="12">
        <f t="shared" ca="1" si="36"/>
        <v>10</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45995</v>
      </c>
      <c r="N228" s="14">
        <f t="shared" ca="1" si="49"/>
        <v>10</v>
      </c>
      <c r="O228" s="65"/>
      <c r="P228" s="65"/>
      <c r="Q228" s="63"/>
      <c r="R228" s="12">
        <f t="shared" ca="1" si="36"/>
        <v>10</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45995</v>
      </c>
      <c r="N229" s="14">
        <f t="shared" ca="1" si="49"/>
        <v>10</v>
      </c>
      <c r="O229" s="65"/>
      <c r="P229" s="65"/>
      <c r="Q229" s="63"/>
      <c r="R229" s="12">
        <f t="shared" ca="1" si="36"/>
        <v>10</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45995</v>
      </c>
      <c r="N230" s="14">
        <f t="shared" ca="1" si="49"/>
        <v>10</v>
      </c>
      <c r="O230" s="65"/>
      <c r="P230" s="65"/>
      <c r="Q230" s="63"/>
      <c r="R230" s="12">
        <f t="shared" ca="1" si="36"/>
        <v>10</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45995</v>
      </c>
      <c r="N231" s="14">
        <f t="shared" ca="1" si="49"/>
        <v>10</v>
      </c>
      <c r="O231" s="65"/>
      <c r="P231" s="65"/>
      <c r="Q231" s="63"/>
      <c r="R231" s="12">
        <f t="shared" ca="1" si="36"/>
        <v>10</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45995</v>
      </c>
      <c r="N232" s="14">
        <f t="shared" ca="1" si="49"/>
        <v>10</v>
      </c>
      <c r="O232" s="65"/>
      <c r="P232" s="65"/>
      <c r="Q232" s="63"/>
      <c r="R232" s="12">
        <f t="shared" ca="1" si="36"/>
        <v>10</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45995</v>
      </c>
      <c r="N233" s="14">
        <f t="shared" ca="1" si="49"/>
        <v>10</v>
      </c>
      <c r="O233" s="65"/>
      <c r="P233" s="65"/>
      <c r="Q233" s="63"/>
      <c r="R233" s="12">
        <f t="shared" ca="1" si="36"/>
        <v>10</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45995</v>
      </c>
      <c r="N234" s="14">
        <f t="shared" ca="1" si="49"/>
        <v>10</v>
      </c>
      <c r="O234" s="65"/>
      <c r="P234" s="65"/>
      <c r="Q234" s="63"/>
      <c r="R234" s="12">
        <f t="shared" ca="1" si="36"/>
        <v>10</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45995</v>
      </c>
      <c r="N235" s="14">
        <f t="shared" ca="1" si="49"/>
        <v>10</v>
      </c>
      <c r="O235" s="65"/>
      <c r="P235" s="65"/>
      <c r="Q235" s="63"/>
      <c r="R235" s="12">
        <f t="shared" ca="1" si="36"/>
        <v>10</v>
      </c>
      <c r="S235" s="65"/>
      <c r="T235" s="63" t="s">
        <v>44</v>
      </c>
      <c r="U235" s="64" t="str">
        <f t="shared" ca="1" si="50"/>
        <v>In progress: Below 60 Months</v>
      </c>
      <c r="V235" s="64" t="str">
        <f t="shared" ca="1" si="51"/>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45995</v>
      </c>
      <c r="N236" s="14">
        <f t="shared" ca="1" si="49"/>
        <v>10</v>
      </c>
      <c r="O236" s="65"/>
      <c r="P236" s="65"/>
      <c r="Q236" s="63"/>
      <c r="R236" s="12">
        <f t="shared" ca="1" si="36"/>
        <v>10</v>
      </c>
      <c r="S236" s="65"/>
      <c r="T236" s="63" t="s">
        <v>44</v>
      </c>
      <c r="U236" s="64" t="str">
        <f t="shared" ca="1" si="50"/>
        <v>In progress: Below 60 Months</v>
      </c>
      <c r="V236" s="64" t="str">
        <f t="shared" ca="1" si="51"/>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45995</v>
      </c>
      <c r="N237" s="14">
        <f t="shared" ca="1" si="49"/>
        <v>10</v>
      </c>
      <c r="O237" s="65"/>
      <c r="P237" s="65"/>
      <c r="Q237" s="63"/>
      <c r="R237" s="12">
        <f t="shared" ca="1" si="36"/>
        <v>10</v>
      </c>
      <c r="S237" s="65"/>
      <c r="T237" s="63" t="s">
        <v>44</v>
      </c>
      <c r="U237" s="64" t="str">
        <f t="shared" ca="1" si="50"/>
        <v>In progress: Below 60 Months</v>
      </c>
      <c r="V237" s="64" t="str">
        <f t="shared" ca="1" si="51"/>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45995</v>
      </c>
      <c r="N238" s="14">
        <f t="shared" ca="1" si="49"/>
        <v>10</v>
      </c>
      <c r="O238" s="65"/>
      <c r="P238" s="65"/>
      <c r="Q238" s="63"/>
      <c r="R238" s="12">
        <f t="shared" ca="1" si="36"/>
        <v>10</v>
      </c>
      <c r="S238" s="65"/>
      <c r="T238" s="63" t="s">
        <v>44</v>
      </c>
      <c r="U238" s="64" t="str">
        <f t="shared" ca="1" si="50"/>
        <v>In progress: Below 60 Months</v>
      </c>
      <c r="V238" s="64" t="str">
        <f t="shared" ca="1" si="51"/>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45995</v>
      </c>
      <c r="N239" s="14">
        <f t="shared" ca="1" si="49"/>
        <v>10</v>
      </c>
      <c r="O239" s="65"/>
      <c r="P239" s="65"/>
      <c r="Q239" s="63"/>
      <c r="R239" s="12">
        <f t="shared" ca="1" si="36"/>
        <v>10</v>
      </c>
      <c r="S239" s="65"/>
      <c r="T239" s="63" t="s">
        <v>44</v>
      </c>
      <c r="U239" s="64" t="str">
        <f t="shared" ca="1" si="50"/>
        <v>In progress: Below 60 Months</v>
      </c>
      <c r="V239" s="64" t="str">
        <f t="shared" ca="1" si="51"/>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45995</v>
      </c>
      <c r="N240" s="14">
        <f t="shared" ca="1" si="49"/>
        <v>10</v>
      </c>
      <c r="O240" s="65"/>
      <c r="P240" s="65"/>
      <c r="Q240" s="63"/>
      <c r="R240" s="12">
        <f t="shared" ca="1" si="36"/>
        <v>10</v>
      </c>
      <c r="S240" s="65"/>
      <c r="T240" s="63" t="s">
        <v>44</v>
      </c>
      <c r="U240" s="64" t="str">
        <f t="shared" ca="1" si="50"/>
        <v>In progress: Below 60 Months</v>
      </c>
      <c r="V240" s="64" t="str">
        <f t="shared" ca="1" si="51"/>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45995</v>
      </c>
      <c r="N241" s="14">
        <f t="shared" ca="1" si="49"/>
        <v>10</v>
      </c>
      <c r="O241" s="65"/>
      <c r="P241" s="65"/>
      <c r="Q241" s="63"/>
      <c r="R241" s="12">
        <f t="shared" ca="1" si="36"/>
        <v>10</v>
      </c>
      <c r="S241" s="65"/>
      <c r="T241" s="63" t="s">
        <v>44</v>
      </c>
      <c r="U241" s="64" t="str">
        <f t="shared" ca="1" si="50"/>
        <v>In progress: Below 60 Months</v>
      </c>
      <c r="V241" s="64" t="str">
        <f t="shared" ca="1" si="51"/>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935</v>
      </c>
      <c r="C3" t="s">
        <v>33</v>
      </c>
      <c r="D3" t="s">
        <v>34</v>
      </c>
      <c r="E3" t="s">
        <v>35</v>
      </c>
      <c r="F3" t="s">
        <v>36</v>
      </c>
      <c r="G3" t="s">
        <v>936</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937</v>
      </c>
    </row>
    <row r="5" spans="1:20" ht="15">
      <c r="B5" t="s">
        <v>38</v>
      </c>
      <c r="D5" t="s">
        <v>44</v>
      </c>
      <c r="F5" t="s">
        <v>938</v>
      </c>
      <c r="G5" t="s">
        <v>939</v>
      </c>
      <c r="K5" s="2" t="s">
        <v>2</v>
      </c>
      <c r="L5" s="2" t="s">
        <v>937</v>
      </c>
    </row>
    <row r="6" spans="1:20" ht="15">
      <c r="A6" s="2" t="s">
        <v>3</v>
      </c>
      <c r="B6" t="s">
        <v>940</v>
      </c>
      <c r="C6" t="s">
        <v>941</v>
      </c>
      <c r="D6" t="s">
        <v>940</v>
      </c>
      <c r="E6" t="s">
        <v>941</v>
      </c>
      <c r="H6" s="8"/>
      <c r="J6" s="39"/>
      <c r="K6" s="39" t="s">
        <v>4</v>
      </c>
      <c r="L6" s="40"/>
      <c r="M6" s="41" t="s">
        <v>919</v>
      </c>
      <c r="N6" s="40"/>
      <c r="O6" s="41" t="s">
        <v>5</v>
      </c>
      <c r="P6" s="40"/>
      <c r="Q6" s="41" t="s">
        <v>6</v>
      </c>
      <c r="R6" s="40"/>
      <c r="S6" s="33" t="s">
        <v>938</v>
      </c>
      <c r="T6" s="33" t="s">
        <v>939</v>
      </c>
    </row>
    <row r="7" spans="1:20" ht="15">
      <c r="A7" t="s">
        <v>8</v>
      </c>
      <c r="B7">
        <v>1</v>
      </c>
      <c r="C7" s="8">
        <v>0.5</v>
      </c>
      <c r="D7">
        <v>1</v>
      </c>
      <c r="E7" s="8">
        <v>0.5</v>
      </c>
      <c r="F7">
        <v>2</v>
      </c>
      <c r="G7" s="8">
        <v>1</v>
      </c>
      <c r="H7" s="8"/>
      <c r="J7" s="42" t="s">
        <v>3</v>
      </c>
      <c r="K7" s="39" t="s">
        <v>940</v>
      </c>
      <c r="L7" s="40" t="s">
        <v>941</v>
      </c>
      <c r="M7" s="41" t="s">
        <v>940</v>
      </c>
      <c r="N7" s="40" t="s">
        <v>941</v>
      </c>
      <c r="O7" s="41" t="s">
        <v>940</v>
      </c>
      <c r="P7" s="40" t="s">
        <v>941</v>
      </c>
      <c r="Q7" s="41" t="s">
        <v>940</v>
      </c>
      <c r="R7" s="40" t="s">
        <v>941</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940</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940</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2025-12-04T12:30:45Z</dcterms:modified>
  <cp:category/>
  <cp:contentStatus/>
</cp:coreProperties>
</file>